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/>
  </mc:AlternateContent>
  <xr:revisionPtr revIDLastSave="0" documentId="13_ncr:1_{2EFD498C-916A-BA4D-B2EC-D71B1A72D3BA}" xr6:coauthVersionLast="47" xr6:coauthVersionMax="47" xr10:uidLastSave="{00000000-0000-0000-0000-000000000000}"/>
  <bookViews>
    <workbookView xWindow="0" yWindow="740" windowWidth="30240" windowHeight="18900" xr2:uid="{1431564F-13E2-AE48-9038-EEC0AAA9651A}"/>
  </bookViews>
  <sheets>
    <sheet name="CAKE-US LBO" sheetId="1" r:id="rId1"/>
    <sheet name="Historicals &gt;&gt;" sheetId="6" r:id="rId2"/>
    <sheet name="Income Statement" sheetId="8" r:id="rId3"/>
    <sheet name="Price History" sheetId="11" r:id="rId4"/>
    <sheet name="Balance Sheet" sheetId="2" r:id="rId5"/>
    <sheet name="Cash Flow Statement" sheetId="9" r:id="rId6"/>
    <sheet name="Capital Structure" sheetId="10" r:id="rId7"/>
  </sheets>
  <definedNames>
    <definedName name="_xlnm.Print_Area" localSheetId="4">'Balance Sheet'!$A$1:$L$95</definedName>
    <definedName name="_xlnm.Print_Area" localSheetId="0">'CAKE-US LBO'!$A$1:$K$194</definedName>
    <definedName name="_xlnm.Print_Area" localSheetId="6">'Capital Structure'!$A$1:$AF$56</definedName>
    <definedName name="_xlnm.Print_Area" localSheetId="5">'Cash Flow Statement'!$A$1:$M$66</definedName>
    <definedName name="_xlnm.Print_Area" localSheetId="2">'Income Statement'!$A$1:$M$63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2" i="1" l="1"/>
  <c r="E112" i="1"/>
  <c r="F112" i="1"/>
  <c r="G112" i="1"/>
  <c r="H112" i="1"/>
  <c r="I112" i="1"/>
  <c r="J112" i="1"/>
  <c r="C112" i="1"/>
  <c r="D107" i="1"/>
  <c r="C107" i="1"/>
  <c r="D109" i="1"/>
  <c r="C109" i="1"/>
  <c r="D108" i="1"/>
  <c r="C108" i="1"/>
  <c r="D106" i="1"/>
  <c r="C106" i="1"/>
  <c r="E93" i="1"/>
  <c r="D93" i="1"/>
  <c r="C93" i="1"/>
  <c r="E64" i="1"/>
  <c r="D64" i="1"/>
  <c r="C64" i="1"/>
  <c r="E58" i="1"/>
  <c r="D58" i="1"/>
  <c r="C58" i="1"/>
  <c r="C29" i="1"/>
  <c r="C38" i="1" s="1"/>
  <c r="C28" i="1"/>
  <c r="C46" i="1" s="1"/>
  <c r="C24" i="1"/>
  <c r="C23" i="1"/>
  <c r="E54" i="1"/>
  <c r="D54" i="1"/>
  <c r="C54" i="1"/>
  <c r="E51" i="1"/>
  <c r="D51" i="1"/>
  <c r="C51" i="1"/>
  <c r="C52" i="1" s="1"/>
  <c r="D105" i="1"/>
  <c r="C105" i="1"/>
  <c r="C6" i="1"/>
  <c r="B179" i="1"/>
  <c r="B180" i="1" s="1"/>
  <c r="B181" i="1" s="1"/>
  <c r="B182" i="1" s="1"/>
  <c r="B183" i="1" s="1"/>
  <c r="E161" i="1"/>
  <c r="G154" i="1"/>
  <c r="H154" i="1"/>
  <c r="I154" i="1"/>
  <c r="J154" i="1"/>
  <c r="F154" i="1"/>
  <c r="G150" i="1"/>
  <c r="H150" i="1"/>
  <c r="I150" i="1"/>
  <c r="J150" i="1"/>
  <c r="F150" i="1"/>
  <c r="G139" i="1"/>
  <c r="H139" i="1"/>
  <c r="I139" i="1"/>
  <c r="J139" i="1"/>
  <c r="F139" i="1"/>
  <c r="G129" i="1"/>
  <c r="H129" i="1"/>
  <c r="I129" i="1"/>
  <c r="J129" i="1"/>
  <c r="F129" i="1"/>
  <c r="F117" i="1"/>
  <c r="F161" i="1" s="1"/>
  <c r="E79" i="1"/>
  <c r="C79" i="1"/>
  <c r="G79" i="1"/>
  <c r="H79" i="1" s="1"/>
  <c r="I79" i="1" s="1"/>
  <c r="J79" i="1" s="1"/>
  <c r="J117" i="1" s="1"/>
  <c r="J161" i="1" s="1"/>
  <c r="D96" i="1"/>
  <c r="E96" i="1" s="1"/>
  <c r="E101" i="1" s="1"/>
  <c r="D50" i="1"/>
  <c r="F50" i="1" s="1"/>
  <c r="G50" i="1" s="1"/>
  <c r="H50" i="1" s="1"/>
  <c r="I50" i="1" s="1"/>
  <c r="J50" i="1" s="1"/>
  <c r="B36" i="1"/>
  <c r="B37" i="1"/>
  <c r="B35" i="1"/>
  <c r="C26" i="1"/>
  <c r="C19" i="1"/>
  <c r="G188" i="1" l="1"/>
  <c r="H188" i="1" s="1"/>
  <c r="E188" i="1"/>
  <c r="D188" i="1" s="1"/>
  <c r="D17" i="1"/>
  <c r="C7" i="1"/>
  <c r="C8" i="1" s="1"/>
  <c r="D52" i="1"/>
  <c r="E52" i="1"/>
  <c r="I117" i="1"/>
  <c r="I161" i="1" s="1"/>
  <c r="G117" i="1"/>
  <c r="G161" i="1" s="1"/>
  <c r="H117" i="1"/>
  <c r="H161" i="1" s="1"/>
  <c r="C98" i="1"/>
  <c r="E59" i="1"/>
  <c r="C103" i="1"/>
  <c r="C100" i="1"/>
  <c r="D103" i="1"/>
  <c r="C102" i="1"/>
  <c r="F93" i="1"/>
  <c r="D79" i="1"/>
  <c r="C99" i="1"/>
  <c r="D102" i="1"/>
  <c r="E55" i="1"/>
  <c r="D55" i="1"/>
  <c r="C59" i="1"/>
  <c r="E61" i="1"/>
  <c r="E69" i="1" s="1"/>
  <c r="E74" i="1" s="1"/>
  <c r="E75" i="1" s="1"/>
  <c r="D59" i="1"/>
  <c r="D101" i="1"/>
  <c r="D100" i="1" s="1"/>
  <c r="D61" i="1"/>
  <c r="D69" i="1" s="1"/>
  <c r="D74" i="1" s="1"/>
  <c r="D75" i="1" s="1"/>
  <c r="C61" i="1"/>
  <c r="C69" i="1" s="1"/>
  <c r="C74" i="1" s="1"/>
  <c r="C75" i="1" s="1"/>
  <c r="F96" i="1"/>
  <c r="C65" i="1"/>
  <c r="C55" i="1"/>
  <c r="E65" i="1"/>
  <c r="D65" i="1"/>
  <c r="E56" i="1"/>
  <c r="C56" i="1"/>
  <c r="D56" i="1"/>
  <c r="C25" i="1"/>
  <c r="C27" i="1" s="1"/>
  <c r="D16" i="1"/>
  <c r="E126" i="1" s="1"/>
  <c r="F124" i="1" s="1"/>
  <c r="D18" i="1"/>
  <c r="E147" i="1" s="1"/>
  <c r="F143" i="1" s="1"/>
  <c r="F149" i="1" s="1"/>
  <c r="F151" i="1" s="1"/>
  <c r="F144" i="1" s="1"/>
  <c r="F83" i="1" s="1"/>
  <c r="F55" i="1" l="1"/>
  <c r="G55" i="1" s="1"/>
  <c r="H55" i="1" s="1"/>
  <c r="I55" i="1" s="1"/>
  <c r="J55" i="1" s="1"/>
  <c r="F52" i="1"/>
  <c r="G52" i="1" s="1"/>
  <c r="H52" i="1" s="1"/>
  <c r="I52" i="1" s="1"/>
  <c r="J52" i="1" s="1"/>
  <c r="H163" i="1"/>
  <c r="F163" i="1"/>
  <c r="J163" i="1"/>
  <c r="G163" i="1"/>
  <c r="I163" i="1"/>
  <c r="C36" i="1"/>
  <c r="E136" i="1"/>
  <c r="F133" i="1" s="1"/>
  <c r="F134" i="1" s="1"/>
  <c r="H102" i="1"/>
  <c r="I102" i="1"/>
  <c r="G102" i="1"/>
  <c r="E102" i="1"/>
  <c r="J102" i="1"/>
  <c r="F102" i="1"/>
  <c r="H100" i="1"/>
  <c r="G100" i="1"/>
  <c r="I100" i="1"/>
  <c r="F100" i="1"/>
  <c r="J100" i="1"/>
  <c r="E100" i="1"/>
  <c r="E103" i="1"/>
  <c r="F103" i="1"/>
  <c r="I103" i="1"/>
  <c r="G103" i="1"/>
  <c r="H103" i="1"/>
  <c r="J103" i="1"/>
  <c r="G93" i="1"/>
  <c r="F145" i="1"/>
  <c r="F59" i="1"/>
  <c r="G59" i="1" s="1"/>
  <c r="H59" i="1" s="1"/>
  <c r="I59" i="1" s="1"/>
  <c r="J59" i="1" s="1"/>
  <c r="E62" i="1"/>
  <c r="D98" i="1"/>
  <c r="D99" i="1"/>
  <c r="D113" i="1"/>
  <c r="G19" i="1"/>
  <c r="C37" i="1"/>
  <c r="F65" i="1"/>
  <c r="G65" i="1" s="1"/>
  <c r="H65" i="1" s="1"/>
  <c r="I65" i="1" s="1"/>
  <c r="J65" i="1" s="1"/>
  <c r="D19" i="1"/>
  <c r="C35" i="1"/>
  <c r="C62" i="1"/>
  <c r="C30" i="1"/>
  <c r="C44" i="1" s="1"/>
  <c r="C43" i="1"/>
  <c r="D62" i="1"/>
  <c r="F101" i="1"/>
  <c r="G96" i="1"/>
  <c r="C70" i="1"/>
  <c r="D70" i="1"/>
  <c r="E70" i="1"/>
  <c r="J98" i="1" l="1"/>
  <c r="F98" i="1"/>
  <c r="H98" i="1"/>
  <c r="G98" i="1"/>
  <c r="I98" i="1"/>
  <c r="E98" i="1"/>
  <c r="H99" i="1"/>
  <c r="J99" i="1"/>
  <c r="F99" i="1"/>
  <c r="G99" i="1"/>
  <c r="E99" i="1"/>
  <c r="I99" i="1"/>
  <c r="H93" i="1"/>
  <c r="F120" i="1"/>
  <c r="J67" i="1"/>
  <c r="J82" i="1" s="1"/>
  <c r="F67" i="1"/>
  <c r="F82" i="1" s="1"/>
  <c r="G67" i="1"/>
  <c r="G82" i="1" s="1"/>
  <c r="H67" i="1"/>
  <c r="H82" i="1" s="1"/>
  <c r="C45" i="1"/>
  <c r="I67" i="1"/>
  <c r="I82" i="1" s="1"/>
  <c r="H96" i="1"/>
  <c r="G101" i="1"/>
  <c r="F51" i="1"/>
  <c r="C76" i="1"/>
  <c r="E76" i="1"/>
  <c r="D76" i="1"/>
  <c r="C47" i="1" l="1"/>
  <c r="D45" i="1" s="1"/>
  <c r="F64" i="1"/>
  <c r="F81" i="1" s="1"/>
  <c r="F85" i="1"/>
  <c r="I93" i="1"/>
  <c r="F58" i="1"/>
  <c r="F54" i="1"/>
  <c r="G51" i="1"/>
  <c r="H51" i="1" s="1"/>
  <c r="H64" i="1" s="1"/>
  <c r="H81" i="1" s="1"/>
  <c r="H101" i="1"/>
  <c r="I96" i="1"/>
  <c r="D43" i="1" l="1"/>
  <c r="D46" i="1"/>
  <c r="D44" i="1"/>
  <c r="C40" i="1"/>
  <c r="F56" i="1"/>
  <c r="G54" i="1"/>
  <c r="G58" i="1"/>
  <c r="F61" i="1"/>
  <c r="F69" i="1" s="1"/>
  <c r="F70" i="1" s="1"/>
  <c r="H85" i="1"/>
  <c r="G64" i="1"/>
  <c r="G81" i="1" s="1"/>
  <c r="G85" i="1"/>
  <c r="J93" i="1"/>
  <c r="I101" i="1"/>
  <c r="J96" i="1"/>
  <c r="J101" i="1" s="1"/>
  <c r="I51" i="1"/>
  <c r="I85" i="1" s="1"/>
  <c r="H58" i="1"/>
  <c r="H54" i="1"/>
  <c r="D47" i="1" l="1"/>
  <c r="D37" i="1"/>
  <c r="C39" i="1"/>
  <c r="D35" i="1"/>
  <c r="D38" i="1"/>
  <c r="D36" i="1"/>
  <c r="F62" i="1"/>
  <c r="F162" i="1"/>
  <c r="F165" i="1" s="1"/>
  <c r="G61" i="1"/>
  <c r="G56" i="1"/>
  <c r="H56" i="1"/>
  <c r="H61" i="1"/>
  <c r="H162" i="1" s="1"/>
  <c r="H165" i="1" s="1"/>
  <c r="J51" i="1"/>
  <c r="J64" i="1" s="1"/>
  <c r="J81" i="1" s="1"/>
  <c r="I58" i="1"/>
  <c r="I54" i="1"/>
  <c r="I64" i="1"/>
  <c r="I81" i="1" s="1"/>
  <c r="F171" i="1" l="1"/>
  <c r="F178" i="1" s="1"/>
  <c r="J171" i="1"/>
  <c r="J178" i="1" s="1"/>
  <c r="I171" i="1"/>
  <c r="I178" i="1" s="1"/>
  <c r="H171" i="1"/>
  <c r="H178" i="1" s="1"/>
  <c r="G171" i="1"/>
  <c r="G178" i="1" s="1"/>
  <c r="E171" i="1"/>
  <c r="E178" i="1" s="1"/>
  <c r="D39" i="1"/>
  <c r="D40" i="1" s="1"/>
  <c r="G69" i="1"/>
  <c r="G70" i="1" s="1"/>
  <c r="G162" i="1"/>
  <c r="G165" i="1" s="1"/>
  <c r="G62" i="1"/>
  <c r="I61" i="1"/>
  <c r="J85" i="1"/>
  <c r="H62" i="1"/>
  <c r="H69" i="1"/>
  <c r="I56" i="1"/>
  <c r="J54" i="1"/>
  <c r="J58" i="1"/>
  <c r="I162" i="1" l="1"/>
  <c r="I165" i="1" s="1"/>
  <c r="I69" i="1"/>
  <c r="I70" i="1" s="1"/>
  <c r="I62" i="1"/>
  <c r="H70" i="1"/>
  <c r="J61" i="1"/>
  <c r="J162" i="1" s="1"/>
  <c r="J165" i="1" s="1"/>
  <c r="J56" i="1"/>
  <c r="J62" i="1" l="1"/>
  <c r="J69" i="1"/>
  <c r="J70" i="1" s="1"/>
  <c r="H105" i="1"/>
  <c r="I105" i="1"/>
  <c r="J105" i="1"/>
  <c r="E105" i="1"/>
  <c r="F105" i="1"/>
  <c r="G105" i="1"/>
  <c r="H108" i="1"/>
  <c r="I108" i="1"/>
  <c r="J108" i="1"/>
  <c r="F106" i="1"/>
  <c r="G106" i="1"/>
  <c r="E106" i="1"/>
  <c r="H106" i="1"/>
  <c r="I106" i="1"/>
  <c r="J106" i="1"/>
  <c r="E108" i="1"/>
  <c r="F108" i="1"/>
  <c r="G108" i="1"/>
  <c r="E109" i="1"/>
  <c r="F109" i="1"/>
  <c r="G109" i="1"/>
  <c r="H109" i="1"/>
  <c r="I109" i="1"/>
  <c r="J109" i="1"/>
  <c r="E107" i="1"/>
  <c r="F107" i="1"/>
  <c r="G107" i="1"/>
  <c r="H107" i="1"/>
  <c r="I107" i="1"/>
  <c r="J107" i="1"/>
  <c r="E113" i="1" l="1"/>
  <c r="J113" i="1" l="1"/>
  <c r="J84" i="1" s="1"/>
  <c r="F113" i="1"/>
  <c r="F84" i="1" s="1"/>
  <c r="H113" i="1"/>
  <c r="H84" i="1" s="1"/>
  <c r="I113" i="1"/>
  <c r="I84" i="1" s="1"/>
  <c r="G113" i="1"/>
  <c r="G84" i="1" s="1"/>
  <c r="C190" i="1" l="1"/>
  <c r="C189" i="1" s="1"/>
  <c r="C192" i="1"/>
  <c r="C193" i="1"/>
  <c r="F72" i="1"/>
  <c r="G72" i="1"/>
  <c r="H72" i="1"/>
  <c r="I72" i="1"/>
  <c r="J72" i="1"/>
  <c r="F74" i="1"/>
  <c r="G74" i="1"/>
  <c r="H74" i="1"/>
  <c r="I74" i="1"/>
  <c r="J74" i="1"/>
  <c r="F75" i="1"/>
  <c r="G75" i="1"/>
  <c r="H75" i="1"/>
  <c r="I75" i="1"/>
  <c r="J75" i="1"/>
  <c r="F76" i="1"/>
  <c r="G76" i="1"/>
  <c r="H76" i="1"/>
  <c r="I76" i="1"/>
  <c r="J76" i="1"/>
  <c r="F80" i="1"/>
  <c r="G80" i="1"/>
  <c r="H80" i="1"/>
  <c r="I80" i="1"/>
  <c r="J80" i="1"/>
  <c r="G83" i="1"/>
  <c r="H83" i="1"/>
  <c r="I83" i="1"/>
  <c r="J83" i="1"/>
  <c r="F86" i="1"/>
  <c r="G86" i="1"/>
  <c r="H86" i="1"/>
  <c r="I86" i="1"/>
  <c r="J86" i="1"/>
  <c r="F88" i="1"/>
  <c r="G88" i="1"/>
  <c r="H88" i="1"/>
  <c r="I88" i="1"/>
  <c r="J88" i="1"/>
  <c r="F89" i="1"/>
  <c r="G89" i="1"/>
  <c r="H89" i="1"/>
  <c r="I89" i="1"/>
  <c r="J89" i="1"/>
  <c r="F91" i="1"/>
  <c r="G91" i="1"/>
  <c r="H91" i="1"/>
  <c r="I91" i="1"/>
  <c r="J91" i="1"/>
  <c r="F119" i="1"/>
  <c r="G119" i="1"/>
  <c r="H119" i="1"/>
  <c r="I119" i="1"/>
  <c r="J119" i="1"/>
  <c r="G120" i="1"/>
  <c r="H120" i="1"/>
  <c r="I120" i="1"/>
  <c r="J120" i="1"/>
  <c r="F121" i="1"/>
  <c r="G121" i="1"/>
  <c r="H121" i="1"/>
  <c r="I121" i="1"/>
  <c r="J121" i="1"/>
  <c r="G124" i="1"/>
  <c r="H124" i="1"/>
  <c r="I124" i="1"/>
  <c r="J124" i="1"/>
  <c r="F125" i="1"/>
  <c r="G125" i="1"/>
  <c r="H125" i="1"/>
  <c r="I125" i="1"/>
  <c r="J125" i="1"/>
  <c r="F126" i="1"/>
  <c r="G126" i="1"/>
  <c r="H126" i="1"/>
  <c r="I126" i="1"/>
  <c r="J126" i="1"/>
  <c r="F128" i="1"/>
  <c r="G128" i="1"/>
  <c r="H128" i="1"/>
  <c r="I128" i="1"/>
  <c r="J128" i="1"/>
  <c r="F130" i="1"/>
  <c r="G130" i="1"/>
  <c r="H130" i="1"/>
  <c r="I130" i="1"/>
  <c r="J130" i="1"/>
  <c r="G133" i="1"/>
  <c r="H133" i="1"/>
  <c r="I133" i="1"/>
  <c r="J133" i="1"/>
  <c r="G134" i="1"/>
  <c r="H134" i="1"/>
  <c r="I134" i="1"/>
  <c r="J134" i="1"/>
  <c r="F135" i="1"/>
  <c r="G135" i="1"/>
  <c r="H135" i="1"/>
  <c r="I135" i="1"/>
  <c r="J135" i="1"/>
  <c r="F136" i="1"/>
  <c r="G136" i="1"/>
  <c r="H136" i="1"/>
  <c r="I136" i="1"/>
  <c r="J136" i="1"/>
  <c r="F138" i="1"/>
  <c r="G138" i="1"/>
  <c r="H138" i="1"/>
  <c r="I138" i="1"/>
  <c r="J138" i="1"/>
  <c r="F140" i="1"/>
  <c r="G140" i="1"/>
  <c r="H140" i="1"/>
  <c r="I140" i="1"/>
  <c r="J140" i="1"/>
  <c r="G143" i="1"/>
  <c r="H143" i="1"/>
  <c r="I143" i="1"/>
  <c r="J143" i="1"/>
  <c r="G144" i="1"/>
  <c r="H144" i="1"/>
  <c r="I144" i="1"/>
  <c r="J144" i="1"/>
  <c r="G145" i="1"/>
  <c r="H145" i="1"/>
  <c r="I145" i="1"/>
  <c r="J145" i="1"/>
  <c r="F146" i="1"/>
  <c r="G146" i="1"/>
  <c r="H146" i="1"/>
  <c r="I146" i="1"/>
  <c r="J146" i="1"/>
  <c r="F147" i="1"/>
  <c r="G147" i="1"/>
  <c r="H147" i="1"/>
  <c r="I147" i="1"/>
  <c r="J147" i="1"/>
  <c r="G149" i="1"/>
  <c r="H149" i="1"/>
  <c r="I149" i="1"/>
  <c r="J149" i="1"/>
  <c r="G151" i="1"/>
  <c r="H151" i="1"/>
  <c r="I151" i="1"/>
  <c r="J151" i="1"/>
  <c r="F153" i="1"/>
  <c r="G153" i="1"/>
  <c r="H153" i="1"/>
  <c r="I153" i="1"/>
  <c r="J153" i="1"/>
  <c r="F155" i="1"/>
  <c r="G155" i="1"/>
  <c r="H155" i="1"/>
  <c r="I155" i="1"/>
  <c r="J155" i="1"/>
  <c r="F157" i="1"/>
  <c r="G157" i="1"/>
  <c r="H157" i="1"/>
  <c r="I157" i="1"/>
  <c r="J157" i="1"/>
  <c r="F167" i="1"/>
  <c r="G167" i="1"/>
  <c r="H167" i="1"/>
  <c r="I167" i="1"/>
  <c r="J167" i="1"/>
  <c r="F168" i="1"/>
  <c r="G168" i="1"/>
  <c r="H168" i="1"/>
  <c r="I168" i="1"/>
  <c r="J168" i="1"/>
  <c r="F169" i="1"/>
  <c r="G169" i="1"/>
  <c r="H169" i="1"/>
  <c r="I169" i="1"/>
  <c r="J169" i="1"/>
  <c r="F172" i="1"/>
  <c r="G172" i="1"/>
  <c r="H172" i="1"/>
  <c r="I172" i="1"/>
  <c r="J172" i="1"/>
  <c r="F174" i="1"/>
  <c r="G174" i="1"/>
  <c r="H174" i="1"/>
  <c r="I174" i="1"/>
  <c r="J174" i="1"/>
  <c r="F175" i="1"/>
  <c r="G175" i="1"/>
  <c r="H175" i="1"/>
  <c r="I175" i="1"/>
  <c r="J175" i="1"/>
  <c r="F179" i="1"/>
  <c r="G180" i="1"/>
  <c r="H181" i="1"/>
  <c r="I182" i="1"/>
  <c r="J183" i="1"/>
  <c r="F184" i="1"/>
  <c r="G184" i="1"/>
  <c r="H184" i="1"/>
  <c r="I184" i="1"/>
  <c r="J184" i="1"/>
  <c r="F185" i="1"/>
  <c r="G185" i="1"/>
  <c r="H185" i="1"/>
  <c r="I185" i="1"/>
  <c r="J185" i="1"/>
  <c r="C1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Esther Kim</author>
  </authors>
  <commentList>
    <comment ref="C8" authorId="0" shapeId="0" xr:uid="{82681896-DF5B-4342-BEF7-E3F8CBAC6A14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Assumes 5x margin expansion</t>
        </r>
      </text>
    </comment>
    <comment ref="C23" authorId="0" shapeId="0" xr:uid="{A65F26A5-17DA-1846-A2CB-87E92166253A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Share price as of 01/28/2026</t>
        </r>
      </text>
    </comment>
    <comment ref="F52" authorId="0" shapeId="0" xr:uid="{14FA6C26-6E13-814B-B965-FBF416EF8E16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Assumes slight improvement to L3Y y-o-y average revenue growth </t>
        </r>
      </text>
    </comment>
    <comment ref="G52" authorId="0" shapeId="0" xr:uid="{AD7C17ED-3D40-B743-A583-CEAC89A687BF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Assumes slight improvement to L3Y y-o-y average revenue growth </t>
        </r>
      </text>
    </comment>
    <comment ref="H52" authorId="0" shapeId="0" xr:uid="{DA79531C-42A6-4640-A18B-17264301E305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Assumes slight improvement to L3Y y-o-y average revenue growth </t>
        </r>
      </text>
    </comment>
    <comment ref="I52" authorId="0" shapeId="0" xr:uid="{7E77F4BA-6A6A-0B42-87FE-F1E10BE16EFE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Assumes slight improvement to L3Y y-o-y average revenue growth </t>
        </r>
      </text>
    </comment>
    <comment ref="J52" authorId="0" shapeId="0" xr:uid="{BFB497B3-0F9A-474D-89C8-5FF3C53E85FD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Assumes slight improvement to L3Y y-o-y average revenue growth </t>
        </r>
      </text>
    </comment>
    <comment ref="F55" authorId="0" shapeId="0" xr:uid="{EE278581-283C-B940-9E15-A319AAE098E8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Assumes operational improvement to average of FY2023 - Q3 LTM 2025</t>
        </r>
      </text>
    </comment>
    <comment ref="G55" authorId="0" shapeId="0" xr:uid="{6107A1EC-5BA4-E14C-81B7-0C5F67481039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Assumes operational improvement to average of FY2023 - Q3 LTM 2025</t>
        </r>
      </text>
    </comment>
    <comment ref="H55" authorId="0" shapeId="0" xr:uid="{4BF9AABD-5229-1A42-992A-24BE5018199C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Assumes operational improvement to average of FY2023 - Q3 LTM 2025</t>
        </r>
      </text>
    </comment>
    <comment ref="I55" authorId="0" shapeId="0" xr:uid="{A885F18E-1EA2-FB40-84D8-ECAABEA09B54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Assumes operational improvement to average of FY2023 - Q3 LTM 2025</t>
        </r>
      </text>
    </comment>
    <comment ref="J55" authorId="0" shapeId="0" xr:uid="{2F7C60CD-EE2E-3846-B413-4E350666550A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Assumes operational improvement to average of FY2023 - Q3 LTM 2025</t>
        </r>
      </text>
    </comment>
    <comment ref="F59" authorId="0" shapeId="0" xr:uid="{93308830-BD58-A145-B39D-FAF1E5151374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Average of FY2023 - Q3 LTM 2025 </t>
        </r>
      </text>
    </comment>
    <comment ref="G59" authorId="0" shapeId="0" xr:uid="{02E3E807-8A86-5545-83A0-1D7E03DF899D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Average of FY2023 - Q3 LTM 2025</t>
        </r>
        <r>
          <rPr>
            <sz val="10"/>
            <color rgb="FF000000"/>
            <rFont val="Aptos Narrow"/>
            <scheme val="minor"/>
          </rPr>
          <t xml:space="preserve"> </t>
        </r>
      </text>
    </comment>
    <comment ref="H59" authorId="0" shapeId="0" xr:uid="{12918E08-FA26-E146-B917-7AC62B6CCC5D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Average of FY2023 - Q3 LTM 2025</t>
        </r>
        <r>
          <rPr>
            <sz val="10"/>
            <color rgb="FF000000"/>
            <rFont val="Aptos Narrow"/>
            <scheme val="minor"/>
          </rPr>
          <t xml:space="preserve"> </t>
        </r>
      </text>
    </comment>
    <comment ref="I59" authorId="0" shapeId="0" xr:uid="{03ACFCA8-C050-F04B-B869-1906445BB07B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Average of FY2023 - Q3 LTM 2025 </t>
        </r>
      </text>
    </comment>
    <comment ref="J59" authorId="0" shapeId="0" xr:uid="{817EFA36-6DCE-9E40-8D0C-4CA7CB61CD10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Average of FY2023 - Q3 LTM 2025</t>
        </r>
        <r>
          <rPr>
            <sz val="10"/>
            <color rgb="FF000000"/>
            <rFont val="Aptos Narrow"/>
            <scheme val="minor"/>
          </rPr>
          <t xml:space="preserve"> </t>
        </r>
      </text>
    </comment>
    <comment ref="F65" authorId="0" shapeId="0" xr:uid="{1D4CD3F7-E828-7949-B5DD-CFB3AE61ACD8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Average of FY2023 - Q3 LTM 2025 </t>
        </r>
      </text>
    </comment>
    <comment ref="G65" authorId="0" shapeId="0" xr:uid="{7C9AC129-2A31-7245-AAA9-15CA91C5840F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Average of FY2023 - Q3 LTM 2025</t>
        </r>
        <r>
          <rPr>
            <sz val="10"/>
            <color rgb="FF000000"/>
            <rFont val="Aptos Narrow"/>
            <scheme val="minor"/>
          </rPr>
          <t xml:space="preserve"> </t>
        </r>
      </text>
    </comment>
    <comment ref="H65" authorId="0" shapeId="0" xr:uid="{EE1685D2-2DDA-184D-87EC-A04CA13B0603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Average of FY2023 - Q3 LTM 2025</t>
        </r>
        <r>
          <rPr>
            <sz val="10"/>
            <color rgb="FF000000"/>
            <rFont val="Aptos Narrow"/>
            <scheme val="minor"/>
          </rPr>
          <t xml:space="preserve"> </t>
        </r>
      </text>
    </comment>
    <comment ref="I65" authorId="0" shapeId="0" xr:uid="{ED1E6599-4B17-2340-8762-9D97BB8CD4B9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Average of FY2023 - Q3 LTM 2025</t>
        </r>
        <r>
          <rPr>
            <sz val="10"/>
            <color rgb="FF000000"/>
            <rFont val="Aptos Narrow"/>
            <scheme val="minor"/>
          </rPr>
          <t xml:space="preserve"> </t>
        </r>
      </text>
    </comment>
    <comment ref="J65" authorId="0" shapeId="0" xr:uid="{DE678A10-92B4-BC44-BB51-EA830B930B7B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Average of FY2023 - Q3 LTM 2025</t>
        </r>
        <r>
          <rPr>
            <sz val="10"/>
            <color rgb="FF000000"/>
            <rFont val="Aptos Narrow"/>
            <scheme val="minor"/>
          </rPr>
          <t xml:space="preserve"> </t>
        </r>
      </text>
    </comment>
    <comment ref="F93" authorId="0" shapeId="0" xr:uid="{614EA4CD-D1B3-B44D-A485-43D79CB12769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Average of FY2023 - Q3 LTM 2025 </t>
        </r>
      </text>
    </comment>
    <comment ref="G93" authorId="0" shapeId="0" xr:uid="{8B4948E2-33C9-BE45-B520-141655154E4F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Average of FY2023 - Q3 LTM 2025 </t>
        </r>
      </text>
    </comment>
    <comment ref="H93" authorId="0" shapeId="0" xr:uid="{70650974-5DB2-E547-9ED4-54FEEE3043CB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Average of FY2023 - Q3 LTM 2025</t>
        </r>
        <r>
          <rPr>
            <sz val="10"/>
            <color rgb="FF000000"/>
            <rFont val="Aptos Narrow"/>
            <scheme val="minor"/>
          </rPr>
          <t xml:space="preserve"> </t>
        </r>
      </text>
    </comment>
    <comment ref="I93" authorId="0" shapeId="0" xr:uid="{7F5A4042-2D23-4149-98F1-9C1590671CAF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Average of FY2023 - Q3 LTM 2025</t>
        </r>
        <r>
          <rPr>
            <sz val="10"/>
            <color rgb="FF000000"/>
            <rFont val="Aptos Narrow"/>
            <scheme val="minor"/>
          </rPr>
          <t xml:space="preserve"> </t>
        </r>
      </text>
    </comment>
    <comment ref="J93" authorId="0" shapeId="0" xr:uid="{3708076A-17B2-6043-877A-764397149EEB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Average of FY2023 - Q3 LTM 2025</t>
        </r>
        <r>
          <rPr>
            <sz val="10"/>
            <color rgb="FF000000"/>
            <rFont val="Aptos Narrow"/>
            <scheme val="minor"/>
          </rPr>
          <t xml:space="preserve"> </t>
        </r>
      </text>
    </comment>
    <comment ref="B98" authorId="0" shapeId="0" xr:uid="{69D8471D-FECF-0440-AA05-87E32E06A1F1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Leverages EoP balance, not average</t>
        </r>
      </text>
    </comment>
    <comment ref="E98" authorId="0" shapeId="0" xr:uid="{C1077145-4485-5F4E-8777-4BFC6D50DCDC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F98" authorId="0" shapeId="0" xr:uid="{9A0A2DAD-5FE8-314F-A478-E392E952E4A3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G98" authorId="0" shapeId="0" xr:uid="{190A0FCA-613E-EE49-A5A2-E3E4DFF374F9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H98" authorId="0" shapeId="0" xr:uid="{2851559F-546E-C049-B475-134140FF9894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I98" authorId="0" shapeId="0" xr:uid="{0B189E55-B9AE-BD4E-8570-2AE4554ABFA5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J98" authorId="0" shapeId="0" xr:uid="{0EF60486-29C5-8449-97B0-89EBB918F3E1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B99" authorId="0" shapeId="0" xr:uid="{D29196EC-5F95-FE41-86BE-B9C2E0E6DDBB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Leverages EoP balance, not average</t>
        </r>
      </text>
    </comment>
    <comment ref="E99" authorId="0" shapeId="0" xr:uid="{3897605F-9924-AA4C-904C-C6A7F4F9E5EB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F99" authorId="0" shapeId="0" xr:uid="{ABD2F1DB-C31D-9C47-9F50-ECE15E5652EE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G99" authorId="0" shapeId="0" xr:uid="{2E41DB48-B753-0B4F-972B-C38BA32B1912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H99" authorId="0" shapeId="0" xr:uid="{CCAD3EF9-1B56-C145-8C60-71C7B16BDDBC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I99" authorId="0" shapeId="0" xr:uid="{CED3B664-A0AE-CA4C-B78A-CB3A1766C9F8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J99" authorId="0" shapeId="0" xr:uid="{02A66323-F3F8-0A41-9923-CA021F78C126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B100" authorId="0" shapeId="0" xr:uid="{94550983-EAB6-0C41-A241-3C2D21A1E2C2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Leverages EoP balance, not average</t>
        </r>
      </text>
    </comment>
    <comment ref="E100" authorId="0" shapeId="0" xr:uid="{AA61AF4D-F637-D84E-951E-F75E1FC2542B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F100" authorId="0" shapeId="0" xr:uid="{8796C21F-9679-D748-B1AA-C4BA9A8ED0C7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G100" authorId="0" shapeId="0" xr:uid="{4001FC79-AE88-D646-8EE4-4C92C26AAF62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H100" authorId="0" shapeId="0" xr:uid="{8EBAC942-E957-9F45-BE65-8297D26BEB7F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I100" authorId="0" shapeId="0" xr:uid="{444AFF91-DC32-DA48-B105-AEAADB320E2E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J100" authorId="0" shapeId="0" xr:uid="{F55DC88B-106F-604E-9E18-3B819CCDE5EF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E102" authorId="0" shapeId="0" xr:uid="{54F58F78-3A98-9E4F-89D2-1344FA55D885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F102" authorId="0" shapeId="0" xr:uid="{A63C4869-D412-5642-9B7F-C22C5BC5A546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G102" authorId="0" shapeId="0" xr:uid="{03BA84B3-55B6-2C42-91FB-349E7734AC63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H102" authorId="0" shapeId="0" xr:uid="{223CA066-33BD-D74D-A30B-0375FD8A8107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I102" authorId="0" shapeId="0" xr:uid="{DF113968-AEC6-8844-954E-AC56212BA165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J102" authorId="0" shapeId="0" xr:uid="{65B7FF17-4ECA-1242-A148-45B3F3BAF49B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E103" authorId="0" shapeId="0" xr:uid="{ED38F167-A446-B146-9A2D-A4AC47857B66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F103" authorId="0" shapeId="0" xr:uid="{C0995050-64B6-1F43-B342-0982B55D2842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G103" authorId="0" shapeId="0" xr:uid="{19D4F6E1-C605-0941-BF8D-1BFEF9DABEB2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H103" authorId="0" shapeId="0" xr:uid="{87557C07-4311-6D4B-A001-2FA922ADDA61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I103" authorId="0" shapeId="0" xr:uid="{12F0C9A3-17BF-AB41-91A3-D43DB5705D58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  <comment ref="J103" authorId="0" shapeId="0" xr:uid="{A9162681-5F6D-CF48-BBCA-3D6DB8B5D3D2}">
      <text>
        <r>
          <rPr>
            <b/>
            <sz val="10"/>
            <color rgb="FF000000"/>
            <rFont val="Tahoma"/>
            <family val="2"/>
          </rPr>
          <t>Esther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Equals FY2024</t>
        </r>
      </text>
    </comment>
  </commentList>
</comments>
</file>

<file path=xl/sharedStrings.xml><?xml version="1.0" encoding="utf-8"?>
<sst xmlns="http://schemas.openxmlformats.org/spreadsheetml/2006/main" count="809" uniqueCount="431">
  <si>
    <t>GAAP/IFRS Balance Sheet</t>
  </si>
  <si>
    <t>Assets</t>
  </si>
  <si>
    <t>Cash &amp; Short-Term Investments</t>
  </si>
  <si>
    <t>Cash Only</t>
  </si>
  <si>
    <t>Short-Term Receivables</t>
  </si>
  <si>
    <t>Accounts Receivables, Net</t>
  </si>
  <si>
    <t>Accounts Receivables, Gross</t>
  </si>
  <si>
    <t>Other Receivables</t>
  </si>
  <si>
    <t>Inventories</t>
  </si>
  <si>
    <t>Finished Goods</t>
  </si>
  <si>
    <t>Other Current Assets</t>
  </si>
  <si>
    <t>Prepaid Expenses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</si>
  <si>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</si>
  <si>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</si>
  <si>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</si>
  <si>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</si>
  <si>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</si>
  <si>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Construction in Progress</t>
  </si>
  <si>
    <t>Computer Software and Equipment</t>
  </si>
  <si>
    <t>Other Property, Plant &amp; Equipment</t>
  </si>
  <si>
    <t>Operating Lease Right-of-Use Assets</t>
  </si>
  <si>
    <t>Accumulated Depreciation</t>
  </si>
  <si>
    <t>Intangible Assets</t>
  </si>
  <si>
    <t>Goodwill</t>
  </si>
  <si>
    <t>Other Intangible Assets</t>
  </si>
  <si>
    <t>Deferred Tax Assets</t>
  </si>
  <si>
    <t>Other Assets</t>
  </si>
  <si>
    <t>Deferred Charges</t>
  </si>
  <si>
    <t>Tangible Other Assets</t>
  </si>
  <si>
    <t>Total Assets</t>
  </si>
  <si>
    <t>Liabilities &amp; Shareholders' Equity</t>
  </si>
  <si>
    <t>Current</t>
  </si>
  <si>
    <t>ST Debt &amp; Curr. Portion LT Debt</t>
  </si>
  <si>
    <t>Accounts Payable</t>
  </si>
  <si>
    <t>Income Tax Payable</t>
  </si>
  <si>
    <t>Other Current Liabilities</t>
  </si>
  <si>
    <t>Accrued Payroll</t>
  </si>
  <si>
    <t>Miscellaneous Current Liabilities</t>
  </si>
  <si>
    <t>Total Current Liabilities</t>
  </si>
  <si>
    <t>Long-Term</t>
  </si>
  <si>
    <t>Long-Term Debt</t>
  </si>
  <si>
    <t>Capital and Operating Lease Obligations</t>
  </si>
  <si>
    <t>Deferred Tax Liabilities</t>
  </si>
  <si>
    <t>Other Liabilities</t>
  </si>
  <si>
    <t>Other Liabilities (excl. Deferred Income)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</si>
  <si>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</si>
  <si>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</si>
  <si>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</si>
  <si>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</si>
  <si>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</si>
  <si>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</si>
  <si>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</si>
  <si>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Total Shareholders' Equity</t>
  </si>
  <si>
    <t>Total Equity</t>
  </si>
  <si>
    <t>Total Liabilities &amp; Shareholders' Equity</t>
  </si>
  <si>
    <t>Per Share</t>
  </si>
  <si>
    <t>Book Value per Share</t>
  </si>
  <si>
    <t>Tangible Book Value per Share</t>
  </si>
  <si>
    <t>Supplemental</t>
  </si>
  <si>
    <t>Working Capital</t>
  </si>
  <si>
    <t>Total Capital</t>
  </si>
  <si>
    <t>Total Debt</t>
  </si>
  <si>
    <t>Net Debt</t>
  </si>
  <si>
    <t>Efficiency</t>
  </si>
  <si>
    <t>Days of Inventory on Hand</t>
  </si>
  <si>
    <t>Days of Sales Outstanding</t>
  </si>
  <si>
    <t>Days of Payables Outstanding</t>
  </si>
  <si>
    <t>Stock Option Comp</t>
  </si>
  <si>
    <t>Stock Option Comp Exp (Net of Tax)</t>
  </si>
  <si>
    <t>Non-Qualified Option/Warrant Awards</t>
  </si>
  <si>
    <t>Operating Lease Commitments</t>
  </si>
  <si>
    <t>Year 1</t>
  </si>
  <si>
    <t>Year 2</t>
  </si>
  <si>
    <t>Year 3</t>
  </si>
  <si>
    <t>Year 4</t>
  </si>
  <si>
    <t>Year 5</t>
  </si>
  <si>
    <t>Over 5 Years</t>
  </si>
  <si>
    <t>All figures in millions of U.S. Dollar except per share items.</t>
  </si>
  <si>
    <t>GAAP/IFRS Income Statement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</si>
  <si>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</si>
  <si>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</si>
  <si>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</si>
  <si>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</si>
  <si>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</si>
  <si>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</si>
  <si>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</si>
  <si>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</si>
  <si>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Other SG&amp;A</t>
  </si>
  <si>
    <t>EBIT (Operating Income)</t>
  </si>
  <si>
    <t>Nonoperating Income - Net</t>
  </si>
  <si>
    <t>Other Income (Expense)</t>
  </si>
  <si>
    <t>Unusual Expense - Net</t>
  </si>
  <si>
    <t>Impairments</t>
  </si>
  <si>
    <t>Property,Plant &amp; Equipment</t>
  </si>
  <si>
    <t>Restructuring Expense</t>
  </si>
  <si>
    <t>Excpl Chrgs - Others</t>
  </si>
  <si>
    <t>Other Unusual Expense</t>
  </si>
  <si>
    <t>Pretax Income</t>
  </si>
  <si>
    <t>Income Taxes</t>
  </si>
  <si>
    <t>Income Taxes - Current Domestic</t>
  </si>
  <si>
    <t>Income Taxes - Deferred Domestic</t>
  </si>
  <si>
    <t>Consolidated Net Income</t>
  </si>
  <si>
    <t>Net Income</t>
  </si>
  <si>
    <t>Net Income available to Common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</si>
  <si>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</si>
  <si>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</si>
  <si>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</si>
  <si>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</si>
  <si>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</si>
  <si>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</si>
  <si>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</si>
  <si>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EBITDA</t>
  </si>
  <si>
    <t>EBIT</t>
  </si>
  <si>
    <t>Rental Expense</t>
  </si>
  <si>
    <t>Tax Rate</t>
  </si>
  <si>
    <t>GAAP/IFRS Cash Flow</t>
  </si>
  <si>
    <t>Operating Activities</t>
  </si>
  <si>
    <t>Net Income / Starting Line</t>
  </si>
  <si>
    <t>Depreciation, Depletion &amp; Amortization</t>
  </si>
  <si>
    <t>Depreciation and Depletion</t>
  </si>
  <si>
    <t>Amortization of Intangible Assets</t>
  </si>
  <si>
    <t>Deferred Taxes &amp; Investment Tax Credit</t>
  </si>
  <si>
    <t>Deferred Taxes</t>
  </si>
  <si>
    <t>Other Funds</t>
  </si>
  <si>
    <t>Funds from Operations</t>
  </si>
  <si>
    <t>Changes in Working Capital</t>
  </si>
  <si>
    <t>Receivables</t>
  </si>
  <si>
    <t>Other Accruals</t>
  </si>
  <si>
    <t>Other Assets/Liabilities</t>
  </si>
  <si>
    <t>Net Operating Cash Flow</t>
  </si>
  <si>
    <t>Investing Activities</t>
  </si>
  <si>
    <t>Capital Expenditures</t>
  </si>
  <si>
    <t>Capital Expenditures (Fixed Assets)</t>
  </si>
  <si>
    <t>Net Assets from Acquisitions</t>
  </si>
  <si>
    <t>Purchase/Sale of Investments</t>
  </si>
  <si>
    <t>Purchase of Investments</t>
  </si>
  <si>
    <t>Other Uses</t>
  </si>
  <si>
    <t>Other Sources</t>
  </si>
  <si>
    <t>Net Investing Cash Flow</t>
  </si>
  <si>
    <t>Financing Activities</t>
  </si>
  <si>
    <t>Change in Capital Stock</t>
  </si>
  <si>
    <t>Repurchase of Common &amp; Preferred Stk.</t>
  </si>
  <si>
    <t>Sale of Common &amp; Preferred Stock</t>
  </si>
  <si>
    <t>Proceeds from Stock Options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</si>
  <si>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</si>
  <si>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</si>
  <si>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</si>
  <si>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</si>
  <si>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</si>
  <si>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</si>
  <si>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</si>
  <si>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Interest Paid</t>
  </si>
  <si>
    <t>Taxation</t>
  </si>
  <si>
    <t>Fully Diluted Equity Capitalization</t>
  </si>
  <si>
    <t>Pro Forma as of 27 Jan '26</t>
  </si>
  <si>
    <t>Current as of 27 Jan '26</t>
  </si>
  <si>
    <t>Shares</t>
  </si>
  <si>
    <t>Mkt Cap</t>
  </si>
  <si>
    <t>Common Stock</t>
  </si>
  <si>
    <t>-</t>
  </si>
  <si>
    <t>Diluted Shares</t>
  </si>
  <si>
    <t>In-the-Money Convertible Debt</t>
  </si>
  <si>
    <t>In-the-Money Convertible Preferred</t>
  </si>
  <si>
    <t>Stock Compensation</t>
  </si>
  <si>
    <t>Stock Options and Warrants</t>
  </si>
  <si>
    <t>Restricted Stock Awards</t>
  </si>
  <si>
    <t>Debt Capitalization</t>
  </si>
  <si>
    <t>Pro Forma as of 27 Jan '26  DCS Interim</t>
  </si>
  <si>
    <t>Current as of 27 Jan '26  DCS Fully Reported</t>
  </si>
  <si>
    <t>Short Term Debt</t>
  </si>
  <si>
    <t>Long Term Debt</t>
  </si>
  <si>
    <t>Revolving Credit</t>
  </si>
  <si>
    <t>Unsec. Rev. Facility</t>
  </si>
  <si>
    <t>Term Loans</t>
  </si>
  <si>
    <t>Notes/Bonds</t>
  </si>
  <si>
    <t>Other</t>
  </si>
  <si>
    <t>Long Term Debt, Less Current Portion</t>
  </si>
  <si>
    <t>Current Portion of LTD</t>
  </si>
  <si>
    <t>All figures in millions of USD | Source: FactSet Debt Capital Structure</t>
  </si>
  <si>
    <t>Enterprise Value</t>
  </si>
  <si>
    <t>Fully Diluted Market Cap</t>
  </si>
  <si>
    <t>+ Total Debt (excl Leases)</t>
  </si>
  <si>
    <t>- In-the-Money Convertible Debt</t>
  </si>
  <si>
    <t>+ Capital Leases</t>
  </si>
  <si>
    <t>+ Operating Leases</t>
  </si>
  <si>
    <t>- Cash &amp; Equivalents</t>
  </si>
  <si>
    <t>- Long Term Marketable Securities</t>
  </si>
  <si>
    <t>+ Total Preferred</t>
  </si>
  <si>
    <t>- In-the-Money Convertible Preferred</t>
  </si>
  <si>
    <t>- Investments in Unconsolidated Subs</t>
  </si>
  <si>
    <t>+ Non-Controlling Interest</t>
  </si>
  <si>
    <t>+ Pension Liabilities</t>
  </si>
  <si>
    <t>All figures in millions of USD | Source: FactSet Capital Structure, FactSet Fundamentals</t>
  </si>
  <si>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</si>
  <si>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</si>
  <si>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</si>
  <si>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</si>
  <si>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</si>
  <si>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</si>
  <si>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</si>
  <si>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</si>
  <si>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</si>
  <si>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</si>
  <si>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</si>
  <si>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</si>
  <si>
    <t>x</t>
  </si>
  <si>
    <t>Assumptions</t>
  </si>
  <si>
    <t>Exit EBITDA Multiple</t>
  </si>
  <si>
    <t>Current Share Price</t>
  </si>
  <si>
    <t>Fully Diluted Shares</t>
  </si>
  <si>
    <t>Equity Value</t>
  </si>
  <si>
    <t>(+) Debt</t>
  </si>
  <si>
    <t>(-) Cash and Cash Equivalents</t>
  </si>
  <si>
    <t>Purchase Price</t>
  </si>
  <si>
    <t>Buyout Equity Value</t>
  </si>
  <si>
    <t>Multiple</t>
  </si>
  <si>
    <t>Revolver</t>
  </si>
  <si>
    <t>Term Loan</t>
  </si>
  <si>
    <t>Mezz Loan</t>
  </si>
  <si>
    <t>Sources</t>
  </si>
  <si>
    <t>Uses</t>
  </si>
  <si>
    <t>Purchase Equity</t>
  </si>
  <si>
    <t>M&amp;A Fee</t>
  </si>
  <si>
    <t>Sponsor Equity</t>
  </si>
  <si>
    <t>Total Sources</t>
  </si>
  <si>
    <t>Total Uses</t>
  </si>
  <si>
    <t>Income Statement</t>
  </si>
  <si>
    <t>Revenue</t>
  </si>
  <si>
    <t>% y-o-y growth</t>
  </si>
  <si>
    <t>COGS</t>
  </si>
  <si>
    <t>% Revenue</t>
  </si>
  <si>
    <t>Gross Profit (Excl. D&amp;A)</t>
  </si>
  <si>
    <t>SG&amp;A</t>
  </si>
  <si>
    <t>(-) D&amp;A</t>
  </si>
  <si>
    <t>(-) Fin Fee Amort</t>
  </si>
  <si>
    <t>(-) Interest Expense</t>
  </si>
  <si>
    <t>EBT</t>
  </si>
  <si>
    <t>(-) Tax Expense</t>
  </si>
  <si>
    <t>Cash Flow Statement</t>
  </si>
  <si>
    <t>(+) D&amp;A</t>
  </si>
  <si>
    <t>(+) Fin Fee Amort</t>
  </si>
  <si>
    <t>(+) PIK Interest</t>
  </si>
  <si>
    <t>(+/-) Change in NWC</t>
  </si>
  <si>
    <t>(-) Capex</t>
  </si>
  <si>
    <t>CFO+CFI</t>
  </si>
  <si>
    <t>(-) Debt Repayment</t>
  </si>
  <si>
    <t>CFF</t>
  </si>
  <si>
    <t>Ending Cash</t>
  </si>
  <si>
    <t>WC Schedule</t>
  </si>
  <si>
    <t>Memo:</t>
  </si>
  <si>
    <t>Receivable Days</t>
  </si>
  <si>
    <t>Payable Days</t>
  </si>
  <si>
    <t>Inventory Days Held</t>
  </si>
  <si>
    <t>Days per Year</t>
  </si>
  <si>
    <t>Other Current Assets (% of Revenue)</t>
  </si>
  <si>
    <t>Other Current Liabilities (% of Revenue)</t>
  </si>
  <si>
    <t>A/R</t>
  </si>
  <si>
    <t>Inventory</t>
  </si>
  <si>
    <t>A/P</t>
  </si>
  <si>
    <t>NWC</t>
  </si>
  <si>
    <t>Change in NWC</t>
  </si>
  <si>
    <t>Debt Schedule</t>
  </si>
  <si>
    <t>CFO + CFI</t>
  </si>
  <si>
    <t>Mandatory Debt Repayment</t>
  </si>
  <si>
    <t>Cash Avail. For Optional Repayment</t>
  </si>
  <si>
    <t>Beginning Balance</t>
  </si>
  <si>
    <t>Drawdown (Repayment)</t>
  </si>
  <si>
    <t>Ending Balance</t>
  </si>
  <si>
    <t>Average Balance</t>
  </si>
  <si>
    <t>Interest Rate</t>
  </si>
  <si>
    <t>Interest Expense</t>
  </si>
  <si>
    <t>Mandatory Repayment</t>
  </si>
  <si>
    <t>Mandatory Amort</t>
  </si>
  <si>
    <t>Optional Repayment</t>
  </si>
  <si>
    <t>Sweep?</t>
  </si>
  <si>
    <t>PIK Interest</t>
  </si>
  <si>
    <t>PIK Interest Rate</t>
  </si>
  <si>
    <t>PIK Interest Expense</t>
  </si>
  <si>
    <t>Total Interest Expense</t>
  </si>
  <si>
    <t>Returns</t>
  </si>
  <si>
    <t>Exit EBITDA</t>
  </si>
  <si>
    <t>Exit Multiple</t>
  </si>
  <si>
    <t>Exit EV</t>
  </si>
  <si>
    <t>Cash</t>
  </si>
  <si>
    <t>Exit EqV</t>
  </si>
  <si>
    <t>(-) Initial Sponsor Equity</t>
  </si>
  <si>
    <t>Equity for Mgmt Promote</t>
  </si>
  <si>
    <t>(-) Mgmt. Promote</t>
  </si>
  <si>
    <t>Sponsor Equity Value</t>
  </si>
  <si>
    <t>Sponsor Fund Flow</t>
  </si>
  <si>
    <t>IRR</t>
  </si>
  <si>
    <t>MoM</t>
  </si>
  <si>
    <t>Entry EBITDA (LTM Q3 2025)</t>
  </si>
  <si>
    <t>Entry EBITDA Multiple (LTM Q3 2025)</t>
  </si>
  <si>
    <t>% M&amp;A Fees (of TEV)</t>
  </si>
  <si>
    <t>Debt Assumptions</t>
  </si>
  <si>
    <t>Debt Type</t>
  </si>
  <si>
    <t>$ Amount</t>
  </si>
  <si>
    <t>Fin. Fee</t>
  </si>
  <si>
    <t>Fin. Fee %</t>
  </si>
  <si>
    <t>Fin. Fee Amort Years</t>
  </si>
  <si>
    <t>Cash Interest Rate</t>
  </si>
  <si>
    <t>% Share Price Premium</t>
  </si>
  <si>
    <t>Share Price Premium</t>
  </si>
  <si>
    <t>Sources and Uses</t>
  </si>
  <si>
    <t>Q3 LTM 2025</t>
  </si>
  <si>
    <t>CIRC</t>
  </si>
  <si>
    <t>CapEx % of Revenue</t>
  </si>
  <si>
    <t>% EBIT Margin</t>
  </si>
  <si>
    <t>% EBITDA Margin</t>
  </si>
  <si>
    <t>Cheesecake Factory Incorporated (CAKE)</t>
  </si>
  <si>
    <t>$57.88</t>
  </si>
  <si>
    <t>Cheesecake Factory Incorporated</t>
  </si>
  <si>
    <t xml:space="preserve">CAKE   163072101   2192392   NASDAQ    Common stock    </t>
  </si>
  <si>
    <t>Source: FactSet Fundamentals</t>
  </si>
  <si>
    <t>SEP '25</t>
  </si>
  <si>
    <t>DEC '24</t>
  </si>
  <si>
    <t>DEC '23</t>
  </si>
  <si>
    <t>DEC '22</t>
  </si>
  <si>
    <t>DEC '21</t>
  </si>
  <si>
    <t>DEC '20</t>
  </si>
  <si>
    <t>DEC '19</t>
  </si>
  <si>
    <t>DEC '18</t>
  </si>
  <si>
    <t>DEC '17</t>
  </si>
  <si>
    <t>DEC '16</t>
  </si>
  <si>
    <t>DEC '15</t>
  </si>
  <si>
    <t>LTM</t>
  </si>
  <si>
    <t>Other Operating Expense</t>
  </si>
  <si>
    <t>Equity in Earnings of Affiliates</t>
  </si>
  <si>
    <t>Gross Interest Expense</t>
  </si>
  <si>
    <t>Interest Capitalized</t>
  </si>
  <si>
    <t>Exceptional Provisions</t>
  </si>
  <si>
    <t>Preferred Dividends</t>
  </si>
  <si>
    <t>Dividends per Share</t>
  </si>
  <si>
    <t>Payout Ratio</t>
  </si>
  <si>
    <t>Price History: CAKE-US</t>
  </si>
  <si>
    <t>Raw Materials</t>
  </si>
  <si>
    <t xml:space="preserve">Total Long-Term Investments </t>
  </si>
  <si>
    <t>LT Investment - Affiliate Companies</t>
  </si>
  <si>
    <t>Long-Term Debt excl Lease Obligations</t>
  </si>
  <si>
    <t>Provision for Risks &amp; Charges</t>
  </si>
  <si>
    <t>Preferred Stock (Carrying Value)</t>
  </si>
  <si>
    <t>Redeemable Preferred Stock</t>
  </si>
  <si>
    <t>Treasury Stock</t>
  </si>
  <si>
    <t>Capital Expenditures (Other Assets)</t>
  </si>
  <si>
    <t>Cash Dividends Paid</t>
  </si>
  <si>
    <t>Common Dividends</t>
  </si>
  <si>
    <t>Proceeds from Sale of Stock</t>
  </si>
  <si>
    <t>Issuance/Reduction of Debt, Net</t>
  </si>
  <si>
    <t>Change in Long-Term Debt</t>
  </si>
  <si>
    <t>Issuance of Long-Term Debt</t>
  </si>
  <si>
    <t>Reduction in Long-Term Debt</t>
  </si>
  <si>
    <t>Change in Other Debt</t>
  </si>
  <si>
    <t>Sep '25</t>
  </si>
  <si>
    <t>Jun '25</t>
  </si>
  <si>
    <t>Mar '25</t>
  </si>
  <si>
    <t>Dec '24</t>
  </si>
  <si>
    <t>Sep '24</t>
  </si>
  <si>
    <t>Jun '24</t>
  </si>
  <si>
    <t>Mar '24</t>
  </si>
  <si>
    <t>Dec '23</t>
  </si>
  <si>
    <t>Sep '23</t>
  </si>
  <si>
    <t>Jun '23</t>
  </si>
  <si>
    <t>Mar '23</t>
  </si>
  <si>
    <t>Dec '22</t>
  </si>
  <si>
    <t>Sep '22</t>
  </si>
  <si>
    <t>Basic Shares</t>
  </si>
  <si>
    <t>2019 Stock Incentive Plan</t>
  </si>
  <si>
    <t>$3,032.0</t>
  </si>
  <si>
    <t>$2,900.3</t>
  </si>
  <si>
    <t>$3,385.5</t>
  </si>
  <si>
    <t>$2,691.5</t>
  </si>
  <si>
    <t>$2,590.8</t>
  </si>
  <si>
    <t>$2,216.0</t>
  </si>
  <si>
    <t>$2,044.2</t>
  </si>
  <si>
    <t>$2,000.2</t>
  </si>
  <si>
    <t>$1,839.6</t>
  </si>
  <si>
    <t>$1,535.4</t>
  </si>
  <si>
    <t>$1,913.1</t>
  </si>
  <si>
    <t>$1,871.0</t>
  </si>
  <si>
    <t>$1,736.7</t>
  </si>
  <si>
    <t>$1,578.9</t>
  </si>
  <si>
    <t>All figures in millions of USD | Source: FactSet Capital Structure, FactSet Fundamentals, FactSet Shares Outstanding</t>
  </si>
  <si>
    <t>Sep '25  DCS Fully Reported</t>
  </si>
  <si>
    <t>Jun '25  DCS Fully Reported</t>
  </si>
  <si>
    <t>Mar '25  DCS Fully Reported</t>
  </si>
  <si>
    <t>Dec '24  DCS Fully Reported</t>
  </si>
  <si>
    <t>Sep '24  DCS Fully Reported</t>
  </si>
  <si>
    <t>Jun '24  DCS Fully Reported</t>
  </si>
  <si>
    <t>Mar '24  DCS Fully Reported</t>
  </si>
  <si>
    <t>Dec '23  DCS Fully Reported</t>
  </si>
  <si>
    <t>Sep '23  DCS Fully Reported</t>
  </si>
  <si>
    <t>Jun '23  DCS Fully Reported</t>
  </si>
  <si>
    <t>Mar '23  DCS Fully Reported</t>
  </si>
  <si>
    <t>Dec '22  DCS Fully Reported</t>
  </si>
  <si>
    <t>Sep '22  DCS Fully Reported</t>
  </si>
  <si>
    <t>Senior Convertible</t>
  </si>
  <si>
    <t>Adjustments</t>
  </si>
  <si>
    <t>$629.2</t>
  </si>
  <si>
    <t>$628.2</t>
  </si>
  <si>
    <t>$627.3</t>
  </si>
  <si>
    <t>$452.1</t>
  </si>
  <si>
    <t>$471.6</t>
  </si>
  <si>
    <t>$471.1</t>
  </si>
  <si>
    <t>$470.6</t>
  </si>
  <si>
    <t>$470.0</t>
  </si>
  <si>
    <t>$469.5</t>
  </si>
  <si>
    <t>$469.0</t>
  </si>
  <si>
    <t>$468.5</t>
  </si>
  <si>
    <t>$468.0</t>
  </si>
  <si>
    <t>$467.5</t>
  </si>
  <si>
    <t>$3,471.1</t>
  </si>
  <si>
    <t>$3,339.5</t>
  </si>
  <si>
    <t>$3,865.0</t>
  </si>
  <si>
    <t>$3,183.4</t>
  </si>
  <si>
    <t>$2,958.7</t>
  </si>
  <si>
    <t>$2,635.3</t>
  </si>
  <si>
    <t>$2,474.6</t>
  </si>
  <si>
    <t>$2,410.5</t>
  </si>
  <si>
    <t>$2,253.3</t>
  </si>
  <si>
    <t>$1,940.9</t>
  </si>
  <si>
    <t>$2,290.6</t>
  </si>
  <si>
    <t>$2,223.3</t>
  </si>
  <si>
    <t>$2,090.0</t>
  </si>
  <si>
    <t>$1,913.3</t>
  </si>
  <si>
    <t>Existing Debt on BS</t>
  </si>
  <si>
    <t>%</t>
  </si>
  <si>
    <t>$</t>
  </si>
  <si>
    <t>Existing Cash On BS</t>
  </si>
  <si>
    <t>Sensitivity Table - Entry Share Price Premium vs. Exit Multiple</t>
  </si>
  <si>
    <t>CAKE-LBO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</si>
</sst>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6" formatCode="&quot;$&quot;#,##0_);[Red]\(&quot;$&quot;#,##0\)"/>
    <numFmt numFmtId="182" formatCode="0.0"/>
    <numFmt numFmtId="190" formatCode="mm/dd/yy"/>
    <numFmt numFmtId="191" formatCode="&quot;$&quot;#,##0.0_);[Red]\(&quot;$&quot;#,##0.0\)"/>
    <numFmt numFmtId="192" formatCode="0.0%_);\(0.0%\);0.0%_);@_)"/>
    <numFmt numFmtId="193" formatCode="0.0\x"/>
    <numFmt numFmtId="194" formatCode="##&quot; Years&quot;"/>
    <numFmt numFmtId="195" formatCode="&quot;$&quot;#,##0.0_);\(&quot;$&quot;#,##0.0\)"/>
    <numFmt numFmtId="196" formatCode="&quot;$&quot;#,###.0;\(&quot;$&quot;#,###.0\)"/>
    <numFmt numFmtId="197" formatCode="&quot;$&quot;#,##0.0_);\(&quot;$&quot;#,##0.0\);&quot;$&quot;#,##0.0_);@_)"/>
    <numFmt numFmtId="198" formatCode="#,##0.0_);\(#,##0.0\);#,##0.0_);@_)"/>
    <numFmt numFmtId="199" formatCode="0.0\x_);\(0.0\x\);0.0\x_);@_)"/>
    <numFmt numFmtId="200" formatCode="0.00%_);\(0.00%\);0.00%_);@_)"/>
    <numFmt numFmtId="201" formatCode="&quot;$&quot;#,#00.0"/>
    <numFmt numFmtId="202" formatCode="&quot;$&quot;#,##0.0"/>
    <numFmt numFmtId="203" formatCode="0%_);\(0%\);0%_);@_)"/>
    <numFmt numFmtId="204" formatCode="#,##0_);\(#,##0\);#,##0_);@_)"/>
    <numFmt numFmtId="205" formatCode="&quot;Y&quot;0"/>
    <numFmt numFmtId="206" formatCode="yyyy"/>
    <numFmt numFmtId="208" formatCode="#,##0.000000_);\(#,##0.000000\);#,##0.000000_);@_)"/>
    <numFmt numFmtId="209" formatCode="0.0%"/>
    <numFmt numFmtId="211" formatCode="&quot;FY &quot;yyyy"/>
    <numFmt numFmtId="219" formatCode="&quot;$&quot;#,##0.0_);\(&quot;$&quot;#,##0.0\);\-"/>
    <numFmt numFmtId="221" formatCode="0.0_);\(0.0\)"/>
    <numFmt numFmtId="222" formatCode="0.0_);[Red]\(0.0\)"/>
    <numFmt numFmtId="223" formatCode="0%;\(0%\)"/>
  </numFmts>
  <fonts count="29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0" tint="-4.9989318521683403E-2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sz val="12"/>
      <color theme="9" tint="-0.249977111117893"/>
      <name val="Arial"/>
      <family val="2"/>
    </font>
    <font>
      <sz val="12"/>
      <name val="Arial"/>
      <family val="2"/>
    </font>
    <font>
      <sz val="12"/>
      <color rgb="FF0000FF"/>
      <name val="Arial"/>
      <family val="2"/>
    </font>
    <font>
      <sz val="12"/>
      <color theme="9" tint="-0.499984740745262"/>
      <name val="Arial"/>
      <family val="2"/>
    </font>
    <font>
      <sz val="10"/>
      <color rgb="FF000000"/>
      <name val="Aptos Narrow"/>
      <scheme val="minor"/>
    </font>
    <font>
      <sz val="10"/>
      <color rgb="FF000000"/>
      <name val="Aptos Narrow"/>
    </font>
    <font>
      <b/>
      <sz val="12"/>
      <color theme="0" tint="-4.9989318521683403E-2"/>
      <name val="Arial"/>
      <family val="2"/>
    </font>
    <font>
      <sz val="12"/>
      <color theme="0" tint="-4.9989318521683403E-2"/>
      <name val="Arial"/>
      <family val="2"/>
    </font>
    <font>
      <i/>
      <sz val="12"/>
      <color theme="1"/>
      <name val="Arial"/>
      <family val="2"/>
    </font>
    <font>
      <sz val="12"/>
      <color theme="4" tint="-0.249977111117893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color theme="1"/>
      <name val="Aptos Narrow"/>
      <family val="2"/>
      <scheme val="minor"/>
    </font>
    <font>
      <b/>
      <sz val="12"/>
      <color rgb="FF0000FF"/>
      <name val="Arial"/>
      <family val="2"/>
    </font>
    <font>
      <b/>
      <sz val="12"/>
      <color rgb="FF003366"/>
      <name val="Arial"/>
      <family val="2"/>
    </font>
    <font>
      <sz val="12"/>
      <color rgb="FFFF0000"/>
      <name val="Arial"/>
      <family val="2"/>
    </font>
    <font>
      <sz val="12"/>
      <color rgb="FF64646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EE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4" fillId="0" borderId="0" applyFont="0" applyFill="0" applyBorder="0" applyAlignment="0" applyProtection="0"/>
  </cellStyleXfs>
  <cellXfs count="180">
    <xf numFmtId="0" fontId="0" fillId="0" borderId="0" xfId="0"/>
    <xf numFmtId="0" fontId="1" fillId="0" borderId="0" xfId="0" applyFont="1"/>
    <xf numFmtId="190" fontId="1" fillId="0" borderId="0" xfId="0" applyNumberFormat="1" applyFont="1"/>
    <xf numFmtId="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5" borderId="0" xfId="0" applyFont="1" applyFill="1"/>
    <xf numFmtId="198" fontId="5" fillId="0" borderId="0" xfId="0" applyNumberFormat="1" applyFont="1"/>
    <xf numFmtId="204" fontId="6" fillId="7" borderId="3" xfId="0" applyNumberFormat="1" applyFont="1" applyFill="1" applyBorder="1" applyAlignment="1">
      <alignment horizontal="center"/>
    </xf>
    <xf numFmtId="192" fontId="6" fillId="7" borderId="3" xfId="0" applyNumberFormat="1" applyFont="1" applyFill="1" applyBorder="1" applyAlignment="1">
      <alignment horizontal="center"/>
    </xf>
    <xf numFmtId="0" fontId="9" fillId="8" borderId="0" xfId="0" applyFont="1" applyFill="1"/>
    <xf numFmtId="0" fontId="10" fillId="8" borderId="0" xfId="0" applyFont="1" applyFill="1"/>
    <xf numFmtId="193" fontId="1" fillId="0" borderId="0" xfId="0" applyNumberFormat="1" applyFont="1"/>
    <xf numFmtId="193" fontId="11" fillId="0" borderId="0" xfId="0" applyNumberFormat="1" applyFont="1"/>
    <xf numFmtId="9" fontId="1" fillId="0" borderId="0" xfId="0" applyNumberFormat="1" applyFont="1"/>
    <xf numFmtId="0" fontId="1" fillId="0" borderId="1" xfId="0" applyFont="1" applyBorder="1"/>
    <xf numFmtId="0" fontId="2" fillId="0" borderId="0" xfId="0" applyFont="1" applyAlignment="1">
      <alignment horizontal="right"/>
    </xf>
    <xf numFmtId="0" fontId="2" fillId="7" borderId="0" xfId="0" applyFont="1" applyFill="1"/>
    <xf numFmtId="0" fontId="2" fillId="7" borderId="0" xfId="0" applyFont="1" applyFill="1" applyAlignment="1">
      <alignment horizontal="right"/>
    </xf>
    <xf numFmtId="6" fontId="11" fillId="0" borderId="0" xfId="0" applyNumberFormat="1" applyFont="1"/>
    <xf numFmtId="0" fontId="1" fillId="0" borderId="2" xfId="0" applyFont="1" applyBorder="1"/>
    <xf numFmtId="199" fontId="1" fillId="0" borderId="2" xfId="0" applyNumberFormat="1" applyFont="1" applyBorder="1"/>
    <xf numFmtId="198" fontId="12" fillId="0" borderId="0" xfId="0" applyNumberFormat="1" applyFont="1"/>
    <xf numFmtId="199" fontId="13" fillId="6" borderId="0" xfId="0" applyNumberFormat="1" applyFont="1" applyFill="1"/>
    <xf numFmtId="195" fontId="1" fillId="0" borderId="0" xfId="0" applyNumberFormat="1" applyFont="1"/>
    <xf numFmtId="192" fontId="13" fillId="6" borderId="0" xfId="0" applyNumberFormat="1" applyFont="1" applyFill="1"/>
    <xf numFmtId="198" fontId="13" fillId="6" borderId="0" xfId="0" applyNumberFormat="1" applyFont="1" applyFill="1"/>
    <xf numFmtId="200" fontId="13" fillId="6" borderId="0" xfId="0" applyNumberFormat="1" applyFont="1" applyFill="1"/>
    <xf numFmtId="191" fontId="14" fillId="0" borderId="0" xfId="0" applyNumberFormat="1" applyFont="1"/>
    <xf numFmtId="0" fontId="1" fillId="0" borderId="0" xfId="0" quotePrefix="1" applyFont="1"/>
    <xf numFmtId="182" fontId="14" fillId="0" borderId="0" xfId="0" applyNumberFormat="1" applyFont="1"/>
    <xf numFmtId="0" fontId="2" fillId="0" borderId="2" xfId="0" applyFont="1" applyBorder="1"/>
    <xf numFmtId="195" fontId="2" fillId="0" borderId="2" xfId="0" applyNumberFormat="1" applyFont="1" applyBorder="1"/>
    <xf numFmtId="195" fontId="2" fillId="0" borderId="0" xfId="0" applyNumberFormat="1" applyFont="1"/>
    <xf numFmtId="196" fontId="14" fillId="0" borderId="0" xfId="0" applyNumberFormat="1" applyFont="1"/>
    <xf numFmtId="0" fontId="2" fillId="7" borderId="2" xfId="0" applyFont="1" applyFill="1" applyBorder="1"/>
    <xf numFmtId="195" fontId="2" fillId="7" borderId="2" xfId="0" applyNumberFormat="1" applyFont="1" applyFill="1" applyBorder="1"/>
    <xf numFmtId="198" fontId="1" fillId="0" borderId="0" xfId="0" applyNumberFormat="1" applyFont="1"/>
    <xf numFmtId="191" fontId="1" fillId="0" borderId="0" xfId="0" applyNumberFormat="1" applyFont="1"/>
    <xf numFmtId="191" fontId="2" fillId="0" borderId="2" xfId="0" applyNumberFormat="1" applyFont="1" applyBorder="1"/>
    <xf numFmtId="211" fontId="2" fillId="0" borderId="0" xfId="0" applyNumberFormat="1" applyFont="1"/>
    <xf numFmtId="0" fontId="2" fillId="0" borderId="3" xfId="0" applyFont="1" applyBorder="1"/>
    <xf numFmtId="0" fontId="17" fillId="5" borderId="0" xfId="0" applyFont="1" applyFill="1"/>
    <xf numFmtId="0" fontId="18" fillId="5" borderId="0" xfId="0" applyFont="1" applyFill="1"/>
    <xf numFmtId="211" fontId="2" fillId="0" borderId="1" xfId="0" applyNumberFormat="1" applyFont="1" applyBorder="1" applyAlignment="1">
      <alignment horizontal="right"/>
    </xf>
    <xf numFmtId="205" fontId="2" fillId="0" borderId="1" xfId="0" applyNumberFormat="1" applyFont="1" applyBorder="1"/>
    <xf numFmtId="201" fontId="1" fillId="0" borderId="0" xfId="0" applyNumberFormat="1" applyFont="1"/>
    <xf numFmtId="202" fontId="1" fillId="0" borderId="0" xfId="0" applyNumberFormat="1" applyFont="1"/>
    <xf numFmtId="201" fontId="1" fillId="0" borderId="2" xfId="0" applyNumberFormat="1" applyFont="1" applyBorder="1"/>
    <xf numFmtId="197" fontId="1" fillId="4" borderId="0" xfId="0" applyNumberFormat="1" applyFont="1" applyFill="1"/>
    <xf numFmtId="197" fontId="1" fillId="0" borderId="2" xfId="0" applyNumberFormat="1" applyFont="1" applyBorder="1"/>
    <xf numFmtId="203" fontId="1" fillId="0" borderId="0" xfId="0" applyNumberFormat="1" applyFont="1"/>
    <xf numFmtId="203" fontId="19" fillId="6" borderId="0" xfId="0" applyNumberFormat="1" applyFont="1" applyFill="1"/>
    <xf numFmtId="0" fontId="2" fillId="0" borderId="1" xfId="0" applyFont="1" applyBorder="1"/>
    <xf numFmtId="202" fontId="2" fillId="0" borderId="1" xfId="0" applyNumberFormat="1" applyFont="1" applyBorder="1"/>
    <xf numFmtId="206" fontId="2" fillId="0" borderId="0" xfId="0" applyNumberFormat="1" applyFont="1"/>
    <xf numFmtId="1" fontId="1" fillId="0" borderId="0" xfId="0" applyNumberFormat="1" applyFont="1"/>
    <xf numFmtId="1" fontId="1" fillId="6" borderId="0" xfId="0" applyNumberFormat="1" applyFont="1" applyFill="1"/>
    <xf numFmtId="0" fontId="20" fillId="0" borderId="0" xfId="0" applyFont="1"/>
    <xf numFmtId="201" fontId="14" fillId="0" borderId="0" xfId="0" applyNumberFormat="1" applyFont="1"/>
    <xf numFmtId="203" fontId="1" fillId="6" borderId="0" xfId="0" applyNumberFormat="1" applyFont="1" applyFill="1"/>
    <xf numFmtId="9" fontId="19" fillId="0" borderId="0" xfId="0" quotePrefix="1" applyNumberFormat="1" applyFont="1"/>
    <xf numFmtId="192" fontId="1" fillId="0" borderId="0" xfId="0" applyNumberFormat="1" applyFont="1"/>
    <xf numFmtId="9" fontId="19" fillId="0" borderId="0" xfId="0" applyNumberFormat="1" applyFont="1"/>
    <xf numFmtId="203" fontId="19" fillId="0" borderId="0" xfId="0" applyNumberFormat="1" applyFont="1"/>
    <xf numFmtId="0" fontId="19" fillId="0" borderId="0" xfId="0" quotePrefix="1" applyFont="1"/>
    <xf numFmtId="203" fontId="19" fillId="4" borderId="0" xfId="0" applyNumberFormat="1" applyFont="1" applyFill="1"/>
    <xf numFmtId="201" fontId="2" fillId="7" borderId="0" xfId="0" applyNumberFormat="1" applyFont="1" applyFill="1"/>
    <xf numFmtId="201" fontId="2" fillId="7" borderId="2" xfId="0" applyNumberFormat="1" applyFont="1" applyFill="1" applyBorder="1"/>
    <xf numFmtId="194" fontId="13" fillId="6" borderId="0" xfId="0" applyNumberFormat="1" applyFont="1" applyFill="1"/>
    <xf numFmtId="192" fontId="13" fillId="0" borderId="0" xfId="0" applyNumberFormat="1" applyFont="1"/>
    <xf numFmtId="0" fontId="1" fillId="0" borderId="2" xfId="0" quotePrefix="1" applyFont="1" applyBorder="1"/>
    <xf numFmtId="0" fontId="2" fillId="7" borderId="0" xfId="0" quotePrefix="1" applyFont="1" applyFill="1"/>
    <xf numFmtId="0" fontId="2" fillId="7" borderId="2" xfId="0" quotePrefix="1" applyFont="1" applyFill="1" applyBorder="1"/>
    <xf numFmtId="201" fontId="2" fillId="0" borderId="0" xfId="0" applyNumberFormat="1" applyFont="1"/>
    <xf numFmtId="206" fontId="1" fillId="0" borderId="0" xfId="0" applyNumberFormat="1" applyFont="1" applyAlignment="1">
      <alignment horizontal="left"/>
    </xf>
    <xf numFmtId="197" fontId="1" fillId="0" borderId="0" xfId="0" applyNumberFormat="1" applyFont="1"/>
    <xf numFmtId="0" fontId="12" fillId="0" borderId="1" xfId="0" applyFont="1" applyBorder="1" applyAlignment="1">
      <alignment horizontal="center"/>
    </xf>
    <xf numFmtId="205" fontId="21" fillId="0" borderId="1" xfId="0" applyNumberFormat="1" applyFont="1" applyBorder="1" applyAlignment="1">
      <alignment horizontal="right"/>
    </xf>
    <xf numFmtId="197" fontId="12" fillId="0" borderId="0" xfId="0" applyNumberFormat="1" applyFont="1"/>
    <xf numFmtId="198" fontId="12" fillId="0" borderId="2" xfId="0" applyNumberFormat="1" applyFont="1" applyBorder="1"/>
    <xf numFmtId="197" fontId="12" fillId="0" borderId="2" xfId="0" applyNumberFormat="1" applyFont="1" applyBorder="1"/>
    <xf numFmtId="198" fontId="22" fillId="0" borderId="0" xfId="0" applyNumberFormat="1" applyFont="1"/>
    <xf numFmtId="198" fontId="12" fillId="0" borderId="1" xfId="0" applyNumberFormat="1" applyFont="1" applyBorder="1"/>
    <xf numFmtId="197" fontId="12" fillId="0" borderId="1" xfId="0" applyNumberFormat="1" applyFont="1" applyBorder="1"/>
    <xf numFmtId="192" fontId="12" fillId="0" borderId="0" xfId="0" applyNumberFormat="1" applyFont="1"/>
    <xf numFmtId="198" fontId="23" fillId="0" borderId="0" xfId="0" applyNumberFormat="1" applyFont="1"/>
    <xf numFmtId="192" fontId="23" fillId="0" borderId="0" xfId="0" applyNumberFormat="1" applyFont="1"/>
    <xf numFmtId="208" fontId="12" fillId="0" borderId="0" xfId="0" applyNumberFormat="1" applyFont="1"/>
    <xf numFmtId="9" fontId="12" fillId="0" borderId="0" xfId="0" applyNumberFormat="1" applyFont="1"/>
    <xf numFmtId="209" fontId="13" fillId="6" borderId="0" xfId="0" applyNumberFormat="1" applyFont="1" applyFill="1"/>
    <xf numFmtId="0" fontId="2" fillId="9" borderId="2" xfId="0" applyFont="1" applyFill="1" applyBorder="1"/>
    <xf numFmtId="0" fontId="2" fillId="9" borderId="0" xfId="0" applyFont="1" applyFill="1"/>
    <xf numFmtId="193" fontId="2" fillId="9" borderId="0" xfId="0" applyNumberFormat="1" applyFont="1" applyFill="1"/>
    <xf numFmtId="9" fontId="2" fillId="0" borderId="1" xfId="0" applyNumberFormat="1" applyFont="1" applyBorder="1"/>
    <xf numFmtId="9" fontId="1" fillId="6" borderId="0" xfId="1" applyFont="1" applyFill="1"/>
    <xf numFmtId="195" fontId="2" fillId="7" borderId="2" xfId="0" applyNumberFormat="1" applyFont="1" applyFill="1" applyBorder="1" applyAlignment="1">
      <alignment horizontal="right"/>
    </xf>
    <xf numFmtId="193" fontId="1" fillId="6" borderId="0" xfId="0" applyNumberFormat="1" applyFont="1" applyFill="1"/>
    <xf numFmtId="9" fontId="2" fillId="0" borderId="2" xfId="0" applyNumberFormat="1" applyFont="1" applyBorder="1"/>
    <xf numFmtId="219" fontId="14" fillId="0" borderId="0" xfId="0" applyNumberFormat="1" applyFont="1"/>
    <xf numFmtId="9" fontId="9" fillId="0" borderId="0" xfId="0" applyNumberFormat="1" applyFont="1"/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193" fontId="2" fillId="4" borderId="6" xfId="0" applyNumberFormat="1" applyFont="1" applyFill="1" applyBorder="1"/>
    <xf numFmtId="9" fontId="2" fillId="4" borderId="1" xfId="0" applyNumberFormat="1" applyFont="1" applyFill="1" applyBorder="1" applyAlignment="1">
      <alignment horizontal="center" vertical="center"/>
    </xf>
    <xf numFmtId="9" fontId="1" fillId="7" borderId="7" xfId="0" applyNumberFormat="1" applyFont="1" applyFill="1" applyBorder="1" applyAlignment="1">
      <alignment horizontal="center" vertical="center"/>
    </xf>
    <xf numFmtId="9" fontId="1" fillId="7" borderId="2" xfId="0" applyNumberFormat="1" applyFont="1" applyFill="1" applyBorder="1" applyAlignment="1">
      <alignment horizontal="center" vertical="center"/>
    </xf>
    <xf numFmtId="9" fontId="1" fillId="7" borderId="8" xfId="0" applyNumberFormat="1" applyFont="1" applyFill="1" applyBorder="1" applyAlignment="1">
      <alignment horizontal="center" vertical="center"/>
    </xf>
    <xf numFmtId="9" fontId="1" fillId="7" borderId="9" xfId="0" applyNumberFormat="1" applyFont="1" applyFill="1" applyBorder="1" applyAlignment="1">
      <alignment horizontal="center" vertical="center"/>
    </xf>
    <xf numFmtId="9" fontId="2" fillId="9" borderId="0" xfId="0" applyNumberFormat="1" applyFont="1" applyFill="1" applyBorder="1" applyAlignment="1">
      <alignment horizontal="center" vertical="center"/>
    </xf>
    <xf numFmtId="9" fontId="1" fillId="7" borderId="6" xfId="0" applyNumberFormat="1" applyFont="1" applyFill="1" applyBorder="1" applyAlignment="1">
      <alignment horizontal="center" vertical="center"/>
    </xf>
    <xf numFmtId="9" fontId="1" fillId="7" borderId="10" xfId="0" applyNumberFormat="1" applyFont="1" applyFill="1" applyBorder="1" applyAlignment="1">
      <alignment horizontal="center" vertical="center"/>
    </xf>
    <xf numFmtId="9" fontId="1" fillId="7" borderId="1" xfId="0" applyNumberFormat="1" applyFont="1" applyFill="1" applyBorder="1" applyAlignment="1">
      <alignment horizontal="center" vertical="center"/>
    </xf>
    <xf numFmtId="9" fontId="1" fillId="7" borderId="11" xfId="0" applyNumberFormat="1" applyFont="1" applyFill="1" applyBorder="1" applyAlignment="1">
      <alignment horizontal="center" vertical="center"/>
    </xf>
    <xf numFmtId="9" fontId="25" fillId="4" borderId="1" xfId="0" applyNumberFormat="1" applyFont="1" applyFill="1" applyBorder="1" applyAlignment="1">
      <alignment horizontal="center" vertical="center"/>
    </xf>
    <xf numFmtId="193" fontId="25" fillId="4" borderId="6" xfId="0" applyNumberFormat="1" applyFont="1" applyFill="1" applyBorder="1"/>
    <xf numFmtId="0" fontId="1" fillId="0" borderId="0" xfId="0" applyFont="1" applyAlignment="1">
      <alignment horizontal="right"/>
    </xf>
    <xf numFmtId="0" fontId="2" fillId="7" borderId="0" xfId="0" applyFont="1" applyFill="1" applyAlignment="1">
      <alignment horizontal="right" vertical="center"/>
    </xf>
    <xf numFmtId="0" fontId="0" fillId="0" borderId="0" xfId="0" applyFont="1"/>
    <xf numFmtId="0" fontId="0" fillId="0" borderId="4" xfId="0" applyFont="1" applyBorder="1"/>
    <xf numFmtId="0" fontId="0" fillId="0" borderId="5" xfId="0" applyFont="1" applyBorder="1"/>
    <xf numFmtId="0" fontId="2" fillId="2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26" fillId="3" borderId="0" xfId="0" applyFont="1" applyFill="1" applyAlignment="1">
      <alignment horizontal="left"/>
    </xf>
    <xf numFmtId="0" fontId="26" fillId="0" borderId="0" xfId="0" applyFont="1" applyAlignment="1">
      <alignment horizontal="left" indent="3"/>
    </xf>
    <xf numFmtId="0" fontId="0" fillId="3" borderId="0" xfId="0" applyFont="1" applyFill="1" applyAlignment="1">
      <alignment horizontal="left" indent="4"/>
    </xf>
    <xf numFmtId="0" fontId="26" fillId="3" borderId="0" xfId="0" applyFont="1" applyFill="1" applyAlignment="1">
      <alignment horizontal="left" indent="6"/>
    </xf>
    <xf numFmtId="0" fontId="0" fillId="0" borderId="0" xfId="0" applyFont="1" applyAlignment="1">
      <alignment horizontal="left" indent="7"/>
    </xf>
    <xf numFmtId="0" fontId="0" fillId="0" borderId="0" xfId="0" applyFont="1" applyAlignment="1">
      <alignment horizontal="left" indent="4"/>
    </xf>
    <xf numFmtId="0" fontId="26" fillId="3" borderId="0" xfId="0" applyFont="1" applyFill="1" applyAlignment="1">
      <alignment horizontal="left" indent="3"/>
    </xf>
    <xf numFmtId="0" fontId="0" fillId="3" borderId="0" xfId="0" applyFont="1" applyFill="1" applyAlignment="1">
      <alignment horizontal="left" indent="1"/>
    </xf>
    <xf numFmtId="0" fontId="0" fillId="3" borderId="0" xfId="0" applyFont="1" applyFill="1" applyAlignment="1">
      <alignment horizontal="left" indent="7"/>
    </xf>
    <xf numFmtId="0" fontId="0" fillId="3" borderId="0" xfId="0" applyFont="1" applyFill="1" applyAlignment="1">
      <alignment horizontal="left"/>
    </xf>
    <xf numFmtId="0" fontId="0" fillId="0" borderId="0" xfId="0" applyFont="1" applyAlignment="1">
      <alignment horizontal="left" indent="1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left" indent="6"/>
    </xf>
    <xf numFmtId="0" fontId="28" fillId="0" borderId="0" xfId="0" applyFont="1" applyAlignment="1">
      <alignment horizontal="left"/>
    </xf>
    <xf numFmtId="221" fontId="26" fillId="0" borderId="0" xfId="0" applyNumberFormat="1" applyFont="1" applyAlignment="1">
      <alignment horizontal="right"/>
    </xf>
    <xf numFmtId="221" fontId="0" fillId="3" borderId="0" xfId="0" applyNumberFormat="1" applyFont="1" applyFill="1" applyAlignment="1">
      <alignment horizontal="right"/>
    </xf>
    <xf numFmtId="221" fontId="26" fillId="3" borderId="0" xfId="0" applyNumberFormat="1" applyFont="1" applyFill="1" applyAlignment="1">
      <alignment horizontal="right"/>
    </xf>
    <xf numFmtId="221" fontId="0" fillId="0" borderId="0" xfId="0" applyNumberFormat="1" applyFont="1" applyAlignment="1">
      <alignment horizontal="right"/>
    </xf>
    <xf numFmtId="221" fontId="0" fillId="3" borderId="0" xfId="0" applyNumberFormat="1" applyFont="1" applyFill="1" applyAlignment="1">
      <alignment horizontal="left"/>
    </xf>
    <xf numFmtId="221" fontId="0" fillId="0" borderId="0" xfId="0" applyNumberFormat="1" applyFont="1" applyAlignment="1">
      <alignment horizontal="left"/>
    </xf>
    <xf numFmtId="221" fontId="26" fillId="3" borderId="0" xfId="0" applyNumberFormat="1" applyFont="1" applyFill="1" applyAlignment="1">
      <alignment horizontal="left"/>
    </xf>
    <xf numFmtId="221" fontId="26" fillId="0" borderId="0" xfId="0" applyNumberFormat="1" applyFont="1" applyAlignment="1">
      <alignment horizontal="left"/>
    </xf>
    <xf numFmtId="221" fontId="27" fillId="0" borderId="0" xfId="0" applyNumberFormat="1" applyFont="1" applyAlignment="1">
      <alignment horizontal="right"/>
    </xf>
    <xf numFmtId="221" fontId="27" fillId="3" borderId="0" xfId="0" applyNumberFormat="1" applyFont="1" applyFill="1" applyAlignment="1">
      <alignment horizontal="right"/>
    </xf>
    <xf numFmtId="222" fontId="0" fillId="3" borderId="0" xfId="0" applyNumberFormat="1" applyFont="1" applyFill="1" applyAlignment="1">
      <alignment horizontal="right"/>
    </xf>
    <xf numFmtId="222" fontId="27" fillId="3" borderId="0" xfId="0" applyNumberFormat="1" applyFont="1" applyFill="1" applyAlignment="1">
      <alignment horizontal="right"/>
    </xf>
    <xf numFmtId="222" fontId="26" fillId="0" borderId="0" xfId="0" applyNumberFormat="1" applyFont="1" applyAlignment="1">
      <alignment horizontal="right"/>
    </xf>
    <xf numFmtId="222" fontId="0" fillId="3" borderId="0" xfId="0" applyNumberFormat="1" applyFont="1" applyFill="1" applyAlignment="1">
      <alignment horizontal="left"/>
    </xf>
    <xf numFmtId="222" fontId="0" fillId="0" borderId="0" xfId="0" applyNumberFormat="1" applyFont="1" applyAlignment="1">
      <alignment horizontal="left"/>
    </xf>
    <xf numFmtId="222" fontId="0" fillId="0" borderId="0" xfId="0" applyNumberFormat="1" applyFont="1" applyAlignment="1">
      <alignment horizontal="right"/>
    </xf>
    <xf numFmtId="222" fontId="26" fillId="3" borderId="0" xfId="0" applyNumberFormat="1" applyFont="1" applyFill="1" applyAlignment="1">
      <alignment horizontal="right"/>
    </xf>
    <xf numFmtId="222" fontId="27" fillId="0" borderId="0" xfId="0" applyNumberFormat="1" applyFont="1" applyAlignment="1">
      <alignment horizontal="right"/>
    </xf>
    <xf numFmtId="222" fontId="26" fillId="0" borderId="0" xfId="0" applyNumberFormat="1" applyFont="1" applyAlignment="1">
      <alignment horizontal="left"/>
    </xf>
    <xf numFmtId="222" fontId="26" fillId="3" borderId="0" xfId="0" applyNumberFormat="1" applyFont="1" applyFill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left" indent="1"/>
    </xf>
    <xf numFmtId="222" fontId="1" fillId="3" borderId="0" xfId="0" applyNumberFormat="1" applyFont="1" applyFill="1" applyAlignment="1">
      <alignment horizontal="right"/>
    </xf>
    <xf numFmtId="222" fontId="1" fillId="3" borderId="0" xfId="0" applyNumberFormat="1" applyFont="1" applyFill="1" applyAlignment="1">
      <alignment horizontal="left"/>
    </xf>
    <xf numFmtId="0" fontId="1" fillId="0" borderId="0" xfId="0" applyFont="1" applyAlignment="1">
      <alignment horizontal="left" indent="1"/>
    </xf>
    <xf numFmtId="222" fontId="1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left" indent="7"/>
    </xf>
    <xf numFmtId="0" fontId="1" fillId="0" borderId="0" xfId="0" applyFont="1" applyAlignment="1">
      <alignment horizontal="left"/>
    </xf>
    <xf numFmtId="222" fontId="1" fillId="0" borderId="0" xfId="0" applyNumberFormat="1" applyFont="1" applyAlignment="1">
      <alignment horizontal="right"/>
    </xf>
    <xf numFmtId="222" fontId="1" fillId="0" borderId="0" xfId="0" applyNumberFormat="1" applyFont="1"/>
    <xf numFmtId="0" fontId="1" fillId="0" borderId="0" xfId="0" applyFont="1" applyAlignment="1">
      <alignment horizontal="left" indent="4"/>
    </xf>
    <xf numFmtId="0" fontId="1" fillId="3" borderId="0" xfId="0" applyFont="1" applyFill="1" applyAlignment="1">
      <alignment horizontal="left" indent="4"/>
    </xf>
    <xf numFmtId="0" fontId="1" fillId="0" borderId="0" xfId="0" quotePrefix="1" applyFont="1" applyAlignment="1">
      <alignment horizontal="left"/>
    </xf>
    <xf numFmtId="0" fontId="1" fillId="3" borderId="0" xfId="0" quotePrefix="1" applyFont="1" applyFill="1" applyAlignment="1">
      <alignment horizontal="left"/>
    </xf>
    <xf numFmtId="195" fontId="1" fillId="0" borderId="2" xfId="0" applyNumberFormat="1" applyFont="1" applyBorder="1"/>
    <xf numFmtId="223" fontId="2" fillId="9" borderId="2" xfId="0" applyNumberFormat="1" applyFont="1" applyFill="1" applyBorder="1"/>
    <xf numFmtId="0" fontId="10" fillId="8" borderId="0" xfId="0" applyFont="1" applyFill="1" applyAlignment="1">
      <alignment horizontal="centerContinuous"/>
    </xf>
    <xf numFmtId="0" fontId="25" fillId="8" borderId="0" xfId="0" applyFont="1" applyFill="1" applyAlignment="1">
      <alignment horizontal="centerContinuous"/>
    </xf>
    <xf numFmtId="0" fontId="18" fillId="0" borderId="0" xfId="0" applyFont="1"/>
    <xf numFmtId="198" fontId="21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AC77-E4C4-BB4F-A7E8-6221E6FF975A}">
  <sheetPr>
    <tabColor theme="0" tint="-0.14999847407452621"/>
  </sheetPr>
  <dimension ref="A2:O194"/>
  <sheetViews>
    <sheetView showGridLines="0" tabSelected="1" view="pageBreakPreview" zoomScaleNormal="100" zoomScaleSheetLayoutView="100" workbookViewId="0"/>
  </sheetViews>
  <sheetFormatPr baseColWidth="10" defaultRowHeight="16" x14ac:dyDescent="0.2"/>
  <cols>
    <col min="1" max="1" width="4.83203125" style="1" customWidth="1"/>
    <col min="2" max="2" width="45.5" style="1" bestFit="1" customWidth="1"/>
    <col min="3" max="10" width="25.83203125" style="1" customWidth="1"/>
    <col min="11" max="12" width="5.83203125" style="1" customWidth="1"/>
    <col min="13" max="16384" width="10.83203125" style="1"/>
  </cols>
  <sheetData>
    <row r="2" spans="1:13" x14ac:dyDescent="0.2">
      <c r="A2" s="1" t="s">
        <v>205</v>
      </c>
      <c r="B2" s="4" t="s">
        <v>430</v>
      </c>
    </row>
    <row r="4" spans="1:13" x14ac:dyDescent="0.2">
      <c r="A4" s="10" t="s">
        <v>205</v>
      </c>
      <c r="B4" s="11" t="s">
        <v>206</v>
      </c>
      <c r="C4" s="10"/>
      <c r="D4" s="10"/>
      <c r="E4" s="10"/>
      <c r="F4" s="10"/>
      <c r="G4" s="10"/>
      <c r="M4" s="10"/>
    </row>
    <row r="6" spans="1:13" x14ac:dyDescent="0.2">
      <c r="B6" s="1" t="s">
        <v>292</v>
      </c>
      <c r="C6" s="19">
        <f>'Income Statement'!B55</f>
        <v>356.613</v>
      </c>
    </row>
    <row r="7" spans="1:13" x14ac:dyDescent="0.2">
      <c r="B7" s="1" t="s">
        <v>293</v>
      </c>
      <c r="C7" s="13">
        <f>'Capital Structure'!B53/'CAKE-US LBO'!C6</f>
        <v>9.7335206512381767</v>
      </c>
    </row>
    <row r="8" spans="1:13" x14ac:dyDescent="0.2">
      <c r="B8" s="1" t="s">
        <v>207</v>
      </c>
      <c r="C8" s="97">
        <f>C7+5</f>
        <v>14.733520651238177</v>
      </c>
    </row>
    <row r="9" spans="1:13" x14ac:dyDescent="0.2">
      <c r="B9" s="1" t="s">
        <v>302</v>
      </c>
      <c r="C9" s="25">
        <v>0.2</v>
      </c>
    </row>
    <row r="10" spans="1:13" x14ac:dyDescent="0.2">
      <c r="B10" s="1" t="s">
        <v>294</v>
      </c>
      <c r="C10" s="25">
        <v>0.01</v>
      </c>
    </row>
    <row r="11" spans="1:13" x14ac:dyDescent="0.2">
      <c r="B11" s="1" t="s">
        <v>114</v>
      </c>
      <c r="C11" s="25">
        <v>0.3</v>
      </c>
    </row>
    <row r="12" spans="1:13" x14ac:dyDescent="0.2">
      <c r="B12" s="1" t="s">
        <v>300</v>
      </c>
      <c r="C12" s="69">
        <v>10</v>
      </c>
    </row>
    <row r="14" spans="1:13" x14ac:dyDescent="0.2">
      <c r="B14" s="15" t="s">
        <v>295</v>
      </c>
      <c r="C14" s="15"/>
      <c r="D14" s="15"/>
      <c r="E14" s="15"/>
      <c r="F14" s="15"/>
      <c r="G14" s="15"/>
    </row>
    <row r="15" spans="1:13" x14ac:dyDescent="0.2">
      <c r="B15" s="17" t="s">
        <v>296</v>
      </c>
      <c r="C15" s="18" t="s">
        <v>215</v>
      </c>
      <c r="D15" s="18" t="s">
        <v>297</v>
      </c>
      <c r="E15" s="18" t="s">
        <v>301</v>
      </c>
      <c r="F15" s="18" t="s">
        <v>276</v>
      </c>
      <c r="G15" s="18" t="s">
        <v>299</v>
      </c>
    </row>
    <row r="16" spans="1:13" x14ac:dyDescent="0.2">
      <c r="B16" s="22" t="s">
        <v>216</v>
      </c>
      <c r="C16" s="23">
        <v>0</v>
      </c>
      <c r="D16" s="24">
        <f>C16*$C$6</f>
        <v>0</v>
      </c>
      <c r="E16" s="25">
        <v>0.04</v>
      </c>
      <c r="F16" s="25"/>
      <c r="G16" s="26"/>
    </row>
    <row r="17" spans="1:7" x14ac:dyDescent="0.2">
      <c r="B17" s="22" t="s">
        <v>217</v>
      </c>
      <c r="C17" s="23">
        <v>4</v>
      </c>
      <c r="D17" s="24">
        <f t="shared" ref="D17:D18" si="0">C17*$C$6</f>
        <v>1426.452</v>
      </c>
      <c r="E17" s="25">
        <v>7.0000000000000007E-2</v>
      </c>
      <c r="F17" s="25"/>
      <c r="G17" s="27">
        <v>0.02</v>
      </c>
    </row>
    <row r="18" spans="1:7" x14ac:dyDescent="0.2">
      <c r="B18" s="22" t="s">
        <v>218</v>
      </c>
      <c r="C18" s="23">
        <v>1.5</v>
      </c>
      <c r="D18" s="24">
        <f t="shared" si="0"/>
        <v>534.91949999999997</v>
      </c>
      <c r="E18" s="25">
        <v>0.04</v>
      </c>
      <c r="F18" s="25">
        <v>0.09</v>
      </c>
      <c r="G18" s="27">
        <v>0.02</v>
      </c>
    </row>
    <row r="19" spans="1:7" x14ac:dyDescent="0.2">
      <c r="B19" s="20" t="s">
        <v>61</v>
      </c>
      <c r="C19" s="21">
        <f>SUM(C16:C18)</f>
        <v>5.5</v>
      </c>
      <c r="D19" s="174">
        <f t="shared" ref="D19" si="1">SUM(D16:D18)</f>
        <v>1961.3715</v>
      </c>
      <c r="E19" s="21"/>
      <c r="F19" s="21"/>
      <c r="G19" s="174">
        <f>(G17*D17)+(G18*D18)</f>
        <v>39.227429999999998</v>
      </c>
    </row>
    <row r="21" spans="1:7" x14ac:dyDescent="0.2">
      <c r="A21" s="10" t="s">
        <v>205</v>
      </c>
      <c r="B21" s="11" t="s">
        <v>213</v>
      </c>
      <c r="C21" s="10"/>
      <c r="D21" s="10"/>
      <c r="E21" s="10"/>
      <c r="F21" s="10"/>
      <c r="G21" s="10"/>
    </row>
    <row r="23" spans="1:7" x14ac:dyDescent="0.2">
      <c r="B23" s="1" t="s">
        <v>208</v>
      </c>
      <c r="C23" s="28">
        <f>'Price History'!B4</f>
        <v>57.88</v>
      </c>
    </row>
    <row r="24" spans="1:7" x14ac:dyDescent="0.2">
      <c r="B24" s="29" t="s">
        <v>209</v>
      </c>
      <c r="C24" s="30">
        <f>'Capital Structure'!B17</f>
        <v>53.1</v>
      </c>
    </row>
    <row r="25" spans="1:7" x14ac:dyDescent="0.2">
      <c r="B25" s="31" t="s">
        <v>210</v>
      </c>
      <c r="C25" s="32">
        <f>C23*C24</f>
        <v>3073.4280000000003</v>
      </c>
    </row>
    <row r="26" spans="1:7" x14ac:dyDescent="0.2">
      <c r="B26" s="1" t="s">
        <v>303</v>
      </c>
      <c r="C26" s="14">
        <f>C9</f>
        <v>0.2</v>
      </c>
    </row>
    <row r="27" spans="1:7" x14ac:dyDescent="0.2">
      <c r="B27" s="4" t="s">
        <v>214</v>
      </c>
      <c r="C27" s="33">
        <f>C25*(1+C26)</f>
        <v>3688.1136000000001</v>
      </c>
    </row>
    <row r="28" spans="1:7" x14ac:dyDescent="0.2">
      <c r="B28" s="1" t="s">
        <v>211</v>
      </c>
      <c r="C28" s="99">
        <f>'Capital Structure'!B42</f>
        <v>629.20000000000005</v>
      </c>
    </row>
    <row r="29" spans="1:7" x14ac:dyDescent="0.2">
      <c r="B29" s="1" t="s">
        <v>212</v>
      </c>
      <c r="C29" s="99">
        <f>'Capital Structure'!B46</f>
        <v>-190</v>
      </c>
    </row>
    <row r="30" spans="1:7" x14ac:dyDescent="0.2">
      <c r="B30" s="31" t="s">
        <v>179</v>
      </c>
      <c r="C30" s="32">
        <f>SUM(C27:C29)</f>
        <v>4127.3136000000004</v>
      </c>
    </row>
    <row r="32" spans="1:7" x14ac:dyDescent="0.2">
      <c r="A32" s="10" t="s">
        <v>205</v>
      </c>
      <c r="B32" s="11" t="s">
        <v>304</v>
      </c>
      <c r="C32" s="10"/>
      <c r="D32" s="10"/>
      <c r="E32" s="10"/>
      <c r="F32" s="10"/>
      <c r="G32" s="10"/>
    </row>
    <row r="34" spans="2:4" x14ac:dyDescent="0.2">
      <c r="B34" s="35" t="s">
        <v>219</v>
      </c>
      <c r="C34" s="96" t="s">
        <v>427</v>
      </c>
      <c r="D34" s="96" t="s">
        <v>426</v>
      </c>
    </row>
    <row r="35" spans="2:4" x14ac:dyDescent="0.2">
      <c r="B35" s="37" t="str">
        <f>B16</f>
        <v>Revolver</v>
      </c>
      <c r="C35" s="24">
        <f>D16</f>
        <v>0</v>
      </c>
      <c r="D35" s="14">
        <f>C35/$C$40</f>
        <v>0</v>
      </c>
    </row>
    <row r="36" spans="2:4" x14ac:dyDescent="0.2">
      <c r="B36" s="37" t="str">
        <f t="shared" ref="B36:B37" si="2">B17</f>
        <v>Term Loan</v>
      </c>
      <c r="C36" s="24">
        <f t="shared" ref="C36:C37" si="3">D17</f>
        <v>1426.452</v>
      </c>
      <c r="D36" s="14">
        <f>C36/$C$40</f>
        <v>0.32435476947344938</v>
      </c>
    </row>
    <row r="37" spans="2:4" x14ac:dyDescent="0.2">
      <c r="B37" s="37" t="str">
        <f t="shared" si="2"/>
        <v>Mezz Loan</v>
      </c>
      <c r="C37" s="24">
        <f t="shared" si="3"/>
        <v>534.91949999999997</v>
      </c>
      <c r="D37" s="14">
        <f>C37/$C$40</f>
        <v>0.12163303855254351</v>
      </c>
    </row>
    <row r="38" spans="2:4" x14ac:dyDescent="0.2">
      <c r="B38" s="37" t="s">
        <v>428</v>
      </c>
      <c r="C38" s="24">
        <f>-C29</f>
        <v>190</v>
      </c>
      <c r="D38" s="14">
        <f>C38/$C$40</f>
        <v>4.3203280727255725E-2</v>
      </c>
    </row>
    <row r="39" spans="2:4" x14ac:dyDescent="0.2">
      <c r="B39" s="1" t="s">
        <v>223</v>
      </c>
      <c r="C39" s="38">
        <f>C40-SUM(C35:C38)</f>
        <v>2246.4426659999999</v>
      </c>
      <c r="D39" s="14">
        <f>C39/$C$40</f>
        <v>0.51080891124675132</v>
      </c>
    </row>
    <row r="40" spans="2:4" x14ac:dyDescent="0.2">
      <c r="B40" s="31" t="s">
        <v>224</v>
      </c>
      <c r="C40" s="39">
        <f>C47</f>
        <v>4397.8141660000001</v>
      </c>
      <c r="D40" s="98">
        <f>SUM(D35:D39)</f>
        <v>1</v>
      </c>
    </row>
    <row r="42" spans="2:4" x14ac:dyDescent="0.2">
      <c r="B42" s="35" t="s">
        <v>220</v>
      </c>
      <c r="C42" s="96" t="s">
        <v>427</v>
      </c>
      <c r="D42" s="96" t="s">
        <v>426</v>
      </c>
    </row>
    <row r="43" spans="2:4" x14ac:dyDescent="0.2">
      <c r="B43" s="1" t="s">
        <v>221</v>
      </c>
      <c r="C43" s="38">
        <f>C27</f>
        <v>3688.1136000000001</v>
      </c>
      <c r="D43" s="14">
        <f>C43/$C$47</f>
        <v>0.83862424849899853</v>
      </c>
    </row>
    <row r="44" spans="2:4" x14ac:dyDescent="0.2">
      <c r="B44" s="1" t="s">
        <v>222</v>
      </c>
      <c r="C44" s="38">
        <f>C30*C10</f>
        <v>41.273136000000008</v>
      </c>
      <c r="D44" s="14">
        <f t="shared" ref="D44:D46" si="4">C44/$C$47</f>
        <v>9.3849204268537084E-3</v>
      </c>
    </row>
    <row r="45" spans="2:4" x14ac:dyDescent="0.2">
      <c r="B45" s="1" t="s">
        <v>298</v>
      </c>
      <c r="C45" s="38">
        <f>G19</f>
        <v>39.227429999999998</v>
      </c>
      <c r="D45" s="14">
        <f t="shared" si="4"/>
        <v>8.919756160519857E-3</v>
      </c>
    </row>
    <row r="46" spans="2:4" x14ac:dyDescent="0.2">
      <c r="B46" s="1" t="s">
        <v>425</v>
      </c>
      <c r="C46" s="24">
        <f>C28</f>
        <v>629.20000000000005</v>
      </c>
      <c r="D46" s="14">
        <f t="shared" si="4"/>
        <v>0.14307107491362792</v>
      </c>
    </row>
    <row r="47" spans="2:4" x14ac:dyDescent="0.2">
      <c r="B47" s="31" t="s">
        <v>225</v>
      </c>
      <c r="C47" s="39">
        <f>SUM(C43:C46)</f>
        <v>4397.8141660000001</v>
      </c>
      <c r="D47" s="98">
        <f>SUM(D42:D46)</f>
        <v>1</v>
      </c>
    </row>
    <row r="49" spans="1:10" x14ac:dyDescent="0.2">
      <c r="A49" s="10" t="s">
        <v>205</v>
      </c>
      <c r="B49" s="11" t="s">
        <v>226</v>
      </c>
      <c r="C49" s="10"/>
      <c r="D49" s="10"/>
      <c r="E49" s="10"/>
      <c r="F49" s="10"/>
      <c r="G49" s="10"/>
      <c r="H49" s="10"/>
      <c r="I49" s="10"/>
      <c r="J49" s="10"/>
    </row>
    <row r="50" spans="1:10" x14ac:dyDescent="0.2">
      <c r="C50" s="40">
        <v>45291</v>
      </c>
      <c r="D50" s="40">
        <f>EOMONTH(C50,12)</f>
        <v>45657</v>
      </c>
      <c r="E50" s="16" t="s">
        <v>305</v>
      </c>
      <c r="F50" s="40">
        <f>EOMONTH(D50,24)</f>
        <v>46387</v>
      </c>
      <c r="G50" s="40">
        <f>EOMONTH(F50,12)</f>
        <v>46752</v>
      </c>
      <c r="H50" s="40">
        <f t="shared" ref="H50:J50" si="5">EOMONTH(G50,12)</f>
        <v>47118</v>
      </c>
      <c r="I50" s="40">
        <f t="shared" si="5"/>
        <v>47483</v>
      </c>
      <c r="J50" s="40">
        <f t="shared" si="5"/>
        <v>47848</v>
      </c>
    </row>
    <row r="51" spans="1:10" x14ac:dyDescent="0.2">
      <c r="B51" s="1" t="s">
        <v>227</v>
      </c>
      <c r="C51" s="59">
        <f>'Income Statement'!D11</f>
        <v>3439.5030000000002</v>
      </c>
      <c r="D51" s="59">
        <f>'Income Statement'!C11</f>
        <v>3581.6990000000001</v>
      </c>
      <c r="E51" s="59">
        <f>'Income Statement'!B11</f>
        <v>3711.2109999999998</v>
      </c>
      <c r="F51" s="47">
        <f>E51*(1+F52)</f>
        <v>3932.3734338685599</v>
      </c>
      <c r="G51" s="47">
        <f t="shared" ref="G51:J51" si="6">F51*(1+G52)</f>
        <v>4166.7156147670421</v>
      </c>
      <c r="H51" s="47">
        <f t="shared" si="6"/>
        <v>4415.0229642009635</v>
      </c>
      <c r="I51" s="47">
        <f t="shared" si="6"/>
        <v>4678.127709349722</v>
      </c>
      <c r="J51" s="47">
        <f t="shared" si="6"/>
        <v>4956.9116723601082</v>
      </c>
    </row>
    <row r="52" spans="1:10" x14ac:dyDescent="0.2">
      <c r="B52" s="65" t="s">
        <v>228</v>
      </c>
      <c r="C52" s="61">
        <f>C51/'Income Statement'!E11-1</f>
        <v>4.127779614405136E-2</v>
      </c>
      <c r="D52" s="61">
        <f>D51/C51-1</f>
        <v>4.1342019471999336E-2</v>
      </c>
      <c r="E52" s="61">
        <f>E51/D51-1</f>
        <v>3.6159375759939438E-2</v>
      </c>
      <c r="F52" s="52">
        <f>AVERAGE(C52:E52)+2%</f>
        <v>5.9593063791996706E-2</v>
      </c>
      <c r="G52" s="52">
        <f>F52</f>
        <v>5.9593063791996706E-2</v>
      </c>
      <c r="H52" s="52">
        <f t="shared" ref="H52:J52" si="7">G52</f>
        <v>5.9593063791996706E-2</v>
      </c>
      <c r="I52" s="52">
        <f t="shared" si="7"/>
        <v>5.9593063791996706E-2</v>
      </c>
      <c r="J52" s="52">
        <f t="shared" si="7"/>
        <v>5.9593063791996706E-2</v>
      </c>
    </row>
    <row r="53" spans="1:10" x14ac:dyDescent="0.2">
      <c r="F53" s="70"/>
      <c r="G53" s="62"/>
      <c r="H53" s="62"/>
      <c r="I53" s="62"/>
      <c r="J53" s="62"/>
    </row>
    <row r="54" spans="1:10" x14ac:dyDescent="0.2">
      <c r="B54" s="1" t="s">
        <v>229</v>
      </c>
      <c r="C54" s="59">
        <f>'Income Statement'!D13</f>
        <v>2953.8229999999999</v>
      </c>
      <c r="D54" s="59">
        <f>'Income Statement'!C13</f>
        <v>3029.6239999999998</v>
      </c>
      <c r="E54" s="59">
        <f>'Income Statement'!B13</f>
        <v>3119.1089999999999</v>
      </c>
      <c r="F54" s="47">
        <f>F55*F51</f>
        <v>3257.4623581582828</v>
      </c>
      <c r="G54" s="47">
        <f t="shared" ref="G54:J54" si="8">G55*G51</f>
        <v>3409.9173641203665</v>
      </c>
      <c r="H54" s="47">
        <f t="shared" si="8"/>
        <v>3568.9745574838198</v>
      </c>
      <c r="I54" s="47">
        <f t="shared" si="8"/>
        <v>3734.879408866469</v>
      </c>
      <c r="J54" s="47">
        <f t="shared" si="8"/>
        <v>3907.8831990108629</v>
      </c>
    </row>
    <row r="55" spans="1:10" x14ac:dyDescent="0.2">
      <c r="B55" s="65" t="s">
        <v>230</v>
      </c>
      <c r="C55" s="63">
        <f>C54/C51</f>
        <v>0.85879355244057054</v>
      </c>
      <c r="D55" s="63">
        <f>D54/D51</f>
        <v>0.84586225699032769</v>
      </c>
      <c r="E55" s="63">
        <f>E54/E51</f>
        <v>0.84045585120328647</v>
      </c>
      <c r="F55" s="52">
        <f>AVERAGE(C55:E55)-2%</f>
        <v>0.82837055354472822</v>
      </c>
      <c r="G55" s="52">
        <f>F55-1%</f>
        <v>0.81837055354472821</v>
      </c>
      <c r="H55" s="52">
        <f t="shared" ref="H55:J55" si="9">G55-1%</f>
        <v>0.8083705535447282</v>
      </c>
      <c r="I55" s="52">
        <f t="shared" si="9"/>
        <v>0.79837055354472819</v>
      </c>
      <c r="J55" s="52">
        <f t="shared" si="9"/>
        <v>0.78837055354472818</v>
      </c>
    </row>
    <row r="56" spans="1:10" x14ac:dyDescent="0.2">
      <c r="B56" s="71" t="s">
        <v>231</v>
      </c>
      <c r="C56" s="48">
        <f>C51-C54</f>
        <v>485.68000000000029</v>
      </c>
      <c r="D56" s="48">
        <f>D51-D54</f>
        <v>552.07500000000027</v>
      </c>
      <c r="E56" s="48">
        <f>E51-E54</f>
        <v>592.10199999999986</v>
      </c>
      <c r="F56" s="48">
        <f>F51-F54</f>
        <v>674.91107571027715</v>
      </c>
      <c r="G56" s="48">
        <f t="shared" ref="G56:J56" si="10">G51-G54</f>
        <v>756.79825064667557</v>
      </c>
      <c r="H56" s="48">
        <f t="shared" si="10"/>
        <v>846.04840671714373</v>
      </c>
      <c r="I56" s="48">
        <f t="shared" si="10"/>
        <v>943.24830048325293</v>
      </c>
      <c r="J56" s="48">
        <f t="shared" si="10"/>
        <v>1049.0284733492454</v>
      </c>
    </row>
    <row r="57" spans="1:10" x14ac:dyDescent="0.2">
      <c r="B57" s="29"/>
      <c r="C57" s="29"/>
      <c r="D57" s="29"/>
      <c r="E57" s="46"/>
      <c r="F57" s="46"/>
      <c r="G57" s="46"/>
      <c r="H57" s="46"/>
      <c r="I57" s="46"/>
      <c r="J57" s="46"/>
    </row>
    <row r="58" spans="1:10" x14ac:dyDescent="0.2">
      <c r="B58" s="29" t="s">
        <v>232</v>
      </c>
      <c r="C58" s="59">
        <f>'Income Statement'!D18</f>
        <v>217.44900000000001</v>
      </c>
      <c r="D58" s="59">
        <f>'Income Statement'!C18</f>
        <v>228.73699999999999</v>
      </c>
      <c r="E58" s="59">
        <f>'Income Statement'!B18</f>
        <v>235.489</v>
      </c>
      <c r="F58" s="47">
        <f>F59*F51</f>
        <v>249.75443928065292</v>
      </c>
      <c r="G58" s="47">
        <f t="shared" ref="G58:J58" si="11">G59*G51</f>
        <v>264.63807151303922</v>
      </c>
      <c r="H58" s="47">
        <f t="shared" si="11"/>
        <v>280.40866499050679</v>
      </c>
      <c r="I58" s="47">
        <f t="shared" si="11"/>
        <v>297.11907645111467</v>
      </c>
      <c r="J58" s="47">
        <f t="shared" si="11"/>
        <v>314.82531252788516</v>
      </c>
    </row>
    <row r="59" spans="1:10" x14ac:dyDescent="0.2">
      <c r="B59" s="65" t="s">
        <v>230</v>
      </c>
      <c r="C59" s="63">
        <f>C58/C51</f>
        <v>6.3221052576491424E-2</v>
      </c>
      <c r="D59" s="63">
        <f>D58/D51</f>
        <v>6.3862708731247372E-2</v>
      </c>
      <c r="E59" s="63">
        <f>E58/E51</f>
        <v>6.345341183780713E-2</v>
      </c>
      <c r="F59" s="52">
        <f>AVERAGE(C59:E59)</f>
        <v>6.3512391048515304E-2</v>
      </c>
      <c r="G59" s="52">
        <f>F59</f>
        <v>6.3512391048515304E-2</v>
      </c>
      <c r="H59" s="52">
        <f t="shared" ref="H59:J59" si="12">G59</f>
        <v>6.3512391048515304E-2</v>
      </c>
      <c r="I59" s="52">
        <f t="shared" si="12"/>
        <v>6.3512391048515304E-2</v>
      </c>
      <c r="J59" s="52">
        <f t="shared" si="12"/>
        <v>6.3512391048515304E-2</v>
      </c>
    </row>
    <row r="60" spans="1:10" x14ac:dyDescent="0.2">
      <c r="B60" s="29"/>
      <c r="C60" s="29"/>
      <c r="D60" s="29"/>
      <c r="E60" s="14"/>
      <c r="F60" s="51"/>
      <c r="G60" s="51"/>
      <c r="H60" s="51"/>
      <c r="I60" s="51"/>
      <c r="J60" s="51"/>
    </row>
    <row r="61" spans="1:10" x14ac:dyDescent="0.2">
      <c r="B61" s="29" t="s">
        <v>111</v>
      </c>
      <c r="C61" s="24">
        <f>C51-C54-C58</f>
        <v>268.23100000000028</v>
      </c>
      <c r="D61" s="24">
        <f>D51-D54-D58</f>
        <v>323.33800000000031</v>
      </c>
      <c r="E61" s="24">
        <f>E51-E54-E58</f>
        <v>356.61299999999983</v>
      </c>
      <c r="F61" s="24">
        <f t="shared" ref="F61:J61" si="13">F51-F54-F58</f>
        <v>425.1566364296242</v>
      </c>
      <c r="G61" s="24">
        <f t="shared" si="13"/>
        <v>492.16017913363635</v>
      </c>
      <c r="H61" s="24">
        <f t="shared" si="13"/>
        <v>565.63974172663688</v>
      </c>
      <c r="I61" s="24">
        <f t="shared" si="13"/>
        <v>646.12922403213827</v>
      </c>
      <c r="J61" s="24">
        <f t="shared" si="13"/>
        <v>734.20316082136014</v>
      </c>
    </row>
    <row r="62" spans="1:10" x14ac:dyDescent="0.2">
      <c r="B62" s="65" t="s">
        <v>309</v>
      </c>
      <c r="C62" s="63">
        <f>C61/C51</f>
        <v>7.7985394982938022E-2</v>
      </c>
      <c r="D62" s="63">
        <f>D61/D51</f>
        <v>9.0275034278424926E-2</v>
      </c>
      <c r="E62" s="63">
        <f>E61/E51</f>
        <v>9.6090736958906367E-2</v>
      </c>
      <c r="F62" s="63">
        <f t="shared" ref="F62:J62" si="14">F61/F51</f>
        <v>0.10811705540675645</v>
      </c>
      <c r="G62" s="63">
        <f t="shared" si="14"/>
        <v>0.11811705540675654</v>
      </c>
      <c r="H62" s="63">
        <f t="shared" si="14"/>
        <v>0.12811705540675644</v>
      </c>
      <c r="I62" s="63">
        <f t="shared" si="14"/>
        <v>0.13811705540675648</v>
      </c>
      <c r="J62" s="63">
        <f t="shared" si="14"/>
        <v>0.14811705540675649</v>
      </c>
    </row>
    <row r="63" spans="1:10" x14ac:dyDescent="0.2">
      <c r="B63" s="29"/>
      <c r="C63" s="29"/>
      <c r="D63" s="29"/>
      <c r="E63" s="14"/>
      <c r="F63" s="14"/>
      <c r="G63" s="14"/>
      <c r="H63" s="14"/>
      <c r="I63" s="14"/>
      <c r="J63" s="14"/>
    </row>
    <row r="64" spans="1:10" x14ac:dyDescent="0.2">
      <c r="B64" s="29" t="s">
        <v>233</v>
      </c>
      <c r="C64" s="34">
        <f>-'Income Statement'!D57</f>
        <v>-94.335999999999999</v>
      </c>
      <c r="D64" s="34">
        <f>-'Income Statement'!C57</f>
        <v>-101.75</v>
      </c>
      <c r="E64" s="34">
        <f>-'Income Statement'!B57</f>
        <v>-106.79600000000001</v>
      </c>
      <c r="F64" s="24">
        <f>F65*F51</f>
        <v>-110.90881079496194</v>
      </c>
      <c r="G64" s="24">
        <f t="shared" ref="G64:J64" si="15">G65*G51</f>
        <v>-117.51820663176059</v>
      </c>
      <c r="H64" s="24">
        <f t="shared" si="15"/>
        <v>-124.52147661628817</v>
      </c>
      <c r="I64" s="24">
        <f t="shared" si="15"/>
        <v>-131.94209291575626</v>
      </c>
      <c r="J64" s="24">
        <f t="shared" si="15"/>
        <v>-139.8049264757345</v>
      </c>
    </row>
    <row r="65" spans="1:14" x14ac:dyDescent="0.2">
      <c r="B65" s="65" t="s">
        <v>230</v>
      </c>
      <c r="C65" s="64">
        <f>C64/C51</f>
        <v>-2.7427218409171325E-2</v>
      </c>
      <c r="D65" s="64">
        <f>D64/D51</f>
        <v>-2.8408305667226644E-2</v>
      </c>
      <c r="E65" s="64">
        <f>E64/E51</f>
        <v>-2.8776590713920608E-2</v>
      </c>
      <c r="F65" s="52">
        <f>AVERAGE(C65:E65)</f>
        <v>-2.8204038263439524E-2</v>
      </c>
      <c r="G65" s="52">
        <f>F65</f>
        <v>-2.8204038263439524E-2</v>
      </c>
      <c r="H65" s="52">
        <f t="shared" ref="H65:J65" si="16">G65</f>
        <v>-2.8204038263439524E-2</v>
      </c>
      <c r="I65" s="52">
        <f t="shared" si="16"/>
        <v>-2.8204038263439524E-2</v>
      </c>
      <c r="J65" s="52">
        <f t="shared" si="16"/>
        <v>-2.8204038263439524E-2</v>
      </c>
    </row>
    <row r="66" spans="1:14" x14ac:dyDescent="0.2">
      <c r="B66" s="65"/>
      <c r="C66" s="65"/>
      <c r="D66" s="65"/>
      <c r="E66" s="63"/>
      <c r="F66" s="66"/>
      <c r="G66" s="66"/>
      <c r="H66" s="66"/>
      <c r="I66" s="66"/>
      <c r="J66" s="66"/>
    </row>
    <row r="67" spans="1:14" x14ac:dyDescent="0.2">
      <c r="B67" s="29" t="s">
        <v>234</v>
      </c>
      <c r="C67" s="47"/>
      <c r="D67" s="47"/>
      <c r="E67" s="47"/>
      <c r="F67" s="24">
        <f>-$G$19/$C$12</f>
        <v>-3.9227429999999996</v>
      </c>
      <c r="G67" s="24">
        <f t="shared" ref="G67:J67" si="17">-$G$19/$C$12</f>
        <v>-3.9227429999999996</v>
      </c>
      <c r="H67" s="24">
        <f t="shared" si="17"/>
        <v>-3.9227429999999996</v>
      </c>
      <c r="I67" s="24">
        <f t="shared" si="17"/>
        <v>-3.9227429999999996</v>
      </c>
      <c r="J67" s="24">
        <f t="shared" si="17"/>
        <v>-3.9227429999999996</v>
      </c>
    </row>
    <row r="68" spans="1:14" x14ac:dyDescent="0.2">
      <c r="B68" s="29"/>
      <c r="C68" s="29"/>
      <c r="D68" s="29"/>
      <c r="E68" s="14"/>
      <c r="F68" s="14"/>
      <c r="G68" s="14"/>
      <c r="H68" s="14"/>
      <c r="I68" s="14"/>
      <c r="J68" s="14"/>
    </row>
    <row r="69" spans="1:14" x14ac:dyDescent="0.2">
      <c r="B69" s="72" t="s">
        <v>112</v>
      </c>
      <c r="C69" s="67">
        <f>SUM(C61,C64,C67)</f>
        <v>173.89500000000027</v>
      </c>
      <c r="D69" s="67">
        <f t="shared" ref="D69:J69" si="18">SUM(D61,D64,D67)</f>
        <v>221.58800000000031</v>
      </c>
      <c r="E69" s="67">
        <f t="shared" si="18"/>
        <v>249.81699999999984</v>
      </c>
      <c r="F69" s="67">
        <f t="shared" si="18"/>
        <v>310.32508263466224</v>
      </c>
      <c r="G69" s="67">
        <f t="shared" si="18"/>
        <v>370.71922950187576</v>
      </c>
      <c r="H69" s="67">
        <f t="shared" si="18"/>
        <v>437.19552211034869</v>
      </c>
      <c r="I69" s="67">
        <f t="shared" si="18"/>
        <v>510.26438811638201</v>
      </c>
      <c r="J69" s="67">
        <f t="shared" si="18"/>
        <v>590.47549134562564</v>
      </c>
    </row>
    <row r="70" spans="1:14" x14ac:dyDescent="0.2">
      <c r="B70" s="65" t="s">
        <v>308</v>
      </c>
      <c r="C70" s="63">
        <f>C69/C51</f>
        <v>5.055817657376669E-2</v>
      </c>
      <c r="D70" s="63">
        <f t="shared" ref="D70:J70" si="19">D69/D51</f>
        <v>6.1866728611198289E-2</v>
      </c>
      <c r="E70" s="63">
        <f t="shared" si="19"/>
        <v>6.7314146244985759E-2</v>
      </c>
      <c r="F70" s="63">
        <f t="shared" si="19"/>
        <v>7.8915466156369851E-2</v>
      </c>
      <c r="G70" s="63">
        <f t="shared" si="19"/>
        <v>8.8971569883010221E-2</v>
      </c>
      <c r="H70" s="63">
        <f t="shared" si="19"/>
        <v>9.9024518254000271E-2</v>
      </c>
      <c r="I70" s="63">
        <f t="shared" si="19"/>
        <v>0.10907448873115752</v>
      </c>
      <c r="J70" s="63">
        <f t="shared" si="19"/>
        <v>0.1191216487955868</v>
      </c>
    </row>
    <row r="71" spans="1:14" x14ac:dyDescent="0.2">
      <c r="B71" s="29"/>
      <c r="C71" s="29"/>
      <c r="D71" s="29"/>
      <c r="E71" s="14"/>
      <c r="F71" s="14"/>
      <c r="G71" s="14"/>
      <c r="H71" s="14"/>
      <c r="I71" s="14"/>
      <c r="J71" s="14"/>
    </row>
    <row r="72" spans="1:14" x14ac:dyDescent="0.2">
      <c r="B72" s="1" t="s">
        <v>235</v>
      </c>
      <c r="E72" s="74"/>
      <c r="F72" s="24">
        <f ca="1">-IF($N$72=1,F157,0)</f>
        <v>-166.50286343429227</v>
      </c>
      <c r="G72" s="24">
        <f ca="1">-IF($N$72=1,G157,0)</f>
        <v>-163.53086811922964</v>
      </c>
      <c r="H72" s="24">
        <f ca="1">-IF($N$72=1,H157,0)</f>
        <v>-157.65796496177444</v>
      </c>
      <c r="I72" s="24">
        <f ca="1">-IF($N$72=1,I157,0)</f>
        <v>-148.48235146991379</v>
      </c>
      <c r="J72" s="24">
        <f ca="1">-IF($N$72=1,J157,0)</f>
        <v>-135.53059060681966</v>
      </c>
      <c r="M72" s="41" t="s">
        <v>306</v>
      </c>
      <c r="N72" s="8">
        <v>1</v>
      </c>
    </row>
    <row r="74" spans="1:14" x14ac:dyDescent="0.2">
      <c r="B74" s="1" t="s">
        <v>236</v>
      </c>
      <c r="C74" s="47">
        <f>C69+C72</f>
        <v>173.89500000000027</v>
      </c>
      <c r="D74" s="47">
        <f t="shared" ref="D74:J74" si="20">D69+D72</f>
        <v>221.58800000000031</v>
      </c>
      <c r="E74" s="47">
        <f t="shared" si="20"/>
        <v>249.81699999999984</v>
      </c>
      <c r="F74" s="47">
        <f t="shared" ca="1" si="20"/>
        <v>143.82221920036997</v>
      </c>
      <c r="G74" s="47">
        <f t="shared" ca="1" si="20"/>
        <v>207.18836138264612</v>
      </c>
      <c r="H74" s="47">
        <f t="shared" ca="1" si="20"/>
        <v>279.53755714857425</v>
      </c>
      <c r="I74" s="47">
        <f t="shared" ca="1" si="20"/>
        <v>361.78203664646821</v>
      </c>
      <c r="J74" s="47">
        <f t="shared" ca="1" si="20"/>
        <v>454.94490073880598</v>
      </c>
    </row>
    <row r="75" spans="1:14" x14ac:dyDescent="0.2">
      <c r="B75" s="1" t="s">
        <v>237</v>
      </c>
      <c r="C75" s="24">
        <f>-C74*$C$11</f>
        <v>-52.16850000000008</v>
      </c>
      <c r="D75" s="24">
        <f t="shared" ref="D75:J75" si="21">-D74*$C$11</f>
        <v>-66.476400000000083</v>
      </c>
      <c r="E75" s="24">
        <f t="shared" si="21"/>
        <v>-74.945099999999954</v>
      </c>
      <c r="F75" s="24">
        <f t="shared" ca="1" si="21"/>
        <v>-43.146665760110992</v>
      </c>
      <c r="G75" s="24">
        <f t="shared" ca="1" si="21"/>
        <v>-62.156508414793834</v>
      </c>
      <c r="H75" s="24">
        <f t="shared" ca="1" si="21"/>
        <v>-83.861267144572267</v>
      </c>
      <c r="I75" s="24">
        <f t="shared" ca="1" si="21"/>
        <v>-108.53461099394046</v>
      </c>
      <c r="J75" s="24">
        <f t="shared" ca="1" si="21"/>
        <v>-136.4834702216418</v>
      </c>
    </row>
    <row r="76" spans="1:14" x14ac:dyDescent="0.2">
      <c r="B76" s="73" t="s">
        <v>102</v>
      </c>
      <c r="C76" s="68">
        <f>SUM(C74:C75)</f>
        <v>121.72650000000019</v>
      </c>
      <c r="D76" s="68">
        <f>SUM(D74:D75)</f>
        <v>155.11160000000024</v>
      </c>
      <c r="E76" s="68">
        <f>SUM(E74:E75)</f>
        <v>174.87189999999987</v>
      </c>
      <c r="F76" s="36">
        <f ca="1">SUM(F74:F75)</f>
        <v>100.67555344025898</v>
      </c>
      <c r="G76" s="36">
        <f t="shared" ref="G76:J76" ca="1" si="22">SUM(G74:G75)</f>
        <v>145.03185296785227</v>
      </c>
      <c r="H76" s="36">
        <f t="shared" ca="1" si="22"/>
        <v>195.676290004002</v>
      </c>
      <c r="I76" s="36">
        <f t="shared" ca="1" si="22"/>
        <v>253.24742565252774</v>
      </c>
      <c r="J76" s="36">
        <f t="shared" ca="1" si="22"/>
        <v>318.46143051716422</v>
      </c>
    </row>
    <row r="78" spans="1:14" x14ac:dyDescent="0.2">
      <c r="A78" s="6" t="s">
        <v>205</v>
      </c>
      <c r="B78" s="42" t="s">
        <v>238</v>
      </c>
      <c r="C78" s="42"/>
      <c r="D78" s="42"/>
      <c r="E78" s="43"/>
      <c r="F78" s="43"/>
      <c r="G78" s="43"/>
      <c r="H78" s="43"/>
      <c r="I78" s="43"/>
      <c r="J78" s="43"/>
    </row>
    <row r="79" spans="1:14" x14ac:dyDescent="0.2">
      <c r="A79" s="5"/>
      <c r="B79" s="15"/>
      <c r="C79" s="44">
        <f>C50</f>
        <v>45291</v>
      </c>
      <c r="D79" s="44">
        <f t="shared" ref="D79:E79" si="23">D50</f>
        <v>45657</v>
      </c>
      <c r="E79" s="44" t="str">
        <f t="shared" si="23"/>
        <v>Q3 LTM 2025</v>
      </c>
      <c r="F79" s="45">
        <v>1</v>
      </c>
      <c r="G79" s="45">
        <f>F79+1</f>
        <v>2</v>
      </c>
      <c r="H79" s="45">
        <f t="shared" ref="H79:J79" si="24">G79+1</f>
        <v>3</v>
      </c>
      <c r="I79" s="45">
        <f t="shared" si="24"/>
        <v>4</v>
      </c>
      <c r="J79" s="45">
        <f t="shared" si="24"/>
        <v>5</v>
      </c>
    </row>
    <row r="80" spans="1:14" x14ac:dyDescent="0.2">
      <c r="A80" s="5"/>
      <c r="B80" s="1" t="s">
        <v>102</v>
      </c>
      <c r="F80" s="46">
        <f ca="1">F76</f>
        <v>100.67555344025898</v>
      </c>
      <c r="G80" s="46">
        <f t="shared" ref="G80:J80" ca="1" si="25">G76</f>
        <v>145.03185296785227</v>
      </c>
      <c r="H80" s="46">
        <f t="shared" ca="1" si="25"/>
        <v>195.676290004002</v>
      </c>
      <c r="I80" s="46">
        <f t="shared" ca="1" si="25"/>
        <v>253.24742565252774</v>
      </c>
      <c r="J80" s="46">
        <f t="shared" ca="1" si="25"/>
        <v>318.46143051716422</v>
      </c>
    </row>
    <row r="81" spans="1:10" x14ac:dyDescent="0.2">
      <c r="A81" s="5"/>
      <c r="B81" s="1" t="s">
        <v>239</v>
      </c>
      <c r="F81" s="46">
        <f>-F64</f>
        <v>110.90881079496194</v>
      </c>
      <c r="G81" s="46">
        <f t="shared" ref="G81:J81" si="26">-G64</f>
        <v>117.51820663176059</v>
      </c>
      <c r="H81" s="46">
        <f t="shared" si="26"/>
        <v>124.52147661628817</v>
      </c>
      <c r="I81" s="46">
        <f t="shared" si="26"/>
        <v>131.94209291575626</v>
      </c>
      <c r="J81" s="46">
        <f t="shared" si="26"/>
        <v>139.8049264757345</v>
      </c>
    </row>
    <row r="82" spans="1:10" x14ac:dyDescent="0.2">
      <c r="A82" s="5"/>
      <c r="B82" s="1" t="s">
        <v>240</v>
      </c>
      <c r="F82" s="47">
        <f>-F67</f>
        <v>3.9227429999999996</v>
      </c>
      <c r="G82" s="47">
        <f t="shared" ref="G82:J82" si="27">-G67</f>
        <v>3.9227429999999996</v>
      </c>
      <c r="H82" s="47">
        <f t="shared" si="27"/>
        <v>3.9227429999999996</v>
      </c>
      <c r="I82" s="47">
        <f t="shared" si="27"/>
        <v>3.9227429999999996</v>
      </c>
      <c r="J82" s="47">
        <f t="shared" si="27"/>
        <v>3.9227429999999996</v>
      </c>
    </row>
    <row r="83" spans="1:10" x14ac:dyDescent="0.2">
      <c r="A83" s="5"/>
      <c r="B83" s="1" t="s">
        <v>241</v>
      </c>
      <c r="F83" s="47">
        <f>F144</f>
        <v>48.142754999999994</v>
      </c>
      <c r="G83" s="47">
        <f t="shared" ref="G83:J83" ca="1" si="28">G144</f>
        <v>52.475602949999995</v>
      </c>
      <c r="H83" s="47">
        <f t="shared" ca="1" si="28"/>
        <v>57.198407215499998</v>
      </c>
      <c r="I83" s="47">
        <f t="shared" ca="1" si="28"/>
        <v>62.346263864894993</v>
      </c>
      <c r="J83" s="47">
        <f t="shared" ca="1" si="28"/>
        <v>67.957427612735543</v>
      </c>
    </row>
    <row r="84" spans="1:10" x14ac:dyDescent="0.2">
      <c r="A84" s="5"/>
      <c r="B84" s="1" t="s">
        <v>242</v>
      </c>
      <c r="F84" s="24">
        <f>-F113</f>
        <v>21.076398046211295</v>
      </c>
      <c r="G84" s="24">
        <f t="shared" ref="G84:J84" si="29">-G113</f>
        <v>22.327686977285396</v>
      </c>
      <c r="H84" s="24">
        <f t="shared" si="29"/>
        <v>24.04805836300261</v>
      </c>
      <c r="I84" s="24">
        <f t="shared" si="29"/>
        <v>24.684573988218403</v>
      </c>
      <c r="J84" s="24">
        <f t="shared" si="29"/>
        <v>26.568754948413471</v>
      </c>
    </row>
    <row r="85" spans="1:10" x14ac:dyDescent="0.2">
      <c r="A85" s="5"/>
      <c r="B85" s="1" t="s">
        <v>243</v>
      </c>
      <c r="F85" s="24">
        <f>F93*F51</f>
        <v>-174.69292697549687</v>
      </c>
      <c r="G85" s="24">
        <f t="shared" ref="G85:J85" si="30">G93*G51</f>
        <v>-185.1034137167583</v>
      </c>
      <c r="H85" s="24">
        <f t="shared" si="30"/>
        <v>-196.13429325849745</v>
      </c>
      <c r="I85" s="24">
        <f t="shared" si="30"/>
        <v>-207.82253670844926</v>
      </c>
      <c r="J85" s="24">
        <f t="shared" si="30"/>
        <v>-220.20731839593051</v>
      </c>
    </row>
    <row r="86" spans="1:10" x14ac:dyDescent="0.2">
      <c r="A86" s="5"/>
      <c r="B86" s="20" t="s">
        <v>244</v>
      </c>
      <c r="C86" s="20"/>
      <c r="D86" s="20"/>
      <c r="E86" s="20"/>
      <c r="F86" s="48">
        <f ca="1">SUM(F80:F85)</f>
        <v>110.03333330593532</v>
      </c>
      <c r="G86" s="48">
        <f t="shared" ref="G86:J86" ca="1" si="31">SUM(G80:G85)</f>
        <v>156.17267881013996</v>
      </c>
      <c r="H86" s="48">
        <f t="shared" ca="1" si="31"/>
        <v>209.23268194029538</v>
      </c>
      <c r="I86" s="48">
        <f t="shared" ca="1" si="31"/>
        <v>268.32056271294817</v>
      </c>
      <c r="J86" s="48">
        <f t="shared" ca="1" si="31"/>
        <v>336.50796415811726</v>
      </c>
    </row>
    <row r="87" spans="1:10" x14ac:dyDescent="0.2">
      <c r="A87" s="5"/>
      <c r="F87" s="46"/>
      <c r="G87" s="46"/>
      <c r="H87" s="46"/>
      <c r="I87" s="46"/>
      <c r="J87" s="46"/>
    </row>
    <row r="88" spans="1:10" x14ac:dyDescent="0.2">
      <c r="A88" s="5"/>
      <c r="B88" s="1" t="s">
        <v>245</v>
      </c>
      <c r="F88" s="49">
        <f ca="1">SUM(F125,F135,F146,F134,F145)</f>
        <v>-110.03333330593532</v>
      </c>
      <c r="G88" s="49">
        <f t="shared" ref="G88:J88" ca="1" si="32">SUM(G125,G135,G146,G134,G145)</f>
        <v>-156.17267881013996</v>
      </c>
      <c r="H88" s="49">
        <f t="shared" ca="1" si="32"/>
        <v>-209.23268194029538</v>
      </c>
      <c r="I88" s="49">
        <f t="shared" ca="1" si="32"/>
        <v>-268.32056271294817</v>
      </c>
      <c r="J88" s="49">
        <f t="shared" ca="1" si="32"/>
        <v>-336.50796415811726</v>
      </c>
    </row>
    <row r="89" spans="1:10" x14ac:dyDescent="0.2">
      <c r="A89" s="5"/>
      <c r="B89" s="20" t="s">
        <v>246</v>
      </c>
      <c r="C89" s="20"/>
      <c r="D89" s="20"/>
      <c r="E89" s="20"/>
      <c r="F89" s="50">
        <f ca="1">F88</f>
        <v>-110.03333330593532</v>
      </c>
      <c r="G89" s="50">
        <f t="shared" ref="G89:J89" ca="1" si="33">G88</f>
        <v>-156.17267881013996</v>
      </c>
      <c r="H89" s="50">
        <f t="shared" ca="1" si="33"/>
        <v>-209.23268194029538</v>
      </c>
      <c r="I89" s="50">
        <f t="shared" ca="1" si="33"/>
        <v>-268.32056271294817</v>
      </c>
      <c r="J89" s="50">
        <f t="shared" ca="1" si="33"/>
        <v>-336.50796415811726</v>
      </c>
    </row>
    <row r="90" spans="1:10" x14ac:dyDescent="0.2">
      <c r="A90" s="5"/>
      <c r="F90" s="47"/>
      <c r="G90" s="47"/>
      <c r="H90" s="47"/>
      <c r="I90" s="47"/>
      <c r="J90" s="47"/>
    </row>
    <row r="91" spans="1:10" x14ac:dyDescent="0.2">
      <c r="A91" s="5"/>
      <c r="B91" s="1" t="s">
        <v>247</v>
      </c>
      <c r="F91" s="47">
        <f ca="1">SUM(F89,F86)</f>
        <v>0</v>
      </c>
      <c r="G91" s="47">
        <f ca="1">SUM(G89,G86)</f>
        <v>0</v>
      </c>
      <c r="H91" s="47">
        <f ca="1">SUM(H89,H86)</f>
        <v>0</v>
      </c>
      <c r="I91" s="47">
        <f ca="1">SUM(I89,I86)</f>
        <v>0</v>
      </c>
      <c r="J91" s="47">
        <f ca="1">SUM(J89,J86)</f>
        <v>0</v>
      </c>
    </row>
    <row r="92" spans="1:10" x14ac:dyDescent="0.2">
      <c r="A92" s="5"/>
      <c r="F92" s="47"/>
      <c r="G92" s="47"/>
      <c r="H92" s="47"/>
      <c r="I92" s="47"/>
      <c r="J92" s="47"/>
    </row>
    <row r="93" spans="1:10" x14ac:dyDescent="0.2">
      <c r="A93" s="5"/>
      <c r="B93" s="1" t="s">
        <v>307</v>
      </c>
      <c r="C93" s="51">
        <f>'Cash Flow Statement'!D28/'Income Statement'!D11</f>
        <v>-4.4548005918296919E-2</v>
      </c>
      <c r="D93" s="51">
        <f>'Cash Flow Statement'!C28/'Income Statement'!C11</f>
        <v>-4.5067438665281477E-2</v>
      </c>
      <c r="E93" s="51">
        <f>'Cash Flow Statement'!B28/'Income Statement'!B11</f>
        <v>-4.3657447663309902E-2</v>
      </c>
      <c r="F93" s="60">
        <f>AVERAGE(C93:E93)</f>
        <v>-4.4424297415629428E-2</v>
      </c>
      <c r="G93" s="60">
        <f>F93</f>
        <v>-4.4424297415629428E-2</v>
      </c>
      <c r="H93" s="60">
        <f t="shared" ref="H93:J93" si="34">G93</f>
        <v>-4.4424297415629428E-2</v>
      </c>
      <c r="I93" s="60">
        <f t="shared" si="34"/>
        <v>-4.4424297415629428E-2</v>
      </c>
      <c r="J93" s="60">
        <f t="shared" si="34"/>
        <v>-4.4424297415629428E-2</v>
      </c>
    </row>
    <row r="94" spans="1:10" x14ac:dyDescent="0.2">
      <c r="A94" s="5"/>
      <c r="F94" s="47"/>
      <c r="G94" s="47"/>
      <c r="H94" s="47"/>
      <c r="I94" s="47"/>
      <c r="J94" s="47"/>
    </row>
    <row r="95" spans="1:10" x14ac:dyDescent="0.2">
      <c r="A95" s="5" t="s">
        <v>205</v>
      </c>
      <c r="B95" s="53" t="s">
        <v>248</v>
      </c>
      <c r="C95" s="53"/>
      <c r="D95" s="53"/>
      <c r="E95" s="53"/>
      <c r="F95" s="54"/>
      <c r="G95" s="54"/>
      <c r="H95" s="54"/>
      <c r="I95" s="54"/>
      <c r="J95" s="54"/>
    </row>
    <row r="96" spans="1:10" x14ac:dyDescent="0.2">
      <c r="A96" s="5"/>
      <c r="B96" s="55"/>
      <c r="C96" s="55">
        <v>45291</v>
      </c>
      <c r="D96" s="55">
        <f>EOMONTH(C96,12)</f>
        <v>45657</v>
      </c>
      <c r="E96" s="55">
        <f t="shared" ref="E96:J96" si="35">EOMONTH(D96,12)</f>
        <v>46022</v>
      </c>
      <c r="F96" s="55">
        <f t="shared" si="35"/>
        <v>46387</v>
      </c>
      <c r="G96" s="55">
        <f t="shared" si="35"/>
        <v>46752</v>
      </c>
      <c r="H96" s="55">
        <f t="shared" si="35"/>
        <v>47118</v>
      </c>
      <c r="I96" s="55">
        <f t="shared" si="35"/>
        <v>47483</v>
      </c>
      <c r="J96" s="55">
        <f t="shared" si="35"/>
        <v>47848</v>
      </c>
    </row>
    <row r="97" spans="1:10" x14ac:dyDescent="0.2">
      <c r="A97" s="5"/>
      <c r="B97" s="4" t="s">
        <v>249</v>
      </c>
    </row>
    <row r="98" spans="1:10" x14ac:dyDescent="0.2">
      <c r="A98" s="5"/>
      <c r="B98" s="1" t="s">
        <v>250</v>
      </c>
      <c r="C98" s="56">
        <f>(C105/C51)*C101</f>
        <v>10.940333530745574</v>
      </c>
      <c r="D98" s="56">
        <f>(D105/D51)*D101</f>
        <v>11.496247451279405</v>
      </c>
      <c r="E98" s="57">
        <f>$D98</f>
        <v>11.496247451279405</v>
      </c>
      <c r="F98" s="57">
        <f t="shared" ref="F98:J98" si="36">$D98</f>
        <v>11.496247451279405</v>
      </c>
      <c r="G98" s="57">
        <f t="shared" si="36"/>
        <v>11.496247451279405</v>
      </c>
      <c r="H98" s="57">
        <f t="shared" si="36"/>
        <v>11.496247451279405</v>
      </c>
      <c r="I98" s="57">
        <f t="shared" si="36"/>
        <v>11.496247451279405</v>
      </c>
      <c r="J98" s="57">
        <f t="shared" si="36"/>
        <v>11.496247451279405</v>
      </c>
    </row>
    <row r="99" spans="1:10" x14ac:dyDescent="0.2">
      <c r="A99" s="5"/>
      <c r="B99" s="1" t="s">
        <v>251</v>
      </c>
      <c r="C99" s="56">
        <f>(C108/C54)*C101</f>
        <v>7.803609085581634</v>
      </c>
      <c r="D99" s="56">
        <f>(D108/D54)*D101</f>
        <v>7.5011526182787049</v>
      </c>
      <c r="E99" s="57">
        <f t="shared" ref="E99:J103" si="37">$D99</f>
        <v>7.5011526182787049</v>
      </c>
      <c r="F99" s="57">
        <f t="shared" si="37"/>
        <v>7.5011526182787049</v>
      </c>
      <c r="G99" s="57">
        <f t="shared" si="37"/>
        <v>7.5011526182787049</v>
      </c>
      <c r="H99" s="57">
        <f t="shared" si="37"/>
        <v>7.5011526182787049</v>
      </c>
      <c r="I99" s="57">
        <f t="shared" si="37"/>
        <v>7.5011526182787049</v>
      </c>
      <c r="J99" s="57">
        <f t="shared" si="37"/>
        <v>7.5011526182787049</v>
      </c>
    </row>
    <row r="100" spans="1:10" x14ac:dyDescent="0.2">
      <c r="A100" s="5"/>
      <c r="B100" s="1" t="s">
        <v>252</v>
      </c>
      <c r="C100" s="56">
        <f>(C106/C54)*C101</f>
        <v>7.124228499811939</v>
      </c>
      <c r="D100" s="56">
        <f>(D106/D54)*D101</f>
        <v>7.7951970277499774</v>
      </c>
      <c r="E100" s="57">
        <f t="shared" si="37"/>
        <v>7.7951970277499774</v>
      </c>
      <c r="F100" s="57">
        <f t="shared" si="37"/>
        <v>7.7951970277499774</v>
      </c>
      <c r="G100" s="57">
        <f t="shared" si="37"/>
        <v>7.7951970277499774</v>
      </c>
      <c r="H100" s="57">
        <f t="shared" si="37"/>
        <v>7.7951970277499774</v>
      </c>
      <c r="I100" s="57">
        <f t="shared" si="37"/>
        <v>7.7951970277499774</v>
      </c>
      <c r="J100" s="57">
        <f t="shared" si="37"/>
        <v>7.7951970277499774</v>
      </c>
    </row>
    <row r="101" spans="1:10" x14ac:dyDescent="0.2">
      <c r="A101" s="5"/>
      <c r="B101" s="1" t="s">
        <v>253</v>
      </c>
      <c r="C101" s="58">
        <v>365</v>
      </c>
      <c r="D101" s="1">
        <f t="shared" ref="D101:J101" si="38">_xlfn.DAYS(D96,C96)</f>
        <v>366</v>
      </c>
      <c r="E101" s="1">
        <f t="shared" si="38"/>
        <v>365</v>
      </c>
      <c r="F101" s="1">
        <f t="shared" si="38"/>
        <v>365</v>
      </c>
      <c r="G101" s="1">
        <f t="shared" si="38"/>
        <v>365</v>
      </c>
      <c r="H101" s="1">
        <f t="shared" si="38"/>
        <v>366</v>
      </c>
      <c r="I101" s="1">
        <f t="shared" si="38"/>
        <v>365</v>
      </c>
      <c r="J101" s="1">
        <f t="shared" si="38"/>
        <v>365</v>
      </c>
    </row>
    <row r="102" spans="1:10" x14ac:dyDescent="0.2">
      <c r="A102" s="5"/>
      <c r="B102" s="1" t="s">
        <v>255</v>
      </c>
      <c r="C102" s="14">
        <f>C109/C$51</f>
        <v>0.13450024611113873</v>
      </c>
      <c r="D102" s="14">
        <f>D109/D$51</f>
        <v>0.13741802423933447</v>
      </c>
      <c r="E102" s="95">
        <f t="shared" si="37"/>
        <v>0.13741802423933447</v>
      </c>
      <c r="F102" s="95">
        <f t="shared" si="37"/>
        <v>0.13741802423933447</v>
      </c>
      <c r="G102" s="95">
        <f t="shared" si="37"/>
        <v>0.13741802423933447</v>
      </c>
      <c r="H102" s="95">
        <f t="shared" si="37"/>
        <v>0.13741802423933447</v>
      </c>
      <c r="I102" s="95">
        <f t="shared" si="37"/>
        <v>0.13741802423933447</v>
      </c>
      <c r="J102" s="95">
        <f t="shared" si="37"/>
        <v>0.13741802423933447</v>
      </c>
    </row>
    <row r="103" spans="1:10" x14ac:dyDescent="0.2">
      <c r="A103" s="5"/>
      <c r="B103" s="1" t="s">
        <v>254</v>
      </c>
      <c r="C103" s="14">
        <f>C107/C$51</f>
        <v>1.2786440366529699E-2</v>
      </c>
      <c r="D103" s="14">
        <f>D107/D$51</f>
        <v>1.0119219956785871E-2</v>
      </c>
      <c r="E103" s="95">
        <f t="shared" si="37"/>
        <v>1.0119219956785871E-2</v>
      </c>
      <c r="F103" s="95">
        <f t="shared" si="37"/>
        <v>1.0119219956785871E-2</v>
      </c>
      <c r="G103" s="95">
        <f t="shared" si="37"/>
        <v>1.0119219956785871E-2</v>
      </c>
      <c r="H103" s="95">
        <f t="shared" si="37"/>
        <v>1.0119219956785871E-2</v>
      </c>
      <c r="I103" s="95">
        <f t="shared" si="37"/>
        <v>1.0119219956785871E-2</v>
      </c>
      <c r="J103" s="95">
        <f t="shared" si="37"/>
        <v>1.0119219956785871E-2</v>
      </c>
    </row>
    <row r="104" spans="1:10" x14ac:dyDescent="0.2">
      <c r="A104" s="5"/>
      <c r="F104" s="47"/>
      <c r="G104" s="47"/>
      <c r="H104" s="47"/>
      <c r="I104" s="47"/>
      <c r="J104" s="47"/>
    </row>
    <row r="105" spans="1:10" x14ac:dyDescent="0.2">
      <c r="A105" s="5"/>
      <c r="B105" s="1" t="s">
        <v>256</v>
      </c>
      <c r="C105" s="59">
        <f>'Balance Sheet'!C14</f>
        <v>103.09399999999999</v>
      </c>
      <c r="D105" s="59">
        <f>'Balance Sheet'!B14</f>
        <v>112.503</v>
      </c>
      <c r="E105" s="24">
        <f t="shared" ref="E105:J105" si="39">(E98/E101)*E51</f>
        <v>116.89041095865778</v>
      </c>
      <c r="F105" s="24">
        <f t="shared" si="39"/>
        <v>123.85626867558979</v>
      </c>
      <c r="G105" s="24">
        <f t="shared" si="39"/>
        <v>131.23724319581288</v>
      </c>
      <c r="H105" s="24">
        <f t="shared" si="39"/>
        <v>138.67813251239173</v>
      </c>
      <c r="I105" s="24">
        <f t="shared" si="39"/>
        <v>147.34496919279809</v>
      </c>
      <c r="J105" s="24">
        <f t="shared" si="39"/>
        <v>156.12570734133431</v>
      </c>
    </row>
    <row r="106" spans="1:10" x14ac:dyDescent="0.2">
      <c r="A106" s="5"/>
      <c r="B106" s="1" t="s">
        <v>257</v>
      </c>
      <c r="C106" s="59">
        <f>'Balance Sheet'!C17</f>
        <v>57.654000000000003</v>
      </c>
      <c r="D106" s="59">
        <f>'Balance Sheet'!B17</f>
        <v>64.525999999999996</v>
      </c>
      <c r="E106" s="24">
        <f t="shared" ref="E106:J106" si="40">(E100/E101)*E54</f>
        <v>66.613888235693707</v>
      </c>
      <c r="F106" s="24">
        <f t="shared" si="40"/>
        <v>69.568659978966792</v>
      </c>
      <c r="G106" s="24">
        <f t="shared" si="40"/>
        <v>72.824596442915393</v>
      </c>
      <c r="H106" s="24">
        <f t="shared" si="40"/>
        <v>76.013278313150721</v>
      </c>
      <c r="I106" s="24">
        <f t="shared" si="40"/>
        <v>79.764714704110943</v>
      </c>
      <c r="J106" s="24">
        <f t="shared" si="40"/>
        <v>83.459505473215216</v>
      </c>
    </row>
    <row r="107" spans="1:10" x14ac:dyDescent="0.2">
      <c r="A107" s="5"/>
      <c r="B107" s="1" t="s">
        <v>10</v>
      </c>
      <c r="C107" s="59">
        <f>'Balance Sheet'!C20</f>
        <v>43.978999999999999</v>
      </c>
      <c r="D107" s="59">
        <f>'Balance Sheet'!B20</f>
        <v>36.244</v>
      </c>
      <c r="E107" s="24">
        <f>E103*E51</f>
        <v>37.554560415043248</v>
      </c>
      <c r="F107" s="24">
        <f>F103*F51</f>
        <v>39.792551729537315</v>
      </c>
      <c r="G107" s="24">
        <f>G103*G51</f>
        <v>42.163911803201962</v>
      </c>
      <c r="H107" s="24">
        <f>H103*H51</f>
        <v>44.676588489010307</v>
      </c>
      <c r="I107" s="24">
        <f>I103*I51</f>
        <v>47.339003276844679</v>
      </c>
      <c r="J107" s="24">
        <f>J103*J51</f>
        <v>50.160079518971237</v>
      </c>
    </row>
    <row r="108" spans="1:10" x14ac:dyDescent="0.2">
      <c r="A108" s="5"/>
      <c r="B108" s="1" t="s">
        <v>258</v>
      </c>
      <c r="C108" s="59">
        <f>'Balance Sheet'!C45</f>
        <v>63.152000000000001</v>
      </c>
      <c r="D108" s="59">
        <f>'Balance Sheet'!B45</f>
        <v>62.091999999999999</v>
      </c>
      <c r="E108" s="24">
        <f t="shared" ref="E108:J108" si="41">(E99/E101)*E54</f>
        <v>64.101130526155259</v>
      </c>
      <c r="F108" s="24">
        <f t="shared" si="41"/>
        <v>66.94444464888582</v>
      </c>
      <c r="G108" s="24">
        <f t="shared" si="41"/>
        <v>70.077563189001381</v>
      </c>
      <c r="H108" s="24">
        <f t="shared" si="41"/>
        <v>73.145964061311034</v>
      </c>
      <c r="I108" s="24">
        <f t="shared" si="41"/>
        <v>76.755891662394347</v>
      </c>
      <c r="J108" s="24">
        <f t="shared" si="41"/>
        <v>80.311310384075867</v>
      </c>
    </row>
    <row r="109" spans="1:10" x14ac:dyDescent="0.2">
      <c r="A109" s="5"/>
      <c r="B109" s="1" t="s">
        <v>35</v>
      </c>
      <c r="C109" s="59">
        <f>'Balance Sheet'!C47</f>
        <v>462.61399999999998</v>
      </c>
      <c r="D109" s="59">
        <f>'Balance Sheet'!B47</f>
        <v>492.19</v>
      </c>
      <c r="E109" s="24">
        <f>E102*E51</f>
        <v>509.98728315528467</v>
      </c>
      <c r="F109" s="24">
        <f>F102*F51</f>
        <v>540.37898785346465</v>
      </c>
      <c r="G109" s="24">
        <f>G102*G51</f>
        <v>572.58182734847082</v>
      </c>
      <c r="H109" s="24">
        <f>H102*H51</f>
        <v>606.7037327117863</v>
      </c>
      <c r="I109" s="24">
        <f>I102*I51</f>
        <v>642.8590669581223</v>
      </c>
      <c r="J109" s="24">
        <f>J102*J51</f>
        <v>681.16900834462126</v>
      </c>
    </row>
    <row r="111" spans="1:10" x14ac:dyDescent="0.2">
      <c r="A111" s="5"/>
      <c r="F111" s="47"/>
      <c r="G111" s="47"/>
      <c r="H111" s="47"/>
      <c r="I111" s="47"/>
      <c r="J111" s="47"/>
    </row>
    <row r="112" spans="1:10" x14ac:dyDescent="0.2">
      <c r="A112" s="5"/>
      <c r="B112" s="1" t="s">
        <v>259</v>
      </c>
      <c r="C112" s="24">
        <f>SUM(C105:C107)-SUM(C108:C109)</f>
        <v>-321.03899999999999</v>
      </c>
      <c r="D112" s="24">
        <f t="shared" ref="D112:J112" si="42">SUM(D105:D107)-SUM(D108:D109)</f>
        <v>-341.00900000000001</v>
      </c>
      <c r="E112" s="24">
        <f t="shared" si="42"/>
        <v>-353.02955407204524</v>
      </c>
      <c r="F112" s="24">
        <f t="shared" si="42"/>
        <v>-374.10595211825654</v>
      </c>
      <c r="G112" s="24">
        <f t="shared" si="42"/>
        <v>-396.43363909554193</v>
      </c>
      <c r="H112" s="24">
        <f t="shared" si="42"/>
        <v>-420.48169745854455</v>
      </c>
      <c r="I112" s="24">
        <f t="shared" si="42"/>
        <v>-445.16627144676295</v>
      </c>
      <c r="J112" s="24">
        <f t="shared" si="42"/>
        <v>-471.73502639517642</v>
      </c>
    </row>
    <row r="113" spans="1:15" x14ac:dyDescent="0.2">
      <c r="A113" s="5"/>
      <c r="B113" s="1" t="s">
        <v>260</v>
      </c>
      <c r="D113" s="24">
        <f>D112-C112</f>
        <v>-19.970000000000027</v>
      </c>
      <c r="E113" s="24">
        <f t="shared" ref="E113:J113" si="43">E112-D112</f>
        <v>-12.020554072045229</v>
      </c>
      <c r="F113" s="24">
        <f t="shared" si="43"/>
        <v>-21.076398046211295</v>
      </c>
      <c r="G113" s="24">
        <f t="shared" si="43"/>
        <v>-22.327686977285396</v>
      </c>
      <c r="H113" s="24">
        <f t="shared" si="43"/>
        <v>-24.04805836300261</v>
      </c>
      <c r="I113" s="24">
        <f t="shared" si="43"/>
        <v>-24.684573988218403</v>
      </c>
      <c r="J113" s="24">
        <f t="shared" si="43"/>
        <v>-26.568754948413471</v>
      </c>
    </row>
    <row r="115" spans="1:15" x14ac:dyDescent="0.2">
      <c r="A115" s="6" t="s">
        <v>205</v>
      </c>
      <c r="B115" s="42" t="s">
        <v>261</v>
      </c>
      <c r="C115" s="42"/>
      <c r="D115" s="42"/>
      <c r="E115" s="43"/>
      <c r="F115" s="43"/>
      <c r="G115" s="43"/>
      <c r="H115" s="43"/>
      <c r="I115" s="43"/>
      <c r="J115" s="43"/>
      <c r="K115" s="178"/>
      <c r="L115" s="178"/>
      <c r="M115" s="178"/>
      <c r="N115" s="5"/>
      <c r="O115" s="5"/>
    </row>
    <row r="116" spans="1:15" x14ac:dyDescent="0.2">
      <c r="A116" s="5"/>
      <c r="N116" s="5"/>
      <c r="O116" s="5"/>
    </row>
    <row r="117" spans="1:15" x14ac:dyDescent="0.2">
      <c r="A117" s="7"/>
      <c r="B117" s="77"/>
      <c r="C117" s="77"/>
      <c r="D117" s="77"/>
      <c r="E117" s="77"/>
      <c r="F117" s="78">
        <f>F79</f>
        <v>1</v>
      </c>
      <c r="G117" s="78">
        <f>G79</f>
        <v>2</v>
      </c>
      <c r="H117" s="78">
        <f>H79</f>
        <v>3</v>
      </c>
      <c r="I117" s="78">
        <f>I79</f>
        <v>4</v>
      </c>
      <c r="J117" s="78">
        <f>J79</f>
        <v>5</v>
      </c>
      <c r="K117" s="22"/>
      <c r="L117" s="22"/>
      <c r="M117" s="22"/>
      <c r="N117" s="7"/>
      <c r="O117" s="7"/>
    </row>
    <row r="118" spans="1:15" x14ac:dyDescent="0.2">
      <c r="A118" s="7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7"/>
      <c r="O118" s="7"/>
    </row>
    <row r="119" spans="1:15" x14ac:dyDescent="0.2">
      <c r="A119" s="7"/>
      <c r="B119" s="22" t="s">
        <v>262</v>
      </c>
      <c r="C119" s="22"/>
      <c r="D119" s="22"/>
      <c r="E119" s="22"/>
      <c r="F119" s="79">
        <f ca="1">F86</f>
        <v>110.03333330593532</v>
      </c>
      <c r="G119" s="79">
        <f t="shared" ref="G119:J119" ca="1" si="44">G86</f>
        <v>156.17267881013996</v>
      </c>
      <c r="H119" s="79">
        <f t="shared" ca="1" si="44"/>
        <v>209.23268194029538</v>
      </c>
      <c r="I119" s="79">
        <f t="shared" ca="1" si="44"/>
        <v>268.32056271294817</v>
      </c>
      <c r="J119" s="79">
        <f t="shared" ca="1" si="44"/>
        <v>336.50796415811726</v>
      </c>
      <c r="K119" s="22"/>
      <c r="L119" s="22"/>
      <c r="M119" s="22"/>
      <c r="N119" s="7"/>
      <c r="O119" s="7"/>
    </row>
    <row r="120" spans="1:15" x14ac:dyDescent="0.2">
      <c r="A120" s="7"/>
      <c r="B120" s="22" t="s">
        <v>263</v>
      </c>
      <c r="C120" s="22"/>
      <c r="D120" s="22"/>
      <c r="E120" s="22"/>
      <c r="F120" s="79">
        <f>SUM(F134,F145)</f>
        <v>-14.264520000000001</v>
      </c>
      <c r="G120" s="79">
        <f t="shared" ref="G120:J120" ca="1" si="45">SUM(G134,G145)</f>
        <v>-14.264520000000001</v>
      </c>
      <c r="H120" s="79">
        <f t="shared" ca="1" si="45"/>
        <v>-14.264520000000001</v>
      </c>
      <c r="I120" s="79">
        <f t="shared" ca="1" si="45"/>
        <v>-14.264520000000001</v>
      </c>
      <c r="J120" s="79">
        <f t="shared" ca="1" si="45"/>
        <v>-14.264520000000001</v>
      </c>
      <c r="K120" s="22"/>
      <c r="L120" s="22"/>
      <c r="M120" s="22"/>
      <c r="N120" s="7"/>
      <c r="O120" s="7"/>
    </row>
    <row r="121" spans="1:15" x14ac:dyDescent="0.2">
      <c r="A121" s="7"/>
      <c r="B121" s="80" t="s">
        <v>264</v>
      </c>
      <c r="C121" s="80"/>
      <c r="D121" s="80"/>
      <c r="E121" s="80"/>
      <c r="F121" s="81">
        <f ca="1">SUM(F119:F120)</f>
        <v>95.768813305935311</v>
      </c>
      <c r="G121" s="81">
        <f ca="1">SUM(G119:G120)</f>
        <v>141.90815881013995</v>
      </c>
      <c r="H121" s="81">
        <f ca="1">SUM(H119:H120)</f>
        <v>194.96816194029537</v>
      </c>
      <c r="I121" s="81">
        <f ca="1">SUM(I119:I120)</f>
        <v>254.05604271294817</v>
      </c>
      <c r="J121" s="81">
        <f ca="1">SUM(J119:J120)</f>
        <v>322.24344415811726</v>
      </c>
      <c r="K121" s="22"/>
      <c r="L121" s="22"/>
      <c r="M121" s="22"/>
      <c r="N121" s="7"/>
      <c r="O121" s="7"/>
    </row>
    <row r="122" spans="1:15" x14ac:dyDescent="0.2">
      <c r="A122" s="7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7"/>
      <c r="O122" s="7"/>
    </row>
    <row r="123" spans="1:15" x14ac:dyDescent="0.2">
      <c r="A123" s="7"/>
      <c r="B123" s="82" t="s">
        <v>216</v>
      </c>
      <c r="C123" s="82"/>
      <c r="D123" s="82"/>
      <c r="E123" s="22"/>
      <c r="F123" s="22"/>
      <c r="G123" s="22"/>
      <c r="H123" s="22"/>
      <c r="I123" s="22"/>
      <c r="J123" s="22"/>
      <c r="K123" s="22"/>
      <c r="L123" s="22"/>
      <c r="M123" s="22"/>
      <c r="N123" s="7"/>
      <c r="O123" s="7"/>
    </row>
    <row r="124" spans="1:15" x14ac:dyDescent="0.2">
      <c r="A124" s="7"/>
      <c r="B124" s="22" t="s">
        <v>265</v>
      </c>
      <c r="C124" s="22"/>
      <c r="D124" s="22"/>
      <c r="E124" s="79"/>
      <c r="F124" s="79">
        <f>E126</f>
        <v>0</v>
      </c>
      <c r="G124" s="79">
        <f t="shared" ref="G124:J124" ca="1" si="46">F126</f>
        <v>0</v>
      </c>
      <c r="H124" s="79">
        <f t="shared" ca="1" si="46"/>
        <v>0</v>
      </c>
      <c r="I124" s="79">
        <f t="shared" ca="1" si="46"/>
        <v>0</v>
      </c>
      <c r="J124" s="79">
        <f t="shared" ca="1" si="46"/>
        <v>0</v>
      </c>
      <c r="K124" s="22"/>
      <c r="L124" s="22"/>
      <c r="M124" s="22"/>
      <c r="N124" s="7"/>
      <c r="O124" s="7"/>
    </row>
    <row r="125" spans="1:15" x14ac:dyDescent="0.2">
      <c r="A125" s="7"/>
      <c r="B125" s="83" t="s">
        <v>266</v>
      </c>
      <c r="C125" s="83"/>
      <c r="D125" s="83"/>
      <c r="E125" s="84"/>
      <c r="F125" s="84">
        <f ca="1">-MIN(0,F121)</f>
        <v>0</v>
      </c>
      <c r="G125" s="84">
        <f t="shared" ref="G125:J125" ca="1" si="47">-MIN(0,G121)</f>
        <v>0</v>
      </c>
      <c r="H125" s="84">
        <f t="shared" ca="1" si="47"/>
        <v>0</v>
      </c>
      <c r="I125" s="84">
        <f t="shared" ca="1" si="47"/>
        <v>0</v>
      </c>
      <c r="J125" s="84">
        <f t="shared" ca="1" si="47"/>
        <v>0</v>
      </c>
      <c r="K125" s="22"/>
      <c r="L125" s="22"/>
      <c r="M125" s="22"/>
      <c r="N125" s="7"/>
      <c r="O125" s="7"/>
    </row>
    <row r="126" spans="1:15" x14ac:dyDescent="0.2">
      <c r="A126" s="7"/>
      <c r="B126" s="22" t="s">
        <v>267</v>
      </c>
      <c r="C126" s="22"/>
      <c r="D126" s="22"/>
      <c r="E126" s="79">
        <f>$D$16</f>
        <v>0</v>
      </c>
      <c r="F126" s="79">
        <f ca="1">SUM(F124:F125)</f>
        <v>0</v>
      </c>
      <c r="G126" s="79">
        <f t="shared" ref="G126:J126" ca="1" si="48">SUM(G124:G125)</f>
        <v>0</v>
      </c>
      <c r="H126" s="79">
        <f t="shared" ca="1" si="48"/>
        <v>0</v>
      </c>
      <c r="I126" s="79">
        <f t="shared" ca="1" si="48"/>
        <v>0</v>
      </c>
      <c r="J126" s="79">
        <f t="shared" ca="1" si="48"/>
        <v>0</v>
      </c>
      <c r="K126" s="22"/>
      <c r="L126" s="22"/>
      <c r="M126" s="22"/>
      <c r="N126" s="7"/>
      <c r="O126" s="7"/>
    </row>
    <row r="127" spans="1:15" x14ac:dyDescent="0.2">
      <c r="A127" s="7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7"/>
      <c r="O127" s="7"/>
    </row>
    <row r="128" spans="1:15" x14ac:dyDescent="0.2">
      <c r="A128" s="7"/>
      <c r="B128" s="22" t="s">
        <v>268</v>
      </c>
      <c r="C128" s="22"/>
      <c r="D128" s="22"/>
      <c r="E128" s="22"/>
      <c r="F128" s="79">
        <f ca="1">AVERAGE(F124,F126)</f>
        <v>0</v>
      </c>
      <c r="G128" s="79">
        <f t="shared" ref="G128:J128" ca="1" si="49">AVERAGE(G124,G126)</f>
        <v>0</v>
      </c>
      <c r="H128" s="79">
        <f t="shared" ca="1" si="49"/>
        <v>0</v>
      </c>
      <c r="I128" s="79">
        <f t="shared" ca="1" si="49"/>
        <v>0</v>
      </c>
      <c r="J128" s="79">
        <f t="shared" ca="1" si="49"/>
        <v>0</v>
      </c>
      <c r="K128" s="22"/>
      <c r="L128" s="22"/>
      <c r="M128" s="22"/>
      <c r="N128" s="7"/>
      <c r="O128" s="7"/>
    </row>
    <row r="129" spans="1:15" x14ac:dyDescent="0.2">
      <c r="A129" s="7"/>
      <c r="B129" s="22" t="s">
        <v>269</v>
      </c>
      <c r="C129" s="22"/>
      <c r="D129" s="22"/>
      <c r="E129" s="22"/>
      <c r="F129" s="85">
        <f>$E$16</f>
        <v>0.04</v>
      </c>
      <c r="G129" s="85">
        <f t="shared" ref="G129:J129" si="50">$E$16</f>
        <v>0.04</v>
      </c>
      <c r="H129" s="85">
        <f t="shared" si="50"/>
        <v>0.04</v>
      </c>
      <c r="I129" s="85">
        <f t="shared" si="50"/>
        <v>0.04</v>
      </c>
      <c r="J129" s="85">
        <f t="shared" si="50"/>
        <v>0.04</v>
      </c>
      <c r="K129" s="85"/>
      <c r="L129" s="85"/>
      <c r="M129" s="85"/>
      <c r="N129" s="7"/>
      <c r="O129" s="7"/>
    </row>
    <row r="130" spans="1:15" x14ac:dyDescent="0.2">
      <c r="A130" s="7"/>
      <c r="B130" s="22" t="s">
        <v>270</v>
      </c>
      <c r="C130" s="22"/>
      <c r="D130" s="22"/>
      <c r="E130" s="22"/>
      <c r="F130" s="79">
        <f ca="1">F129*F128</f>
        <v>0</v>
      </c>
      <c r="G130" s="79">
        <f t="shared" ref="G130:J130" ca="1" si="51">G129*G128</f>
        <v>0</v>
      </c>
      <c r="H130" s="79">
        <f t="shared" ca="1" si="51"/>
        <v>0</v>
      </c>
      <c r="I130" s="79">
        <f t="shared" ca="1" si="51"/>
        <v>0</v>
      </c>
      <c r="J130" s="79">
        <f t="shared" ca="1" si="51"/>
        <v>0</v>
      </c>
      <c r="K130" s="22"/>
      <c r="L130" s="22"/>
      <c r="M130" s="22"/>
      <c r="N130" s="7"/>
      <c r="O130" s="7"/>
    </row>
    <row r="131" spans="1:15" x14ac:dyDescent="0.2">
      <c r="A131" s="7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7"/>
      <c r="O131" s="7"/>
    </row>
    <row r="132" spans="1:15" x14ac:dyDescent="0.2">
      <c r="A132" s="7"/>
      <c r="B132" s="82" t="s">
        <v>217</v>
      </c>
      <c r="C132" s="82"/>
      <c r="D132" s="82"/>
      <c r="E132" s="22"/>
      <c r="F132" s="22"/>
      <c r="G132" s="22"/>
      <c r="H132" s="22"/>
      <c r="I132" s="22"/>
      <c r="J132" s="22"/>
      <c r="K132" s="22"/>
      <c r="L132" s="22"/>
      <c r="M132" s="22"/>
      <c r="N132" s="7"/>
      <c r="O132" s="7"/>
    </row>
    <row r="133" spans="1:15" x14ac:dyDescent="0.2">
      <c r="A133" s="7"/>
      <c r="B133" s="22" t="s">
        <v>265</v>
      </c>
      <c r="C133" s="22"/>
      <c r="D133" s="22"/>
      <c r="E133" s="79"/>
      <c r="F133" s="79">
        <f>E136</f>
        <v>1426.452</v>
      </c>
      <c r="G133" s="79">
        <f t="shared" ref="G133:J133" ca="1" si="52">F136</f>
        <v>1316.4186666940648</v>
      </c>
      <c r="H133" s="79">
        <f t="shared" ca="1" si="52"/>
        <v>1160.245987883925</v>
      </c>
      <c r="I133" s="79">
        <f t="shared" ca="1" si="52"/>
        <v>951.01330594362958</v>
      </c>
      <c r="J133" s="79">
        <f t="shared" ca="1" si="52"/>
        <v>682.69274323068146</v>
      </c>
      <c r="K133" s="22"/>
      <c r="L133" s="22"/>
      <c r="M133" s="22"/>
      <c r="N133" s="7"/>
      <c r="O133" s="7"/>
    </row>
    <row r="134" spans="1:15" x14ac:dyDescent="0.2">
      <c r="A134" s="7"/>
      <c r="B134" s="22" t="s">
        <v>271</v>
      </c>
      <c r="C134" s="22"/>
      <c r="D134" s="22"/>
      <c r="E134" s="79"/>
      <c r="F134" s="79">
        <f>-MIN($E$136*$N$134,F133)</f>
        <v>-14.264520000000001</v>
      </c>
      <c r="G134" s="79">
        <f ca="1">-MIN($E$136*$N$134,G133)</f>
        <v>-14.264520000000001</v>
      </c>
      <c r="H134" s="79">
        <f ca="1">-MIN($E$136*$N$134,H133)</f>
        <v>-14.264520000000001</v>
      </c>
      <c r="I134" s="79">
        <f ca="1">-MIN($E$136*$N$134,I133)</f>
        <v>-14.264520000000001</v>
      </c>
      <c r="J134" s="79">
        <f ca="1">-MIN($E$136*$N$134,J133)</f>
        <v>-14.264520000000001</v>
      </c>
      <c r="K134" s="22"/>
      <c r="L134" s="22"/>
      <c r="M134" s="179" t="s">
        <v>272</v>
      </c>
      <c r="N134" s="9">
        <v>0.01</v>
      </c>
    </row>
    <row r="135" spans="1:15" x14ac:dyDescent="0.2">
      <c r="A135" s="7"/>
      <c r="B135" s="83" t="s">
        <v>273</v>
      </c>
      <c r="C135" s="83"/>
      <c r="D135" s="83"/>
      <c r="E135" s="84"/>
      <c r="F135" s="84">
        <f ca="1">IF($N$135=1,-MIN(F133+F134,F121+F125),0)</f>
        <v>-95.768813305935311</v>
      </c>
      <c r="G135" s="84">
        <f ca="1">IF($N$135=1,-MIN(G133+G134,G121+G125),0)</f>
        <v>-141.90815881013995</v>
      </c>
      <c r="H135" s="84">
        <f ca="1">IF($N$135=1,-MIN(H133+H134,H121+H125),0)</f>
        <v>-194.96816194029537</v>
      </c>
      <c r="I135" s="84">
        <f ca="1">IF($N$135=1,-MIN(I133+I134,I121+I125),0)</f>
        <v>-254.05604271294817</v>
      </c>
      <c r="J135" s="84">
        <f ca="1">IF($N$135=1,-MIN(J133+J134,J121+J125),0)</f>
        <v>-322.24344415811726</v>
      </c>
      <c r="K135" s="22"/>
      <c r="L135" s="22"/>
      <c r="M135" s="179" t="s">
        <v>274</v>
      </c>
      <c r="N135" s="8">
        <v>1</v>
      </c>
    </row>
    <row r="136" spans="1:15" x14ac:dyDescent="0.2">
      <c r="A136" s="7"/>
      <c r="B136" s="22" t="s">
        <v>267</v>
      </c>
      <c r="C136" s="22"/>
      <c r="D136" s="22"/>
      <c r="E136" s="79">
        <f>$D$17</f>
        <v>1426.452</v>
      </c>
      <c r="F136" s="79">
        <f ca="1">SUM(F133:F135)</f>
        <v>1316.4186666940648</v>
      </c>
      <c r="G136" s="79">
        <f t="shared" ref="G136:J136" ca="1" si="53">SUM(G133:G135)</f>
        <v>1160.245987883925</v>
      </c>
      <c r="H136" s="79">
        <f t="shared" ca="1" si="53"/>
        <v>951.01330594362958</v>
      </c>
      <c r="I136" s="79">
        <f t="shared" ca="1" si="53"/>
        <v>682.69274323068146</v>
      </c>
      <c r="J136" s="79">
        <f t="shared" ca="1" si="53"/>
        <v>346.18477907256425</v>
      </c>
      <c r="K136" s="22"/>
      <c r="L136" s="22"/>
      <c r="M136" s="22"/>
      <c r="N136" s="7"/>
    </row>
    <row r="137" spans="1:15" x14ac:dyDescent="0.2">
      <c r="A137" s="7"/>
      <c r="B137" s="22"/>
      <c r="C137" s="22"/>
      <c r="D137" s="22"/>
      <c r="E137" s="79"/>
      <c r="F137" s="79"/>
      <c r="G137" s="79"/>
      <c r="H137" s="79"/>
      <c r="I137" s="79"/>
      <c r="J137" s="79"/>
      <c r="K137" s="22"/>
      <c r="L137" s="22"/>
      <c r="M137" s="22"/>
      <c r="N137" s="7"/>
    </row>
    <row r="138" spans="1:15" x14ac:dyDescent="0.2">
      <c r="A138" s="7"/>
      <c r="B138" s="22" t="s">
        <v>268</v>
      </c>
      <c r="C138" s="22"/>
      <c r="D138" s="22"/>
      <c r="E138" s="79"/>
      <c r="F138" s="79">
        <f ca="1">AVERAGE(F133,F136)</f>
        <v>1371.4353333470324</v>
      </c>
      <c r="G138" s="79">
        <f t="shared" ref="G138:J138" ca="1" si="54">AVERAGE(G133,G136)</f>
        <v>1238.3323272889947</v>
      </c>
      <c r="H138" s="79">
        <f t="shared" ca="1" si="54"/>
        <v>1055.6296469137774</v>
      </c>
      <c r="I138" s="79">
        <f t="shared" ca="1" si="54"/>
        <v>816.85302458715546</v>
      </c>
      <c r="J138" s="79">
        <f t="shared" ca="1" si="54"/>
        <v>514.43876115162288</v>
      </c>
      <c r="K138" s="22"/>
      <c r="L138" s="22"/>
      <c r="M138" s="22"/>
      <c r="N138" s="7"/>
    </row>
    <row r="139" spans="1:15" x14ac:dyDescent="0.2">
      <c r="A139" s="7"/>
      <c r="B139" s="86" t="s">
        <v>269</v>
      </c>
      <c r="C139" s="86"/>
      <c r="D139" s="86"/>
      <c r="E139" s="86"/>
      <c r="F139" s="87">
        <f>$E$17</f>
        <v>7.0000000000000007E-2</v>
      </c>
      <c r="G139" s="87">
        <f t="shared" ref="G139:J139" si="55">$E$17</f>
        <v>7.0000000000000007E-2</v>
      </c>
      <c r="H139" s="87">
        <f t="shared" si="55"/>
        <v>7.0000000000000007E-2</v>
      </c>
      <c r="I139" s="87">
        <f t="shared" si="55"/>
        <v>7.0000000000000007E-2</v>
      </c>
      <c r="J139" s="87">
        <f t="shared" si="55"/>
        <v>7.0000000000000007E-2</v>
      </c>
      <c r="K139" s="85"/>
      <c r="L139" s="85"/>
      <c r="M139" s="22"/>
      <c r="N139" s="7"/>
    </row>
    <row r="140" spans="1:15" x14ac:dyDescent="0.2">
      <c r="A140" s="7"/>
      <c r="B140" s="22" t="s">
        <v>270</v>
      </c>
      <c r="C140" s="22"/>
      <c r="D140" s="22"/>
      <c r="E140" s="88"/>
      <c r="F140" s="79">
        <f ca="1">F138*F139</f>
        <v>96.00047333429228</v>
      </c>
      <c r="G140" s="79">
        <f t="shared" ref="G140:J140" ca="1" si="56">G138*G139</f>
        <v>86.683262910229644</v>
      </c>
      <c r="H140" s="79">
        <f t="shared" ca="1" si="56"/>
        <v>73.894075283964426</v>
      </c>
      <c r="I140" s="79">
        <f t="shared" ca="1" si="56"/>
        <v>57.179711721100887</v>
      </c>
      <c r="J140" s="79">
        <f t="shared" ca="1" si="56"/>
        <v>36.010713280613608</v>
      </c>
      <c r="K140" s="22"/>
      <c r="L140" s="22"/>
      <c r="M140" s="22"/>
      <c r="N140" s="7"/>
    </row>
    <row r="141" spans="1:15" x14ac:dyDescent="0.2">
      <c r="A141" s="7"/>
      <c r="B141" s="22"/>
      <c r="C141" s="22"/>
      <c r="D141" s="22"/>
      <c r="E141" s="88"/>
      <c r="F141" s="79"/>
      <c r="G141" s="79"/>
      <c r="H141" s="79"/>
      <c r="I141" s="79"/>
      <c r="J141" s="79"/>
      <c r="K141" s="22"/>
      <c r="L141" s="22"/>
      <c r="M141" s="22"/>
      <c r="N141" s="7"/>
    </row>
    <row r="142" spans="1:15" x14ac:dyDescent="0.2">
      <c r="A142" s="7"/>
      <c r="B142" s="82" t="s">
        <v>218</v>
      </c>
      <c r="C142" s="82"/>
      <c r="D142" s="82"/>
      <c r="E142" s="22"/>
      <c r="F142" s="22"/>
      <c r="G142" s="22"/>
      <c r="H142" s="22"/>
      <c r="I142" s="22"/>
      <c r="J142" s="22"/>
      <c r="K142" s="22"/>
      <c r="L142" s="22"/>
      <c r="M142" s="22"/>
      <c r="N142" s="7"/>
    </row>
    <row r="143" spans="1:15" x14ac:dyDescent="0.2">
      <c r="A143" s="7"/>
      <c r="B143" s="22" t="s">
        <v>265</v>
      </c>
      <c r="C143" s="22"/>
      <c r="D143" s="22"/>
      <c r="E143" s="79"/>
      <c r="F143" s="79">
        <f>E147</f>
        <v>534.91949999999997</v>
      </c>
      <c r="G143" s="79">
        <f t="shared" ref="G143:J143" ca="1" si="57">F147</f>
        <v>583.06225499999994</v>
      </c>
      <c r="H143" s="79">
        <f t="shared" ca="1" si="57"/>
        <v>635.53785794999999</v>
      </c>
      <c r="I143" s="79">
        <f t="shared" ca="1" si="57"/>
        <v>692.73626516549996</v>
      </c>
      <c r="J143" s="79">
        <f t="shared" ca="1" si="57"/>
        <v>755.08252903039499</v>
      </c>
      <c r="K143" s="22"/>
      <c r="L143" s="22"/>
      <c r="M143" s="22"/>
      <c r="N143" s="7"/>
    </row>
    <row r="144" spans="1:15" x14ac:dyDescent="0.2">
      <c r="A144" s="7"/>
      <c r="B144" s="22" t="s">
        <v>275</v>
      </c>
      <c r="C144" s="22"/>
      <c r="D144" s="22"/>
      <c r="E144" s="79"/>
      <c r="F144" s="79">
        <f>F151</f>
        <v>48.142754999999994</v>
      </c>
      <c r="G144" s="79">
        <f t="shared" ref="G144:J144" ca="1" si="58">G151</f>
        <v>52.475602949999995</v>
      </c>
      <c r="H144" s="79">
        <f t="shared" ca="1" si="58"/>
        <v>57.198407215499998</v>
      </c>
      <c r="I144" s="79">
        <f t="shared" ca="1" si="58"/>
        <v>62.346263864894993</v>
      </c>
      <c r="J144" s="79">
        <f t="shared" ca="1" si="58"/>
        <v>67.957427612735543</v>
      </c>
      <c r="K144" s="22"/>
      <c r="L144" s="22"/>
      <c r="M144" s="22"/>
      <c r="N144" s="7"/>
    </row>
    <row r="145" spans="1:15" x14ac:dyDescent="0.2">
      <c r="A145" s="7"/>
      <c r="B145" s="22" t="s">
        <v>271</v>
      </c>
      <c r="C145" s="22"/>
      <c r="D145" s="22"/>
      <c r="E145" s="79"/>
      <c r="F145" s="79">
        <f>-MIN(F143+F144,$E$147*$N$145)</f>
        <v>0</v>
      </c>
      <c r="G145" s="79">
        <f ca="1">-MIN(G143+G144,$E$147*$N$145)</f>
        <v>0</v>
      </c>
      <c r="H145" s="79">
        <f ca="1">-MIN(H143+H144,$E$147*$N$145)</f>
        <v>0</v>
      </c>
      <c r="I145" s="79">
        <f ca="1">-MIN(I143+I144,$E$147*$N$145)</f>
        <v>0</v>
      </c>
      <c r="J145" s="79">
        <f ca="1">-MIN(J143+J144,$E$147*$N$145)</f>
        <v>0</v>
      </c>
      <c r="K145" s="22"/>
      <c r="L145" s="22"/>
      <c r="M145" s="179" t="s">
        <v>272</v>
      </c>
      <c r="N145" s="9">
        <v>0</v>
      </c>
    </row>
    <row r="146" spans="1:15" x14ac:dyDescent="0.2">
      <c r="A146" s="7"/>
      <c r="B146" s="83" t="s">
        <v>273</v>
      </c>
      <c r="C146" s="83"/>
      <c r="D146" s="83"/>
      <c r="E146" s="84"/>
      <c r="F146" s="84">
        <f ca="1">IF($N$146=1,-MIN(F143+F144+F145,F121+F125+F135),0)</f>
        <v>0</v>
      </c>
      <c r="G146" s="84">
        <f ca="1">IF($N$146=1,-MIN(G143+G144+G145,G121+G125+G135),0)</f>
        <v>0</v>
      </c>
      <c r="H146" s="84">
        <f ca="1">IF($N$146=1,-MIN(H143+H144+H145,H121+H125+H135),0)</f>
        <v>0</v>
      </c>
      <c r="I146" s="84">
        <f ca="1">IF($N$146=1,-MIN(I143+I144+I145,I121+I125+I135),0)</f>
        <v>0</v>
      </c>
      <c r="J146" s="84">
        <f ca="1">IF($N$146=1,-MIN(J143+J144+J145,J121+J125+J135),0)</f>
        <v>0</v>
      </c>
      <c r="K146" s="22"/>
      <c r="L146" s="22"/>
      <c r="M146" s="179" t="s">
        <v>274</v>
      </c>
      <c r="N146" s="8">
        <v>1</v>
      </c>
    </row>
    <row r="147" spans="1:15" x14ac:dyDescent="0.2">
      <c r="A147" s="7"/>
      <c r="B147" s="22" t="s">
        <v>267</v>
      </c>
      <c r="C147" s="22"/>
      <c r="D147" s="22"/>
      <c r="E147" s="79">
        <f>$D$18</f>
        <v>534.91949999999997</v>
      </c>
      <c r="F147" s="79">
        <f ca="1">SUM(F143:F146)</f>
        <v>583.06225499999994</v>
      </c>
      <c r="G147" s="79">
        <f ca="1">SUM(G143:G146)</f>
        <v>635.53785794999999</v>
      </c>
      <c r="H147" s="79">
        <f ca="1">SUM(H143:H146)</f>
        <v>692.73626516549996</v>
      </c>
      <c r="I147" s="79">
        <f ca="1">SUM(I143:I146)</f>
        <v>755.08252903039499</v>
      </c>
      <c r="J147" s="79">
        <f ca="1">SUM(J143:J146)</f>
        <v>823.03995664313049</v>
      </c>
      <c r="K147" s="22"/>
      <c r="L147" s="22"/>
      <c r="M147" s="22"/>
      <c r="N147" s="7"/>
      <c r="O147" s="7"/>
    </row>
    <row r="148" spans="1:15" x14ac:dyDescent="0.2">
      <c r="A148" s="7"/>
      <c r="B148" s="22"/>
      <c r="C148" s="22"/>
      <c r="D148" s="22"/>
      <c r="E148" s="79"/>
      <c r="F148" s="79"/>
      <c r="G148" s="79"/>
      <c r="H148" s="79"/>
      <c r="I148" s="79"/>
      <c r="J148" s="79"/>
      <c r="K148" s="22"/>
      <c r="L148" s="22"/>
      <c r="M148" s="22"/>
      <c r="N148" s="7"/>
      <c r="O148" s="7"/>
    </row>
    <row r="149" spans="1:15" x14ac:dyDescent="0.2">
      <c r="A149" s="7"/>
      <c r="B149" s="22" t="s">
        <v>265</v>
      </c>
      <c r="C149" s="22"/>
      <c r="D149" s="22"/>
      <c r="E149" s="79"/>
      <c r="F149" s="79">
        <f>F143</f>
        <v>534.91949999999997</v>
      </c>
      <c r="G149" s="79">
        <f t="shared" ref="G149:J149" ca="1" si="59">G143</f>
        <v>583.06225499999994</v>
      </c>
      <c r="H149" s="79">
        <f t="shared" ca="1" si="59"/>
        <v>635.53785794999999</v>
      </c>
      <c r="I149" s="79">
        <f t="shared" ca="1" si="59"/>
        <v>692.73626516549996</v>
      </c>
      <c r="J149" s="79">
        <f t="shared" ca="1" si="59"/>
        <v>755.08252903039499</v>
      </c>
      <c r="K149" s="22"/>
      <c r="L149" s="22"/>
      <c r="M149" s="22"/>
      <c r="N149" s="7"/>
      <c r="O149" s="7"/>
    </row>
    <row r="150" spans="1:15" x14ac:dyDescent="0.2">
      <c r="A150" s="7"/>
      <c r="B150" s="22" t="s">
        <v>276</v>
      </c>
      <c r="C150" s="22"/>
      <c r="D150" s="22"/>
      <c r="E150" s="79"/>
      <c r="F150" s="89">
        <f>$F$18</f>
        <v>0.09</v>
      </c>
      <c r="G150" s="89">
        <f t="shared" ref="G150:J150" si="60">$F$18</f>
        <v>0.09</v>
      </c>
      <c r="H150" s="89">
        <f t="shared" si="60"/>
        <v>0.09</v>
      </c>
      <c r="I150" s="89">
        <f t="shared" si="60"/>
        <v>0.09</v>
      </c>
      <c r="J150" s="89">
        <f t="shared" si="60"/>
        <v>0.09</v>
      </c>
      <c r="K150" s="22"/>
      <c r="L150" s="22"/>
      <c r="M150" s="22"/>
      <c r="N150" s="7"/>
      <c r="O150" s="7"/>
    </row>
    <row r="151" spans="1:15" x14ac:dyDescent="0.2">
      <c r="A151" s="7"/>
      <c r="B151" s="22" t="s">
        <v>277</v>
      </c>
      <c r="C151" s="22"/>
      <c r="D151" s="22"/>
      <c r="E151" s="79"/>
      <c r="F151" s="79">
        <f>F149*F150</f>
        <v>48.142754999999994</v>
      </c>
      <c r="G151" s="79">
        <f t="shared" ref="G151:J151" ca="1" si="61">G149*G150</f>
        <v>52.475602949999995</v>
      </c>
      <c r="H151" s="79">
        <f t="shared" ca="1" si="61"/>
        <v>57.198407215499998</v>
      </c>
      <c r="I151" s="79">
        <f t="shared" ca="1" si="61"/>
        <v>62.346263864894993</v>
      </c>
      <c r="J151" s="79">
        <f t="shared" ca="1" si="61"/>
        <v>67.957427612735543</v>
      </c>
      <c r="K151" s="22"/>
      <c r="L151" s="22"/>
      <c r="M151" s="22"/>
      <c r="N151" s="7"/>
      <c r="O151" s="7"/>
    </row>
    <row r="152" spans="1:15" x14ac:dyDescent="0.2">
      <c r="A152" s="7"/>
      <c r="B152" s="22"/>
      <c r="C152" s="22"/>
      <c r="D152" s="22"/>
      <c r="E152" s="79"/>
      <c r="F152" s="79"/>
      <c r="G152" s="79"/>
      <c r="H152" s="79"/>
      <c r="I152" s="79"/>
      <c r="J152" s="79"/>
      <c r="K152" s="22"/>
      <c r="L152" s="22"/>
      <c r="M152" s="22"/>
      <c r="N152" s="7"/>
      <c r="O152" s="7"/>
    </row>
    <row r="153" spans="1:15" x14ac:dyDescent="0.2">
      <c r="A153" s="7"/>
      <c r="B153" s="22" t="s">
        <v>268</v>
      </c>
      <c r="C153" s="22"/>
      <c r="D153" s="22"/>
      <c r="E153" s="79"/>
      <c r="F153" s="79">
        <f ca="1">AVERAGE(F143,F147)</f>
        <v>558.9908774999999</v>
      </c>
      <c r="G153" s="79">
        <f ca="1">AVERAGE(G143,G147)</f>
        <v>609.30005647500002</v>
      </c>
      <c r="H153" s="79">
        <f ca="1">AVERAGE(H143,H147)</f>
        <v>664.13706155775003</v>
      </c>
      <c r="I153" s="79">
        <f ca="1">AVERAGE(I143,I147)</f>
        <v>723.90939709794748</v>
      </c>
      <c r="J153" s="79">
        <f ca="1">AVERAGE(J143,J147)</f>
        <v>789.06124283676274</v>
      </c>
      <c r="K153" s="22"/>
      <c r="L153" s="22"/>
      <c r="M153" s="22"/>
      <c r="N153" s="7"/>
      <c r="O153" s="7"/>
    </row>
    <row r="154" spans="1:15" x14ac:dyDescent="0.2">
      <c r="A154" s="7"/>
      <c r="B154" s="86" t="s">
        <v>269</v>
      </c>
      <c r="C154" s="86"/>
      <c r="D154" s="86"/>
      <c r="E154" s="86"/>
      <c r="F154" s="87">
        <f>$E$18</f>
        <v>0.04</v>
      </c>
      <c r="G154" s="87">
        <f t="shared" ref="G154:J154" si="62">$E$18</f>
        <v>0.04</v>
      </c>
      <c r="H154" s="87">
        <f t="shared" si="62"/>
        <v>0.04</v>
      </c>
      <c r="I154" s="87">
        <f t="shared" si="62"/>
        <v>0.04</v>
      </c>
      <c r="J154" s="87">
        <f t="shared" si="62"/>
        <v>0.04</v>
      </c>
      <c r="K154" s="85"/>
      <c r="L154" s="85"/>
      <c r="M154" s="85"/>
      <c r="N154" s="7"/>
      <c r="O154" s="7"/>
    </row>
    <row r="155" spans="1:15" x14ac:dyDescent="0.2">
      <c r="A155" s="7"/>
      <c r="B155" s="22" t="s">
        <v>270</v>
      </c>
      <c r="C155" s="22"/>
      <c r="D155" s="22"/>
      <c r="E155" s="88"/>
      <c r="F155" s="79">
        <f ca="1">F153*F154</f>
        <v>22.359635099999995</v>
      </c>
      <c r="G155" s="79">
        <f t="shared" ref="G155:J155" ca="1" si="63">G153*G154</f>
        <v>24.372002259000002</v>
      </c>
      <c r="H155" s="79">
        <f t="shared" ca="1" si="63"/>
        <v>26.565482462310001</v>
      </c>
      <c r="I155" s="79">
        <f t="shared" ca="1" si="63"/>
        <v>28.9563758839179</v>
      </c>
      <c r="J155" s="79">
        <f t="shared" ca="1" si="63"/>
        <v>31.56244971347051</v>
      </c>
      <c r="K155" s="22"/>
      <c r="L155" s="22"/>
      <c r="M155" s="22"/>
      <c r="N155" s="7"/>
      <c r="O155" s="7"/>
    </row>
    <row r="156" spans="1:15" x14ac:dyDescent="0.2">
      <c r="A156" s="7"/>
      <c r="B156" s="22"/>
      <c r="C156" s="22"/>
      <c r="D156" s="22"/>
      <c r="E156" s="88"/>
      <c r="F156" s="79"/>
      <c r="G156" s="79"/>
      <c r="H156" s="79"/>
      <c r="I156" s="79"/>
      <c r="J156" s="79"/>
      <c r="K156" s="22"/>
      <c r="L156" s="22"/>
      <c r="M156" s="22"/>
      <c r="N156" s="7"/>
      <c r="O156" s="7"/>
    </row>
    <row r="157" spans="1:15" x14ac:dyDescent="0.2">
      <c r="A157" s="7"/>
      <c r="B157" s="22" t="s">
        <v>278</v>
      </c>
      <c r="C157" s="22"/>
      <c r="D157" s="22"/>
      <c r="E157" s="88"/>
      <c r="F157" s="79">
        <f ca="1">SUM(F155,F130,F151,F140)</f>
        <v>166.50286343429227</v>
      </c>
      <c r="G157" s="79">
        <f t="shared" ref="G157:J157" ca="1" si="64">SUM(G155,G130,G151,G140)</f>
        <v>163.53086811922964</v>
      </c>
      <c r="H157" s="79">
        <f t="shared" ca="1" si="64"/>
        <v>157.65796496177444</v>
      </c>
      <c r="I157" s="79">
        <f t="shared" ca="1" si="64"/>
        <v>148.48235146991379</v>
      </c>
      <c r="J157" s="79">
        <f t="shared" ca="1" si="64"/>
        <v>135.53059060681966</v>
      </c>
      <c r="K157" s="22"/>
      <c r="L157" s="22"/>
      <c r="M157" s="22"/>
      <c r="N157" s="7"/>
      <c r="O157" s="7"/>
    </row>
    <row r="159" spans="1:15" x14ac:dyDescent="0.2">
      <c r="A159" s="6" t="s">
        <v>205</v>
      </c>
      <c r="B159" s="42" t="s">
        <v>279</v>
      </c>
      <c r="C159" s="42"/>
      <c r="D159" s="42"/>
      <c r="E159" s="43"/>
      <c r="F159" s="43"/>
      <c r="G159" s="43"/>
      <c r="H159" s="43"/>
      <c r="I159" s="43"/>
      <c r="J159" s="43"/>
    </row>
    <row r="160" spans="1:15" x14ac:dyDescent="0.2">
      <c r="A160" s="5"/>
    </row>
    <row r="161" spans="1:10" x14ac:dyDescent="0.2">
      <c r="A161" s="7"/>
      <c r="B161" s="77"/>
      <c r="C161" s="77"/>
      <c r="D161" s="77"/>
      <c r="E161" s="78">
        <f t="shared" ref="E161:J161" si="65">E117</f>
        <v>0</v>
      </c>
      <c r="F161" s="78">
        <f t="shared" si="65"/>
        <v>1</v>
      </c>
      <c r="G161" s="78">
        <f t="shared" si="65"/>
        <v>2</v>
      </c>
      <c r="H161" s="78">
        <f t="shared" si="65"/>
        <v>3</v>
      </c>
      <c r="I161" s="78">
        <f t="shared" si="65"/>
        <v>4</v>
      </c>
      <c r="J161" s="78">
        <f t="shared" si="65"/>
        <v>5</v>
      </c>
    </row>
    <row r="162" spans="1:10" x14ac:dyDescent="0.2">
      <c r="A162" s="5"/>
      <c r="B162" s="1" t="s">
        <v>280</v>
      </c>
      <c r="F162" s="46">
        <f>F61</f>
        <v>425.1566364296242</v>
      </c>
      <c r="G162" s="46">
        <f>G61</f>
        <v>492.16017913363635</v>
      </c>
      <c r="H162" s="46">
        <f>H61</f>
        <v>565.63974172663688</v>
      </c>
      <c r="I162" s="46">
        <f>I61</f>
        <v>646.12922403213827</v>
      </c>
      <c r="J162" s="46">
        <f>J61</f>
        <v>734.20316082136014</v>
      </c>
    </row>
    <row r="163" spans="1:10" x14ac:dyDescent="0.2">
      <c r="A163" s="5"/>
      <c r="B163" s="1" t="s">
        <v>281</v>
      </c>
      <c r="F163" s="12">
        <f>$C$8</f>
        <v>14.733520651238177</v>
      </c>
      <c r="G163" s="12">
        <f t="shared" ref="G163:J163" si="66">$C$8</f>
        <v>14.733520651238177</v>
      </c>
      <c r="H163" s="12">
        <f t="shared" si="66"/>
        <v>14.733520651238177</v>
      </c>
      <c r="I163" s="12">
        <f t="shared" si="66"/>
        <v>14.733520651238177</v>
      </c>
      <c r="J163" s="12">
        <f t="shared" si="66"/>
        <v>14.733520651238177</v>
      </c>
    </row>
    <row r="164" spans="1:10" x14ac:dyDescent="0.2">
      <c r="A164" s="5"/>
    </row>
    <row r="165" spans="1:10" x14ac:dyDescent="0.2">
      <c r="A165" s="5"/>
      <c r="B165" s="1" t="s">
        <v>282</v>
      </c>
      <c r="F165" s="47">
        <f>F162*F163</f>
        <v>6264.0540828468293</v>
      </c>
      <c r="G165" s="47">
        <f t="shared" ref="G165:J165" si="67">G162*G163</f>
        <v>7251.2521629825114</v>
      </c>
      <c r="H165" s="47">
        <f t="shared" si="67"/>
        <v>8333.8648158904325</v>
      </c>
      <c r="I165" s="47">
        <f t="shared" si="67"/>
        <v>9519.7582656460072</v>
      </c>
      <c r="J165" s="47">
        <f t="shared" si="67"/>
        <v>10817.397432165853</v>
      </c>
    </row>
    <row r="166" spans="1:10" x14ac:dyDescent="0.2">
      <c r="A166" s="5"/>
    </row>
    <row r="167" spans="1:10" x14ac:dyDescent="0.2">
      <c r="A167" s="5"/>
      <c r="B167" s="1" t="s">
        <v>61</v>
      </c>
      <c r="F167" s="76">
        <f ca="1">-SUM(F147,F136,F126)</f>
        <v>-1899.4809216940648</v>
      </c>
      <c r="G167" s="76">
        <f ca="1">-SUM(G147,G136,G126)</f>
        <v>-1795.7838458339249</v>
      </c>
      <c r="H167" s="76">
        <f ca="1">-SUM(H147,H136,H126)</f>
        <v>-1643.7495711091296</v>
      </c>
      <c r="I167" s="76">
        <f ca="1">-SUM(I147,I136,I126)</f>
        <v>-1437.7752722610765</v>
      </c>
      <c r="J167" s="76">
        <f ca="1">-SUM(J147,J136,J126)</f>
        <v>-1169.2247357156948</v>
      </c>
    </row>
    <row r="168" spans="1:10" x14ac:dyDescent="0.2">
      <c r="A168" s="5"/>
      <c r="B168" s="1" t="s">
        <v>283</v>
      </c>
      <c r="F168" s="76">
        <f ca="1">F91</f>
        <v>0</v>
      </c>
      <c r="G168" s="76">
        <f ca="1">G91</f>
        <v>0</v>
      </c>
      <c r="H168" s="76">
        <f ca="1">H91</f>
        <v>0</v>
      </c>
      <c r="I168" s="76">
        <f ca="1">I91</f>
        <v>0</v>
      </c>
      <c r="J168" s="76">
        <f ca="1">J91</f>
        <v>0</v>
      </c>
    </row>
    <row r="169" spans="1:10" x14ac:dyDescent="0.2">
      <c r="A169" s="7"/>
      <c r="B169" s="80" t="s">
        <v>284</v>
      </c>
      <c r="C169" s="80"/>
      <c r="D169" s="80"/>
      <c r="E169" s="80"/>
      <c r="F169" s="81">
        <f ca="1">SUM(F165,F167:F168)</f>
        <v>4364.5731611527644</v>
      </c>
      <c r="G169" s="81">
        <f t="shared" ref="G169:J169" ca="1" si="68">SUM(G165,G167:G168)</f>
        <v>5455.4683171485867</v>
      </c>
      <c r="H169" s="81">
        <f t="shared" ca="1" si="68"/>
        <v>6690.1152447813029</v>
      </c>
      <c r="I169" s="81">
        <f t="shared" ca="1" si="68"/>
        <v>8081.9829933849305</v>
      </c>
      <c r="J169" s="81">
        <f t="shared" ca="1" si="68"/>
        <v>9648.1726964501577</v>
      </c>
    </row>
    <row r="170" spans="1:10" x14ac:dyDescent="0.2">
      <c r="A170" s="5"/>
      <c r="F170" s="76"/>
      <c r="G170" s="76"/>
      <c r="H170" s="76"/>
      <c r="I170" s="76"/>
      <c r="J170" s="76"/>
    </row>
    <row r="171" spans="1:10" x14ac:dyDescent="0.2">
      <c r="A171" s="5"/>
      <c r="B171" s="1" t="s">
        <v>285</v>
      </c>
      <c r="E171" s="76">
        <f>-$C$39</f>
        <v>-2246.4426659999999</v>
      </c>
      <c r="F171" s="76">
        <f>-$C$39</f>
        <v>-2246.4426659999999</v>
      </c>
      <c r="G171" s="76">
        <f t="shared" ref="G171:J171" si="69">-$C$39</f>
        <v>-2246.4426659999999</v>
      </c>
      <c r="H171" s="76">
        <f t="shared" si="69"/>
        <v>-2246.4426659999999</v>
      </c>
      <c r="I171" s="76">
        <f t="shared" si="69"/>
        <v>-2246.4426659999999</v>
      </c>
      <c r="J171" s="76">
        <f t="shared" si="69"/>
        <v>-2246.4426659999999</v>
      </c>
    </row>
    <row r="172" spans="1:10" x14ac:dyDescent="0.2">
      <c r="A172" s="7"/>
      <c r="B172" s="80" t="s">
        <v>286</v>
      </c>
      <c r="C172" s="80"/>
      <c r="D172" s="80"/>
      <c r="E172" s="80"/>
      <c r="F172" s="81">
        <f ca="1">SUM(F169,F171)</f>
        <v>2118.1304951527645</v>
      </c>
      <c r="G172" s="81">
        <f t="shared" ref="G172:J172" ca="1" si="70">SUM(G169,G171)</f>
        <v>3209.0256511485868</v>
      </c>
      <c r="H172" s="81">
        <f t="shared" ca="1" si="70"/>
        <v>4443.6725787813029</v>
      </c>
      <c r="I172" s="81">
        <f t="shared" ca="1" si="70"/>
        <v>5835.5403273849306</v>
      </c>
      <c r="J172" s="81">
        <f t="shared" ca="1" si="70"/>
        <v>7401.7300304501578</v>
      </c>
    </row>
    <row r="173" spans="1:10" x14ac:dyDescent="0.2">
      <c r="A173" s="5"/>
      <c r="F173" s="76"/>
      <c r="G173" s="76"/>
      <c r="H173" s="76"/>
      <c r="I173" s="76"/>
      <c r="J173" s="76"/>
    </row>
    <row r="174" spans="1:10" x14ac:dyDescent="0.2">
      <c r="A174" s="5"/>
      <c r="B174" s="1" t="s">
        <v>287</v>
      </c>
      <c r="E174" s="90">
        <v>7.4999999999999997E-2</v>
      </c>
      <c r="F174" s="76">
        <f ca="1">-F172*$E$174</f>
        <v>-158.85978713645733</v>
      </c>
      <c r="G174" s="76">
        <f t="shared" ref="G174:J174" ca="1" si="71">-G172*$E$174</f>
        <v>-240.676923836144</v>
      </c>
      <c r="H174" s="76">
        <f t="shared" ca="1" si="71"/>
        <v>-333.27544340859771</v>
      </c>
      <c r="I174" s="76">
        <f t="shared" ca="1" si="71"/>
        <v>-437.66552455386977</v>
      </c>
      <c r="J174" s="76">
        <f t="shared" ca="1" si="71"/>
        <v>-555.12975228376183</v>
      </c>
    </row>
    <row r="175" spans="1:10" x14ac:dyDescent="0.2">
      <c r="A175" s="7"/>
      <c r="B175" s="80" t="s">
        <v>288</v>
      </c>
      <c r="C175" s="80"/>
      <c r="D175" s="80"/>
      <c r="E175" s="80"/>
      <c r="F175" s="81">
        <f ca="1">SUM(F174,F172)</f>
        <v>1959.2707080163073</v>
      </c>
      <c r="G175" s="81">
        <f t="shared" ref="G175:J175" ca="1" si="72">SUM(G174,G172)</f>
        <v>2968.3487273124429</v>
      </c>
      <c r="H175" s="81">
        <f t="shared" ca="1" si="72"/>
        <v>4110.3971353727056</v>
      </c>
      <c r="I175" s="81">
        <f t="shared" ca="1" si="72"/>
        <v>5397.8748028310611</v>
      </c>
      <c r="J175" s="81">
        <f t="shared" ca="1" si="72"/>
        <v>6846.6002781663956</v>
      </c>
    </row>
    <row r="177" spans="2:10" x14ac:dyDescent="0.2">
      <c r="B177" s="53" t="s">
        <v>289</v>
      </c>
      <c r="C177" s="53"/>
      <c r="D177" s="53"/>
      <c r="E177" s="53"/>
      <c r="F177" s="94"/>
      <c r="G177" s="94"/>
      <c r="H177" s="94"/>
      <c r="I177" s="94"/>
      <c r="J177" s="94"/>
    </row>
    <row r="178" spans="2:10" x14ac:dyDescent="0.2">
      <c r="B178" s="75">
        <v>46022</v>
      </c>
      <c r="E178" s="76">
        <f>E171</f>
        <v>-2246.4426659999999</v>
      </c>
      <c r="F178" s="76">
        <f t="shared" ref="F178:J178" si="73">F171</f>
        <v>-2246.4426659999999</v>
      </c>
      <c r="G178" s="76">
        <f t="shared" si="73"/>
        <v>-2246.4426659999999</v>
      </c>
      <c r="H178" s="76">
        <f t="shared" si="73"/>
        <v>-2246.4426659999999</v>
      </c>
      <c r="I178" s="76">
        <f t="shared" si="73"/>
        <v>-2246.4426659999999</v>
      </c>
      <c r="J178" s="76">
        <f t="shared" si="73"/>
        <v>-2246.4426659999999</v>
      </c>
    </row>
    <row r="179" spans="2:10" x14ac:dyDescent="0.2">
      <c r="B179" s="75">
        <f>EOMONTH(B178,12)</f>
        <v>46387</v>
      </c>
      <c r="F179" s="76">
        <f ca="1">F175</f>
        <v>1959.2707080163073</v>
      </c>
    </row>
    <row r="180" spans="2:10" x14ac:dyDescent="0.2">
      <c r="B180" s="75">
        <f t="shared" ref="B180:B183" si="74">EOMONTH(B179,12)</f>
        <v>46752</v>
      </c>
      <c r="G180" s="76">
        <f ca="1">G175</f>
        <v>2968.3487273124429</v>
      </c>
    </row>
    <row r="181" spans="2:10" x14ac:dyDescent="0.2">
      <c r="B181" s="75">
        <f t="shared" si="74"/>
        <v>47118</v>
      </c>
      <c r="H181" s="76">
        <f ca="1">H175</f>
        <v>4110.3971353727056</v>
      </c>
    </row>
    <row r="182" spans="2:10" x14ac:dyDescent="0.2">
      <c r="B182" s="75">
        <f t="shared" si="74"/>
        <v>47483</v>
      </c>
      <c r="I182" s="76">
        <f ca="1">I175</f>
        <v>5397.8748028310611</v>
      </c>
    </row>
    <row r="183" spans="2:10" x14ac:dyDescent="0.2">
      <c r="B183" s="75">
        <f t="shared" si="74"/>
        <v>47848</v>
      </c>
      <c r="J183" s="76">
        <f ca="1">J175</f>
        <v>6846.6002781663956</v>
      </c>
    </row>
    <row r="184" spans="2:10" x14ac:dyDescent="0.2">
      <c r="B184" s="91" t="s">
        <v>290</v>
      </c>
      <c r="C184" s="91"/>
      <c r="D184" s="91"/>
      <c r="E184" s="91"/>
      <c r="F184" s="175">
        <f ca="1">XIRR(F178:F183,$B$178:$B$183)</f>
        <v>-0.12783409096300599</v>
      </c>
      <c r="G184" s="175">
        <f t="shared" ref="G184:J184" ca="1" si="75">XIRR(G178:G183,$B$178:$B$183)</f>
        <v>0.14950216412544257</v>
      </c>
      <c r="H184" s="175">
        <f t="shared" ca="1" si="75"/>
        <v>0.22287766337394715</v>
      </c>
      <c r="I184" s="175">
        <f t="shared" ca="1" si="75"/>
        <v>0.24484912753105162</v>
      </c>
      <c r="J184" s="175">
        <f t="shared" ca="1" si="75"/>
        <v>0.24951915144920347</v>
      </c>
    </row>
    <row r="185" spans="2:10" x14ac:dyDescent="0.2">
      <c r="B185" s="92" t="s">
        <v>291</v>
      </c>
      <c r="C185" s="92"/>
      <c r="D185" s="92"/>
      <c r="E185" s="92"/>
      <c r="F185" s="93">
        <f ca="1">SUM(F179:F183)/-F178</f>
        <v>0.87216590820230944</v>
      </c>
      <c r="G185" s="93">
        <f t="shared" ref="G185:J185" ca="1" si="76">SUM(G179:G183)/-G178</f>
        <v>1.321355212950021</v>
      </c>
      <c r="H185" s="93">
        <f t="shared" ca="1" si="76"/>
        <v>1.8297360522855675</v>
      </c>
      <c r="I185" s="93">
        <f t="shared" ca="1" si="76"/>
        <v>2.4028544705494217</v>
      </c>
      <c r="J185" s="93">
        <f t="shared" ca="1" si="76"/>
        <v>3.047752066763139</v>
      </c>
    </row>
    <row r="187" spans="2:10" x14ac:dyDescent="0.2">
      <c r="D187" s="176" t="s">
        <v>429</v>
      </c>
      <c r="E187" s="176"/>
      <c r="F187" s="177"/>
      <c r="G187" s="176"/>
      <c r="H187" s="176"/>
    </row>
    <row r="188" spans="2:10" x14ac:dyDescent="0.2">
      <c r="C188" s="100">
        <f ca="1">$J$184</f>
        <v>0.24951915144920347</v>
      </c>
      <c r="D188" s="104">
        <f>E188-5%</f>
        <v>0.10000000000000002</v>
      </c>
      <c r="E188" s="104">
        <f>F188-5%</f>
        <v>0.15000000000000002</v>
      </c>
      <c r="F188" s="114">
        <v>0.2</v>
      </c>
      <c r="G188" s="104">
        <f>F188+5%</f>
        <v>0.25</v>
      </c>
      <c r="H188" s="104">
        <f>G188+5%</f>
        <v>0.3</v>
      </c>
    </row>
    <row r="189" spans="2:10" x14ac:dyDescent="0.2">
      <c r="B189" s="102"/>
      <c r="C189" s="103">
        <f>C190-1</f>
        <v>12.733520651238177</v>
      </c>
      <c r="D189" s="101">
        <f t="dataTable" ref="D189:H193" dt2D="1" dtr="1" r1="C9" r2="C8" ca="1"/>
        <v>0.24417955279350284</v>
      </c>
      <c r="E189" s="101">
        <v>0.21899854540824887</v>
      </c>
      <c r="F189" s="101">
        <v>0.19549123644828792</v>
      </c>
      <c r="G189" s="101">
        <v>0.17339860796928402</v>
      </c>
      <c r="H189" s="101">
        <v>0.15251186490058899</v>
      </c>
    </row>
    <row r="190" spans="2:10" x14ac:dyDescent="0.2">
      <c r="B190" s="102"/>
      <c r="C190" s="103">
        <f>C191-1</f>
        <v>13.733520651238177</v>
      </c>
      <c r="D190" s="101">
        <v>0.27213820815086365</v>
      </c>
      <c r="E190" s="105">
        <v>0.24705887436866761</v>
      </c>
      <c r="F190" s="106">
        <v>0.2236978352069855</v>
      </c>
      <c r="G190" s="107">
        <v>0.20179325938224796</v>
      </c>
      <c r="H190" s="101">
        <v>0.181134432554245</v>
      </c>
    </row>
    <row r="191" spans="2:10" x14ac:dyDescent="0.2">
      <c r="B191" s="102"/>
      <c r="C191" s="115">
        <v>14.733520651238177</v>
      </c>
      <c r="D191" s="101">
        <v>0.29783386588096616</v>
      </c>
      <c r="E191" s="108">
        <v>0.27279824614524839</v>
      </c>
      <c r="F191" s="109">
        <v>0.24951915144920347</v>
      </c>
      <c r="G191" s="110">
        <v>0.22773171067237857</v>
      </c>
      <c r="H191" s="101">
        <v>0.2072230517864227</v>
      </c>
    </row>
    <row r="192" spans="2:10" x14ac:dyDescent="0.2">
      <c r="B192" s="102"/>
      <c r="C192" s="103">
        <f>C191+1</f>
        <v>15.733520651238177</v>
      </c>
      <c r="D192" s="101">
        <v>0.32164109349250802</v>
      </c>
      <c r="E192" s="111">
        <v>0.29660845398902891</v>
      </c>
      <c r="F192" s="112">
        <v>0.27336598038673399</v>
      </c>
      <c r="G192" s="113">
        <v>0.25164574980735788</v>
      </c>
      <c r="H192" s="101">
        <v>0.23123258948326111</v>
      </c>
    </row>
    <row r="193" spans="2:8" x14ac:dyDescent="0.2">
      <c r="B193" s="102"/>
      <c r="C193" s="103">
        <f>C192+1</f>
        <v>16.733520651238177</v>
      </c>
      <c r="D193" s="101">
        <v>0.34384606480598456</v>
      </c>
      <c r="E193" s="101">
        <v>0.31878715157508863</v>
      </c>
      <c r="F193" s="101">
        <v>0.29554863572120671</v>
      </c>
      <c r="G193" s="101">
        <v>0.27385951876640324</v>
      </c>
      <c r="H193" s="101">
        <v>0.25350231528282163</v>
      </c>
    </row>
    <row r="194" spans="2:8" x14ac:dyDescent="0.2">
      <c r="B194" s="102"/>
    </row>
  </sheetData>
  <pageMargins left="0.7" right="0.7" top="0.75" bottom="0.75" header="0.3" footer="0.3"/>
  <pageSetup scale="22" orientation="portrait" horizontalDpi="0" verticalDpi="0"/>
  <colBreaks count="1" manualBreakCount="1">
    <brk id="12" max="1048575" man="1"/>
  </colBreaks>
  <ignoredErrors>
    <ignoredError sqref="F101:J101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C1C1-2C5B-C343-97F6-E7A47BEEF553}">
  <sheetPr>
    <tabColor theme="4" tint="0.79998168889431442"/>
  </sheetPr>
  <dimension ref="A1"/>
  <sheetViews>
    <sheetView showGridLines="0" view="pageBreakPreview" zoomScale="60" zoomScaleNormal="100" workbookViewId="0"/>
  </sheetViews>
  <sheetFormatPr baseColWidth="10" defaultColWidth="9.1640625" defaultRowHeight="16" x14ac:dyDescent="0.2"/>
  <sheetData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47456-0DCA-4F45-98F4-791B79998BAD}">
  <sheetPr>
    <tabColor theme="4" tint="0.79998168889431442"/>
  </sheetPr>
  <dimension ref="A1:L62"/>
  <sheetViews>
    <sheetView showGridLines="0" view="pageBreakPreview" zoomScale="101" zoomScaleNormal="100" zoomScaleSheetLayoutView="100" workbookViewId="0"/>
  </sheetViews>
  <sheetFormatPr baseColWidth="10" defaultColWidth="9.1640625" defaultRowHeight="16" outlineLevelRow="3" x14ac:dyDescent="0.2"/>
  <cols>
    <col min="1" max="1" width="53.1640625" style="118" customWidth="1"/>
    <col min="2" max="12" width="8" style="118" customWidth="1"/>
  </cols>
  <sheetData>
    <row r="1" spans="1:12" x14ac:dyDescent="0.2">
      <c r="A1" s="4" t="s">
        <v>310</v>
      </c>
    </row>
    <row r="2" spans="1:12" x14ac:dyDescent="0.2">
      <c r="A2" s="119" t="s">
        <v>311</v>
      </c>
    </row>
    <row r="3" spans="1:12" x14ac:dyDescent="0.2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</row>
    <row r="5" spans="1:12" x14ac:dyDescent="0.2">
      <c r="A5" s="121" t="s">
        <v>312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 x14ac:dyDescent="0.2">
      <c r="A6" s="121" t="s">
        <v>313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12" x14ac:dyDescent="0.2">
      <c r="A7" s="121" t="s">
        <v>314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</row>
    <row r="8" spans="1:12" x14ac:dyDescent="0.2">
      <c r="A8" s="121"/>
      <c r="B8" s="121" t="s">
        <v>315</v>
      </c>
      <c r="C8" s="121" t="s">
        <v>316</v>
      </c>
      <c r="D8" s="121" t="s">
        <v>317</v>
      </c>
      <c r="E8" s="121" t="s">
        <v>318</v>
      </c>
      <c r="F8" s="121" t="s">
        <v>319</v>
      </c>
      <c r="G8" s="121" t="s">
        <v>320</v>
      </c>
      <c r="H8" s="121" t="s">
        <v>321</v>
      </c>
      <c r="I8" s="121" t="s">
        <v>322</v>
      </c>
      <c r="J8" s="121" t="s">
        <v>323</v>
      </c>
      <c r="K8" s="121" t="s">
        <v>324</v>
      </c>
      <c r="L8" s="121" t="s">
        <v>325</v>
      </c>
    </row>
    <row r="9" spans="1:12" x14ac:dyDescent="0.2">
      <c r="A9" s="121"/>
      <c r="B9" s="121" t="s">
        <v>326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</row>
    <row r="10" spans="1:12" x14ac:dyDescent="0.2">
      <c r="A10" s="132" t="s">
        <v>78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</row>
    <row r="11" spans="1:12" x14ac:dyDescent="0.2">
      <c r="A11" s="134" t="s">
        <v>79</v>
      </c>
      <c r="B11" s="149">
        <v>3711.2109999999998</v>
      </c>
      <c r="C11" s="149">
        <v>3581.6990000000001</v>
      </c>
      <c r="D11" s="149">
        <v>3439.5030000000002</v>
      </c>
      <c r="E11" s="149">
        <v>3303.1559999999999</v>
      </c>
      <c r="F11" s="149">
        <v>2927.54</v>
      </c>
      <c r="G11" s="149">
        <v>1983.2249999999999</v>
      </c>
      <c r="H11" s="149">
        <v>2482.692</v>
      </c>
      <c r="I11" s="149">
        <v>2332.3310000000001</v>
      </c>
      <c r="J11" s="149">
        <v>2260.502</v>
      </c>
      <c r="K11" s="149">
        <v>2275.7190000000001</v>
      </c>
      <c r="L11" s="149">
        <v>2100.6089999999999</v>
      </c>
    </row>
    <row r="12" spans="1:12" hidden="1" outlineLevel="1" x14ac:dyDescent="0.2">
      <c r="A12" s="129" t="s">
        <v>80</v>
      </c>
      <c r="B12" s="153">
        <v>3225.9050000000002</v>
      </c>
      <c r="C12" s="153">
        <v>3131.3739999999998</v>
      </c>
      <c r="D12" s="153">
        <v>3048.1590000000001</v>
      </c>
      <c r="E12" s="153">
        <v>2995.7840000000001</v>
      </c>
      <c r="F12" s="153">
        <v>2602.4090000000001</v>
      </c>
      <c r="G12" s="153">
        <v>1921.539</v>
      </c>
      <c r="H12" s="153">
        <v>2180.596</v>
      </c>
      <c r="I12" s="153">
        <v>2029.8150000000001</v>
      </c>
      <c r="J12" s="153">
        <v>1942.5029999999999</v>
      </c>
      <c r="K12" s="153">
        <v>1915.001</v>
      </c>
      <c r="L12" s="153">
        <v>1775.0519999999999</v>
      </c>
    </row>
    <row r="13" spans="1:12" hidden="1" outlineLevel="2" x14ac:dyDescent="0.2">
      <c r="A13" s="128" t="s">
        <v>81</v>
      </c>
      <c r="B13" s="152">
        <v>3119.1089999999999</v>
      </c>
      <c r="C13" s="152">
        <v>3029.6239999999998</v>
      </c>
      <c r="D13" s="152">
        <v>2953.8229999999999</v>
      </c>
      <c r="E13" s="152">
        <v>2904.5039999999999</v>
      </c>
      <c r="F13" s="152">
        <v>2513.1550000000002</v>
      </c>
      <c r="G13" s="152">
        <v>1830.0239999999999</v>
      </c>
      <c r="H13" s="152">
        <v>2093.0630000000001</v>
      </c>
      <c r="I13" s="152">
        <v>1933.8389999999999</v>
      </c>
      <c r="J13" s="152">
        <v>1849.7739999999999</v>
      </c>
      <c r="K13" s="152">
        <v>1826.991</v>
      </c>
      <c r="L13" s="152">
        <v>1689.489</v>
      </c>
    </row>
    <row r="14" spans="1:12" hidden="1" outlineLevel="2" x14ac:dyDescent="0.2">
      <c r="A14" s="126" t="s">
        <v>82</v>
      </c>
      <c r="B14" s="153">
        <v>106.79600000000001</v>
      </c>
      <c r="C14" s="153">
        <v>101.75</v>
      </c>
      <c r="D14" s="153">
        <v>94.335999999999999</v>
      </c>
      <c r="E14" s="153">
        <v>91.28</v>
      </c>
      <c r="F14" s="153">
        <v>89.254000000000005</v>
      </c>
      <c r="G14" s="153">
        <v>91.515000000000001</v>
      </c>
      <c r="H14" s="153">
        <v>87.533000000000001</v>
      </c>
      <c r="I14" s="153">
        <v>95.975999999999999</v>
      </c>
      <c r="J14" s="153">
        <v>92.728999999999999</v>
      </c>
      <c r="K14" s="153">
        <v>88.01</v>
      </c>
      <c r="L14" s="153">
        <v>85.563000000000002</v>
      </c>
    </row>
    <row r="15" spans="1:12" hidden="1" outlineLevel="3" x14ac:dyDescent="0.2">
      <c r="A15" s="127" t="s">
        <v>83</v>
      </c>
      <c r="B15" s="151"/>
      <c r="C15" s="152">
        <v>101.05</v>
      </c>
      <c r="D15" s="152">
        <v>93.536000000000001</v>
      </c>
      <c r="E15" s="152">
        <v>90.78</v>
      </c>
      <c r="F15" s="152">
        <v>88.554000000000002</v>
      </c>
      <c r="G15" s="152">
        <v>90.814999999999998</v>
      </c>
      <c r="H15" s="152">
        <v>87.233000000000004</v>
      </c>
      <c r="I15" s="152">
        <v>93.3</v>
      </c>
      <c r="J15" s="152">
        <v>89.6</v>
      </c>
      <c r="K15" s="152">
        <v>88.01</v>
      </c>
      <c r="L15" s="152">
        <v>85.563000000000002</v>
      </c>
    </row>
    <row r="16" spans="1:12" hidden="1" outlineLevel="3" x14ac:dyDescent="0.2">
      <c r="A16" s="131" t="s">
        <v>84</v>
      </c>
      <c r="B16" s="150"/>
      <c r="C16" s="147">
        <v>0.7</v>
      </c>
      <c r="D16" s="147">
        <v>0.8</v>
      </c>
      <c r="E16" s="147">
        <v>0.5</v>
      </c>
      <c r="F16" s="147">
        <v>0.7</v>
      </c>
      <c r="G16" s="147">
        <v>0.7</v>
      </c>
      <c r="H16" s="147">
        <v>0.3</v>
      </c>
      <c r="I16" s="147">
        <v>2.6760000000000002</v>
      </c>
      <c r="J16" s="147">
        <v>3.129</v>
      </c>
      <c r="K16" s="150"/>
      <c r="L16" s="147">
        <v>0</v>
      </c>
    </row>
    <row r="17" spans="1:12" collapsed="1" x14ac:dyDescent="0.2">
      <c r="A17" s="134" t="s">
        <v>85</v>
      </c>
      <c r="B17" s="149">
        <v>485.30599999999998</v>
      </c>
      <c r="C17" s="149">
        <v>450.32499999999999</v>
      </c>
      <c r="D17" s="149">
        <v>391.34399999999999</v>
      </c>
      <c r="E17" s="149">
        <v>307.37200000000001</v>
      </c>
      <c r="F17" s="149">
        <v>325.13099999999997</v>
      </c>
      <c r="G17" s="149">
        <v>61.686</v>
      </c>
      <c r="H17" s="149">
        <v>302.096</v>
      </c>
      <c r="I17" s="149">
        <v>302.51600000000002</v>
      </c>
      <c r="J17" s="149">
        <v>317.99900000000002</v>
      </c>
      <c r="K17" s="149">
        <v>360.71800000000002</v>
      </c>
      <c r="L17" s="149">
        <v>325.55700000000002</v>
      </c>
    </row>
    <row r="18" spans="1:12" hidden="1" outlineLevel="1" x14ac:dyDescent="0.2">
      <c r="A18" s="129" t="s">
        <v>86</v>
      </c>
      <c r="B18" s="153">
        <v>235.489</v>
      </c>
      <c r="C18" s="153">
        <v>228.73699999999999</v>
      </c>
      <c r="D18" s="153">
        <v>217.44900000000001</v>
      </c>
      <c r="E18" s="153">
        <v>205.75299999999999</v>
      </c>
      <c r="F18" s="153">
        <v>186.136</v>
      </c>
      <c r="G18" s="153">
        <v>157.64400000000001</v>
      </c>
      <c r="H18" s="153">
        <v>160.19900000000001</v>
      </c>
      <c r="I18" s="153">
        <v>154.77000000000001</v>
      </c>
      <c r="J18" s="153">
        <v>141.53299999999999</v>
      </c>
      <c r="K18" s="153">
        <v>159.61099999999999</v>
      </c>
      <c r="L18" s="153">
        <v>154.30000000000001</v>
      </c>
    </row>
    <row r="19" spans="1:12" hidden="1" outlineLevel="2" x14ac:dyDescent="0.2">
      <c r="A19" s="128" t="s">
        <v>87</v>
      </c>
      <c r="B19" s="152">
        <v>235.489</v>
      </c>
      <c r="C19" s="152">
        <v>228.73699999999999</v>
      </c>
      <c r="D19" s="152">
        <v>217.44900000000001</v>
      </c>
      <c r="E19" s="152">
        <v>205.75299999999999</v>
      </c>
      <c r="F19" s="152">
        <v>186.136</v>
      </c>
      <c r="G19" s="152">
        <v>157.64400000000001</v>
      </c>
      <c r="H19" s="152">
        <v>160.19900000000001</v>
      </c>
      <c r="I19" s="152">
        <v>154.77000000000001</v>
      </c>
      <c r="J19" s="152">
        <v>141.53299999999999</v>
      </c>
      <c r="K19" s="152">
        <v>159.61099999999999</v>
      </c>
      <c r="L19" s="152">
        <v>154.30000000000001</v>
      </c>
    </row>
    <row r="20" spans="1:12" hidden="1" outlineLevel="1" x14ac:dyDescent="0.2">
      <c r="A20" s="130" t="s">
        <v>327</v>
      </c>
      <c r="B20" s="147">
        <v>0</v>
      </c>
      <c r="C20" s="147">
        <v>0</v>
      </c>
      <c r="D20" s="147">
        <v>0</v>
      </c>
      <c r="E20" s="147">
        <v>0</v>
      </c>
      <c r="F20" s="147">
        <v>0</v>
      </c>
      <c r="G20" s="147">
        <v>0</v>
      </c>
      <c r="H20" s="147">
        <v>0</v>
      </c>
      <c r="I20" s="147">
        <v>0</v>
      </c>
      <c r="J20" s="147">
        <v>10.343</v>
      </c>
      <c r="K20" s="147">
        <v>0</v>
      </c>
      <c r="L20" s="147">
        <v>0</v>
      </c>
    </row>
    <row r="21" spans="1:12" collapsed="1" x14ac:dyDescent="0.2">
      <c r="A21" s="134" t="s">
        <v>88</v>
      </c>
      <c r="B21" s="149">
        <v>249.81700000000001</v>
      </c>
      <c r="C21" s="149">
        <v>221.58799999999999</v>
      </c>
      <c r="D21" s="149">
        <v>173.89500000000001</v>
      </c>
      <c r="E21" s="149">
        <v>101.619</v>
      </c>
      <c r="F21" s="149">
        <v>138.995</v>
      </c>
      <c r="G21" s="149">
        <v>-95.957999999999998</v>
      </c>
      <c r="H21" s="149">
        <v>141.89699999999999</v>
      </c>
      <c r="I21" s="149">
        <v>147.74600000000001</v>
      </c>
      <c r="J21" s="149">
        <v>166.12299999999999</v>
      </c>
      <c r="K21" s="149">
        <v>201.107</v>
      </c>
      <c r="L21" s="149">
        <v>171.25700000000001</v>
      </c>
    </row>
    <row r="22" spans="1:12" hidden="1" outlineLevel="1" x14ac:dyDescent="0.2">
      <c r="A22" s="129" t="s">
        <v>89</v>
      </c>
      <c r="B22" s="153">
        <v>-29.03</v>
      </c>
      <c r="C22" s="153">
        <v>-25.058</v>
      </c>
      <c r="D22" s="153">
        <v>-24.978999999999999</v>
      </c>
      <c r="E22" s="153">
        <v>-18.428999999999998</v>
      </c>
      <c r="F22" s="153">
        <v>-14.811</v>
      </c>
      <c r="G22" s="153">
        <v>-11.055999999999999</v>
      </c>
      <c r="H22" s="153">
        <v>25.184000000000001</v>
      </c>
      <c r="I22" s="153">
        <v>-15.773999999999999</v>
      </c>
      <c r="J22" s="153">
        <v>-13.856999999999999</v>
      </c>
      <c r="K22" s="153">
        <v>-3.625</v>
      </c>
      <c r="L22" s="153">
        <v>-2.3940000000000001</v>
      </c>
    </row>
    <row r="23" spans="1:12" hidden="1" outlineLevel="2" x14ac:dyDescent="0.2">
      <c r="A23" s="128" t="s">
        <v>328</v>
      </c>
      <c r="B23" s="152">
        <v>0</v>
      </c>
      <c r="C23" s="152">
        <v>0</v>
      </c>
      <c r="D23" s="152">
        <v>0</v>
      </c>
      <c r="E23" s="152">
        <v>0</v>
      </c>
      <c r="F23" s="152">
        <v>0</v>
      </c>
      <c r="G23" s="152">
        <v>0</v>
      </c>
      <c r="H23" s="152">
        <v>39.232999999999997</v>
      </c>
      <c r="I23" s="154">
        <v>-4.7539999999999996</v>
      </c>
      <c r="J23" s="152">
        <v>0</v>
      </c>
      <c r="K23" s="152">
        <v>0</v>
      </c>
      <c r="L23" s="152">
        <v>0</v>
      </c>
    </row>
    <row r="24" spans="1:12" hidden="1" outlineLevel="2" x14ac:dyDescent="0.2">
      <c r="A24" s="125" t="s">
        <v>90</v>
      </c>
      <c r="B24" s="148">
        <v>-29.03</v>
      </c>
      <c r="C24" s="148">
        <v>-25.058</v>
      </c>
      <c r="D24" s="148">
        <v>-24.978999999999999</v>
      </c>
      <c r="E24" s="148">
        <v>-18.428999999999998</v>
      </c>
      <c r="F24" s="148">
        <v>-14.811</v>
      </c>
      <c r="G24" s="148">
        <v>-11.055999999999999</v>
      </c>
      <c r="H24" s="148">
        <v>-14.048999999999999</v>
      </c>
      <c r="I24" s="148">
        <v>-11.02</v>
      </c>
      <c r="J24" s="148">
        <v>-13.856999999999999</v>
      </c>
      <c r="K24" s="148">
        <v>-3.625</v>
      </c>
      <c r="L24" s="148">
        <v>-2.3940000000000001</v>
      </c>
    </row>
    <row r="25" spans="1:12" hidden="1" outlineLevel="1" x14ac:dyDescent="0.2">
      <c r="A25" s="124" t="s">
        <v>270</v>
      </c>
      <c r="B25" s="149">
        <v>9.5850000000000009</v>
      </c>
      <c r="C25" s="149">
        <v>10.106999999999999</v>
      </c>
      <c r="D25" s="149">
        <v>8.5519999999999996</v>
      </c>
      <c r="E25" s="149">
        <v>6.0430000000000001</v>
      </c>
      <c r="F25" s="149">
        <v>10.698</v>
      </c>
      <c r="G25" s="149">
        <v>8.5990000000000002</v>
      </c>
      <c r="H25" s="149">
        <v>2.4969999999999999</v>
      </c>
      <c r="I25" s="149">
        <v>6.7</v>
      </c>
      <c r="J25" s="149">
        <v>5.8</v>
      </c>
      <c r="K25" s="149">
        <v>5.6</v>
      </c>
      <c r="L25" s="149">
        <v>3.5</v>
      </c>
    </row>
    <row r="26" spans="1:12" hidden="1" outlineLevel="2" x14ac:dyDescent="0.2">
      <c r="A26" s="125" t="s">
        <v>329</v>
      </c>
      <c r="B26" s="147">
        <v>9.5850000000000009</v>
      </c>
      <c r="C26" s="147">
        <v>10.106999999999999</v>
      </c>
      <c r="D26" s="147">
        <v>8.5519999999999996</v>
      </c>
      <c r="E26" s="147">
        <v>6.0430000000000001</v>
      </c>
      <c r="F26" s="147">
        <v>10.698</v>
      </c>
      <c r="G26" s="147">
        <v>9.3989999999999991</v>
      </c>
      <c r="H26" s="147">
        <v>3.097</v>
      </c>
      <c r="I26" s="147">
        <v>7.1</v>
      </c>
      <c r="J26" s="147">
        <v>6.5</v>
      </c>
      <c r="K26" s="147">
        <v>6.2</v>
      </c>
      <c r="L26" s="147">
        <v>5.0999999999999996</v>
      </c>
    </row>
    <row r="27" spans="1:12" hidden="1" outlineLevel="2" x14ac:dyDescent="0.2">
      <c r="A27" s="128" t="s">
        <v>330</v>
      </c>
      <c r="B27" s="152">
        <v>0</v>
      </c>
      <c r="C27" s="152">
        <v>0</v>
      </c>
      <c r="D27" s="152">
        <v>0</v>
      </c>
      <c r="E27" s="152">
        <v>0</v>
      </c>
      <c r="F27" s="152">
        <v>0</v>
      </c>
      <c r="G27" s="152">
        <v>0.8</v>
      </c>
      <c r="H27" s="152">
        <v>0.6</v>
      </c>
      <c r="I27" s="152">
        <v>0.4</v>
      </c>
      <c r="J27" s="152">
        <v>0.7</v>
      </c>
      <c r="K27" s="152">
        <v>0.6</v>
      </c>
      <c r="L27" s="152">
        <v>1.6</v>
      </c>
    </row>
    <row r="28" spans="1:12" hidden="1" outlineLevel="1" x14ac:dyDescent="0.2">
      <c r="A28" s="129" t="s">
        <v>91</v>
      </c>
      <c r="B28" s="153">
        <v>33.673000000000002</v>
      </c>
      <c r="C28" s="153">
        <v>15.375999999999999</v>
      </c>
      <c r="D28" s="153">
        <v>40.35</v>
      </c>
      <c r="E28" s="153">
        <v>44.255000000000003</v>
      </c>
      <c r="F28" s="153">
        <v>41.866</v>
      </c>
      <c r="G28" s="153">
        <v>240.423</v>
      </c>
      <c r="H28" s="153">
        <v>24.25</v>
      </c>
      <c r="I28" s="153">
        <v>17.861000000000001</v>
      </c>
      <c r="J28" s="156"/>
      <c r="K28" s="153">
        <v>0.114</v>
      </c>
      <c r="L28" s="153">
        <v>6.0110000000000001</v>
      </c>
    </row>
    <row r="29" spans="1:12" hidden="1" outlineLevel="2" x14ac:dyDescent="0.2">
      <c r="A29" s="135" t="s">
        <v>92</v>
      </c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49">
        <v>6.0110000000000001</v>
      </c>
    </row>
    <row r="30" spans="1:12" hidden="1" outlineLevel="3" x14ac:dyDescent="0.2">
      <c r="A30" s="131" t="s">
        <v>93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7">
        <v>6.0110000000000001</v>
      </c>
    </row>
    <row r="31" spans="1:12" hidden="1" outlineLevel="2" x14ac:dyDescent="0.2">
      <c r="A31" s="128" t="s">
        <v>331</v>
      </c>
      <c r="B31" s="152">
        <v>2.0619999999999998</v>
      </c>
      <c r="C31" s="152">
        <v>1.7290000000000001</v>
      </c>
      <c r="D31" s="152">
        <v>10.885999999999999</v>
      </c>
      <c r="E31" s="152">
        <v>12.868</v>
      </c>
      <c r="F31" s="152">
        <v>18.809999999999999</v>
      </c>
      <c r="G31" s="154">
        <v>-4.5720000000000001</v>
      </c>
      <c r="H31" s="152">
        <v>0.73299999999999998</v>
      </c>
      <c r="I31" s="152">
        <v>0</v>
      </c>
      <c r="J31" s="152">
        <v>0</v>
      </c>
      <c r="K31" s="152">
        <v>0</v>
      </c>
      <c r="L31" s="152">
        <v>0</v>
      </c>
    </row>
    <row r="32" spans="1:12" hidden="1" outlineLevel="2" x14ac:dyDescent="0.2">
      <c r="A32" s="125" t="s">
        <v>94</v>
      </c>
      <c r="B32" s="147">
        <v>0</v>
      </c>
      <c r="C32" s="147">
        <v>0</v>
      </c>
      <c r="D32" s="147">
        <v>0</v>
      </c>
      <c r="E32" s="147">
        <v>180.4</v>
      </c>
      <c r="F32" s="147">
        <v>182.7</v>
      </c>
      <c r="G32" s="147">
        <v>185.399</v>
      </c>
      <c r="H32" s="147">
        <v>5.27</v>
      </c>
      <c r="I32" s="147">
        <v>17.861000000000001</v>
      </c>
      <c r="J32" s="147">
        <v>0</v>
      </c>
      <c r="K32" s="147">
        <v>0.114</v>
      </c>
      <c r="L32" s="147">
        <v>0</v>
      </c>
    </row>
    <row r="33" spans="1:12" hidden="1" outlineLevel="2" x14ac:dyDescent="0.2">
      <c r="A33" s="135" t="s">
        <v>95</v>
      </c>
      <c r="B33" s="149">
        <v>31.611000000000001</v>
      </c>
      <c r="C33" s="149">
        <v>13.647</v>
      </c>
      <c r="D33" s="149">
        <v>29.463999999999999</v>
      </c>
      <c r="E33" s="149">
        <v>-149.01300000000001</v>
      </c>
      <c r="F33" s="149">
        <v>-159.64400000000001</v>
      </c>
      <c r="G33" s="149">
        <v>59.595999999999997</v>
      </c>
      <c r="H33" s="149">
        <v>18.247</v>
      </c>
      <c r="I33" s="155"/>
      <c r="J33" s="155"/>
      <c r="K33" s="155"/>
      <c r="L33" s="155"/>
    </row>
    <row r="34" spans="1:12" hidden="1" outlineLevel="3" x14ac:dyDescent="0.2">
      <c r="A34" s="131" t="s">
        <v>96</v>
      </c>
      <c r="B34" s="147">
        <v>15.72</v>
      </c>
      <c r="C34" s="147">
        <v>13.647</v>
      </c>
      <c r="D34" s="147">
        <v>29.463999999999999</v>
      </c>
      <c r="E34" s="148">
        <v>-149.01300000000001</v>
      </c>
      <c r="F34" s="148">
        <v>-159.64400000000001</v>
      </c>
      <c r="G34" s="147">
        <v>59.595999999999997</v>
      </c>
      <c r="H34" s="147">
        <v>18.247</v>
      </c>
      <c r="I34" s="150"/>
      <c r="J34" s="150"/>
      <c r="K34" s="150"/>
      <c r="L34" s="150"/>
    </row>
    <row r="35" spans="1:12" collapsed="1" x14ac:dyDescent="0.2">
      <c r="A35" s="134" t="s">
        <v>97</v>
      </c>
      <c r="B35" s="149">
        <v>177.529</v>
      </c>
      <c r="C35" s="149">
        <v>171.047</v>
      </c>
      <c r="D35" s="149">
        <v>100.014</v>
      </c>
      <c r="E35" s="149">
        <v>32.892000000000003</v>
      </c>
      <c r="F35" s="149">
        <v>71.62</v>
      </c>
      <c r="G35" s="149">
        <v>-356.036</v>
      </c>
      <c r="H35" s="149">
        <v>140.334</v>
      </c>
      <c r="I35" s="149">
        <v>107.411</v>
      </c>
      <c r="J35" s="149">
        <v>146.46600000000001</v>
      </c>
      <c r="K35" s="149">
        <v>191.768</v>
      </c>
      <c r="L35" s="149">
        <v>159.352</v>
      </c>
    </row>
    <row r="36" spans="1:12" hidden="1" outlineLevel="1" x14ac:dyDescent="0.2">
      <c r="A36" s="129" t="s">
        <v>98</v>
      </c>
      <c r="B36" s="153">
        <v>16.722999999999999</v>
      </c>
      <c r="C36" s="153">
        <v>14.263999999999999</v>
      </c>
      <c r="D36" s="153">
        <v>-1.337</v>
      </c>
      <c r="E36" s="153">
        <v>-10.231</v>
      </c>
      <c r="F36" s="153">
        <v>-0.753</v>
      </c>
      <c r="G36" s="153">
        <v>-102.67100000000001</v>
      </c>
      <c r="H36" s="153">
        <v>13.041</v>
      </c>
      <c r="I36" s="153">
        <v>8.3759999999999994</v>
      </c>
      <c r="J36" s="153">
        <v>-10.926</v>
      </c>
      <c r="K36" s="153">
        <v>52.274000000000001</v>
      </c>
      <c r="L36" s="153">
        <v>42.829000000000001</v>
      </c>
    </row>
    <row r="37" spans="1:12" hidden="1" outlineLevel="2" x14ac:dyDescent="0.2">
      <c r="A37" s="128" t="s">
        <v>99</v>
      </c>
      <c r="B37" s="151"/>
      <c r="C37" s="152">
        <v>20.326000000000001</v>
      </c>
      <c r="D37" s="152">
        <v>14.378</v>
      </c>
      <c r="E37" s="152">
        <v>8.4149999999999991</v>
      </c>
      <c r="F37" s="152">
        <v>20.096</v>
      </c>
      <c r="G37" s="154">
        <v>-35.442999999999998</v>
      </c>
      <c r="H37" s="152">
        <v>15.238</v>
      </c>
      <c r="I37" s="152">
        <v>13.885999999999999</v>
      </c>
      <c r="J37" s="152">
        <v>14.254</v>
      </c>
      <c r="K37" s="152">
        <v>53.279000000000003</v>
      </c>
      <c r="L37" s="152">
        <v>41.645000000000003</v>
      </c>
    </row>
    <row r="38" spans="1:12" hidden="1" outlineLevel="2" x14ac:dyDescent="0.2">
      <c r="A38" s="125" t="s">
        <v>100</v>
      </c>
      <c r="B38" s="150"/>
      <c r="C38" s="148">
        <v>-6.0620000000000003</v>
      </c>
      <c r="D38" s="148">
        <v>-15.715</v>
      </c>
      <c r="E38" s="148">
        <v>-18.646000000000001</v>
      </c>
      <c r="F38" s="148">
        <v>-20.849</v>
      </c>
      <c r="G38" s="148">
        <v>-67.227999999999994</v>
      </c>
      <c r="H38" s="148">
        <v>-2.1970000000000001</v>
      </c>
      <c r="I38" s="148">
        <v>-5.51</v>
      </c>
      <c r="J38" s="148">
        <v>-25.18</v>
      </c>
      <c r="K38" s="148">
        <v>-1.0049999999999999</v>
      </c>
      <c r="L38" s="147">
        <v>1.1839999999999999</v>
      </c>
    </row>
    <row r="39" spans="1:12" collapsed="1" x14ac:dyDescent="0.2">
      <c r="A39" s="122" t="s">
        <v>101</v>
      </c>
      <c r="B39" s="152">
        <v>160.80600000000001</v>
      </c>
      <c r="C39" s="152">
        <v>156.78299999999999</v>
      </c>
      <c r="D39" s="152">
        <v>101.351</v>
      </c>
      <c r="E39" s="152">
        <v>43.122999999999998</v>
      </c>
      <c r="F39" s="152">
        <v>72.373000000000005</v>
      </c>
      <c r="G39" s="154">
        <v>-253.36500000000001</v>
      </c>
      <c r="H39" s="152">
        <v>127.29300000000001</v>
      </c>
      <c r="I39" s="152">
        <v>99.034999999999997</v>
      </c>
      <c r="J39" s="152">
        <v>157.392</v>
      </c>
      <c r="K39" s="152">
        <v>139.494</v>
      </c>
      <c r="L39" s="152">
        <v>116.523</v>
      </c>
    </row>
    <row r="40" spans="1:12" x14ac:dyDescent="0.2">
      <c r="A40" s="123" t="s">
        <v>102</v>
      </c>
      <c r="B40" s="153">
        <v>160.80600000000001</v>
      </c>
      <c r="C40" s="153">
        <v>156.78299999999999</v>
      </c>
      <c r="D40" s="153">
        <v>101.351</v>
      </c>
      <c r="E40" s="153">
        <v>43.122999999999998</v>
      </c>
      <c r="F40" s="153">
        <v>72.373000000000005</v>
      </c>
      <c r="G40" s="153">
        <v>-253.36500000000001</v>
      </c>
      <c r="H40" s="153">
        <v>127.29300000000001</v>
      </c>
      <c r="I40" s="153">
        <v>99.034999999999997</v>
      </c>
      <c r="J40" s="153">
        <v>157.392</v>
      </c>
      <c r="K40" s="153">
        <v>139.494</v>
      </c>
      <c r="L40" s="153">
        <v>116.523</v>
      </c>
    </row>
    <row r="41" spans="1:12" hidden="1" outlineLevel="1" x14ac:dyDescent="0.2">
      <c r="A41" s="133" t="s">
        <v>332</v>
      </c>
      <c r="B41" s="152">
        <v>0</v>
      </c>
      <c r="C41" s="152">
        <v>0</v>
      </c>
      <c r="D41" s="152">
        <v>0</v>
      </c>
      <c r="E41" s="152">
        <v>0</v>
      </c>
      <c r="F41" s="152">
        <v>23.242000000000001</v>
      </c>
      <c r="G41" s="152">
        <v>23.742000000000001</v>
      </c>
      <c r="H41" s="152">
        <v>0</v>
      </c>
      <c r="I41" s="152">
        <v>0</v>
      </c>
      <c r="J41" s="152">
        <v>0</v>
      </c>
      <c r="K41" s="152">
        <v>0</v>
      </c>
      <c r="L41" s="152">
        <v>0</v>
      </c>
    </row>
    <row r="42" spans="1:12" hidden="1" outlineLevel="1" x14ac:dyDescent="0.2">
      <c r="A42" s="130" t="s">
        <v>103</v>
      </c>
      <c r="B42" s="147">
        <v>160.80600000000001</v>
      </c>
      <c r="C42" s="147">
        <v>156.78299999999999</v>
      </c>
      <c r="D42" s="147">
        <v>101.351</v>
      </c>
      <c r="E42" s="147">
        <v>43.122999999999998</v>
      </c>
      <c r="F42" s="147">
        <v>49.131</v>
      </c>
      <c r="G42" s="148">
        <v>-277.10700000000003</v>
      </c>
      <c r="H42" s="147">
        <v>127.29300000000001</v>
      </c>
      <c r="I42" s="147">
        <v>99.034999999999997</v>
      </c>
      <c r="J42" s="147">
        <v>157.392</v>
      </c>
      <c r="K42" s="147">
        <v>139.494</v>
      </c>
      <c r="L42" s="147">
        <v>116.523</v>
      </c>
    </row>
    <row r="43" spans="1:12" collapsed="1" x14ac:dyDescent="0.2">
      <c r="A43" s="134" t="s">
        <v>55</v>
      </c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</row>
    <row r="44" spans="1:12" hidden="1" outlineLevel="1" x14ac:dyDescent="0.2">
      <c r="A44" s="130" t="s">
        <v>104</v>
      </c>
      <c r="B44" s="147">
        <v>3.792519</v>
      </c>
      <c r="C44" s="147">
        <v>3.421125</v>
      </c>
      <c r="D44" s="147">
        <v>2.6421199999999998</v>
      </c>
      <c r="E44" s="147">
        <v>1.4698599999999999</v>
      </c>
      <c r="F44" s="147">
        <v>1.6169279999999999</v>
      </c>
      <c r="G44" s="148">
        <v>-2.4803600000000001</v>
      </c>
      <c r="H44" s="147">
        <v>3.238702</v>
      </c>
      <c r="I44" s="147">
        <v>2.4134519999999999</v>
      </c>
      <c r="J44" s="147">
        <v>3.2686489999999999</v>
      </c>
      <c r="K44" s="147">
        <v>2.8269829999999998</v>
      </c>
      <c r="L44" s="147">
        <v>2.3857460000000001</v>
      </c>
    </row>
    <row r="45" spans="1:12" hidden="1" outlineLevel="1" x14ac:dyDescent="0.2">
      <c r="A45" s="124" t="s">
        <v>105</v>
      </c>
      <c r="B45" s="149">
        <v>3.4173</v>
      </c>
      <c r="C45" s="149">
        <v>3.2806999999999999</v>
      </c>
      <c r="D45" s="149">
        <v>2.0973000000000002</v>
      </c>
      <c r="E45" s="149">
        <v>0.86570000000000003</v>
      </c>
      <c r="F45" s="149">
        <v>1.0337000000000001</v>
      </c>
      <c r="G45" s="149">
        <v>-6.3167</v>
      </c>
      <c r="H45" s="149">
        <v>2.8963999999999999</v>
      </c>
      <c r="I45" s="149">
        <v>2.1880000000000002</v>
      </c>
      <c r="J45" s="149">
        <v>3.35</v>
      </c>
      <c r="K45" s="149">
        <v>2.91</v>
      </c>
      <c r="L45" s="149">
        <v>2.39</v>
      </c>
    </row>
    <row r="46" spans="1:12" hidden="1" outlineLevel="2" x14ac:dyDescent="0.2">
      <c r="A46" s="125" t="s">
        <v>106</v>
      </c>
      <c r="B46" s="147">
        <v>46.607999999999997</v>
      </c>
      <c r="C46" s="147">
        <v>47.789000000000001</v>
      </c>
      <c r="D46" s="147">
        <v>48.323999999999998</v>
      </c>
      <c r="E46" s="147">
        <v>49.814999999999998</v>
      </c>
      <c r="F46" s="147">
        <v>47.529000000000003</v>
      </c>
      <c r="G46" s="147">
        <v>43.869</v>
      </c>
      <c r="H46" s="147">
        <v>43.948999999999998</v>
      </c>
      <c r="I46" s="147">
        <v>45.262999999999998</v>
      </c>
      <c r="J46" s="147">
        <v>46.93</v>
      </c>
      <c r="K46" s="147">
        <v>47.981000000000002</v>
      </c>
      <c r="L46" s="147">
        <v>48.832999999999998</v>
      </c>
    </row>
    <row r="47" spans="1:12" hidden="1" outlineLevel="2" x14ac:dyDescent="0.2">
      <c r="A47" s="128" t="s">
        <v>107</v>
      </c>
      <c r="B47" s="152">
        <v>49.819580999999999</v>
      </c>
      <c r="C47" s="152">
        <v>51.332298000000002</v>
      </c>
      <c r="D47" s="152">
        <v>50.652129000000002</v>
      </c>
      <c r="E47" s="152">
        <v>51.173597000000001</v>
      </c>
      <c r="F47" s="152">
        <v>52.226506000000001</v>
      </c>
      <c r="G47" s="152">
        <v>45.618738</v>
      </c>
      <c r="H47" s="152">
        <v>44.768743999999998</v>
      </c>
      <c r="I47" s="152">
        <v>44.830049000000002</v>
      </c>
      <c r="J47" s="152">
        <v>45.877817999999998</v>
      </c>
      <c r="K47" s="152">
        <v>47.692377999999998</v>
      </c>
      <c r="L47" s="152">
        <v>49.062345000000001</v>
      </c>
    </row>
    <row r="48" spans="1:12" hidden="1" outlineLevel="1" x14ac:dyDescent="0.2">
      <c r="A48" s="129" t="s">
        <v>108</v>
      </c>
      <c r="B48" s="153">
        <v>3.2930000000000001</v>
      </c>
      <c r="C48" s="153">
        <v>3.2014</v>
      </c>
      <c r="D48" s="153">
        <v>2.0663</v>
      </c>
      <c r="E48" s="153">
        <v>0.85540000000000005</v>
      </c>
      <c r="F48" s="153">
        <v>1.0127999999999999</v>
      </c>
      <c r="G48" s="153">
        <v>-6.3167</v>
      </c>
      <c r="H48" s="153">
        <v>2.8576000000000001</v>
      </c>
      <c r="I48" s="153">
        <v>2.1429</v>
      </c>
      <c r="J48" s="153">
        <v>3.27</v>
      </c>
      <c r="K48" s="153">
        <v>2.83</v>
      </c>
      <c r="L48" s="153">
        <v>2.2999999999999998</v>
      </c>
    </row>
    <row r="49" spans="1:12" hidden="1" outlineLevel="2" x14ac:dyDescent="0.2">
      <c r="A49" s="128" t="s">
        <v>109</v>
      </c>
      <c r="B49" s="152">
        <v>48.616</v>
      </c>
      <c r="C49" s="152">
        <v>48.973999999999997</v>
      </c>
      <c r="D49" s="152">
        <v>49.05</v>
      </c>
      <c r="E49" s="152">
        <v>50.414000000000001</v>
      </c>
      <c r="F49" s="152">
        <v>48.51</v>
      </c>
      <c r="G49" s="152">
        <v>43.869</v>
      </c>
      <c r="H49" s="152">
        <v>44.545000000000002</v>
      </c>
      <c r="I49" s="152">
        <v>46.215000000000003</v>
      </c>
      <c r="J49" s="152">
        <v>48.152000000000001</v>
      </c>
      <c r="K49" s="152">
        <v>49.372</v>
      </c>
      <c r="L49" s="152">
        <v>50.604999999999997</v>
      </c>
    </row>
    <row r="50" spans="1:12" hidden="1" outlineLevel="2" x14ac:dyDescent="0.2">
      <c r="A50" s="125" t="s">
        <v>107</v>
      </c>
      <c r="B50" s="147">
        <v>49.819580999999999</v>
      </c>
      <c r="C50" s="147">
        <v>51.332298000000002</v>
      </c>
      <c r="D50" s="147">
        <v>50.652129000000002</v>
      </c>
      <c r="E50" s="147">
        <v>51.173597000000001</v>
      </c>
      <c r="F50" s="147">
        <v>52.226506000000001</v>
      </c>
      <c r="G50" s="147">
        <v>45.618738</v>
      </c>
      <c r="H50" s="147">
        <v>44.768743999999998</v>
      </c>
      <c r="I50" s="147">
        <v>44.830049000000002</v>
      </c>
      <c r="J50" s="147">
        <v>45.877817999999998</v>
      </c>
      <c r="K50" s="147">
        <v>47.692377999999998</v>
      </c>
      <c r="L50" s="147">
        <v>49.062345000000001</v>
      </c>
    </row>
    <row r="51" spans="1:12" hidden="1" outlineLevel="1" x14ac:dyDescent="0.2">
      <c r="A51" s="133" t="s">
        <v>110</v>
      </c>
      <c r="B51" s="151"/>
      <c r="C51" s="152">
        <v>89.459000000000003</v>
      </c>
      <c r="D51" s="152">
        <v>90.802000000000007</v>
      </c>
      <c r="E51" s="152">
        <v>93.5</v>
      </c>
      <c r="F51" s="152">
        <v>91.846000000000004</v>
      </c>
      <c r="G51" s="152">
        <v>85.701999999999998</v>
      </c>
      <c r="H51" s="152">
        <v>60.761000000000003</v>
      </c>
      <c r="I51" s="152">
        <v>85.316999999999993</v>
      </c>
      <c r="J51" s="152">
        <v>84.344999999999999</v>
      </c>
      <c r="K51" s="152">
        <v>93.605999999999995</v>
      </c>
      <c r="L51" s="152">
        <v>86.093000000000004</v>
      </c>
    </row>
    <row r="52" spans="1:12" hidden="1" outlineLevel="1" x14ac:dyDescent="0.2">
      <c r="A52" s="129" t="s">
        <v>333</v>
      </c>
      <c r="B52" s="153">
        <v>1.08</v>
      </c>
      <c r="C52" s="153">
        <v>1.08</v>
      </c>
      <c r="D52" s="153">
        <v>1.08</v>
      </c>
      <c r="E52" s="153">
        <v>0.81</v>
      </c>
      <c r="F52" s="153">
        <v>0</v>
      </c>
      <c r="G52" s="153">
        <v>0.36</v>
      </c>
      <c r="H52" s="153">
        <v>1.38</v>
      </c>
      <c r="I52" s="153">
        <v>1.24</v>
      </c>
      <c r="J52" s="153">
        <v>1.06</v>
      </c>
      <c r="K52" s="153">
        <v>0.88</v>
      </c>
      <c r="L52" s="153">
        <v>0.73</v>
      </c>
    </row>
    <row r="53" spans="1:12" hidden="1" outlineLevel="2" x14ac:dyDescent="0.2">
      <c r="A53" s="128" t="s">
        <v>334</v>
      </c>
      <c r="B53" s="152">
        <v>32.796841999999998</v>
      </c>
      <c r="C53" s="152">
        <v>33.735241000000002</v>
      </c>
      <c r="D53" s="152">
        <v>52.267338000000002</v>
      </c>
      <c r="E53" s="152">
        <v>94.692542000000003</v>
      </c>
      <c r="F53" s="152">
        <v>0</v>
      </c>
      <c r="G53" s="151"/>
      <c r="H53" s="152">
        <v>48.292273000000002</v>
      </c>
      <c r="I53" s="152">
        <v>57.865509000000003</v>
      </c>
      <c r="J53" s="152">
        <v>32.415902000000003</v>
      </c>
      <c r="K53" s="152">
        <v>31.095406000000001</v>
      </c>
      <c r="L53" s="152">
        <v>31.739129999999999</v>
      </c>
    </row>
    <row r="54" spans="1:12" collapsed="1" x14ac:dyDescent="0.2">
      <c r="A54" s="123" t="s">
        <v>111</v>
      </c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</row>
    <row r="55" spans="1:12" hidden="1" outlineLevel="1" x14ac:dyDescent="0.2">
      <c r="A55" s="124" t="s">
        <v>111</v>
      </c>
      <c r="B55" s="149">
        <v>356.613</v>
      </c>
      <c r="C55" s="149">
        <v>323.33800000000002</v>
      </c>
      <c r="D55" s="149">
        <v>268.23099999999999</v>
      </c>
      <c r="E55" s="149">
        <v>192.899</v>
      </c>
      <c r="F55" s="149">
        <v>228.249</v>
      </c>
      <c r="G55" s="149">
        <v>-4.4429999999999996</v>
      </c>
      <c r="H55" s="149">
        <v>229.43</v>
      </c>
      <c r="I55" s="149">
        <v>243.72200000000001</v>
      </c>
      <c r="J55" s="149">
        <v>258.85199999999998</v>
      </c>
      <c r="K55" s="149">
        <v>289.11700000000002</v>
      </c>
      <c r="L55" s="149">
        <v>256.82</v>
      </c>
    </row>
    <row r="56" spans="1:12" hidden="1" outlineLevel="2" x14ac:dyDescent="0.2">
      <c r="A56" s="125" t="s">
        <v>112</v>
      </c>
      <c r="B56" s="147">
        <v>249.81700000000001</v>
      </c>
      <c r="C56" s="147">
        <v>221.58799999999999</v>
      </c>
      <c r="D56" s="147">
        <v>173.89500000000001</v>
      </c>
      <c r="E56" s="147">
        <v>101.619</v>
      </c>
      <c r="F56" s="147">
        <v>138.995</v>
      </c>
      <c r="G56" s="148">
        <v>-95.957999999999998</v>
      </c>
      <c r="H56" s="147">
        <v>141.89699999999999</v>
      </c>
      <c r="I56" s="147">
        <v>147.74600000000001</v>
      </c>
      <c r="J56" s="147">
        <v>166.12299999999999</v>
      </c>
      <c r="K56" s="147">
        <v>201.107</v>
      </c>
      <c r="L56" s="147">
        <v>171.25700000000001</v>
      </c>
    </row>
    <row r="57" spans="1:12" hidden="1" outlineLevel="2" x14ac:dyDescent="0.2">
      <c r="A57" s="128" t="s">
        <v>82</v>
      </c>
      <c r="B57" s="152">
        <v>106.79600000000001</v>
      </c>
      <c r="C57" s="152">
        <v>101.75</v>
      </c>
      <c r="D57" s="152">
        <v>94.335999999999999</v>
      </c>
      <c r="E57" s="152">
        <v>91.28</v>
      </c>
      <c r="F57" s="152">
        <v>89.254000000000005</v>
      </c>
      <c r="G57" s="152">
        <v>91.515000000000001</v>
      </c>
      <c r="H57" s="152">
        <v>87.533000000000001</v>
      </c>
      <c r="I57" s="152">
        <v>95.975999999999999</v>
      </c>
      <c r="J57" s="152">
        <v>92.728999999999999</v>
      </c>
      <c r="K57" s="152">
        <v>88.01</v>
      </c>
      <c r="L57" s="152">
        <v>85.563000000000002</v>
      </c>
    </row>
    <row r="58" spans="1:12" collapsed="1" x14ac:dyDescent="0.2">
      <c r="A58" s="132" t="s">
        <v>58</v>
      </c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</row>
    <row r="59" spans="1:12" x14ac:dyDescent="0.2">
      <c r="A59" s="122" t="s">
        <v>113</v>
      </c>
      <c r="B59" s="152">
        <v>258.108</v>
      </c>
      <c r="C59" s="152">
        <v>245.077</v>
      </c>
      <c r="D59" s="152">
        <v>232.96299999999999</v>
      </c>
      <c r="E59" s="152">
        <v>222.05199999999999</v>
      </c>
      <c r="F59" s="152">
        <v>206.02600000000001</v>
      </c>
      <c r="G59" s="152">
        <v>188.708</v>
      </c>
      <c r="H59" s="152">
        <v>179.10499999999999</v>
      </c>
      <c r="I59" s="152">
        <v>144.107</v>
      </c>
      <c r="J59" s="152">
        <v>141.04900000000001</v>
      </c>
      <c r="K59" s="152">
        <v>138.93600000000001</v>
      </c>
      <c r="L59" s="152">
        <v>130.74299999999999</v>
      </c>
    </row>
    <row r="60" spans="1:12" x14ac:dyDescent="0.2">
      <c r="A60" s="132" t="s">
        <v>68</v>
      </c>
      <c r="B60" s="147">
        <v>21.771999999999998</v>
      </c>
      <c r="C60" s="147">
        <v>22.475000000000001</v>
      </c>
      <c r="D60" s="147">
        <v>19.344000000000001</v>
      </c>
      <c r="E60" s="147">
        <v>18.399000000000001</v>
      </c>
      <c r="F60" s="147">
        <v>17.341999999999999</v>
      </c>
      <c r="G60" s="147">
        <v>16.105</v>
      </c>
      <c r="H60" s="147">
        <v>14.613</v>
      </c>
      <c r="I60" s="147">
        <v>15.000999999999999</v>
      </c>
      <c r="J60" s="147">
        <v>10.162000000000001</v>
      </c>
      <c r="K60" s="147">
        <v>13.26</v>
      </c>
      <c r="L60" s="147">
        <v>12.382999999999999</v>
      </c>
    </row>
    <row r="61" spans="1:12" x14ac:dyDescent="0.2">
      <c r="A61" s="122" t="s">
        <v>114</v>
      </c>
      <c r="B61" s="152">
        <v>9.4198690000000003</v>
      </c>
      <c r="C61" s="152">
        <v>8.3392280000000003</v>
      </c>
      <c r="D61" s="154">
        <v>-1.336813</v>
      </c>
      <c r="E61" s="154">
        <v>-31.104828000000001</v>
      </c>
      <c r="F61" s="154">
        <v>-1.051382</v>
      </c>
      <c r="G61" s="151"/>
      <c r="H61" s="152">
        <v>9.2928300000000004</v>
      </c>
      <c r="I61" s="152">
        <v>7.7980840000000002</v>
      </c>
      <c r="J61" s="154">
        <v>-7.4597519999999999</v>
      </c>
      <c r="K61" s="152">
        <v>27.258980000000001</v>
      </c>
      <c r="L61" s="152">
        <v>26.876977</v>
      </c>
    </row>
    <row r="62" spans="1:12" x14ac:dyDescent="0.2">
      <c r="A62" s="136" t="s">
        <v>77</v>
      </c>
    </row>
  </sheetData>
  <pageMargins left="0.7" right="0.7" top="0.75" bottom="0.75" header="0.3" footer="0.3"/>
  <pageSetup scale="55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3E47-2D4C-4B45-95B2-24C3E342CECF}">
  <sheetPr>
    <tabColor theme="4" tint="0.79998168889431442"/>
  </sheetPr>
  <dimension ref="A1:L8401"/>
  <sheetViews>
    <sheetView showGridLines="0" view="pageBreakPreview" zoomScaleNormal="100" zoomScaleSheetLayoutView="100" workbookViewId="0"/>
  </sheetViews>
  <sheetFormatPr baseColWidth="10" defaultColWidth="9.1640625" defaultRowHeight="15" customHeight="1" x14ac:dyDescent="0.2"/>
  <cols>
    <col min="1" max="1" width="23" style="1" bestFit="1" customWidth="1"/>
    <col min="2" max="2" width="6.33203125" style="1" bestFit="1" customWidth="1"/>
    <col min="3" max="3" width="12.83203125" style="1" bestFit="1" customWidth="1"/>
    <col min="4" max="4" width="8.5" style="1" bestFit="1" customWidth="1"/>
    <col min="5" max="5" width="10.83203125" style="1" bestFit="1" customWidth="1"/>
    <col min="6" max="6" width="9.6640625" style="1" bestFit="1" customWidth="1"/>
    <col min="7" max="7" width="19.6640625" style="1" bestFit="1" customWidth="1"/>
    <col min="8" max="8" width="20.6640625" style="1" bestFit="1" customWidth="1"/>
    <col min="9" max="11" width="6.33203125" style="1" bestFit="1" customWidth="1"/>
    <col min="12" max="12" width="22" style="1" bestFit="1" customWidth="1"/>
  </cols>
  <sheetData>
    <row r="1" spans="1:12" ht="15" customHeight="1" x14ac:dyDescent="0.2">
      <c r="A1" s="4" t="s">
        <v>335</v>
      </c>
    </row>
    <row r="3" spans="1:12" ht="15" customHeight="1" x14ac:dyDescent="0.2">
      <c r="A3" s="117" t="s">
        <v>193</v>
      </c>
      <c r="B3" s="117" t="s">
        <v>194</v>
      </c>
      <c r="C3" s="117" t="s">
        <v>195</v>
      </c>
      <c r="D3" s="117" t="s">
        <v>196</v>
      </c>
      <c r="E3" s="117" t="s">
        <v>197</v>
      </c>
      <c r="F3" s="117" t="s">
        <v>198</v>
      </c>
      <c r="G3" s="117" t="s">
        <v>199</v>
      </c>
      <c r="H3" s="117" t="s">
        <v>200</v>
      </c>
      <c r="I3" s="117" t="s">
        <v>201</v>
      </c>
      <c r="J3" s="117" t="s">
        <v>202</v>
      </c>
      <c r="K3" s="117" t="s">
        <v>203</v>
      </c>
      <c r="L3" s="117" t="s">
        <v>204</v>
      </c>
    </row>
    <row r="4" spans="1:12" ht="15" customHeight="1" x14ac:dyDescent="0.2">
      <c r="A4" s="2">
        <v>46050</v>
      </c>
      <c r="B4" s="3">
        <v>57.88</v>
      </c>
      <c r="C4" s="1">
        <v>964523</v>
      </c>
      <c r="D4" s="3">
        <v>0.80000000000000404</v>
      </c>
      <c r="E4" s="3">
        <v>1.4015416958654501</v>
      </c>
      <c r="F4" s="3">
        <v>1.40154160090659</v>
      </c>
      <c r="G4" s="3">
        <v>74.831609999999998</v>
      </c>
      <c r="H4" s="3">
        <v>1985.3252828448899</v>
      </c>
      <c r="I4" s="3">
        <v>58.34</v>
      </c>
      <c r="J4" s="3">
        <v>59.03</v>
      </c>
      <c r="K4" s="3">
        <v>57.260100000000001</v>
      </c>
      <c r="L4" s="3">
        <v>1512.93639641138</v>
      </c>
    </row>
    <row r="5" spans="1:12" ht="15" customHeight="1" x14ac:dyDescent="0.2">
      <c r="A5" s="2">
        <v>46049</v>
      </c>
      <c r="B5" s="3">
        <v>57.08</v>
      </c>
      <c r="C5" s="1">
        <v>944482</v>
      </c>
      <c r="D5" s="3">
        <v>-0.28999999999999898</v>
      </c>
      <c r="E5" s="3">
        <v>-0.50549067456858698</v>
      </c>
      <c r="F5" s="3">
        <v>-0.50548561024987804</v>
      </c>
      <c r="G5" s="3">
        <v>73.797309999999996</v>
      </c>
      <c r="H5" s="3">
        <v>1956.5025441647199</v>
      </c>
      <c r="I5" s="3">
        <v>57.07</v>
      </c>
      <c r="J5" s="3">
        <v>57.65</v>
      </c>
      <c r="K5" s="3">
        <v>56.524999999999999</v>
      </c>
      <c r="L5" s="3">
        <v>1490.64287330964</v>
      </c>
    </row>
    <row r="6" spans="1:12" ht="15" customHeight="1" x14ac:dyDescent="0.2">
      <c r="A6" s="2">
        <v>46048</v>
      </c>
      <c r="B6" s="3">
        <v>57.37</v>
      </c>
      <c r="C6" s="1">
        <v>1097586</v>
      </c>
      <c r="D6" s="3">
        <v>-1.51</v>
      </c>
      <c r="E6" s="3">
        <v>-2.5645380434782701</v>
      </c>
      <c r="F6" s="3">
        <v>-2.56453640143092</v>
      </c>
      <c r="G6" s="3">
        <v>74.172240000000002</v>
      </c>
      <c r="H6" s="3">
        <v>1966.95068243539</v>
      </c>
      <c r="I6" s="3">
        <v>58.49</v>
      </c>
      <c r="J6" s="3">
        <v>58.74</v>
      </c>
      <c r="K6" s="3">
        <v>56.98</v>
      </c>
      <c r="L6" s="3">
        <v>1498.72427543402</v>
      </c>
    </row>
    <row r="7" spans="1:12" ht="15" customHeight="1" x14ac:dyDescent="0.2">
      <c r="A7" s="2">
        <v>46045</v>
      </c>
      <c r="B7" s="3">
        <v>58.88</v>
      </c>
      <c r="C7" s="1">
        <v>609175</v>
      </c>
      <c r="D7" s="3">
        <v>-1.9999999999996E-2</v>
      </c>
      <c r="E7" s="3">
        <v>-3.3955857385392599E-2</v>
      </c>
      <c r="F7" s="3">
        <v>-3.3965702978755397E-2</v>
      </c>
      <c r="G7" s="3">
        <v>76.124480000000005</v>
      </c>
      <c r="H7" s="3">
        <v>2021.35356686058</v>
      </c>
      <c r="I7" s="3">
        <v>58.47</v>
      </c>
      <c r="J7" s="3">
        <v>59.33</v>
      </c>
      <c r="K7" s="3">
        <v>58.21</v>
      </c>
      <c r="L7" s="3">
        <v>1540.80330028857</v>
      </c>
    </row>
    <row r="8" spans="1:12" ht="15" customHeight="1" x14ac:dyDescent="0.2">
      <c r="A8" s="2">
        <v>46044</v>
      </c>
      <c r="B8" s="3">
        <v>58.9</v>
      </c>
      <c r="C8" s="1">
        <v>1025482</v>
      </c>
      <c r="D8" s="3">
        <v>-0.92999999999999905</v>
      </c>
      <c r="E8" s="3">
        <v>-1.55440414507771</v>
      </c>
      <c r="F8" s="3">
        <v>-1.5543992217984799</v>
      </c>
      <c r="G8" s="3">
        <v>76.150345000000002</v>
      </c>
      <c r="H8" s="3">
        <v>2022.07434432937</v>
      </c>
      <c r="I8" s="3">
        <v>60.29</v>
      </c>
      <c r="J8" s="3">
        <v>61.575000000000003</v>
      </c>
      <c r="K8" s="3">
        <v>58.51</v>
      </c>
      <c r="L8" s="3">
        <v>1541.3606383661099</v>
      </c>
    </row>
    <row r="9" spans="1:12" ht="15" customHeight="1" x14ac:dyDescent="0.2">
      <c r="A9" s="2">
        <v>46043</v>
      </c>
      <c r="B9" s="3">
        <v>59.83</v>
      </c>
      <c r="C9" s="1">
        <v>1566268</v>
      </c>
      <c r="D9" s="3">
        <v>2.1599999999999899</v>
      </c>
      <c r="E9" s="3">
        <v>3.74544823998612</v>
      </c>
      <c r="F9" s="3">
        <v>3.7454494430426202</v>
      </c>
      <c r="G9" s="3">
        <v>77.352715000000003</v>
      </c>
      <c r="H9" s="3">
        <v>2055.5806735441802</v>
      </c>
      <c r="I9" s="3">
        <v>56.75</v>
      </c>
      <c r="J9" s="3">
        <v>60.01</v>
      </c>
      <c r="K9" s="3">
        <v>56.66</v>
      </c>
      <c r="L9" s="3">
        <v>1567.2768589718901</v>
      </c>
    </row>
    <row r="10" spans="1:12" ht="15" customHeight="1" x14ac:dyDescent="0.2">
      <c r="A10" s="2">
        <v>46042</v>
      </c>
      <c r="B10" s="3">
        <v>57.67</v>
      </c>
      <c r="C10" s="1">
        <v>1781805</v>
      </c>
      <c r="D10" s="3">
        <v>-1.64</v>
      </c>
      <c r="E10" s="3">
        <v>-2.7651323554206702</v>
      </c>
      <c r="F10" s="3">
        <v>-2.7651335243077702</v>
      </c>
      <c r="G10" s="3">
        <v>74.560103999999995</v>
      </c>
      <c r="H10" s="3">
        <v>1977.75925124081</v>
      </c>
      <c r="I10" s="3">
        <v>58.384999999999998</v>
      </c>
      <c r="J10" s="3">
        <v>59.534999999999997</v>
      </c>
      <c r="K10" s="3">
        <v>57.57</v>
      </c>
      <c r="L10" s="3">
        <v>1507.08434659718</v>
      </c>
    </row>
    <row r="11" spans="1:12" ht="15" customHeight="1" x14ac:dyDescent="0.2">
      <c r="A11" s="2">
        <v>46038</v>
      </c>
      <c r="B11" s="3">
        <v>59.31</v>
      </c>
      <c r="C11" s="1">
        <v>1369773</v>
      </c>
      <c r="D11" s="3">
        <v>-1.43999999999999</v>
      </c>
      <c r="E11" s="3">
        <v>-2.37037037037036</v>
      </c>
      <c r="F11" s="3">
        <v>-2.3703702571968899</v>
      </c>
      <c r="G11" s="3">
        <v>76.680419999999998</v>
      </c>
      <c r="H11" s="3">
        <v>2036.84589340206</v>
      </c>
      <c r="I11" s="3">
        <v>60.18</v>
      </c>
      <c r="J11" s="3">
        <v>60.79</v>
      </c>
      <c r="K11" s="3">
        <v>59.23</v>
      </c>
      <c r="L11" s="3">
        <v>1552.7860689557599</v>
      </c>
    </row>
    <row r="12" spans="1:12" ht="15" customHeight="1" x14ac:dyDescent="0.2">
      <c r="A12" s="2">
        <v>46037</v>
      </c>
      <c r="B12" s="3">
        <v>60.75</v>
      </c>
      <c r="C12" s="1">
        <v>1511496</v>
      </c>
      <c r="D12" s="3">
        <v>0.59000000000000297</v>
      </c>
      <c r="E12" s="3">
        <v>0.98071808510638003</v>
      </c>
      <c r="F12" s="3">
        <v>0.98071511665445099</v>
      </c>
      <c r="G12" s="3">
        <v>78.542159999999996</v>
      </c>
      <c r="H12" s="3">
        <v>2088.7268230263699</v>
      </c>
      <c r="I12" s="3">
        <v>60</v>
      </c>
      <c r="J12" s="3">
        <v>61.75</v>
      </c>
      <c r="K12" s="3">
        <v>59.87</v>
      </c>
      <c r="L12" s="3">
        <v>1592.9144105389</v>
      </c>
    </row>
    <row r="13" spans="1:12" ht="15" customHeight="1" x14ac:dyDescent="0.2">
      <c r="A13" s="2">
        <v>46036</v>
      </c>
      <c r="B13" s="3">
        <v>60.16</v>
      </c>
      <c r="C13" s="1">
        <v>1009163</v>
      </c>
      <c r="D13" s="3">
        <v>0.40999999999999598</v>
      </c>
      <c r="E13" s="3">
        <v>0.68619246861925098</v>
      </c>
      <c r="F13" s="3">
        <v>0.68620186492351898</v>
      </c>
      <c r="G13" s="3">
        <v>77.779365999999996</v>
      </c>
      <c r="H13" s="3">
        <v>2067.4701159502802</v>
      </c>
      <c r="I13" s="3">
        <v>59.71</v>
      </c>
      <c r="J13" s="3">
        <v>60.4</v>
      </c>
      <c r="K13" s="3">
        <v>59.01</v>
      </c>
      <c r="L13" s="3">
        <v>1576.47293725136</v>
      </c>
    </row>
    <row r="14" spans="1:12" ht="15" customHeight="1" x14ac:dyDescent="0.2">
      <c r="A14" s="2">
        <v>46035</v>
      </c>
      <c r="B14" s="3">
        <v>59.75</v>
      </c>
      <c r="C14" s="1">
        <v>1346656</v>
      </c>
      <c r="D14" s="3">
        <v>-0.17000000000000101</v>
      </c>
      <c r="E14" s="3">
        <v>-0.283711615487314</v>
      </c>
      <c r="F14" s="3">
        <v>-0.28371322903451002</v>
      </c>
      <c r="G14" s="3">
        <v>77.249279999999999</v>
      </c>
      <c r="H14" s="3">
        <v>2052.69826034164</v>
      </c>
      <c r="I14" s="3">
        <v>59.51</v>
      </c>
      <c r="J14" s="3">
        <v>60.31</v>
      </c>
      <c r="K14" s="3">
        <v>59.21</v>
      </c>
      <c r="L14" s="3">
        <v>1565.04750666172</v>
      </c>
    </row>
    <row r="15" spans="1:12" ht="15" customHeight="1" x14ac:dyDescent="0.2">
      <c r="A15" s="2">
        <v>46034</v>
      </c>
      <c r="B15" s="3">
        <v>59.92</v>
      </c>
      <c r="C15" s="1">
        <v>1681261</v>
      </c>
      <c r="D15" s="3">
        <v>2.31</v>
      </c>
      <c r="E15" s="3">
        <v>4.0097205346294</v>
      </c>
      <c r="F15" s="3">
        <v>4.0097187890905497</v>
      </c>
      <c r="G15" s="3">
        <v>77.469070000000002</v>
      </c>
      <c r="H15" s="3">
        <v>2058.8231271448099</v>
      </c>
      <c r="I15" s="3">
        <v>57.52</v>
      </c>
      <c r="J15" s="3">
        <v>59.95</v>
      </c>
      <c r="K15" s="3">
        <v>57</v>
      </c>
      <c r="L15" s="3">
        <v>1569.7848803208401</v>
      </c>
    </row>
    <row r="16" spans="1:12" ht="15" customHeight="1" x14ac:dyDescent="0.2">
      <c r="A16" s="2">
        <v>46031</v>
      </c>
      <c r="B16" s="3">
        <v>57.61</v>
      </c>
      <c r="C16" s="1">
        <v>1163397</v>
      </c>
      <c r="D16" s="3">
        <v>0.619999999999997</v>
      </c>
      <c r="E16" s="3">
        <v>1.0879101596771299</v>
      </c>
      <c r="F16" s="3">
        <v>1.0879012234287799</v>
      </c>
      <c r="G16" s="3">
        <v>74.482529999999997</v>
      </c>
      <c r="H16" s="3">
        <v>1975.5975040394401</v>
      </c>
      <c r="I16" s="3">
        <v>57</v>
      </c>
      <c r="J16" s="3">
        <v>57.784999999999997</v>
      </c>
      <c r="K16" s="3">
        <v>56.12</v>
      </c>
      <c r="L16" s="3">
        <v>1505.4123323645399</v>
      </c>
    </row>
    <row r="17" spans="1:12" ht="15" customHeight="1" x14ac:dyDescent="0.2">
      <c r="A17" s="2">
        <v>46030</v>
      </c>
      <c r="B17" s="3">
        <v>56.99</v>
      </c>
      <c r="C17" s="1">
        <v>1196500</v>
      </c>
      <c r="D17" s="3">
        <v>1.34</v>
      </c>
      <c r="E17" s="3">
        <v>2.40790655884997</v>
      </c>
      <c r="F17" s="3">
        <v>2.4079084345052402</v>
      </c>
      <c r="G17" s="3">
        <v>73.680954</v>
      </c>
      <c r="H17" s="3">
        <v>1953.26006269718</v>
      </c>
      <c r="I17" s="3">
        <v>55.31</v>
      </c>
      <c r="J17" s="3">
        <v>57.68</v>
      </c>
      <c r="K17" s="3">
        <v>55.244999999999997</v>
      </c>
      <c r="L17" s="3">
        <v>1488.13485196069</v>
      </c>
    </row>
    <row r="18" spans="1:12" ht="15" customHeight="1" x14ac:dyDescent="0.2">
      <c r="A18" s="2">
        <v>46029</v>
      </c>
      <c r="B18" s="3">
        <v>55.65</v>
      </c>
      <c r="C18" s="1">
        <v>1580950</v>
      </c>
      <c r="D18" s="3">
        <v>-0.880000000000002</v>
      </c>
      <c r="E18" s="3">
        <v>-1.5566955598797101</v>
      </c>
      <c r="F18" s="3">
        <v>-1.55669542675823</v>
      </c>
      <c r="G18" s="3">
        <v>71.948499999999996</v>
      </c>
      <c r="H18" s="3">
        <v>1904.98193360754</v>
      </c>
      <c r="I18" s="3">
        <v>56.44</v>
      </c>
      <c r="J18" s="3">
        <v>56.789900000000003</v>
      </c>
      <c r="K18" s="3">
        <v>55.280099999999997</v>
      </c>
      <c r="L18" s="3">
        <v>1450.7932007652601</v>
      </c>
    </row>
    <row r="19" spans="1:12" ht="15" customHeight="1" x14ac:dyDescent="0.2">
      <c r="A19" s="2">
        <v>46028</v>
      </c>
      <c r="B19" s="3">
        <v>56.53</v>
      </c>
      <c r="C19" s="1">
        <v>2028832</v>
      </c>
      <c r="D19" s="3">
        <v>1.8599999999999901</v>
      </c>
      <c r="E19" s="3">
        <v>3.4022315712456601</v>
      </c>
      <c r="F19" s="3">
        <v>3.4022495570621198</v>
      </c>
      <c r="G19" s="3">
        <v>73.08623</v>
      </c>
      <c r="H19" s="3">
        <v>1936.6869461557301</v>
      </c>
      <c r="I19" s="3">
        <v>54.54</v>
      </c>
      <c r="J19" s="3">
        <v>56.68</v>
      </c>
      <c r="K19" s="3">
        <v>54.41</v>
      </c>
      <c r="L19" s="3">
        <v>1475.3160761771901</v>
      </c>
    </row>
    <row r="20" spans="1:12" ht="15" customHeight="1" x14ac:dyDescent="0.2">
      <c r="A20" s="2">
        <v>46027</v>
      </c>
      <c r="B20" s="3">
        <v>54.67</v>
      </c>
      <c r="C20" s="1">
        <v>1649187</v>
      </c>
      <c r="D20" s="3">
        <v>1.8599999999999901</v>
      </c>
      <c r="E20" s="3">
        <v>3.5220602158682</v>
      </c>
      <c r="F20" s="3">
        <v>3.5220491666780198</v>
      </c>
      <c r="G20" s="3">
        <v>70.681470000000004</v>
      </c>
      <c r="H20" s="3">
        <v>1869.67373038803</v>
      </c>
      <c r="I20" s="3">
        <v>52.92</v>
      </c>
      <c r="J20" s="3">
        <v>55.12</v>
      </c>
      <c r="K20" s="3">
        <v>52.67</v>
      </c>
      <c r="L20" s="3">
        <v>1423.48363496562</v>
      </c>
    </row>
    <row r="21" spans="1:12" ht="15" customHeight="1" x14ac:dyDescent="0.2">
      <c r="A21" s="2">
        <v>46024</v>
      </c>
      <c r="B21" s="3">
        <v>52.81</v>
      </c>
      <c r="C21" s="1">
        <v>984041</v>
      </c>
      <c r="D21" s="3">
        <v>2.33</v>
      </c>
      <c r="E21" s="3">
        <v>4.6156893819334401</v>
      </c>
      <c r="F21" s="3">
        <v>4.61569129722161</v>
      </c>
      <c r="G21" s="3">
        <v>68.276730000000001</v>
      </c>
      <c r="H21" s="3">
        <v>1802.6610719584201</v>
      </c>
      <c r="I21" s="3">
        <v>50.62</v>
      </c>
      <c r="J21" s="3">
        <v>52.91</v>
      </c>
      <c r="K21" s="3">
        <v>50.515000000000001</v>
      </c>
      <c r="L21" s="3">
        <v>1371.6511937540599</v>
      </c>
    </row>
    <row r="22" spans="1:12" ht="15" customHeight="1" x14ac:dyDescent="0.2">
      <c r="A22" s="2">
        <v>46022</v>
      </c>
      <c r="B22" s="3">
        <v>50.48</v>
      </c>
      <c r="C22" s="1">
        <v>892300</v>
      </c>
      <c r="D22" s="3">
        <v>0.46999999999999797</v>
      </c>
      <c r="E22" s="3">
        <v>0.93981203759248</v>
      </c>
      <c r="F22" s="3">
        <v>0.93981008613495098</v>
      </c>
      <c r="G22" s="3">
        <v>65.264330000000001</v>
      </c>
      <c r="H22" s="3">
        <v>1718.71481071879</v>
      </c>
      <c r="I22" s="3">
        <v>50</v>
      </c>
      <c r="J22" s="3">
        <v>50.774999999999999</v>
      </c>
      <c r="K22" s="3">
        <v>49.65</v>
      </c>
      <c r="L22" s="3">
        <v>1306.72130772023</v>
      </c>
    </row>
    <row r="23" spans="1:12" ht="15" customHeight="1" x14ac:dyDescent="0.2">
      <c r="A23" s="2">
        <v>46021</v>
      </c>
      <c r="B23" s="3">
        <v>50.01</v>
      </c>
      <c r="C23" s="1">
        <v>1047053</v>
      </c>
      <c r="D23" s="3">
        <v>-0.74000000000000199</v>
      </c>
      <c r="E23" s="3">
        <v>-1.45812807881773</v>
      </c>
      <c r="F23" s="3">
        <v>-1.45813180567815</v>
      </c>
      <c r="G23" s="3">
        <v>64.656679999999994</v>
      </c>
      <c r="H23" s="3">
        <v>1701.78148657782</v>
      </c>
      <c r="I23" s="3">
        <v>50.85</v>
      </c>
      <c r="J23" s="3">
        <v>50.85</v>
      </c>
      <c r="K23" s="3">
        <v>49.92</v>
      </c>
      <c r="L23" s="3">
        <v>1293.6238628979499</v>
      </c>
    </row>
    <row r="24" spans="1:12" ht="15" customHeight="1" x14ac:dyDescent="0.2">
      <c r="A24" s="2">
        <v>46020</v>
      </c>
      <c r="B24" s="3">
        <v>50.75</v>
      </c>
      <c r="C24" s="1">
        <v>1062095</v>
      </c>
      <c r="D24" s="3">
        <v>-1.7999999999999901</v>
      </c>
      <c r="E24" s="3">
        <v>-3.4253092293054102</v>
      </c>
      <c r="F24" s="3">
        <v>-3.4253019329537602</v>
      </c>
      <c r="G24" s="3">
        <v>65.613410000000002</v>
      </c>
      <c r="H24" s="3">
        <v>1728.44258952424</v>
      </c>
      <c r="I24" s="3">
        <v>51.96</v>
      </c>
      <c r="J24" s="3">
        <v>52.215000000000003</v>
      </c>
      <c r="K24" s="3">
        <v>50.48</v>
      </c>
      <c r="L24" s="3">
        <v>1314.2453717670601</v>
      </c>
    </row>
    <row r="25" spans="1:12" ht="15" customHeight="1" x14ac:dyDescent="0.2">
      <c r="A25" s="2">
        <v>46017</v>
      </c>
      <c r="B25" s="3">
        <v>52.55</v>
      </c>
      <c r="C25" s="1">
        <v>791171</v>
      </c>
      <c r="D25" s="3">
        <v>0.89999999999999802</v>
      </c>
      <c r="E25" s="3">
        <v>1.74249757986446</v>
      </c>
      <c r="F25" s="3">
        <v>1.7424861853632101</v>
      </c>
      <c r="G25" s="3">
        <v>67.940579999999997</v>
      </c>
      <c r="H25" s="3">
        <v>1793.2936122200999</v>
      </c>
      <c r="I25" s="3">
        <v>51.74</v>
      </c>
      <c r="J25" s="3">
        <v>52.58</v>
      </c>
      <c r="K25" s="3">
        <v>51.467399999999998</v>
      </c>
      <c r="L25" s="3">
        <v>1364.4057987460001</v>
      </c>
    </row>
    <row r="26" spans="1:12" ht="15" customHeight="1" x14ac:dyDescent="0.2">
      <c r="A26" s="2">
        <v>46015</v>
      </c>
      <c r="B26" s="3">
        <v>51.65</v>
      </c>
      <c r="C26" s="1">
        <v>337356</v>
      </c>
      <c r="D26" s="3">
        <v>0.55999999999999495</v>
      </c>
      <c r="E26" s="3">
        <v>1.0961049128987901</v>
      </c>
      <c r="F26" s="3">
        <v>1.09611093130597</v>
      </c>
      <c r="G26" s="3">
        <v>66.777000000000001</v>
      </c>
      <c r="H26" s="3">
        <v>1760.86824020669</v>
      </c>
      <c r="I26" s="3">
        <v>51.23</v>
      </c>
      <c r="J26" s="3">
        <v>51.79</v>
      </c>
      <c r="K26" s="3">
        <v>50.92</v>
      </c>
      <c r="L26" s="3">
        <v>1339.3255852565301</v>
      </c>
    </row>
    <row r="27" spans="1:12" ht="15" customHeight="1" x14ac:dyDescent="0.2">
      <c r="A27" s="2">
        <v>46014</v>
      </c>
      <c r="B27" s="3">
        <v>51.09</v>
      </c>
      <c r="C27" s="1">
        <v>981578</v>
      </c>
      <c r="D27" s="3">
        <v>-1.1399999999999899</v>
      </c>
      <c r="E27" s="3">
        <v>-2.18265364732911</v>
      </c>
      <c r="F27" s="3">
        <v>-2.18264850460986</v>
      </c>
      <c r="G27" s="3">
        <v>66.052986000000004</v>
      </c>
      <c r="H27" s="3">
        <v>1740.6922116629501</v>
      </c>
      <c r="I27" s="3">
        <v>52.18</v>
      </c>
      <c r="J27" s="3">
        <v>52.23</v>
      </c>
      <c r="K27" s="3">
        <v>50.715000000000003</v>
      </c>
      <c r="L27" s="3">
        <v>1323.72011908531</v>
      </c>
    </row>
    <row r="28" spans="1:12" ht="15" customHeight="1" x14ac:dyDescent="0.2">
      <c r="A28" s="2">
        <v>46013</v>
      </c>
      <c r="B28" s="3">
        <v>52.23</v>
      </c>
      <c r="C28" s="1">
        <v>812296</v>
      </c>
      <c r="D28" s="3">
        <v>0.209999999999993</v>
      </c>
      <c r="E28" s="3">
        <v>0.40369088811993398</v>
      </c>
      <c r="F28" s="3">
        <v>0.40368529735028602</v>
      </c>
      <c r="G28" s="3">
        <v>67.526859999999999</v>
      </c>
      <c r="H28" s="3">
        <v>1781.76451674803</v>
      </c>
      <c r="I28" s="3">
        <v>52.06</v>
      </c>
      <c r="J28" s="3">
        <v>52.57</v>
      </c>
      <c r="K28" s="3">
        <v>51.78</v>
      </c>
      <c r="L28" s="3">
        <v>1355.4883895052999</v>
      </c>
    </row>
    <row r="29" spans="1:12" ht="15" customHeight="1" x14ac:dyDescent="0.2">
      <c r="A29" s="2">
        <v>46010</v>
      </c>
      <c r="B29" s="3">
        <v>52.02</v>
      </c>
      <c r="C29" s="1">
        <v>2183498</v>
      </c>
      <c r="D29" s="3">
        <v>0.36000000000000598</v>
      </c>
      <c r="E29" s="3">
        <v>0.69686411149827399</v>
      </c>
      <c r="F29" s="3">
        <v>0.69686408541407197</v>
      </c>
      <c r="G29" s="3">
        <v>67.255359999999996</v>
      </c>
      <c r="H29" s="3">
        <v>1774.19865234538</v>
      </c>
      <c r="I29" s="3">
        <v>51.3</v>
      </c>
      <c r="J29" s="3">
        <v>52.77</v>
      </c>
      <c r="K29" s="3">
        <v>50.9</v>
      </c>
      <c r="L29" s="3">
        <v>1349.6363396910899</v>
      </c>
    </row>
    <row r="30" spans="1:12" ht="15" customHeight="1" x14ac:dyDescent="0.2">
      <c r="A30" s="2">
        <v>46009</v>
      </c>
      <c r="B30" s="3">
        <v>51.66</v>
      </c>
      <c r="C30" s="1">
        <v>1986138</v>
      </c>
      <c r="D30" s="3">
        <v>1.3999999999999899</v>
      </c>
      <c r="E30" s="3">
        <v>2.7855153203342602</v>
      </c>
      <c r="F30" s="3">
        <v>2.7855152131658998</v>
      </c>
      <c r="G30" s="3">
        <v>66.789924999999997</v>
      </c>
      <c r="H30" s="3">
        <v>1761.2284199393</v>
      </c>
      <c r="I30" s="3">
        <v>51.07</v>
      </c>
      <c r="J30" s="3">
        <v>52.06</v>
      </c>
      <c r="K30" s="3">
        <v>50.661799999999999</v>
      </c>
      <c r="L30" s="3">
        <v>1339.6042542953001</v>
      </c>
    </row>
    <row r="31" spans="1:12" ht="15" customHeight="1" x14ac:dyDescent="0.2">
      <c r="A31" s="2">
        <v>46008</v>
      </c>
      <c r="B31" s="3">
        <v>50.26</v>
      </c>
      <c r="C31" s="1">
        <v>1337879</v>
      </c>
      <c r="D31" s="3">
        <v>1.1099999999999901</v>
      </c>
      <c r="E31" s="3">
        <v>2.2583926754832202</v>
      </c>
      <c r="F31" s="3">
        <v>2.2583905750917999</v>
      </c>
      <c r="G31" s="3">
        <v>64.979900000000001</v>
      </c>
      <c r="H31" s="3">
        <v>1710.788627249</v>
      </c>
      <c r="I31" s="3">
        <v>48.79</v>
      </c>
      <c r="J31" s="3">
        <v>51</v>
      </c>
      <c r="K31" s="3">
        <v>48.63</v>
      </c>
      <c r="L31" s="3">
        <v>1300.5905888672401</v>
      </c>
    </row>
    <row r="32" spans="1:12" ht="15" customHeight="1" x14ac:dyDescent="0.2">
      <c r="A32" s="2">
        <v>46007</v>
      </c>
      <c r="B32" s="3">
        <v>49.15</v>
      </c>
      <c r="C32" s="1">
        <v>1058792</v>
      </c>
      <c r="D32" s="3">
        <v>-1.105</v>
      </c>
      <c r="E32" s="3">
        <v>-2.19878619042882</v>
      </c>
      <c r="F32" s="3">
        <v>-2.1987817359322501</v>
      </c>
      <c r="G32" s="3">
        <v>63.544809999999998</v>
      </c>
      <c r="H32" s="3">
        <v>1670.79711216389</v>
      </c>
      <c r="I32" s="3">
        <v>50.01</v>
      </c>
      <c r="J32" s="3">
        <v>50.389899999999997</v>
      </c>
      <c r="K32" s="3">
        <v>48.850499999999997</v>
      </c>
      <c r="L32" s="3">
        <v>1269.6583255635701</v>
      </c>
    </row>
    <row r="33" spans="1:12" ht="15" customHeight="1" x14ac:dyDescent="0.2">
      <c r="A33" s="2">
        <v>46006</v>
      </c>
      <c r="B33" s="3">
        <v>50.255000000000003</v>
      </c>
      <c r="C33" s="1">
        <v>1051664</v>
      </c>
      <c r="D33" s="3">
        <v>0.39500000000000302</v>
      </c>
      <c r="E33" s="3">
        <v>0.79221821099078005</v>
      </c>
      <c r="F33" s="3">
        <v>0.79221565943121597</v>
      </c>
      <c r="G33" s="3">
        <v>64.973433999999997</v>
      </c>
      <c r="H33" s="3">
        <v>1710.60843984853</v>
      </c>
      <c r="I33" s="3">
        <v>49.88</v>
      </c>
      <c r="J33" s="3">
        <v>50.29</v>
      </c>
      <c r="K33" s="3">
        <v>49.265000000000001</v>
      </c>
      <c r="L33" s="3">
        <v>1300.45125434786</v>
      </c>
    </row>
    <row r="34" spans="1:12" ht="15" customHeight="1" x14ac:dyDescent="0.2">
      <c r="A34" s="2">
        <v>46003</v>
      </c>
      <c r="B34" s="3">
        <v>49.86</v>
      </c>
      <c r="C34" s="1">
        <v>1287900</v>
      </c>
      <c r="D34" s="3">
        <v>0.89999999999999802</v>
      </c>
      <c r="E34" s="3">
        <v>1.8382352941176401</v>
      </c>
      <c r="F34" s="3">
        <v>1.83823924361712</v>
      </c>
      <c r="G34" s="3">
        <v>64.46275</v>
      </c>
      <c r="H34" s="3">
        <v>1696.37725790891</v>
      </c>
      <c r="I34" s="3">
        <v>49.08</v>
      </c>
      <c r="J34" s="3">
        <v>50.62</v>
      </c>
      <c r="K34" s="3">
        <v>49.05</v>
      </c>
      <c r="L34" s="3">
        <v>1289.4438273163701</v>
      </c>
    </row>
    <row r="35" spans="1:12" ht="15" customHeight="1" x14ac:dyDescent="0.2">
      <c r="A35" s="2">
        <v>46002</v>
      </c>
      <c r="B35" s="3">
        <v>48.96</v>
      </c>
      <c r="C35" s="1">
        <v>899613</v>
      </c>
      <c r="D35" s="3">
        <v>6.4999999999997699E-2</v>
      </c>
      <c r="E35" s="3">
        <v>0.13293792821351599</v>
      </c>
      <c r="F35" s="3">
        <v>0.13293337420541201</v>
      </c>
      <c r="G35" s="3">
        <v>63.299160000000001</v>
      </c>
      <c r="H35" s="3">
        <v>1663.9516072264601</v>
      </c>
      <c r="I35" s="3">
        <v>48.9</v>
      </c>
      <c r="J35" s="3">
        <v>49.74</v>
      </c>
      <c r="K35" s="3">
        <v>48.62</v>
      </c>
      <c r="L35" s="3">
        <v>1264.3636138269101</v>
      </c>
    </row>
    <row r="36" spans="1:12" ht="15" customHeight="1" x14ac:dyDescent="0.2">
      <c r="A36" s="2">
        <v>46001</v>
      </c>
      <c r="B36" s="3">
        <v>48.895000000000003</v>
      </c>
      <c r="C36" s="1">
        <v>969372</v>
      </c>
      <c r="D36" s="3">
        <v>1.425</v>
      </c>
      <c r="E36" s="3">
        <v>3.0018959342742901</v>
      </c>
      <c r="F36" s="3">
        <v>3.0018943251389301</v>
      </c>
      <c r="G36" s="3">
        <v>63.215125999999998</v>
      </c>
      <c r="H36" s="3">
        <v>1661.6098398260499</v>
      </c>
      <c r="I36" s="3">
        <v>47.49</v>
      </c>
      <c r="J36" s="3">
        <v>49.11</v>
      </c>
      <c r="K36" s="3">
        <v>47.17</v>
      </c>
      <c r="L36" s="3">
        <v>1262.5522650748901</v>
      </c>
    </row>
    <row r="37" spans="1:12" ht="15" customHeight="1" x14ac:dyDescent="0.2">
      <c r="A37" s="2">
        <v>46000</v>
      </c>
      <c r="B37" s="3">
        <v>47.47</v>
      </c>
      <c r="C37" s="1">
        <v>689789</v>
      </c>
      <c r="D37" s="3">
        <v>0.64999999999999802</v>
      </c>
      <c r="E37" s="3">
        <v>1.38829560017086</v>
      </c>
      <c r="F37" s="3">
        <v>1.3882976078434599</v>
      </c>
      <c r="G37" s="3">
        <v>61.372779999999999</v>
      </c>
      <c r="H37" s="3">
        <v>1610.2693609355299</v>
      </c>
      <c r="I37" s="3">
        <v>46.82</v>
      </c>
      <c r="J37" s="3">
        <v>47.68</v>
      </c>
      <c r="K37" s="3">
        <v>46.8</v>
      </c>
      <c r="L37" s="3">
        <v>1222.8419270499001</v>
      </c>
    </row>
    <row r="38" spans="1:12" ht="15" customHeight="1" x14ac:dyDescent="0.2">
      <c r="A38" s="2">
        <v>45999</v>
      </c>
      <c r="B38" s="3">
        <v>46.82</v>
      </c>
      <c r="C38" s="1">
        <v>900351</v>
      </c>
      <c r="D38" s="3">
        <v>-0.15999999999999601</v>
      </c>
      <c r="E38" s="3">
        <v>-0.34057045551297799</v>
      </c>
      <c r="F38" s="3">
        <v>-0.340570441495258</v>
      </c>
      <c r="G38" s="3">
        <v>60.532409999999999</v>
      </c>
      <c r="H38" s="3">
        <v>1586.8508509242699</v>
      </c>
      <c r="I38" s="3">
        <v>47.25</v>
      </c>
      <c r="J38" s="3">
        <v>47.6</v>
      </c>
      <c r="K38" s="3">
        <v>46.466200000000001</v>
      </c>
      <c r="L38" s="3">
        <v>1204.7284395297299</v>
      </c>
    </row>
    <row r="39" spans="1:12" ht="15" customHeight="1" x14ac:dyDescent="0.2">
      <c r="A39" s="2">
        <v>45996</v>
      </c>
      <c r="B39" s="3">
        <v>46.98</v>
      </c>
      <c r="C39" s="1">
        <v>790991</v>
      </c>
      <c r="D39" s="3">
        <v>-0.80000000000000404</v>
      </c>
      <c r="E39" s="3">
        <v>-1.6743407283382301</v>
      </c>
      <c r="F39" s="3">
        <v>-1.67433588544434</v>
      </c>
      <c r="G39" s="3">
        <v>60.739269999999998</v>
      </c>
      <c r="H39" s="3">
        <v>1592.6153986602999</v>
      </c>
      <c r="I39" s="3">
        <v>47.78</v>
      </c>
      <c r="J39" s="3">
        <v>47.844999999999999</v>
      </c>
      <c r="K39" s="3">
        <v>46.9</v>
      </c>
      <c r="L39" s="3">
        <v>1209.18714415008</v>
      </c>
    </row>
    <row r="40" spans="1:12" ht="15" customHeight="1" x14ac:dyDescent="0.2">
      <c r="A40" s="2">
        <v>45995</v>
      </c>
      <c r="B40" s="3">
        <v>47.78</v>
      </c>
      <c r="C40" s="1">
        <v>836370</v>
      </c>
      <c r="D40" s="3">
        <v>-0.619999999999997</v>
      </c>
      <c r="E40" s="3">
        <v>-1.28099173553718</v>
      </c>
      <c r="F40" s="3">
        <v>-1.2809972673978001</v>
      </c>
      <c r="G40" s="3">
        <v>61.773567</v>
      </c>
      <c r="H40" s="3">
        <v>1621.4380537397601</v>
      </c>
      <c r="I40" s="3">
        <v>48.42</v>
      </c>
      <c r="J40" s="3">
        <v>48.55</v>
      </c>
      <c r="K40" s="3">
        <v>47.42</v>
      </c>
      <c r="L40" s="3">
        <v>1231.48066725183</v>
      </c>
    </row>
    <row r="41" spans="1:12" ht="15" customHeight="1" x14ac:dyDescent="0.2">
      <c r="A41" s="2">
        <v>45994</v>
      </c>
      <c r="B41" s="3">
        <v>48.4</v>
      </c>
      <c r="C41" s="1">
        <v>852425</v>
      </c>
      <c r="D41" s="3">
        <v>0.53999999999999904</v>
      </c>
      <c r="E41" s="3">
        <v>1.12829084830756</v>
      </c>
      <c r="F41" s="3">
        <v>1.12829161077621</v>
      </c>
      <c r="G41" s="3">
        <v>62.575153</v>
      </c>
      <c r="H41" s="3">
        <v>1643.7757737510501</v>
      </c>
      <c r="I41" s="3">
        <v>48</v>
      </c>
      <c r="J41" s="3">
        <v>48.89</v>
      </c>
      <c r="K41" s="3">
        <v>47.93</v>
      </c>
      <c r="L41" s="3">
        <v>1248.75814765568</v>
      </c>
    </row>
    <row r="42" spans="1:12" ht="15" customHeight="1" x14ac:dyDescent="0.2">
      <c r="A42" s="2">
        <v>45993</v>
      </c>
      <c r="B42" s="3">
        <v>47.86</v>
      </c>
      <c r="C42" s="1">
        <v>835372</v>
      </c>
      <c r="D42" s="3">
        <v>0.47999999999999599</v>
      </c>
      <c r="E42" s="3">
        <v>1.0130856901646199</v>
      </c>
      <c r="F42" s="3">
        <v>1.01308564881852</v>
      </c>
      <c r="G42" s="3">
        <v>61.877000000000002</v>
      </c>
      <c r="H42" s="3">
        <v>1624.32041120849</v>
      </c>
      <c r="I42" s="3">
        <v>47.52</v>
      </c>
      <c r="J42" s="3">
        <v>48.155000000000001</v>
      </c>
      <c r="K42" s="3">
        <v>46.97</v>
      </c>
      <c r="L42" s="3">
        <v>1233.7100195620001</v>
      </c>
    </row>
    <row r="43" spans="1:12" ht="15" customHeight="1" x14ac:dyDescent="0.2">
      <c r="A43" s="2">
        <v>45992</v>
      </c>
      <c r="B43" s="3">
        <v>47.38</v>
      </c>
      <c r="C43" s="1">
        <v>931075</v>
      </c>
      <c r="D43" s="3">
        <v>-0.27999999999999398</v>
      </c>
      <c r="E43" s="3">
        <v>-0.587494754511108</v>
      </c>
      <c r="F43" s="3">
        <v>-0.58749150396140104</v>
      </c>
      <c r="G43" s="3">
        <v>61.256419999999999</v>
      </c>
      <c r="H43" s="3">
        <v>1607.0267680003799</v>
      </c>
      <c r="I43" s="3">
        <v>47.13</v>
      </c>
      <c r="J43" s="3">
        <v>47.85</v>
      </c>
      <c r="K43" s="3">
        <v>46.58</v>
      </c>
      <c r="L43" s="3">
        <v>1220.33390570096</v>
      </c>
    </row>
    <row r="44" spans="1:12" ht="15" customHeight="1" x14ac:dyDescent="0.2">
      <c r="A44" s="2">
        <v>45989</v>
      </c>
      <c r="B44" s="3">
        <v>47.66</v>
      </c>
      <c r="C44" s="1">
        <v>417322</v>
      </c>
      <c r="D44" s="3">
        <v>-8.00000000000054E-2</v>
      </c>
      <c r="E44" s="3">
        <v>-0.167574361122757</v>
      </c>
      <c r="F44" s="3">
        <v>-0.16757759467857999</v>
      </c>
      <c r="G44" s="3">
        <v>61.618423</v>
      </c>
      <c r="H44" s="3">
        <v>1617.1146708046399</v>
      </c>
      <c r="I44" s="3">
        <v>47.81</v>
      </c>
      <c r="J44" s="3">
        <v>47.91</v>
      </c>
      <c r="K44" s="3">
        <v>47.43</v>
      </c>
      <c r="L44" s="3">
        <v>1228.1366387865701</v>
      </c>
    </row>
    <row r="45" spans="1:12" ht="15" customHeight="1" x14ac:dyDescent="0.2">
      <c r="A45" s="2">
        <v>45987</v>
      </c>
      <c r="B45" s="3">
        <v>47.74</v>
      </c>
      <c r="C45" s="1">
        <v>1269174</v>
      </c>
      <c r="D45" s="3">
        <v>0.74000000000000199</v>
      </c>
      <c r="E45" s="3">
        <v>1.5744680851063899</v>
      </c>
      <c r="F45" s="3">
        <v>1.5744721993083901</v>
      </c>
      <c r="G45" s="3">
        <v>61.721854999999998</v>
      </c>
      <c r="H45" s="3">
        <v>1619.9970004064601</v>
      </c>
      <c r="I45" s="3">
        <v>46.86</v>
      </c>
      <c r="J45" s="3">
        <v>47.96</v>
      </c>
      <c r="K45" s="3">
        <v>46.86</v>
      </c>
      <c r="L45" s="3">
        <v>1230.3659910967399</v>
      </c>
    </row>
    <row r="46" spans="1:12" ht="15" customHeight="1" x14ac:dyDescent="0.2">
      <c r="A46" s="2">
        <v>45986</v>
      </c>
      <c r="B46" s="3">
        <v>47</v>
      </c>
      <c r="C46" s="1">
        <v>1993778</v>
      </c>
      <c r="D46" s="3">
        <v>2</v>
      </c>
      <c r="E46" s="3">
        <v>4.44444444444445</v>
      </c>
      <c r="F46" s="3">
        <v>4.4444354683738299</v>
      </c>
      <c r="G46" s="3">
        <v>60.765124999999998</v>
      </c>
      <c r="H46" s="3">
        <v>1593.3358974600401</v>
      </c>
      <c r="I46" s="3">
        <v>45.06</v>
      </c>
      <c r="J46" s="3">
        <v>47.2</v>
      </c>
      <c r="K46" s="3">
        <v>45</v>
      </c>
      <c r="L46" s="3">
        <v>1209.74448222763</v>
      </c>
    </row>
    <row r="47" spans="1:12" ht="15" customHeight="1" x14ac:dyDescent="0.2">
      <c r="A47" s="2">
        <v>45985</v>
      </c>
      <c r="B47" s="3">
        <v>45</v>
      </c>
      <c r="C47" s="1">
        <v>1084313</v>
      </c>
      <c r="D47" s="3">
        <v>-0.39999999999999802</v>
      </c>
      <c r="E47" s="3">
        <v>-0.88105726872246204</v>
      </c>
      <c r="F47" s="3">
        <v>-0.88105719367056401</v>
      </c>
      <c r="G47" s="3">
        <v>58.179380000000002</v>
      </c>
      <c r="H47" s="3">
        <v>1521.2791900941399</v>
      </c>
      <c r="I47" s="3">
        <v>45.48</v>
      </c>
      <c r="J47" s="3">
        <v>45.68</v>
      </c>
      <c r="K47" s="3">
        <v>44.82</v>
      </c>
      <c r="L47" s="3">
        <v>1154.01067447326</v>
      </c>
    </row>
    <row r="48" spans="1:12" ht="15" customHeight="1" x14ac:dyDescent="0.2">
      <c r="A48" s="2">
        <v>45982</v>
      </c>
      <c r="B48" s="3">
        <v>45.4</v>
      </c>
      <c r="C48" s="1">
        <v>1346329</v>
      </c>
      <c r="D48" s="3">
        <v>2.25999999999999</v>
      </c>
      <c r="E48" s="3">
        <v>5.2387575336114898</v>
      </c>
      <c r="F48" s="3">
        <v>5.2387655548325798</v>
      </c>
      <c r="G48" s="3">
        <v>58.696530000000003</v>
      </c>
      <c r="H48" s="3">
        <v>1535.6905594342199</v>
      </c>
      <c r="I48" s="3">
        <v>43.45</v>
      </c>
      <c r="J48" s="3">
        <v>45.575000000000003</v>
      </c>
      <c r="K48" s="3">
        <v>43.424999999999997</v>
      </c>
      <c r="L48" s="3">
        <v>1165.15743602413</v>
      </c>
    </row>
    <row r="49" spans="1:12" ht="15" customHeight="1" x14ac:dyDescent="0.2">
      <c r="A49" s="2">
        <v>45981</v>
      </c>
      <c r="B49" s="3">
        <v>43.14</v>
      </c>
      <c r="C49" s="1">
        <v>972696</v>
      </c>
      <c r="D49" s="3">
        <v>-0.89999999999999802</v>
      </c>
      <c r="E49" s="3">
        <v>-2.0435967302452198</v>
      </c>
      <c r="F49" s="3">
        <v>-2.0435992928967202</v>
      </c>
      <c r="G49" s="3">
        <v>55.774628</v>
      </c>
      <c r="H49" s="3">
        <v>1454.26619726167</v>
      </c>
      <c r="I49" s="3">
        <v>44.22</v>
      </c>
      <c r="J49" s="3">
        <v>44.66</v>
      </c>
      <c r="K49" s="3">
        <v>43.07</v>
      </c>
      <c r="L49" s="3">
        <v>1102.1782332616999</v>
      </c>
    </row>
    <row r="50" spans="1:12" ht="15" customHeight="1" x14ac:dyDescent="0.2">
      <c r="A50" s="2">
        <v>45980</v>
      </c>
      <c r="B50" s="3">
        <v>44.04</v>
      </c>
      <c r="C50" s="1">
        <v>712947</v>
      </c>
      <c r="D50" s="3">
        <v>-0.93999999999999695</v>
      </c>
      <c r="E50" s="3">
        <v>-2.0898176967540998</v>
      </c>
      <c r="F50" s="3">
        <v>-2.0898184667067299</v>
      </c>
      <c r="G50" s="3">
        <v>56.938217000000002</v>
      </c>
      <c r="H50" s="3">
        <v>1486.69182007722</v>
      </c>
      <c r="I50" s="3">
        <v>44.98</v>
      </c>
      <c r="J50" s="3">
        <v>45.41</v>
      </c>
      <c r="K50" s="3">
        <v>44.03</v>
      </c>
      <c r="L50" s="3">
        <v>1127.2584467511599</v>
      </c>
    </row>
    <row r="51" spans="1:12" ht="15" customHeight="1" x14ac:dyDescent="0.2">
      <c r="A51" s="2">
        <v>45979</v>
      </c>
      <c r="B51" s="3">
        <v>44.98</v>
      </c>
      <c r="C51" s="1">
        <v>1108851</v>
      </c>
      <c r="D51" s="3">
        <v>0.62999999999999501</v>
      </c>
      <c r="E51" s="3">
        <v>1.4205186020292899</v>
      </c>
      <c r="F51" s="3">
        <v>1.4205251730475501</v>
      </c>
      <c r="G51" s="3">
        <v>58.15352</v>
      </c>
      <c r="H51" s="3">
        <v>1520.5585519598701</v>
      </c>
      <c r="I51" s="3">
        <v>44.23</v>
      </c>
      <c r="J51" s="3">
        <v>45.24</v>
      </c>
      <c r="K51" s="3">
        <v>44</v>
      </c>
      <c r="L51" s="3">
        <v>1153.45333639572</v>
      </c>
    </row>
    <row r="52" spans="1:12" ht="15" customHeight="1" x14ac:dyDescent="0.2">
      <c r="A52" s="2">
        <v>45978</v>
      </c>
      <c r="B52" s="3">
        <v>44.35</v>
      </c>
      <c r="C52" s="1">
        <v>1298605</v>
      </c>
      <c r="D52" s="3">
        <v>-0.58999999999999597</v>
      </c>
      <c r="E52" s="3">
        <v>-1.31286159323541</v>
      </c>
      <c r="F52" s="3">
        <v>-1.3128645938921999</v>
      </c>
      <c r="G52" s="3">
        <v>57.339005</v>
      </c>
      <c r="H52" s="3">
        <v>1497.8605407483501</v>
      </c>
      <c r="I52" s="3">
        <v>45.25</v>
      </c>
      <c r="J52" s="3">
        <v>45.579900000000002</v>
      </c>
      <c r="K52" s="3">
        <v>43.975000000000001</v>
      </c>
      <c r="L52" s="3">
        <v>1135.8971869530901</v>
      </c>
    </row>
    <row r="53" spans="1:12" ht="15" customHeight="1" x14ac:dyDescent="0.2">
      <c r="A53" s="2">
        <v>45975</v>
      </c>
      <c r="B53" s="3">
        <v>44.94</v>
      </c>
      <c r="C53" s="1">
        <v>999097</v>
      </c>
      <c r="D53" s="3">
        <v>-0.95000000000000195</v>
      </c>
      <c r="E53" s="3">
        <v>-2.0701677925473998</v>
      </c>
      <c r="F53" s="3">
        <v>-2.0701706636416</v>
      </c>
      <c r="G53" s="3">
        <v>58.101802999999997</v>
      </c>
      <c r="H53" s="3">
        <v>1519.11735929206</v>
      </c>
      <c r="I53" s="3">
        <v>45.45</v>
      </c>
      <c r="J53" s="3">
        <v>46</v>
      </c>
      <c r="K53" s="3">
        <v>44.9</v>
      </c>
      <c r="L53" s="3">
        <v>1152.3386602406299</v>
      </c>
    </row>
    <row r="54" spans="1:12" ht="15" customHeight="1" x14ac:dyDescent="0.2">
      <c r="A54" s="2">
        <v>45974</v>
      </c>
      <c r="B54" s="3">
        <v>45.89</v>
      </c>
      <c r="C54" s="1">
        <v>1113549</v>
      </c>
      <c r="D54" s="3">
        <v>-0.119999999999997</v>
      </c>
      <c r="E54" s="3">
        <v>-0.26081286676808901</v>
      </c>
      <c r="F54" s="3">
        <v>-0.26081118019647398</v>
      </c>
      <c r="G54" s="3">
        <v>59.330036</v>
      </c>
      <c r="H54" s="3">
        <v>1553.34441024184</v>
      </c>
      <c r="I54" s="3">
        <v>45.8</v>
      </c>
      <c r="J54" s="3">
        <v>47.075000000000003</v>
      </c>
      <c r="K54" s="3">
        <v>45.63</v>
      </c>
      <c r="L54" s="3">
        <v>1178.81221892395</v>
      </c>
    </row>
    <row r="55" spans="1:12" ht="15" customHeight="1" x14ac:dyDescent="0.2">
      <c r="A55" s="2">
        <v>45973</v>
      </c>
      <c r="B55" s="3">
        <v>46.01</v>
      </c>
      <c r="C55" s="1">
        <v>1373931</v>
      </c>
      <c r="D55" s="3">
        <v>0.14000000000000001</v>
      </c>
      <c r="E55" s="3">
        <v>0.305210377152831</v>
      </c>
      <c r="F55" s="3">
        <v>0.30521290777229998</v>
      </c>
      <c r="G55" s="3">
        <v>59.48518</v>
      </c>
      <c r="H55" s="3">
        <v>1557.66779317696</v>
      </c>
      <c r="I55" s="3">
        <v>46.33</v>
      </c>
      <c r="J55" s="3">
        <v>46.99</v>
      </c>
      <c r="K55" s="3">
        <v>45.945</v>
      </c>
      <c r="L55" s="3">
        <v>1182.15624738921</v>
      </c>
    </row>
    <row r="56" spans="1:12" ht="15" customHeight="1" x14ac:dyDescent="0.2">
      <c r="A56" s="2">
        <v>45972</v>
      </c>
      <c r="B56" s="3">
        <v>45.87</v>
      </c>
      <c r="C56" s="1">
        <v>983442</v>
      </c>
      <c r="D56" s="3">
        <v>-9.0000000000003397E-2</v>
      </c>
      <c r="E56" s="3">
        <v>-0.19582245430810299</v>
      </c>
      <c r="F56" s="3">
        <v>-0.19582455466238199</v>
      </c>
      <c r="G56" s="3">
        <v>59.304175999999998</v>
      </c>
      <c r="H56" s="3">
        <v>1552.62377210758</v>
      </c>
      <c r="I56" s="3">
        <v>46.01</v>
      </c>
      <c r="J56" s="3">
        <v>46.3063</v>
      </c>
      <c r="K56" s="3">
        <v>45.53</v>
      </c>
      <c r="L56" s="3">
        <v>1178.2548808464101</v>
      </c>
    </row>
    <row r="57" spans="1:12" ht="15" customHeight="1" x14ac:dyDescent="0.2">
      <c r="A57" s="2">
        <v>45971</v>
      </c>
      <c r="B57" s="3">
        <v>45.96</v>
      </c>
      <c r="C57" s="1">
        <v>1274675</v>
      </c>
      <c r="D57" s="3">
        <v>-1.49</v>
      </c>
      <c r="E57" s="3">
        <v>-3.1401475237091598</v>
      </c>
      <c r="F57" s="3">
        <v>-2.5711347274597198</v>
      </c>
      <c r="G57" s="3">
        <v>59.420535999999998</v>
      </c>
      <c r="H57" s="3">
        <v>1555.86636504273</v>
      </c>
      <c r="I57" s="3">
        <v>47.46</v>
      </c>
      <c r="J57" s="3">
        <v>47.8005</v>
      </c>
      <c r="K57" s="3">
        <v>45.93</v>
      </c>
      <c r="L57" s="3">
        <v>1180.7629021953601</v>
      </c>
    </row>
    <row r="58" spans="1:12" ht="15" customHeight="1" x14ac:dyDescent="0.2">
      <c r="A58" s="2">
        <v>45968</v>
      </c>
      <c r="B58" s="3">
        <v>47.45</v>
      </c>
      <c r="C58" s="1">
        <v>1116455</v>
      </c>
      <c r="D58" s="3">
        <v>0.510000000000005</v>
      </c>
      <c r="E58" s="3">
        <v>1.08649339582447</v>
      </c>
      <c r="F58" s="3">
        <v>1.0864944494831399</v>
      </c>
      <c r="G58" s="3">
        <v>60.988636</v>
      </c>
      <c r="H58" s="3">
        <v>1599.5644570125401</v>
      </c>
      <c r="I58" s="3">
        <v>47</v>
      </c>
      <c r="J58" s="3">
        <v>47.87</v>
      </c>
      <c r="K58" s="3">
        <v>46.88</v>
      </c>
      <c r="L58" s="3">
        <v>1222.2845889723601</v>
      </c>
    </row>
    <row r="59" spans="1:12" ht="15" customHeight="1" x14ac:dyDescent="0.2">
      <c r="A59" s="2">
        <v>45967</v>
      </c>
      <c r="B59" s="3">
        <v>46.94</v>
      </c>
      <c r="C59" s="1">
        <v>1329345</v>
      </c>
      <c r="D59" s="3">
        <v>-1.26</v>
      </c>
      <c r="E59" s="3">
        <v>-2.6141078838174399</v>
      </c>
      <c r="F59" s="3">
        <v>-2.61411016772007</v>
      </c>
      <c r="G59" s="3">
        <v>60.333120000000001</v>
      </c>
      <c r="H59" s="3">
        <v>1581.2972556505799</v>
      </c>
      <c r="I59" s="3">
        <v>47.9</v>
      </c>
      <c r="J59" s="3">
        <v>48.27</v>
      </c>
      <c r="K59" s="3">
        <v>46.86</v>
      </c>
      <c r="L59" s="3">
        <v>1208.0724679949999</v>
      </c>
    </row>
    <row r="60" spans="1:12" ht="15" customHeight="1" x14ac:dyDescent="0.2">
      <c r="A60" s="2">
        <v>45966</v>
      </c>
      <c r="B60" s="3">
        <v>48.2</v>
      </c>
      <c r="C60" s="1">
        <v>1010171</v>
      </c>
      <c r="D60" s="3">
        <v>0.45000000000000201</v>
      </c>
      <c r="E60" s="3">
        <v>0.942408376963355</v>
      </c>
      <c r="F60" s="3">
        <v>0.94241014791989197</v>
      </c>
      <c r="G60" s="3">
        <v>61.952629999999999</v>
      </c>
      <c r="H60" s="3">
        <v>1626.4279851487199</v>
      </c>
      <c r="I60" s="3">
        <v>47.93</v>
      </c>
      <c r="J60" s="3">
        <v>48.86</v>
      </c>
      <c r="K60" s="3">
        <v>47.58</v>
      </c>
      <c r="L60" s="3">
        <v>1243.18476688025</v>
      </c>
    </row>
    <row r="61" spans="1:12" ht="15" customHeight="1" x14ac:dyDescent="0.2">
      <c r="A61" s="2">
        <v>45965</v>
      </c>
      <c r="B61" s="3">
        <v>47.75</v>
      </c>
      <c r="C61" s="1">
        <v>1449941</v>
      </c>
      <c r="D61" s="3">
        <v>0.27000000000000302</v>
      </c>
      <c r="E61" s="3">
        <v>0.56866048862680396</v>
      </c>
      <c r="F61" s="3">
        <v>0.56866123373358002</v>
      </c>
      <c r="G61" s="3">
        <v>61.374232999999997</v>
      </c>
      <c r="H61" s="3">
        <v>1610.30985154687</v>
      </c>
      <c r="I61" s="3">
        <v>47.44</v>
      </c>
      <c r="J61" s="3">
        <v>48.58</v>
      </c>
      <c r="K61" s="3">
        <v>47.27</v>
      </c>
      <c r="L61" s="3">
        <v>1230.6446601355101</v>
      </c>
    </row>
    <row r="62" spans="1:12" ht="15" customHeight="1" x14ac:dyDescent="0.2">
      <c r="A62" s="2">
        <v>45964</v>
      </c>
      <c r="B62" s="3">
        <v>47.48</v>
      </c>
      <c r="C62" s="1">
        <v>1860139</v>
      </c>
      <c r="D62" s="3">
        <v>-2.3199999999999998</v>
      </c>
      <c r="E62" s="3">
        <v>-4.6586345381526</v>
      </c>
      <c r="F62" s="3">
        <v>-4.6586386477558399</v>
      </c>
      <c r="G62" s="3">
        <v>61.027194999999999</v>
      </c>
      <c r="H62" s="3">
        <v>1600.6389769591401</v>
      </c>
      <c r="I62" s="3">
        <v>49.55</v>
      </c>
      <c r="J62" s="3">
        <v>49.655000000000001</v>
      </c>
      <c r="K62" s="3">
        <v>47.39</v>
      </c>
      <c r="L62" s="3">
        <v>1223.12059608867</v>
      </c>
    </row>
    <row r="63" spans="1:12" ht="15" customHeight="1" x14ac:dyDescent="0.2">
      <c r="A63" s="2">
        <v>45961</v>
      </c>
      <c r="B63" s="3">
        <v>49.8</v>
      </c>
      <c r="C63" s="1">
        <v>1579278</v>
      </c>
      <c r="D63" s="3">
        <v>0.68999999999999695</v>
      </c>
      <c r="E63" s="3">
        <v>1.40500916310324</v>
      </c>
      <c r="F63" s="3">
        <v>1.40501596647217</v>
      </c>
      <c r="G63" s="3">
        <v>64.009150000000005</v>
      </c>
      <c r="H63" s="3">
        <v>1683.7368303102201</v>
      </c>
      <c r="I63" s="3">
        <v>49.2</v>
      </c>
      <c r="J63" s="3">
        <v>50.6</v>
      </c>
      <c r="K63" s="3">
        <v>49</v>
      </c>
      <c r="L63" s="3">
        <v>1287.77181308374</v>
      </c>
    </row>
    <row r="64" spans="1:12" ht="15" customHeight="1" x14ac:dyDescent="0.2">
      <c r="A64" s="2">
        <v>45960</v>
      </c>
      <c r="B64" s="3">
        <v>49.11</v>
      </c>
      <c r="C64" s="1">
        <v>2376459</v>
      </c>
      <c r="D64" s="3">
        <v>-1.28</v>
      </c>
      <c r="E64" s="3">
        <v>-2.5401865449493899</v>
      </c>
      <c r="F64" s="3">
        <v>-2.5401910742565299</v>
      </c>
      <c r="G64" s="3">
        <v>63.122272000000002</v>
      </c>
      <c r="H64" s="3">
        <v>1659.02228633344</v>
      </c>
      <c r="I64" s="3">
        <v>50.33</v>
      </c>
      <c r="J64" s="3">
        <v>50.676499999999997</v>
      </c>
      <c r="K64" s="3">
        <v>48.76</v>
      </c>
      <c r="L64" s="3">
        <v>1268.54364940848</v>
      </c>
    </row>
    <row r="65" spans="1:12" ht="15" customHeight="1" x14ac:dyDescent="0.2">
      <c r="A65" s="2">
        <v>45959</v>
      </c>
      <c r="B65" s="3">
        <v>50.39</v>
      </c>
      <c r="C65" s="1">
        <v>4651877</v>
      </c>
      <c r="D65" s="3">
        <v>-3.9399999999999902</v>
      </c>
      <c r="E65" s="3">
        <v>-7.2519786489968698</v>
      </c>
      <c r="F65" s="3">
        <v>-7.2519751605521696</v>
      </c>
      <c r="G65" s="3">
        <v>64.767489999999995</v>
      </c>
      <c r="H65" s="3">
        <v>1704.8694181964499</v>
      </c>
      <c r="I65" s="3">
        <v>54.5</v>
      </c>
      <c r="J65" s="3">
        <v>54.54</v>
      </c>
      <c r="K65" s="3">
        <v>49.87</v>
      </c>
      <c r="L65" s="3">
        <v>1304.21328637128</v>
      </c>
    </row>
    <row r="66" spans="1:12" ht="15" customHeight="1" x14ac:dyDescent="0.2">
      <c r="A66" s="2">
        <v>45958</v>
      </c>
      <c r="B66" s="3">
        <v>54.33</v>
      </c>
      <c r="C66" s="1">
        <v>3092826</v>
      </c>
      <c r="D66" s="3">
        <v>-1.5799999999999901</v>
      </c>
      <c r="E66" s="3">
        <v>-2.8259703094258599</v>
      </c>
      <c r="F66" s="3">
        <v>-2.82597399922741</v>
      </c>
      <c r="G66" s="3">
        <v>69.831665000000001</v>
      </c>
      <c r="H66" s="3">
        <v>1845.9922961386801</v>
      </c>
      <c r="I66" s="3">
        <v>56.04</v>
      </c>
      <c r="J66" s="3">
        <v>56.145000000000003</v>
      </c>
      <c r="K66" s="3">
        <v>54.215000000000003</v>
      </c>
      <c r="L66" s="3">
        <v>1414.0088876473801</v>
      </c>
    </row>
    <row r="67" spans="1:12" ht="15" customHeight="1" x14ac:dyDescent="0.2">
      <c r="A67" s="2">
        <v>45957</v>
      </c>
      <c r="B67" s="3">
        <v>55.91</v>
      </c>
      <c r="C67" s="1">
        <v>2013807</v>
      </c>
      <c r="D67" s="3">
        <v>-0.24000000000000199</v>
      </c>
      <c r="E67" s="3">
        <v>-0.42742653606411202</v>
      </c>
      <c r="F67" s="3">
        <v>-0.42742953675548501</v>
      </c>
      <c r="G67" s="3">
        <v>71.862480000000005</v>
      </c>
      <c r="H67" s="3">
        <v>1902.5848225360301</v>
      </c>
      <c r="I67" s="3">
        <v>56.64</v>
      </c>
      <c r="J67" s="3">
        <v>57.47</v>
      </c>
      <c r="K67" s="3">
        <v>55.79</v>
      </c>
      <c r="L67" s="3">
        <v>1458.0385957733299</v>
      </c>
    </row>
    <row r="68" spans="1:12" ht="15" customHeight="1" x14ac:dyDescent="0.2">
      <c r="A68" s="2">
        <v>45954</v>
      </c>
      <c r="B68" s="3">
        <v>56.15</v>
      </c>
      <c r="C68" s="1">
        <v>1557093</v>
      </c>
      <c r="D68" s="3">
        <v>0.22999999999999601</v>
      </c>
      <c r="E68" s="3">
        <v>0.41130185979971701</v>
      </c>
      <c r="F68" s="3">
        <v>0.41130941590110598</v>
      </c>
      <c r="G68" s="3">
        <v>72.170959999999994</v>
      </c>
      <c r="H68" s="3">
        <v>1911.1812050440601</v>
      </c>
      <c r="I68" s="3">
        <v>57.35</v>
      </c>
      <c r="J68" s="3">
        <v>57.56</v>
      </c>
      <c r="K68" s="3">
        <v>55.89</v>
      </c>
      <c r="L68" s="3">
        <v>1464.7266527038601</v>
      </c>
    </row>
    <row r="69" spans="1:12" ht="15" customHeight="1" x14ac:dyDescent="0.2">
      <c r="A69" s="2">
        <v>45953</v>
      </c>
      <c r="B69" s="3">
        <v>55.92</v>
      </c>
      <c r="C69" s="1">
        <v>1338487</v>
      </c>
      <c r="D69" s="3">
        <v>-0.75</v>
      </c>
      <c r="E69" s="3">
        <v>-1.32345156167283</v>
      </c>
      <c r="F69" s="3">
        <v>-1.3234540545234299</v>
      </c>
      <c r="G69" s="3">
        <v>71.875330000000005</v>
      </c>
      <c r="H69" s="3">
        <v>1902.94291225085</v>
      </c>
      <c r="I69" s="3">
        <v>56.5</v>
      </c>
      <c r="J69" s="3">
        <v>56.89</v>
      </c>
      <c r="K69" s="3">
        <v>55.210099999999997</v>
      </c>
      <c r="L69" s="3">
        <v>1458.3172648120999</v>
      </c>
    </row>
    <row r="70" spans="1:12" ht="15" customHeight="1" x14ac:dyDescent="0.2">
      <c r="A70" s="2">
        <v>45952</v>
      </c>
      <c r="B70" s="3">
        <v>56.67</v>
      </c>
      <c r="C70" s="1">
        <v>1827249</v>
      </c>
      <c r="D70" s="3">
        <v>1.27</v>
      </c>
      <c r="E70" s="3">
        <v>2.2924187725631802</v>
      </c>
      <c r="F70" s="3">
        <v>2.2924233810852401</v>
      </c>
      <c r="G70" s="3">
        <v>72.839325000000002</v>
      </c>
      <c r="H70" s="3">
        <v>1929.80646825393</v>
      </c>
      <c r="I70" s="3">
        <v>55.31</v>
      </c>
      <c r="J70" s="3">
        <v>56.774999999999999</v>
      </c>
      <c r="K70" s="3">
        <v>55.27</v>
      </c>
      <c r="L70" s="3">
        <v>1479.21744271999</v>
      </c>
    </row>
    <row r="71" spans="1:12" ht="15" customHeight="1" x14ac:dyDescent="0.2">
      <c r="A71" s="2">
        <v>45951</v>
      </c>
      <c r="B71" s="3">
        <v>55.4</v>
      </c>
      <c r="C71" s="1">
        <v>1011936</v>
      </c>
      <c r="D71" s="3">
        <v>1</v>
      </c>
      <c r="E71" s="3">
        <v>1.8382352941176401</v>
      </c>
      <c r="F71" s="3">
        <v>1.8382291948529601</v>
      </c>
      <c r="G71" s="3">
        <v>71.206959999999995</v>
      </c>
      <c r="H71" s="3">
        <v>1884.31750970646</v>
      </c>
      <c r="I71" s="3">
        <v>54.46</v>
      </c>
      <c r="J71" s="3">
        <v>55.774999999999999</v>
      </c>
      <c r="K71" s="3">
        <v>54.4</v>
      </c>
      <c r="L71" s="3">
        <v>1443.8264747959699</v>
      </c>
    </row>
    <row r="72" spans="1:12" ht="15" customHeight="1" x14ac:dyDescent="0.2">
      <c r="A72" s="2">
        <v>45950</v>
      </c>
      <c r="B72" s="3">
        <v>54.4</v>
      </c>
      <c r="C72" s="1">
        <v>939816</v>
      </c>
      <c r="D72" s="3">
        <v>0.42999999999999899</v>
      </c>
      <c r="E72" s="3">
        <v>0.79673892903464605</v>
      </c>
      <c r="F72" s="3">
        <v>0.79673975171887701</v>
      </c>
      <c r="G72" s="3">
        <v>69.921639999999996</v>
      </c>
      <c r="H72" s="3">
        <v>1848.4996208150301</v>
      </c>
      <c r="I72" s="3">
        <v>54.2</v>
      </c>
      <c r="J72" s="3">
        <v>54.69</v>
      </c>
      <c r="K72" s="3">
        <v>53.93</v>
      </c>
      <c r="L72" s="3">
        <v>1415.95957091879</v>
      </c>
    </row>
    <row r="73" spans="1:12" ht="15" customHeight="1" x14ac:dyDescent="0.2">
      <c r="A73" s="2">
        <v>45947</v>
      </c>
      <c r="B73" s="3">
        <v>53.97</v>
      </c>
      <c r="C73" s="1">
        <v>622374</v>
      </c>
      <c r="D73" s="3">
        <v>-0.30000000000000399</v>
      </c>
      <c r="E73" s="3">
        <v>-0.552791597567725</v>
      </c>
      <c r="F73" s="3">
        <v>-0.55279548072491003</v>
      </c>
      <c r="G73" s="3">
        <v>69.368949999999998</v>
      </c>
      <c r="H73" s="3">
        <v>1833.09786171115</v>
      </c>
      <c r="I73" s="3">
        <v>53.86</v>
      </c>
      <c r="J73" s="3">
        <v>54.634999999999998</v>
      </c>
      <c r="K73" s="3">
        <v>53.710599999999999</v>
      </c>
      <c r="L73" s="3">
        <v>1403.9768022516</v>
      </c>
    </row>
    <row r="74" spans="1:12" ht="15" customHeight="1" x14ac:dyDescent="0.2">
      <c r="A74" s="2">
        <v>45946</v>
      </c>
      <c r="B74" s="3">
        <v>54.27</v>
      </c>
      <c r="C74" s="1">
        <v>896419</v>
      </c>
      <c r="D74" s="3">
        <v>-0.149999999999998</v>
      </c>
      <c r="E74" s="3">
        <v>-0.275633958103638</v>
      </c>
      <c r="F74" s="3">
        <v>-0.27562163193053302</v>
      </c>
      <c r="G74" s="3">
        <v>69.754549999999995</v>
      </c>
      <c r="H74" s="3">
        <v>1843.8433398462</v>
      </c>
      <c r="I74" s="3">
        <v>54.43</v>
      </c>
      <c r="J74" s="3">
        <v>55.009900000000002</v>
      </c>
      <c r="K74" s="3">
        <v>54.03</v>
      </c>
      <c r="L74" s="3">
        <v>1412.33687341475</v>
      </c>
    </row>
    <row r="75" spans="1:12" ht="15" customHeight="1" x14ac:dyDescent="0.2">
      <c r="A75" s="2">
        <v>45945</v>
      </c>
      <c r="B75" s="3">
        <v>54.42</v>
      </c>
      <c r="C75" s="1">
        <v>889083</v>
      </c>
      <c r="D75" s="3">
        <v>-7.9999999999998295E-2</v>
      </c>
      <c r="E75" s="3">
        <v>-0.146788990825685</v>
      </c>
      <c r="F75" s="3">
        <v>-0.14679479007687601</v>
      </c>
      <c r="G75" s="3">
        <v>69.947339999999997</v>
      </c>
      <c r="H75" s="3">
        <v>1849.2158002446799</v>
      </c>
      <c r="I75" s="3">
        <v>54.86</v>
      </c>
      <c r="J75" s="3">
        <v>55.28</v>
      </c>
      <c r="K75" s="3">
        <v>54.22</v>
      </c>
      <c r="L75" s="3">
        <v>1416.5169089963299</v>
      </c>
    </row>
    <row r="76" spans="1:12" ht="15" customHeight="1" x14ac:dyDescent="0.2">
      <c r="A76" s="2">
        <v>45944</v>
      </c>
      <c r="B76" s="3">
        <v>54.5</v>
      </c>
      <c r="C76" s="1">
        <v>1014641</v>
      </c>
      <c r="D76" s="3">
        <v>0.72999999999999599</v>
      </c>
      <c r="E76" s="3">
        <v>1.35763436860703</v>
      </c>
      <c r="F76" s="3">
        <v>1.35763190368776</v>
      </c>
      <c r="G76" s="3">
        <v>70.050169999999994</v>
      </c>
      <c r="H76" s="3">
        <v>1852.0813539703699</v>
      </c>
      <c r="I76" s="3">
        <v>53.12</v>
      </c>
      <c r="J76" s="3">
        <v>55.17</v>
      </c>
      <c r="K76" s="3">
        <v>53</v>
      </c>
      <c r="L76" s="3">
        <v>1418.7462613064999</v>
      </c>
    </row>
    <row r="77" spans="1:12" ht="15" customHeight="1" x14ac:dyDescent="0.2">
      <c r="A77" s="2">
        <v>45943</v>
      </c>
      <c r="B77" s="3">
        <v>53.77</v>
      </c>
      <c r="C77" s="1">
        <v>1467655</v>
      </c>
      <c r="D77" s="3">
        <v>1.69</v>
      </c>
      <c r="E77" s="3">
        <v>3.2450076804915602</v>
      </c>
      <c r="F77" s="3">
        <v>3.2450030766500499</v>
      </c>
      <c r="G77" s="3">
        <v>69.111885000000001</v>
      </c>
      <c r="H77" s="3">
        <v>1825.93425606597</v>
      </c>
      <c r="I77" s="3">
        <v>53.04</v>
      </c>
      <c r="J77" s="3">
        <v>53.795000000000002</v>
      </c>
      <c r="K77" s="3">
        <v>52.56</v>
      </c>
      <c r="L77" s="3">
        <v>1398.40342147616</v>
      </c>
    </row>
    <row r="78" spans="1:12" ht="15" customHeight="1" x14ac:dyDescent="0.2">
      <c r="A78" s="2">
        <v>45940</v>
      </c>
      <c r="B78" s="3">
        <v>52.08</v>
      </c>
      <c r="C78" s="1">
        <v>1134735</v>
      </c>
      <c r="D78" s="3">
        <v>-1.5799999999999901</v>
      </c>
      <c r="E78" s="3">
        <v>-2.9444651509504198</v>
      </c>
      <c r="F78" s="3">
        <v>-2.9444617626376499</v>
      </c>
      <c r="G78" s="3">
        <v>66.939689999999999</v>
      </c>
      <c r="H78" s="3">
        <v>1765.40190679847</v>
      </c>
      <c r="I78" s="3">
        <v>53.76</v>
      </c>
      <c r="J78" s="3">
        <v>53.95</v>
      </c>
      <c r="K78" s="3">
        <v>51.78</v>
      </c>
      <c r="L78" s="3">
        <v>1351.30835392372</v>
      </c>
    </row>
    <row r="79" spans="1:12" ht="15" customHeight="1" x14ac:dyDescent="0.2">
      <c r="A79" s="2">
        <v>45939</v>
      </c>
      <c r="B79" s="3">
        <v>53.66</v>
      </c>
      <c r="C79" s="1">
        <v>623882</v>
      </c>
      <c r="D79" s="3">
        <v>0.31999999999999301</v>
      </c>
      <c r="E79" s="3">
        <v>0.59992500937382498</v>
      </c>
      <c r="F79" s="3">
        <v>0.59991948564159703</v>
      </c>
      <c r="G79" s="3">
        <v>68.970500000000001</v>
      </c>
      <c r="H79" s="3">
        <v>1821.9942938612901</v>
      </c>
      <c r="I79" s="3">
        <v>53.56</v>
      </c>
      <c r="J79" s="3">
        <v>54.5</v>
      </c>
      <c r="K79" s="3">
        <v>53.56</v>
      </c>
      <c r="L79" s="3">
        <v>1395.33806204967</v>
      </c>
    </row>
    <row r="80" spans="1:12" ht="15" customHeight="1" x14ac:dyDescent="0.2">
      <c r="A80" s="2">
        <v>45938</v>
      </c>
      <c r="B80" s="3">
        <v>53.34</v>
      </c>
      <c r="C80" s="1">
        <v>937885</v>
      </c>
      <c r="D80" s="3">
        <v>-0.67999999999999905</v>
      </c>
      <c r="E80" s="3">
        <v>-1.25879303961495</v>
      </c>
      <c r="F80" s="3">
        <v>-1.2587780400762101</v>
      </c>
      <c r="G80" s="3">
        <v>68.559200000000004</v>
      </c>
      <c r="H80" s="3">
        <v>1810.5326362966</v>
      </c>
      <c r="I80" s="3">
        <v>54.25</v>
      </c>
      <c r="J80" s="3">
        <v>54.285699999999999</v>
      </c>
      <c r="K80" s="3">
        <v>53</v>
      </c>
      <c r="L80" s="3">
        <v>1386.4206528089701</v>
      </c>
    </row>
    <row r="81" spans="1:12" ht="15" customHeight="1" x14ac:dyDescent="0.2">
      <c r="A81" s="2">
        <v>45937</v>
      </c>
      <c r="B81" s="3">
        <v>54.02</v>
      </c>
      <c r="C81" s="1">
        <v>1178397</v>
      </c>
      <c r="D81" s="3">
        <v>-0.34999999999999398</v>
      </c>
      <c r="E81" s="3">
        <v>-0.64373735515907904</v>
      </c>
      <c r="F81" s="3">
        <v>-0.64374666943701697</v>
      </c>
      <c r="G81" s="3">
        <v>69.433210000000003</v>
      </c>
      <c r="H81" s="3">
        <v>1834.8885889543001</v>
      </c>
      <c r="I81" s="3">
        <v>54.015999999999998</v>
      </c>
      <c r="J81" s="3">
        <v>54.64</v>
      </c>
      <c r="K81" s="3">
        <v>53.2</v>
      </c>
      <c r="L81" s="3">
        <v>1405.3701474454599</v>
      </c>
    </row>
    <row r="82" spans="1:12" ht="15" customHeight="1" x14ac:dyDescent="0.2">
      <c r="A82" s="2">
        <v>45936</v>
      </c>
      <c r="B82" s="3">
        <v>54.37</v>
      </c>
      <c r="C82" s="1">
        <v>1444935</v>
      </c>
      <c r="D82" s="3">
        <v>-1.1299999999999999</v>
      </c>
      <c r="E82" s="3">
        <v>-2.0360360360360299</v>
      </c>
      <c r="F82" s="3">
        <v>-2.0360340949480902</v>
      </c>
      <c r="G82" s="3">
        <v>69.883080000000007</v>
      </c>
      <c r="H82" s="3">
        <v>1847.4250730015301</v>
      </c>
      <c r="I82" s="3">
        <v>55.54</v>
      </c>
      <c r="J82" s="3">
        <v>55.54</v>
      </c>
      <c r="K82" s="3">
        <v>54.14</v>
      </c>
      <c r="L82" s="3">
        <v>1415.12356380247</v>
      </c>
    </row>
    <row r="83" spans="1:12" ht="15" customHeight="1" x14ac:dyDescent="0.2">
      <c r="A83" s="2">
        <v>45933</v>
      </c>
      <c r="B83" s="3">
        <v>55.5</v>
      </c>
      <c r="C83" s="1">
        <v>1212635</v>
      </c>
      <c r="D83" s="3">
        <v>0.32999999999999802</v>
      </c>
      <c r="E83" s="3">
        <v>0.59815116911363597</v>
      </c>
      <c r="F83" s="3">
        <v>0.59814833565407999</v>
      </c>
      <c r="G83" s="3">
        <v>71.335494999999995</v>
      </c>
      <c r="H83" s="3">
        <v>1887.8993821963099</v>
      </c>
      <c r="I83" s="3">
        <v>55.24</v>
      </c>
      <c r="J83" s="3">
        <v>55.57</v>
      </c>
      <c r="K83" s="3">
        <v>54.424999999999997</v>
      </c>
      <c r="L83" s="3">
        <v>1446.6131651836899</v>
      </c>
    </row>
    <row r="84" spans="1:12" ht="15" customHeight="1" x14ac:dyDescent="0.2">
      <c r="A84" s="2">
        <v>45932</v>
      </c>
      <c r="B84" s="3">
        <v>55.17</v>
      </c>
      <c r="C84" s="1">
        <v>1134926</v>
      </c>
      <c r="D84" s="3">
        <v>0.5</v>
      </c>
      <c r="E84" s="3">
        <v>0.91457837936710296</v>
      </c>
      <c r="F84" s="3">
        <v>0.91457531292744498</v>
      </c>
      <c r="G84" s="3">
        <v>70.911339999999996</v>
      </c>
      <c r="H84" s="3">
        <v>1876.0794955822801</v>
      </c>
      <c r="I84" s="3">
        <v>54.36</v>
      </c>
      <c r="J84" s="3">
        <v>55.68</v>
      </c>
      <c r="K84" s="3">
        <v>54.064900000000002</v>
      </c>
      <c r="L84" s="3">
        <v>1437.41708690422</v>
      </c>
    </row>
    <row r="85" spans="1:12" ht="15" customHeight="1" x14ac:dyDescent="0.2">
      <c r="A85" s="2">
        <v>45931</v>
      </c>
      <c r="B85" s="3">
        <v>54.67</v>
      </c>
      <c r="C85" s="1">
        <v>1291454</v>
      </c>
      <c r="D85" s="3">
        <v>3.0000000000001099E-2</v>
      </c>
      <c r="E85" s="3">
        <v>5.4904831625179798E-2</v>
      </c>
      <c r="F85" s="3">
        <v>5.4905217305622998E-2</v>
      </c>
      <c r="G85" s="3">
        <v>70.268680000000003</v>
      </c>
      <c r="H85" s="3">
        <v>1858.1705511365701</v>
      </c>
      <c r="I85" s="3">
        <v>54.45</v>
      </c>
      <c r="J85" s="3">
        <v>55.16</v>
      </c>
      <c r="K85" s="3">
        <v>53.889000000000003</v>
      </c>
      <c r="L85" s="3">
        <v>1423.48363496562</v>
      </c>
    </row>
    <row r="86" spans="1:12" ht="15" customHeight="1" x14ac:dyDescent="0.2">
      <c r="A86" s="2">
        <v>45930</v>
      </c>
      <c r="B86" s="3">
        <v>54.64</v>
      </c>
      <c r="C86" s="1">
        <v>1453643</v>
      </c>
      <c r="D86" s="3">
        <v>-0.85999999999999899</v>
      </c>
      <c r="E86" s="3">
        <v>-1.5495495495495399</v>
      </c>
      <c r="F86" s="3">
        <v>-1.5495441645144401</v>
      </c>
      <c r="G86" s="3">
        <v>70.230119999999999</v>
      </c>
      <c r="H86" s="3">
        <v>1857.0960033230699</v>
      </c>
      <c r="I86" s="3">
        <v>55.34</v>
      </c>
      <c r="J86" s="3">
        <v>55.825000000000003</v>
      </c>
      <c r="K86" s="3">
        <v>53.790399999999998</v>
      </c>
      <c r="L86" s="3">
        <v>1422.6476278493101</v>
      </c>
    </row>
    <row r="87" spans="1:12" ht="15" customHeight="1" x14ac:dyDescent="0.2">
      <c r="A87" s="2">
        <v>45929</v>
      </c>
      <c r="B87" s="3">
        <v>55.5</v>
      </c>
      <c r="C87" s="1">
        <v>1173309</v>
      </c>
      <c r="D87" s="3">
        <v>0.75</v>
      </c>
      <c r="E87" s="3">
        <v>1.3698630136986301</v>
      </c>
      <c r="F87" s="3">
        <v>1.36986564163048</v>
      </c>
      <c r="G87" s="3">
        <v>71.335494999999995</v>
      </c>
      <c r="H87" s="3">
        <v>1887.8993821963099</v>
      </c>
      <c r="I87" s="3">
        <v>55.45</v>
      </c>
      <c r="J87" s="3">
        <v>55.79</v>
      </c>
      <c r="K87" s="3">
        <v>54.8</v>
      </c>
      <c r="L87" s="3">
        <v>1446.6131651836899</v>
      </c>
    </row>
    <row r="88" spans="1:12" ht="15" customHeight="1" x14ac:dyDescent="0.2">
      <c r="A88" s="2">
        <v>45926</v>
      </c>
      <c r="B88" s="3">
        <v>54.75</v>
      </c>
      <c r="C88" s="1">
        <v>1120182</v>
      </c>
      <c r="D88" s="3">
        <v>0.45000000000000201</v>
      </c>
      <c r="E88" s="3">
        <v>0.82872928176795901</v>
      </c>
      <c r="F88" s="3">
        <v>0.82872655072838697</v>
      </c>
      <c r="G88" s="3">
        <v>70.371499999999997</v>
      </c>
      <c r="H88" s="3">
        <v>1861.0358261932199</v>
      </c>
      <c r="I88" s="3">
        <v>54.06</v>
      </c>
      <c r="J88" s="3">
        <v>55.04</v>
      </c>
      <c r="K88" s="3">
        <v>53.75</v>
      </c>
      <c r="L88" s="3">
        <v>1425.7129872758001</v>
      </c>
    </row>
    <row r="89" spans="1:12" ht="15" customHeight="1" x14ac:dyDescent="0.2">
      <c r="A89" s="2">
        <v>45925</v>
      </c>
      <c r="B89" s="3">
        <v>54.3</v>
      </c>
      <c r="C89" s="1">
        <v>1030412</v>
      </c>
      <c r="D89" s="3">
        <v>-0.630000000000002</v>
      </c>
      <c r="E89" s="3">
        <v>-1.14691425450573</v>
      </c>
      <c r="F89" s="3">
        <v>-1.1469138785596</v>
      </c>
      <c r="G89" s="3">
        <v>69.793105999999995</v>
      </c>
      <c r="H89" s="3">
        <v>1844.9177761920801</v>
      </c>
      <c r="I89" s="3">
        <v>54.68</v>
      </c>
      <c r="J89" s="3">
        <v>54.82</v>
      </c>
      <c r="K89" s="3">
        <v>53.875</v>
      </c>
      <c r="L89" s="3">
        <v>1413.1728805310699</v>
      </c>
    </row>
    <row r="90" spans="1:12" ht="15" customHeight="1" x14ac:dyDescent="0.2">
      <c r="A90" s="2">
        <v>45924</v>
      </c>
      <c r="B90" s="3">
        <v>54.93</v>
      </c>
      <c r="C90" s="1">
        <v>1291269</v>
      </c>
      <c r="D90" s="3">
        <v>0.49000000000000199</v>
      </c>
      <c r="E90" s="3">
        <v>0.900073475385743</v>
      </c>
      <c r="F90" s="3">
        <v>0.90007510034220095</v>
      </c>
      <c r="G90" s="3">
        <v>70.602860000000007</v>
      </c>
      <c r="H90" s="3">
        <v>1867.48311307425</v>
      </c>
      <c r="I90" s="3">
        <v>54.52</v>
      </c>
      <c r="J90" s="3">
        <v>55.44</v>
      </c>
      <c r="K90" s="3">
        <v>54.25</v>
      </c>
      <c r="L90" s="3">
        <v>1430.7290299736901</v>
      </c>
    </row>
    <row r="91" spans="1:12" ht="15" customHeight="1" x14ac:dyDescent="0.2">
      <c r="A91" s="2">
        <v>45923</v>
      </c>
      <c r="B91" s="3">
        <v>54.44</v>
      </c>
      <c r="C91" s="1">
        <v>1083498</v>
      </c>
      <c r="D91" s="3">
        <v>0.54999999999999705</v>
      </c>
      <c r="E91" s="3">
        <v>1.0205975134533301</v>
      </c>
      <c r="F91" s="3">
        <v>1.0205999700863799</v>
      </c>
      <c r="G91" s="3">
        <v>69.973050000000001</v>
      </c>
      <c r="H91" s="3">
        <v>1849.93225834336</v>
      </c>
      <c r="I91" s="3">
        <v>54</v>
      </c>
      <c r="J91" s="3">
        <v>54.46</v>
      </c>
      <c r="K91" s="3">
        <v>53.6</v>
      </c>
      <c r="L91" s="3">
        <v>1417.0742470738701</v>
      </c>
    </row>
    <row r="92" spans="1:12" ht="15" customHeight="1" x14ac:dyDescent="0.2">
      <c r="A92" s="2">
        <v>45922</v>
      </c>
      <c r="B92" s="3">
        <v>53.89</v>
      </c>
      <c r="C92" s="1">
        <v>1280145</v>
      </c>
      <c r="D92" s="3">
        <v>-0.68999999999999695</v>
      </c>
      <c r="E92" s="3">
        <v>-1.2641993404177201</v>
      </c>
      <c r="F92" s="3">
        <v>-1.2642082305817299</v>
      </c>
      <c r="G92" s="3">
        <v>69.266120000000001</v>
      </c>
      <c r="H92" s="3">
        <v>1830.23230798546</v>
      </c>
      <c r="I92" s="3">
        <v>54.46</v>
      </c>
      <c r="J92" s="3">
        <v>54.57</v>
      </c>
      <c r="K92" s="3">
        <v>53.68</v>
      </c>
      <c r="L92" s="3">
        <v>1401.74744994142</v>
      </c>
    </row>
    <row r="93" spans="1:12" ht="15" customHeight="1" x14ac:dyDescent="0.2">
      <c r="A93" s="2">
        <v>45919</v>
      </c>
      <c r="B93" s="3">
        <v>54.58</v>
      </c>
      <c r="C93" s="1">
        <v>2056252</v>
      </c>
      <c r="D93" s="3">
        <v>-0.53999999999999904</v>
      </c>
      <c r="E93" s="3">
        <v>-0.979680696661822</v>
      </c>
      <c r="F93" s="3">
        <v>-0.97967354189806199</v>
      </c>
      <c r="G93" s="3">
        <v>70.153000000000006</v>
      </c>
      <c r="H93" s="3">
        <v>1854.94690769606</v>
      </c>
      <c r="I93" s="3">
        <v>55.61</v>
      </c>
      <c r="J93" s="3">
        <v>55.87</v>
      </c>
      <c r="K93" s="3">
        <v>54.32</v>
      </c>
      <c r="L93" s="3">
        <v>1420.97561361668</v>
      </c>
    </row>
    <row r="94" spans="1:12" ht="15" customHeight="1" x14ac:dyDescent="0.2">
      <c r="A94" s="2">
        <v>45918</v>
      </c>
      <c r="B94" s="3">
        <v>55.12</v>
      </c>
      <c r="C94" s="1">
        <v>1572594</v>
      </c>
      <c r="D94" s="3">
        <v>0.71999999999999797</v>
      </c>
      <c r="E94" s="3">
        <v>1.3235294117647001</v>
      </c>
      <c r="F94" s="3">
        <v>1.32352444822518</v>
      </c>
      <c r="G94" s="3">
        <v>70.847070000000002</v>
      </c>
      <c r="H94" s="3">
        <v>1874.2884896701</v>
      </c>
      <c r="I94" s="3">
        <v>54.034999999999997</v>
      </c>
      <c r="J94" s="3">
        <v>55.3</v>
      </c>
      <c r="K94" s="3">
        <v>53.38</v>
      </c>
      <c r="L94" s="3">
        <v>1436.0237417103599</v>
      </c>
    </row>
    <row r="95" spans="1:12" ht="15" customHeight="1" x14ac:dyDescent="0.2">
      <c r="A95" s="2">
        <v>45917</v>
      </c>
      <c r="B95" s="3">
        <v>54.4</v>
      </c>
      <c r="C95" s="1">
        <v>1582522</v>
      </c>
      <c r="D95" s="3">
        <v>-0.27000000000000302</v>
      </c>
      <c r="E95" s="3">
        <v>-0.493872324858246</v>
      </c>
      <c r="F95" s="3">
        <v>-0.49387579217370298</v>
      </c>
      <c r="G95" s="3">
        <v>69.921639999999996</v>
      </c>
      <c r="H95" s="3">
        <v>1848.4996208150301</v>
      </c>
      <c r="I95" s="3">
        <v>54.7</v>
      </c>
      <c r="J95" s="3">
        <v>55.26</v>
      </c>
      <c r="K95" s="3">
        <v>53.905000000000001</v>
      </c>
      <c r="L95" s="3">
        <v>1415.95957091879</v>
      </c>
    </row>
    <row r="96" spans="1:12" ht="15" customHeight="1" x14ac:dyDescent="0.2">
      <c r="A96" s="2">
        <v>45916</v>
      </c>
      <c r="B96" s="3">
        <v>54.67</v>
      </c>
      <c r="C96" s="1">
        <v>2287871</v>
      </c>
      <c r="D96" s="3">
        <v>-1.6299999999999899</v>
      </c>
      <c r="E96" s="3">
        <v>-2.8952042628774302</v>
      </c>
      <c r="F96" s="3">
        <v>-2.8951980573036602</v>
      </c>
      <c r="G96" s="3">
        <v>70.268680000000003</v>
      </c>
      <c r="H96" s="3">
        <v>1858.1705511365701</v>
      </c>
      <c r="I96" s="3">
        <v>56.02</v>
      </c>
      <c r="J96" s="3">
        <v>56.219499999999996</v>
      </c>
      <c r="K96" s="3">
        <v>53.81</v>
      </c>
      <c r="L96" s="3">
        <v>1423.48363496562</v>
      </c>
    </row>
    <row r="97" spans="1:12" ht="15" customHeight="1" x14ac:dyDescent="0.2">
      <c r="A97" s="2">
        <v>45915</v>
      </c>
      <c r="B97" s="3">
        <v>56.3</v>
      </c>
      <c r="C97" s="1">
        <v>1513858</v>
      </c>
      <c r="D97" s="3">
        <v>-0.23000000000000301</v>
      </c>
      <c r="E97" s="3">
        <v>-0.40686361224129203</v>
      </c>
      <c r="F97" s="3">
        <v>-0.40686556918047001</v>
      </c>
      <c r="G97" s="3">
        <v>72.363754</v>
      </c>
      <c r="H97" s="3">
        <v>1916.55377691016</v>
      </c>
      <c r="I97" s="3">
        <v>56.58</v>
      </c>
      <c r="J97" s="3">
        <v>56.759900000000002</v>
      </c>
      <c r="K97" s="3">
        <v>56.09</v>
      </c>
      <c r="L97" s="3">
        <v>1468.9066882854299</v>
      </c>
    </row>
    <row r="98" spans="1:12" ht="15" customHeight="1" x14ac:dyDescent="0.2">
      <c r="A98" s="2">
        <v>45912</v>
      </c>
      <c r="B98" s="3">
        <v>56.53</v>
      </c>
      <c r="C98" s="1">
        <v>1526497</v>
      </c>
      <c r="D98" s="3">
        <v>-1.6799999999999899</v>
      </c>
      <c r="E98" s="3">
        <v>-2.8861020443222798</v>
      </c>
      <c r="F98" s="3">
        <v>-2.8861036740989099</v>
      </c>
      <c r="G98" s="3">
        <v>72.659379999999999</v>
      </c>
      <c r="H98" s="3">
        <v>1924.7919582357499</v>
      </c>
      <c r="I98" s="3">
        <v>57.74</v>
      </c>
      <c r="J98" s="3">
        <v>58</v>
      </c>
      <c r="K98" s="3">
        <v>56.27</v>
      </c>
      <c r="L98" s="3">
        <v>1475.3160761771901</v>
      </c>
    </row>
    <row r="99" spans="1:12" ht="15" customHeight="1" x14ac:dyDescent="0.2">
      <c r="A99" s="2">
        <v>45911</v>
      </c>
      <c r="B99" s="3">
        <v>58.21</v>
      </c>
      <c r="C99" s="1">
        <v>1568656</v>
      </c>
      <c r="D99" s="3">
        <v>-0.439999999999997</v>
      </c>
      <c r="E99" s="3">
        <v>-0.75021312872974799</v>
      </c>
      <c r="F99" s="3">
        <v>-0.750214865780363</v>
      </c>
      <c r="G99" s="3">
        <v>74.818725999999998</v>
      </c>
      <c r="H99" s="3">
        <v>1984.9662456553399</v>
      </c>
      <c r="I99" s="3">
        <v>58.74</v>
      </c>
      <c r="J99" s="3">
        <v>58.74</v>
      </c>
      <c r="K99" s="3">
        <v>57.64</v>
      </c>
      <c r="L99" s="3">
        <v>1522.1324746908599</v>
      </c>
    </row>
    <row r="100" spans="1:12" ht="15" customHeight="1" x14ac:dyDescent="0.2">
      <c r="A100" s="2">
        <v>45910</v>
      </c>
      <c r="B100" s="3">
        <v>58.65</v>
      </c>
      <c r="C100" s="1">
        <v>1844501</v>
      </c>
      <c r="D100" s="3">
        <v>-0.46</v>
      </c>
      <c r="E100" s="3">
        <v>-0.77821011673151397</v>
      </c>
      <c r="F100" s="3">
        <v>-0.77821119223665502</v>
      </c>
      <c r="G100" s="3">
        <v>75.384270000000001</v>
      </c>
      <c r="H100" s="3">
        <v>2000.7262059416501</v>
      </c>
      <c r="I100" s="3">
        <v>58.99</v>
      </c>
      <c r="J100" s="3">
        <v>59.07</v>
      </c>
      <c r="K100" s="3">
        <v>58.03</v>
      </c>
      <c r="L100" s="3">
        <v>1534.39391239682</v>
      </c>
    </row>
    <row r="101" spans="1:12" ht="15" customHeight="1" x14ac:dyDescent="0.2">
      <c r="A101" s="2">
        <v>45909</v>
      </c>
      <c r="B101" s="3">
        <v>59.11</v>
      </c>
      <c r="C101" s="1">
        <v>1282610</v>
      </c>
      <c r="D101" s="3">
        <v>-1</v>
      </c>
      <c r="E101" s="3">
        <v>-1.6636167027116899</v>
      </c>
      <c r="F101" s="3">
        <v>-1.66361121623839</v>
      </c>
      <c r="G101" s="3">
        <v>75.975520000000003</v>
      </c>
      <c r="H101" s="3">
        <v>2017.2025128590401</v>
      </c>
      <c r="I101" s="3">
        <v>59.78</v>
      </c>
      <c r="J101" s="3">
        <v>60.09</v>
      </c>
      <c r="K101" s="3">
        <v>58.35</v>
      </c>
      <c r="L101" s="3">
        <v>1547.2126881803199</v>
      </c>
    </row>
    <row r="102" spans="1:12" ht="15" customHeight="1" x14ac:dyDescent="0.2">
      <c r="A102" s="2">
        <v>45908</v>
      </c>
      <c r="B102" s="3">
        <v>60.11</v>
      </c>
      <c r="C102" s="1">
        <v>855797</v>
      </c>
      <c r="D102" s="3">
        <v>-0.52000000000000302</v>
      </c>
      <c r="E102" s="3">
        <v>-0.85766122381659704</v>
      </c>
      <c r="F102" s="3">
        <v>-0.85766299953507996</v>
      </c>
      <c r="G102" s="3">
        <v>77.260840000000002</v>
      </c>
      <c r="H102" s="3">
        <v>2053.0204017504602</v>
      </c>
      <c r="I102" s="3">
        <v>60.75</v>
      </c>
      <c r="J102" s="3">
        <v>60.85</v>
      </c>
      <c r="K102" s="3">
        <v>59.81</v>
      </c>
      <c r="L102" s="3">
        <v>1575.0795920574999</v>
      </c>
    </row>
    <row r="103" spans="1:12" ht="15" customHeight="1" x14ac:dyDescent="0.2">
      <c r="A103" s="2">
        <v>45905</v>
      </c>
      <c r="B103" s="3">
        <v>60.63</v>
      </c>
      <c r="C103" s="1">
        <v>907171</v>
      </c>
      <c r="D103" s="3">
        <v>-0.44999999999999502</v>
      </c>
      <c r="E103" s="3">
        <v>-0.73673870333987801</v>
      </c>
      <c r="F103" s="3">
        <v>-0.73674386470305997</v>
      </c>
      <c r="G103" s="3">
        <v>77.929209999999998</v>
      </c>
      <c r="H103" s="3">
        <v>2071.6458042948502</v>
      </c>
      <c r="I103" s="3">
        <v>61.08</v>
      </c>
      <c r="J103" s="3">
        <v>61.86</v>
      </c>
      <c r="K103" s="3">
        <v>60.33</v>
      </c>
      <c r="L103" s="3">
        <v>1589.5703820736401</v>
      </c>
    </row>
    <row r="104" spans="1:12" ht="15" customHeight="1" x14ac:dyDescent="0.2">
      <c r="A104" s="2">
        <v>45904</v>
      </c>
      <c r="B104" s="3">
        <v>61.08</v>
      </c>
      <c r="C104" s="1">
        <v>808820</v>
      </c>
      <c r="D104" s="3">
        <v>-0.62000000000000399</v>
      </c>
      <c r="E104" s="3">
        <v>-1.00486223662885</v>
      </c>
      <c r="F104" s="3">
        <v>-1.0048533939509801</v>
      </c>
      <c r="G104" s="3">
        <v>78.50761</v>
      </c>
      <c r="H104" s="3">
        <v>2087.7640214974199</v>
      </c>
      <c r="I104" s="3">
        <v>61.97</v>
      </c>
      <c r="J104" s="3">
        <v>62.134999999999998</v>
      </c>
      <c r="K104" s="3">
        <v>60.695</v>
      </c>
      <c r="L104" s="3">
        <v>1602.11048881837</v>
      </c>
    </row>
    <row r="105" spans="1:12" ht="15" customHeight="1" x14ac:dyDescent="0.2">
      <c r="A105" s="2">
        <v>45903</v>
      </c>
      <c r="B105" s="3">
        <v>61.7</v>
      </c>
      <c r="C105" s="1">
        <v>650200</v>
      </c>
      <c r="D105" s="3">
        <v>0.60999999999999899</v>
      </c>
      <c r="E105" s="3">
        <v>0.99852676379112904</v>
      </c>
      <c r="F105" s="3">
        <v>0.99852963152759999</v>
      </c>
      <c r="G105" s="3">
        <v>79.304503999999994</v>
      </c>
      <c r="H105" s="3">
        <v>2109.9709899957202</v>
      </c>
      <c r="I105" s="3">
        <v>60.9</v>
      </c>
      <c r="J105" s="3">
        <v>62.42</v>
      </c>
      <c r="K105" s="3">
        <v>60.854999999999997</v>
      </c>
      <c r="L105" s="3">
        <v>1619.3879692222299</v>
      </c>
    </row>
    <row r="106" spans="1:12" ht="15" customHeight="1" x14ac:dyDescent="0.2">
      <c r="A106" s="2">
        <v>45902</v>
      </c>
      <c r="B106" s="3">
        <v>61.09</v>
      </c>
      <c r="C106" s="1">
        <v>1012711</v>
      </c>
      <c r="D106" s="3">
        <v>-0.369999999999997</v>
      </c>
      <c r="E106" s="3">
        <v>-0.60201757240481102</v>
      </c>
      <c r="F106" s="3">
        <v>-0.60201889905220296</v>
      </c>
      <c r="G106" s="3">
        <v>78.520454000000001</v>
      </c>
      <c r="H106" s="3">
        <v>2088.1219440108198</v>
      </c>
      <c r="I106" s="3">
        <v>60.59</v>
      </c>
      <c r="J106" s="3">
        <v>61.3</v>
      </c>
      <c r="K106" s="3">
        <v>60.130099999999999</v>
      </c>
      <c r="L106" s="3">
        <v>1602.3891578571399</v>
      </c>
    </row>
    <row r="107" spans="1:12" ht="15" customHeight="1" x14ac:dyDescent="0.2">
      <c r="A107" s="2">
        <v>45898</v>
      </c>
      <c r="B107" s="3">
        <v>61.46</v>
      </c>
      <c r="C107" s="1">
        <v>812237</v>
      </c>
      <c r="D107" s="3">
        <v>-0.57999999999999796</v>
      </c>
      <c r="E107" s="3">
        <v>-0.93488072211476103</v>
      </c>
      <c r="F107" s="3">
        <v>-0.93488440826733299</v>
      </c>
      <c r="G107" s="3">
        <v>78.996025000000003</v>
      </c>
      <c r="H107" s="3">
        <v>2101.3746353545898</v>
      </c>
      <c r="I107" s="3">
        <v>62.03</v>
      </c>
      <c r="J107" s="3">
        <v>62.28</v>
      </c>
      <c r="K107" s="3">
        <v>61.34</v>
      </c>
      <c r="L107" s="3">
        <v>1612.6999122917</v>
      </c>
    </row>
    <row r="108" spans="1:12" ht="15" customHeight="1" x14ac:dyDescent="0.2">
      <c r="A108" s="2">
        <v>45897</v>
      </c>
      <c r="B108" s="3">
        <v>62.04</v>
      </c>
      <c r="C108" s="1">
        <v>979308</v>
      </c>
      <c r="D108" s="3">
        <v>0.130000000000002</v>
      </c>
      <c r="E108" s="3">
        <v>0.20998223227266499</v>
      </c>
      <c r="F108" s="3">
        <v>0.209980782142005</v>
      </c>
      <c r="G108" s="3">
        <v>79.741516000000004</v>
      </c>
      <c r="H108" s="3">
        <v>2122.1491613929002</v>
      </c>
      <c r="I108" s="3">
        <v>61.95</v>
      </c>
      <c r="J108" s="3">
        <v>62.16</v>
      </c>
      <c r="K108" s="3">
        <v>61.45</v>
      </c>
      <c r="L108" s="3">
        <v>1628.86271654047</v>
      </c>
    </row>
    <row r="109" spans="1:12" ht="15" customHeight="1" x14ac:dyDescent="0.2">
      <c r="A109" s="2">
        <v>45896</v>
      </c>
      <c r="B109" s="3">
        <v>61.91</v>
      </c>
      <c r="C109" s="1">
        <v>1030848.99999999</v>
      </c>
      <c r="D109" s="3">
        <v>-3.0000000000001099E-2</v>
      </c>
      <c r="E109" s="3">
        <v>-4.8433968356476002E-2</v>
      </c>
      <c r="F109" s="3">
        <v>-4.8428032715252999E-2</v>
      </c>
      <c r="G109" s="3">
        <v>79.574425000000005</v>
      </c>
      <c r="H109" s="3">
        <v>2117.4928525571499</v>
      </c>
      <c r="I109" s="3">
        <v>62.01</v>
      </c>
      <c r="J109" s="3">
        <v>62.42</v>
      </c>
      <c r="K109" s="3">
        <v>61.744999999999997</v>
      </c>
      <c r="L109" s="3">
        <v>1625.2400190364301</v>
      </c>
    </row>
    <row r="110" spans="1:12" ht="15" customHeight="1" x14ac:dyDescent="0.2">
      <c r="A110" s="2">
        <v>45895</v>
      </c>
      <c r="B110" s="3">
        <v>61.94</v>
      </c>
      <c r="C110" s="1">
        <v>1255859</v>
      </c>
      <c r="D110" s="3">
        <v>0.32</v>
      </c>
      <c r="E110" s="3">
        <v>0.519311911716968</v>
      </c>
      <c r="F110" s="3">
        <v>0.51931351199328002</v>
      </c>
      <c r="G110" s="3">
        <v>79.612979999999993</v>
      </c>
      <c r="H110" s="3">
        <v>2118.5672610361398</v>
      </c>
      <c r="I110" s="3">
        <v>61.84</v>
      </c>
      <c r="J110" s="3">
        <v>62.85</v>
      </c>
      <c r="K110" s="3">
        <v>61.755000000000003</v>
      </c>
      <c r="L110" s="3">
        <v>1626.07602615275</v>
      </c>
    </row>
    <row r="111" spans="1:12" ht="15" customHeight="1" x14ac:dyDescent="0.2">
      <c r="A111" s="2">
        <v>45894</v>
      </c>
      <c r="B111" s="3">
        <v>61.62</v>
      </c>
      <c r="C111" s="1">
        <v>1173475</v>
      </c>
      <c r="D111" s="3">
        <v>-1.0900000000000001</v>
      </c>
      <c r="E111" s="3">
        <v>-1.7381597831286899</v>
      </c>
      <c r="F111" s="3">
        <v>-1.7381666843749299</v>
      </c>
      <c r="G111" s="3">
        <v>79.201674999999994</v>
      </c>
      <c r="H111" s="3">
        <v>2107.1054641369301</v>
      </c>
      <c r="I111" s="3">
        <v>62.71</v>
      </c>
      <c r="J111" s="3">
        <v>62.945</v>
      </c>
      <c r="K111" s="3">
        <v>61.48</v>
      </c>
      <c r="L111" s="3">
        <v>1617.1586169120501</v>
      </c>
    </row>
    <row r="112" spans="1:12" ht="15" customHeight="1" x14ac:dyDescent="0.2">
      <c r="A112" s="2">
        <v>45891</v>
      </c>
      <c r="B112" s="3">
        <v>62.71</v>
      </c>
      <c r="C112" s="1">
        <v>1057882</v>
      </c>
      <c r="D112" s="3">
        <v>0.57999999999999796</v>
      </c>
      <c r="E112" s="3">
        <v>0.93352647674231903</v>
      </c>
      <c r="F112" s="3">
        <v>0.93353397483681899</v>
      </c>
      <c r="G112" s="3">
        <v>80.602683999999996</v>
      </c>
      <c r="H112" s="3">
        <v>2146.1472472710002</v>
      </c>
      <c r="I112" s="3">
        <v>62.28</v>
      </c>
      <c r="J112" s="3">
        <v>64.040000000000006</v>
      </c>
      <c r="K112" s="3">
        <v>62.2</v>
      </c>
      <c r="L112" s="3">
        <v>1647.5335421381801</v>
      </c>
    </row>
    <row r="113" spans="1:12" ht="15" customHeight="1" x14ac:dyDescent="0.2">
      <c r="A113" s="2">
        <v>45890</v>
      </c>
      <c r="B113" s="3">
        <v>62.13</v>
      </c>
      <c r="C113" s="1">
        <v>899472</v>
      </c>
      <c r="D113" s="3">
        <v>0.21</v>
      </c>
      <c r="E113" s="3">
        <v>0.33914728682171702</v>
      </c>
      <c r="F113" s="3">
        <v>0.339149715777398</v>
      </c>
      <c r="G113" s="3">
        <v>79.857190000000003</v>
      </c>
      <c r="H113" s="3">
        <v>2125.3726376319901</v>
      </c>
      <c r="I113" s="3">
        <v>61.73</v>
      </c>
      <c r="J113" s="3">
        <v>62.134999999999998</v>
      </c>
      <c r="K113" s="3">
        <v>60.9</v>
      </c>
      <c r="L113" s="3">
        <v>1631.3707378894101</v>
      </c>
    </row>
    <row r="114" spans="1:12" ht="15" customHeight="1" x14ac:dyDescent="0.2">
      <c r="A114" s="2">
        <v>45889</v>
      </c>
      <c r="B114" s="3">
        <v>61.92</v>
      </c>
      <c r="C114" s="1">
        <v>1107735</v>
      </c>
      <c r="D114" s="3">
        <v>-0.15999999999999601</v>
      </c>
      <c r="E114" s="3">
        <v>-0.25773195876288502</v>
      </c>
      <c r="F114" s="3">
        <v>-0.25774213329425799</v>
      </c>
      <c r="G114" s="3">
        <v>79.587270000000004</v>
      </c>
      <c r="H114" s="3">
        <v>2117.8508029374598</v>
      </c>
      <c r="I114" s="3">
        <v>61.73</v>
      </c>
      <c r="J114" s="3">
        <v>62.25</v>
      </c>
      <c r="K114" s="3">
        <v>61</v>
      </c>
      <c r="L114" s="3">
        <v>1625.5186880752101</v>
      </c>
    </row>
    <row r="115" spans="1:12" ht="15" customHeight="1" x14ac:dyDescent="0.2">
      <c r="A115" s="2">
        <v>45888</v>
      </c>
      <c r="B115" s="3">
        <v>62.08</v>
      </c>
      <c r="C115" s="1">
        <v>876305</v>
      </c>
      <c r="D115" s="3">
        <v>0.14000000000000001</v>
      </c>
      <c r="E115" s="3">
        <v>0.22602518566354701</v>
      </c>
      <c r="F115" s="3">
        <v>0.22603098138018701</v>
      </c>
      <c r="G115" s="3">
        <v>79.792929999999998</v>
      </c>
      <c r="H115" s="3">
        <v>2123.5819103888398</v>
      </c>
      <c r="I115" s="3">
        <v>61.76</v>
      </c>
      <c r="J115" s="3">
        <v>63.078000000000003</v>
      </c>
      <c r="K115" s="3">
        <v>61.4</v>
      </c>
      <c r="L115" s="3">
        <v>1629.97739269556</v>
      </c>
    </row>
    <row r="116" spans="1:12" ht="15" customHeight="1" x14ac:dyDescent="0.2">
      <c r="A116" s="2">
        <v>45887</v>
      </c>
      <c r="B116" s="3">
        <v>61.94</v>
      </c>
      <c r="C116" s="1">
        <v>1382257</v>
      </c>
      <c r="D116" s="3">
        <v>-1.05</v>
      </c>
      <c r="E116" s="3">
        <v>-1.6669312589299901</v>
      </c>
      <c r="F116" s="3">
        <v>-1.6669429259788899</v>
      </c>
      <c r="G116" s="3">
        <v>79.612979999999993</v>
      </c>
      <c r="H116" s="3">
        <v>2118.5672610361398</v>
      </c>
      <c r="I116" s="3">
        <v>62.87</v>
      </c>
      <c r="J116" s="3">
        <v>62.87</v>
      </c>
      <c r="K116" s="3">
        <v>60.95</v>
      </c>
      <c r="L116" s="3">
        <v>1626.07602615275</v>
      </c>
    </row>
    <row r="117" spans="1:12" ht="15" customHeight="1" x14ac:dyDescent="0.2">
      <c r="A117" s="2">
        <v>45884</v>
      </c>
      <c r="B117" s="3">
        <v>62.99</v>
      </c>
      <c r="C117" s="1">
        <v>976478</v>
      </c>
      <c r="D117" s="3">
        <v>-0.37999999999999501</v>
      </c>
      <c r="E117" s="3">
        <v>-0.59965283257060698</v>
      </c>
      <c r="F117" s="3">
        <v>-0.59964886864494105</v>
      </c>
      <c r="G117" s="3">
        <v>80.962580000000003</v>
      </c>
      <c r="H117" s="3">
        <v>2156.17643450879</v>
      </c>
      <c r="I117" s="3">
        <v>63.65</v>
      </c>
      <c r="J117" s="3">
        <v>63.7</v>
      </c>
      <c r="K117" s="3">
        <v>62.62</v>
      </c>
      <c r="L117" s="3">
        <v>1655.3362752237899</v>
      </c>
    </row>
    <row r="118" spans="1:12" ht="15" customHeight="1" x14ac:dyDescent="0.2">
      <c r="A118" s="2">
        <v>45883</v>
      </c>
      <c r="B118" s="3">
        <v>63.37</v>
      </c>
      <c r="C118" s="1">
        <v>1067091</v>
      </c>
      <c r="D118" s="3">
        <v>-1.41</v>
      </c>
      <c r="E118" s="3">
        <v>-2.1765977153442502</v>
      </c>
      <c r="F118" s="3">
        <v>-2.1765962547775901</v>
      </c>
      <c r="G118" s="3">
        <v>81.450999999999993</v>
      </c>
      <c r="H118" s="3">
        <v>2169.78718770048</v>
      </c>
      <c r="I118" s="3">
        <v>63.54</v>
      </c>
      <c r="J118" s="3">
        <v>64.075000000000003</v>
      </c>
      <c r="K118" s="3">
        <v>62.81</v>
      </c>
      <c r="L118" s="3">
        <v>1665.92569869712</v>
      </c>
    </row>
    <row r="119" spans="1:12" ht="15" customHeight="1" x14ac:dyDescent="0.2">
      <c r="A119" s="2">
        <v>45882</v>
      </c>
      <c r="B119" s="3">
        <v>64.78</v>
      </c>
      <c r="C119" s="1">
        <v>1933584</v>
      </c>
      <c r="D119" s="3">
        <v>2.42</v>
      </c>
      <c r="E119" s="3">
        <v>3.8806927517639398</v>
      </c>
      <c r="F119" s="3">
        <v>3.8806944035156801</v>
      </c>
      <c r="G119" s="3">
        <v>83.263306</v>
      </c>
      <c r="H119" s="3">
        <v>2220.2905447985199</v>
      </c>
      <c r="I119" s="3">
        <v>62.32</v>
      </c>
      <c r="J119" s="3">
        <v>64.87</v>
      </c>
      <c r="K119" s="3">
        <v>61.25</v>
      </c>
      <c r="L119" s="3">
        <v>1705.2180331639499</v>
      </c>
    </row>
    <row r="120" spans="1:12" ht="15" customHeight="1" x14ac:dyDescent="0.2">
      <c r="A120" s="2">
        <v>45881</v>
      </c>
      <c r="B120" s="3">
        <v>62.36</v>
      </c>
      <c r="C120" s="1">
        <v>1434628</v>
      </c>
      <c r="D120" s="3">
        <v>0.76999999999999602</v>
      </c>
      <c r="E120" s="3">
        <v>1.2502029550251501</v>
      </c>
      <c r="F120" s="3">
        <v>1.6885851671121801</v>
      </c>
      <c r="G120" s="3">
        <v>80.152820000000006</v>
      </c>
      <c r="H120" s="3">
        <v>2133.6109304252</v>
      </c>
      <c r="I120" s="3">
        <v>62.31</v>
      </c>
      <c r="J120" s="3">
        <v>62.72</v>
      </c>
      <c r="K120" s="3">
        <v>61.2</v>
      </c>
      <c r="L120" s="3">
        <v>1637.78012578117</v>
      </c>
    </row>
    <row r="121" spans="1:12" ht="15" customHeight="1" x14ac:dyDescent="0.2">
      <c r="A121" s="2">
        <v>45880</v>
      </c>
      <c r="B121" s="3">
        <v>61.59</v>
      </c>
      <c r="C121" s="1">
        <v>990206</v>
      </c>
      <c r="D121" s="3">
        <v>5.0000000000004201E-2</v>
      </c>
      <c r="E121" s="3">
        <v>8.1247968800779405E-2</v>
      </c>
      <c r="F121" s="3">
        <v>8.1243954571652496E-2</v>
      </c>
      <c r="G121" s="3">
        <v>78.821845999999994</v>
      </c>
      <c r="H121" s="3">
        <v>2096.5208059041702</v>
      </c>
      <c r="I121" s="3">
        <v>61.65</v>
      </c>
      <c r="J121" s="3">
        <v>61.84</v>
      </c>
      <c r="K121" s="3">
        <v>60.891500000000001</v>
      </c>
      <c r="L121" s="3">
        <v>1616.3226097957399</v>
      </c>
    </row>
    <row r="122" spans="1:12" ht="15" customHeight="1" x14ac:dyDescent="0.2">
      <c r="A122" s="2">
        <v>45877</v>
      </c>
      <c r="B122" s="3">
        <v>61.54</v>
      </c>
      <c r="C122" s="1">
        <v>1497866</v>
      </c>
      <c r="D122" s="3">
        <v>-0.39</v>
      </c>
      <c r="E122" s="3">
        <v>-0.62974325851767798</v>
      </c>
      <c r="F122" s="3">
        <v>-0.629736413087711</v>
      </c>
      <c r="G122" s="3">
        <v>78.757859999999994</v>
      </c>
      <c r="H122" s="3">
        <v>2094.73771419268</v>
      </c>
      <c r="I122" s="3">
        <v>61.41</v>
      </c>
      <c r="J122" s="3">
        <v>61.87</v>
      </c>
      <c r="K122" s="3">
        <v>60.69</v>
      </c>
      <c r="L122" s="3">
        <v>1614.92926460188</v>
      </c>
    </row>
    <row r="123" spans="1:12" ht="15" customHeight="1" x14ac:dyDescent="0.2">
      <c r="A123" s="2">
        <v>45876</v>
      </c>
      <c r="B123" s="3">
        <v>61.93</v>
      </c>
      <c r="C123" s="1">
        <v>1249000</v>
      </c>
      <c r="D123" s="3">
        <v>0.17999999999999899</v>
      </c>
      <c r="E123" s="3">
        <v>0.29149797570850999</v>
      </c>
      <c r="F123" s="3">
        <v>0.29149675027182398</v>
      </c>
      <c r="G123" s="3">
        <v>79.256969999999995</v>
      </c>
      <c r="H123" s="3">
        <v>2108.6463645868198</v>
      </c>
      <c r="I123" s="3">
        <v>62.05</v>
      </c>
      <c r="J123" s="3">
        <v>62.249899999999997</v>
      </c>
      <c r="K123" s="3">
        <v>60.744999999999997</v>
      </c>
      <c r="L123" s="3">
        <v>1625.7973571139801</v>
      </c>
    </row>
    <row r="124" spans="1:12" ht="15" customHeight="1" x14ac:dyDescent="0.2">
      <c r="A124" s="2">
        <v>45875</v>
      </c>
      <c r="B124" s="3">
        <v>61.75</v>
      </c>
      <c r="C124" s="1">
        <v>1463531</v>
      </c>
      <c r="D124" s="3">
        <v>0.119999999999997</v>
      </c>
      <c r="E124" s="3">
        <v>0.19471036832710001</v>
      </c>
      <c r="F124" s="3">
        <v>0.19470531375487199</v>
      </c>
      <c r="G124" s="3">
        <v>79.026610000000005</v>
      </c>
      <c r="H124" s="3">
        <v>2102.2269446096798</v>
      </c>
      <c r="I124" s="3">
        <v>62</v>
      </c>
      <c r="J124" s="3">
        <v>62.43</v>
      </c>
      <c r="K124" s="3">
        <v>60.7</v>
      </c>
      <c r="L124" s="3">
        <v>1620.78131441609</v>
      </c>
    </row>
    <row r="125" spans="1:12" ht="15" customHeight="1" x14ac:dyDescent="0.2">
      <c r="A125" s="2">
        <v>45874</v>
      </c>
      <c r="B125" s="3">
        <v>61.63</v>
      </c>
      <c r="C125" s="1">
        <v>2095447.99999999</v>
      </c>
      <c r="D125" s="3">
        <v>-0.96</v>
      </c>
      <c r="E125" s="3">
        <v>-1.5337913404697201</v>
      </c>
      <c r="F125" s="3">
        <v>-1.5337890127828799</v>
      </c>
      <c r="G125" s="3">
        <v>78.873040000000003</v>
      </c>
      <c r="H125" s="3">
        <v>2097.94742418126</v>
      </c>
      <c r="I125" s="3">
        <v>63.01</v>
      </c>
      <c r="J125" s="3">
        <v>63.5</v>
      </c>
      <c r="K125" s="3">
        <v>61.465000000000003</v>
      </c>
      <c r="L125" s="3">
        <v>1617.4372859508201</v>
      </c>
    </row>
    <row r="126" spans="1:12" ht="15" customHeight="1" x14ac:dyDescent="0.2">
      <c r="A126" s="2">
        <v>45873</v>
      </c>
      <c r="B126" s="3">
        <v>62.59</v>
      </c>
      <c r="C126" s="1">
        <v>2740860</v>
      </c>
      <c r="D126" s="3">
        <v>0.21</v>
      </c>
      <c r="E126" s="3">
        <v>0.336646361013137</v>
      </c>
      <c r="F126" s="3">
        <v>0.33664074251109599</v>
      </c>
      <c r="G126" s="3">
        <v>80.10163</v>
      </c>
      <c r="H126" s="3">
        <v>2132.1844236157199</v>
      </c>
      <c r="I126" s="3">
        <v>63.17</v>
      </c>
      <c r="J126" s="3">
        <v>63.45</v>
      </c>
      <c r="K126" s="3">
        <v>61.35</v>
      </c>
      <c r="L126" s="3">
        <v>1644.1895136729199</v>
      </c>
    </row>
    <row r="127" spans="1:12" ht="15" customHeight="1" x14ac:dyDescent="0.2">
      <c r="A127" s="2">
        <v>45870</v>
      </c>
      <c r="B127" s="3">
        <v>62.38</v>
      </c>
      <c r="C127" s="1">
        <v>1941569</v>
      </c>
      <c r="D127" s="3">
        <v>-1.52999999999999</v>
      </c>
      <c r="E127" s="3">
        <v>-2.3939915506180398</v>
      </c>
      <c r="F127" s="3">
        <v>-2.3939815338960599</v>
      </c>
      <c r="G127" s="3">
        <v>79.832880000000003</v>
      </c>
      <c r="H127" s="3">
        <v>2124.6951931987301</v>
      </c>
      <c r="I127" s="3">
        <v>63.42</v>
      </c>
      <c r="J127" s="3">
        <v>64.11</v>
      </c>
      <c r="K127" s="3">
        <v>61.28</v>
      </c>
      <c r="L127" s="3">
        <v>1638.33746385871</v>
      </c>
    </row>
    <row r="128" spans="1:12" ht="15" customHeight="1" x14ac:dyDescent="0.2">
      <c r="A128" s="2">
        <v>45869</v>
      </c>
      <c r="B128" s="3">
        <v>63.91</v>
      </c>
      <c r="C128" s="1">
        <v>2216996</v>
      </c>
      <c r="D128" s="3">
        <v>-2.56</v>
      </c>
      <c r="E128" s="3">
        <v>-3.8513615164736001</v>
      </c>
      <c r="F128" s="3">
        <v>-3.8513673720737498</v>
      </c>
      <c r="G128" s="3">
        <v>81.790940000000006</v>
      </c>
      <c r="H128" s="3">
        <v>2179.2602630044898</v>
      </c>
      <c r="I128" s="3">
        <v>65.87</v>
      </c>
      <c r="J128" s="3">
        <v>67</v>
      </c>
      <c r="K128" s="3">
        <v>63.37</v>
      </c>
      <c r="L128" s="3">
        <v>1680.9738267908001</v>
      </c>
    </row>
    <row r="129" spans="1:12" ht="15" customHeight="1" x14ac:dyDescent="0.2">
      <c r="A129" s="2">
        <v>45868</v>
      </c>
      <c r="B129" s="3">
        <v>66.47</v>
      </c>
      <c r="C129" s="1">
        <v>3615700</v>
      </c>
      <c r="D129" s="3">
        <v>3.2899999999999898</v>
      </c>
      <c r="E129" s="3">
        <v>5.2073440962329798</v>
      </c>
      <c r="F129" s="3">
        <v>5.2073418030081697</v>
      </c>
      <c r="G129" s="3">
        <v>85.067189999999997</v>
      </c>
      <c r="H129" s="3">
        <v>2270.5592068321098</v>
      </c>
      <c r="I129" s="3">
        <v>66</v>
      </c>
      <c r="J129" s="3">
        <v>67.63</v>
      </c>
      <c r="K129" s="3">
        <v>64.19</v>
      </c>
      <c r="L129" s="3">
        <v>1752.31310071639</v>
      </c>
    </row>
    <row r="130" spans="1:12" ht="15" customHeight="1" x14ac:dyDescent="0.2">
      <c r="A130" s="2">
        <v>45867</v>
      </c>
      <c r="B130" s="3">
        <v>63.18</v>
      </c>
      <c r="C130" s="1">
        <v>2595032</v>
      </c>
      <c r="D130" s="3">
        <v>-2.71</v>
      </c>
      <c r="E130" s="3">
        <v>-4.1129154651692197</v>
      </c>
      <c r="F130" s="3">
        <v>-4.1129068504194004</v>
      </c>
      <c r="G130" s="3">
        <v>80.856705000000005</v>
      </c>
      <c r="H130" s="3">
        <v>2153.22602606079</v>
      </c>
      <c r="I130" s="3">
        <v>65.930000000000007</v>
      </c>
      <c r="J130" s="3">
        <v>66.188599999999994</v>
      </c>
      <c r="K130" s="3">
        <v>63.13</v>
      </c>
      <c r="L130" s="3">
        <v>1660.6309869604599</v>
      </c>
    </row>
    <row r="131" spans="1:12" ht="15" customHeight="1" x14ac:dyDescent="0.2">
      <c r="A131" s="2">
        <v>45866</v>
      </c>
      <c r="B131" s="3">
        <v>65.89</v>
      </c>
      <c r="C131" s="1">
        <v>1384709</v>
      </c>
      <c r="D131" s="3">
        <v>0.109999999999999</v>
      </c>
      <c r="E131" s="3">
        <v>0.16722408026754701</v>
      </c>
      <c r="F131" s="3">
        <v>0.16722271957774201</v>
      </c>
      <c r="G131" s="3">
        <v>84.324910000000003</v>
      </c>
      <c r="H131" s="3">
        <v>2249.8741614221599</v>
      </c>
      <c r="I131" s="3">
        <v>65.944999999999993</v>
      </c>
      <c r="J131" s="3">
        <v>66.650000000000006</v>
      </c>
      <c r="K131" s="3">
        <v>65.134699999999995</v>
      </c>
      <c r="L131" s="3">
        <v>1736.1502964676299</v>
      </c>
    </row>
    <row r="132" spans="1:12" ht="15" customHeight="1" x14ac:dyDescent="0.2">
      <c r="A132" s="2">
        <v>45863</v>
      </c>
      <c r="B132" s="3">
        <v>65.78</v>
      </c>
      <c r="C132" s="1">
        <v>1189979</v>
      </c>
      <c r="D132" s="3">
        <v>0.29999999999999699</v>
      </c>
      <c r="E132" s="3">
        <v>0.45815516188147898</v>
      </c>
      <c r="F132" s="3">
        <v>0.45814324331643302</v>
      </c>
      <c r="G132" s="3">
        <v>84.184134999999998</v>
      </c>
      <c r="H132" s="3">
        <v>2245.9511980288498</v>
      </c>
      <c r="I132" s="3">
        <v>65.540000000000006</v>
      </c>
      <c r="J132" s="3">
        <v>66.025000000000006</v>
      </c>
      <c r="K132" s="3">
        <v>64.31</v>
      </c>
      <c r="L132" s="3">
        <v>1733.0849370411399</v>
      </c>
    </row>
    <row r="133" spans="1:12" ht="15" customHeight="1" x14ac:dyDescent="0.2">
      <c r="A133" s="2">
        <v>45862</v>
      </c>
      <c r="B133" s="3">
        <v>65.48</v>
      </c>
      <c r="C133" s="1">
        <v>1345682</v>
      </c>
      <c r="D133" s="3">
        <v>-3.03</v>
      </c>
      <c r="E133" s="3">
        <v>-4.4227120128448396</v>
      </c>
      <c r="F133" s="3">
        <v>-4.4227083320264597</v>
      </c>
      <c r="G133" s="3">
        <v>83.800210000000007</v>
      </c>
      <c r="H133" s="3">
        <v>2235.2523969578001</v>
      </c>
      <c r="I133" s="3">
        <v>68</v>
      </c>
      <c r="J133" s="3">
        <v>68.23</v>
      </c>
      <c r="K133" s="3">
        <v>65.42</v>
      </c>
      <c r="L133" s="3">
        <v>1724.7248658779799</v>
      </c>
    </row>
    <row r="134" spans="1:12" ht="15" customHeight="1" x14ac:dyDescent="0.2">
      <c r="A134" s="2">
        <v>45861</v>
      </c>
      <c r="B134" s="3">
        <v>68.510000000000005</v>
      </c>
      <c r="C134" s="1">
        <v>2608209</v>
      </c>
      <c r="D134" s="3">
        <v>2.5</v>
      </c>
      <c r="E134" s="3">
        <v>3.78730495379489</v>
      </c>
      <c r="F134" s="3">
        <v>3.7873072778644699</v>
      </c>
      <c r="G134" s="3">
        <v>87.677949999999996</v>
      </c>
      <c r="H134" s="3">
        <v>2343.3130047985101</v>
      </c>
      <c r="I134" s="3">
        <v>66.64</v>
      </c>
      <c r="J134" s="3">
        <v>69.7</v>
      </c>
      <c r="K134" s="3">
        <v>66.534999999999997</v>
      </c>
      <c r="L134" s="3">
        <v>1809.1615846258501</v>
      </c>
    </row>
    <row r="135" spans="1:12" ht="15" customHeight="1" x14ac:dyDescent="0.2">
      <c r="A135" s="2">
        <v>45860</v>
      </c>
      <c r="B135" s="3">
        <v>66.010000000000005</v>
      </c>
      <c r="C135" s="1">
        <v>1635550</v>
      </c>
      <c r="D135" s="3">
        <v>2.1</v>
      </c>
      <c r="E135" s="3">
        <v>3.2858707557502802</v>
      </c>
      <c r="F135" s="3">
        <v>3.2858773844633502</v>
      </c>
      <c r="G135" s="3">
        <v>84.478489999999994</v>
      </c>
      <c r="H135" s="3">
        <v>2254.1539605196099</v>
      </c>
      <c r="I135" s="3">
        <v>64.105000000000004</v>
      </c>
      <c r="J135" s="3">
        <v>66.36</v>
      </c>
      <c r="K135" s="3">
        <v>64.105000000000004</v>
      </c>
      <c r="L135" s="3">
        <v>1739.4943249328901</v>
      </c>
    </row>
    <row r="136" spans="1:12" ht="15" customHeight="1" x14ac:dyDescent="0.2">
      <c r="A136" s="2">
        <v>45859</v>
      </c>
      <c r="B136" s="3">
        <v>63.91</v>
      </c>
      <c r="C136" s="1">
        <v>1268033</v>
      </c>
      <c r="D136" s="3">
        <v>1.22999999999999</v>
      </c>
      <c r="E136" s="3">
        <v>1.9623484365028601</v>
      </c>
      <c r="F136" s="3">
        <v>1.9623443016494899</v>
      </c>
      <c r="G136" s="3">
        <v>81.790940000000006</v>
      </c>
      <c r="H136" s="3">
        <v>2179.2602630044898</v>
      </c>
      <c r="I136" s="3">
        <v>63.24</v>
      </c>
      <c r="J136" s="3">
        <v>64.430000000000007</v>
      </c>
      <c r="K136" s="3">
        <v>63.115000000000002</v>
      </c>
      <c r="L136" s="3">
        <v>1680.9738267908001</v>
      </c>
    </row>
    <row r="137" spans="1:12" ht="15" customHeight="1" x14ac:dyDescent="0.2">
      <c r="A137" s="2">
        <v>45856</v>
      </c>
      <c r="B137" s="3">
        <v>62.68</v>
      </c>
      <c r="C137" s="1">
        <v>1408582</v>
      </c>
      <c r="D137" s="3">
        <v>0.77000000000000302</v>
      </c>
      <c r="E137" s="3">
        <v>1.2437409142303399</v>
      </c>
      <c r="F137" s="3">
        <v>1.24373701429911</v>
      </c>
      <c r="G137" s="3">
        <v>80.216809999999995</v>
      </c>
      <c r="H137" s="3">
        <v>2135.3941336042999</v>
      </c>
      <c r="I137" s="3">
        <v>62.83</v>
      </c>
      <c r="J137" s="3">
        <v>63.4893</v>
      </c>
      <c r="K137" s="3">
        <v>61.96</v>
      </c>
      <c r="L137" s="3">
        <v>1646.69753502187</v>
      </c>
    </row>
    <row r="138" spans="1:12" ht="15" customHeight="1" x14ac:dyDescent="0.2">
      <c r="A138" s="2">
        <v>45855</v>
      </c>
      <c r="B138" s="3">
        <v>61.91</v>
      </c>
      <c r="C138" s="1">
        <v>1583555</v>
      </c>
      <c r="D138" s="3">
        <v>-0.45000000000000201</v>
      </c>
      <c r="E138" s="3">
        <v>-0.72161642078255595</v>
      </c>
      <c r="F138" s="3">
        <v>-0.72161336660014896</v>
      </c>
      <c r="G138" s="3">
        <v>79.231380000000001</v>
      </c>
      <c r="H138" s="3">
        <v>2107.9332505166099</v>
      </c>
      <c r="I138" s="3">
        <v>62.74</v>
      </c>
      <c r="J138" s="3">
        <v>62.974600000000002</v>
      </c>
      <c r="K138" s="3">
        <v>60.51</v>
      </c>
      <c r="L138" s="3">
        <v>1625.2400190364301</v>
      </c>
    </row>
    <row r="139" spans="1:12" ht="15" customHeight="1" x14ac:dyDescent="0.2">
      <c r="A139" s="2">
        <v>45854</v>
      </c>
      <c r="B139" s="3">
        <v>62.36</v>
      </c>
      <c r="C139" s="1">
        <v>1035183</v>
      </c>
      <c r="D139" s="3">
        <v>-6.0000000000002197E-2</v>
      </c>
      <c r="E139" s="3">
        <v>-9.6123037487982899E-2</v>
      </c>
      <c r="F139" s="3">
        <v>-9.6114293640059398E-2</v>
      </c>
      <c r="G139" s="3">
        <v>79.807280000000006</v>
      </c>
      <c r="H139" s="3">
        <v>2123.9818004594799</v>
      </c>
      <c r="I139" s="3">
        <v>63.05</v>
      </c>
      <c r="J139" s="3">
        <v>63.68</v>
      </c>
      <c r="K139" s="3">
        <v>62.013300000000001</v>
      </c>
      <c r="L139" s="3">
        <v>1637.78012578117</v>
      </c>
    </row>
    <row r="140" spans="1:12" ht="15" customHeight="1" x14ac:dyDescent="0.2">
      <c r="A140" s="2">
        <v>45853</v>
      </c>
      <c r="B140" s="3">
        <v>62.42</v>
      </c>
      <c r="C140" s="1">
        <v>1127167</v>
      </c>
      <c r="D140" s="3">
        <v>-1.8799999999999899</v>
      </c>
      <c r="E140" s="3">
        <v>-2.9237947122861501</v>
      </c>
      <c r="F140" s="3">
        <v>-2.9238039199388002</v>
      </c>
      <c r="G140" s="3">
        <v>79.884060000000005</v>
      </c>
      <c r="H140" s="3">
        <v>2126.12142133917</v>
      </c>
      <c r="I140" s="3">
        <v>64.11</v>
      </c>
      <c r="J140" s="3">
        <v>64.33</v>
      </c>
      <c r="K140" s="3">
        <v>62.18</v>
      </c>
      <c r="L140" s="3">
        <v>1639.4521400138001</v>
      </c>
    </row>
    <row r="141" spans="1:12" ht="15" customHeight="1" x14ac:dyDescent="0.2">
      <c r="A141" s="2">
        <v>45852</v>
      </c>
      <c r="B141" s="3">
        <v>64.3</v>
      </c>
      <c r="C141" s="1">
        <v>1203129</v>
      </c>
      <c r="D141" s="3">
        <v>-0.46999999999999797</v>
      </c>
      <c r="E141" s="3">
        <v>-0.72564458854407199</v>
      </c>
      <c r="F141" s="3">
        <v>-0.72564206660566899</v>
      </c>
      <c r="G141" s="3">
        <v>82.290059999999997</v>
      </c>
      <c r="H141" s="3">
        <v>2193.1691920676699</v>
      </c>
      <c r="I141" s="3">
        <v>65.040000000000006</v>
      </c>
      <c r="J141" s="3">
        <v>65.16</v>
      </c>
      <c r="K141" s="3">
        <v>64.03</v>
      </c>
      <c r="L141" s="3">
        <v>1691.8419193028999</v>
      </c>
    </row>
    <row r="142" spans="1:12" ht="15" customHeight="1" x14ac:dyDescent="0.2">
      <c r="A142" s="2">
        <v>45849</v>
      </c>
      <c r="B142" s="3">
        <v>64.77</v>
      </c>
      <c r="C142" s="1">
        <v>1182548</v>
      </c>
      <c r="D142" s="3">
        <v>0.59999999999999398</v>
      </c>
      <c r="E142" s="3">
        <v>0.93501636278634503</v>
      </c>
      <c r="F142" s="3">
        <v>0.93501156609012703</v>
      </c>
      <c r="G142" s="3">
        <v>82.891555999999994</v>
      </c>
      <c r="H142" s="3">
        <v>2209.9310232821799</v>
      </c>
      <c r="I142" s="3">
        <v>64.569999999999993</v>
      </c>
      <c r="J142" s="3">
        <v>64.77</v>
      </c>
      <c r="K142" s="3">
        <v>63.42</v>
      </c>
      <c r="L142" s="3">
        <v>1704.93936412518</v>
      </c>
    </row>
    <row r="143" spans="1:12" ht="15" customHeight="1" x14ac:dyDescent="0.2">
      <c r="A143" s="2">
        <v>45848</v>
      </c>
      <c r="B143" s="3">
        <v>64.17</v>
      </c>
      <c r="C143" s="1">
        <v>878204</v>
      </c>
      <c r="D143" s="3">
        <v>3.0000000000001099E-2</v>
      </c>
      <c r="E143" s="3">
        <v>4.6772684752105498E-2</v>
      </c>
      <c r="F143" s="3">
        <v>4.6780610752539198E-2</v>
      </c>
      <c r="G143" s="3">
        <v>82.123689999999996</v>
      </c>
      <c r="H143" s="3">
        <v>2188.5329752696198</v>
      </c>
      <c r="I143" s="3">
        <v>63.19</v>
      </c>
      <c r="J143" s="3">
        <v>65.41</v>
      </c>
      <c r="K143" s="3">
        <v>63.19</v>
      </c>
      <c r="L143" s="3">
        <v>1688.21922179887</v>
      </c>
    </row>
    <row r="144" spans="1:12" ht="15" customHeight="1" x14ac:dyDescent="0.2">
      <c r="A144" s="2">
        <v>45847</v>
      </c>
      <c r="B144" s="3">
        <v>64.14</v>
      </c>
      <c r="C144" s="1">
        <v>1316454</v>
      </c>
      <c r="D144" s="3">
        <v>0.92000000000000104</v>
      </c>
      <c r="E144" s="3">
        <v>1.45523568490983</v>
      </c>
      <c r="F144" s="3">
        <v>1.45523508275893</v>
      </c>
      <c r="G144" s="3">
        <v>82.085290000000001</v>
      </c>
      <c r="H144" s="3">
        <v>2187.4628861607398</v>
      </c>
      <c r="I144" s="3">
        <v>63.5</v>
      </c>
      <c r="J144" s="3">
        <v>64.459999999999994</v>
      </c>
      <c r="K144" s="3">
        <v>62.87</v>
      </c>
      <c r="L144" s="3">
        <v>1687.38321468255</v>
      </c>
    </row>
    <row r="145" spans="1:12" ht="15" customHeight="1" x14ac:dyDescent="0.2">
      <c r="A145" s="2">
        <v>45846</v>
      </c>
      <c r="B145" s="3">
        <v>63.22</v>
      </c>
      <c r="C145" s="1">
        <v>1510343</v>
      </c>
      <c r="D145" s="3">
        <v>-0.310000000000002</v>
      </c>
      <c r="E145" s="3">
        <v>-0.48795844482921702</v>
      </c>
      <c r="F145" s="3">
        <v>-0.48796729042369602</v>
      </c>
      <c r="G145" s="3">
        <v>80.907889999999995</v>
      </c>
      <c r="H145" s="3">
        <v>2154.65239353574</v>
      </c>
      <c r="I145" s="3">
        <v>63.75</v>
      </c>
      <c r="J145" s="3">
        <v>64.42</v>
      </c>
      <c r="K145" s="3">
        <v>63.14</v>
      </c>
      <c r="L145" s="3">
        <v>1661.7456631155401</v>
      </c>
    </row>
    <row r="146" spans="1:12" ht="15" customHeight="1" x14ac:dyDescent="0.2">
      <c r="A146" s="2">
        <v>45845</v>
      </c>
      <c r="B146" s="3">
        <v>63.53</v>
      </c>
      <c r="C146" s="1">
        <v>1795499</v>
      </c>
      <c r="D146" s="3">
        <v>-2.17</v>
      </c>
      <c r="E146" s="3">
        <v>-3.3028919330289099</v>
      </c>
      <c r="F146" s="3">
        <v>-3.3028808272901</v>
      </c>
      <c r="G146" s="3">
        <v>81.304630000000003</v>
      </c>
      <c r="H146" s="3">
        <v>2165.7083089799798</v>
      </c>
      <c r="I146" s="3">
        <v>65.02</v>
      </c>
      <c r="J146" s="3">
        <v>65.45</v>
      </c>
      <c r="K146" s="3">
        <v>63.08</v>
      </c>
      <c r="L146" s="3">
        <v>1670.3844033174701</v>
      </c>
    </row>
    <row r="147" spans="1:12" ht="15" customHeight="1" x14ac:dyDescent="0.2">
      <c r="A147" s="2">
        <v>45841</v>
      </c>
      <c r="B147" s="3">
        <v>65.7</v>
      </c>
      <c r="C147" s="1">
        <v>607895</v>
      </c>
      <c r="D147" s="3">
        <v>0.43000000000000599</v>
      </c>
      <c r="E147" s="3">
        <v>0.65880189980083104</v>
      </c>
      <c r="F147" s="3">
        <v>0.65880583406678905</v>
      </c>
      <c r="G147" s="3">
        <v>84.08175</v>
      </c>
      <c r="H147" s="3">
        <v>2243.09804507538</v>
      </c>
      <c r="I147" s="3">
        <v>65.16</v>
      </c>
      <c r="J147" s="3">
        <v>65.989999999999995</v>
      </c>
      <c r="K147" s="3">
        <v>64.62</v>
      </c>
      <c r="L147" s="3">
        <v>1730.8555847309599</v>
      </c>
    </row>
    <row r="148" spans="1:12" ht="15" customHeight="1" x14ac:dyDescent="0.2">
      <c r="A148" s="2">
        <v>45840</v>
      </c>
      <c r="B148" s="3">
        <v>65.27</v>
      </c>
      <c r="C148" s="1">
        <v>1128330</v>
      </c>
      <c r="D148" s="3">
        <v>1.5699999999999901</v>
      </c>
      <c r="E148" s="3">
        <v>2.4646781789638701</v>
      </c>
      <c r="F148" s="3">
        <v>2.4646663687518799</v>
      </c>
      <c r="G148" s="3">
        <v>83.531440000000003</v>
      </c>
      <c r="H148" s="3">
        <v>2227.7626092027299</v>
      </c>
      <c r="I148" s="3">
        <v>63.93</v>
      </c>
      <c r="J148" s="3">
        <v>65.599999999999994</v>
      </c>
      <c r="K148" s="3">
        <v>63.475000000000001</v>
      </c>
      <c r="L148" s="3">
        <v>1718.87281606377</v>
      </c>
    </row>
    <row r="149" spans="1:12" ht="15" customHeight="1" x14ac:dyDescent="0.2">
      <c r="A149" s="2">
        <v>45839</v>
      </c>
      <c r="B149" s="3">
        <v>63.7</v>
      </c>
      <c r="C149" s="1">
        <v>1584180</v>
      </c>
      <c r="D149" s="3">
        <v>1.04</v>
      </c>
      <c r="E149" s="3">
        <v>1.65975103734441</v>
      </c>
      <c r="F149" s="3">
        <v>1.65975036467833</v>
      </c>
      <c r="G149" s="3">
        <v>81.522189999999995</v>
      </c>
      <c r="H149" s="3">
        <v>2171.7710325875</v>
      </c>
      <c r="I149" s="3">
        <v>62.48</v>
      </c>
      <c r="J149" s="3">
        <v>64.55</v>
      </c>
      <c r="K149" s="3">
        <v>62.284999999999997</v>
      </c>
      <c r="L149" s="3">
        <v>1675.1217769765899</v>
      </c>
    </row>
    <row r="150" spans="1:12" ht="15" customHeight="1" x14ac:dyDescent="0.2">
      <c r="A150" s="2">
        <v>45838</v>
      </c>
      <c r="B150" s="3">
        <v>62.66</v>
      </c>
      <c r="C150" s="1">
        <v>1777861</v>
      </c>
      <c r="D150" s="3">
        <v>0.40999999999999598</v>
      </c>
      <c r="E150" s="3">
        <v>0.65863453815260198</v>
      </c>
      <c r="F150" s="3">
        <v>0.658635654452699</v>
      </c>
      <c r="G150" s="3">
        <v>80.191215999999997</v>
      </c>
      <c r="H150" s="3">
        <v>2134.6809080664698</v>
      </c>
      <c r="I150" s="3">
        <v>62.44</v>
      </c>
      <c r="J150" s="3">
        <v>62.72</v>
      </c>
      <c r="K150" s="3">
        <v>61.33</v>
      </c>
      <c r="L150" s="3">
        <v>1646.14019694432</v>
      </c>
    </row>
    <row r="151" spans="1:12" ht="15" customHeight="1" x14ac:dyDescent="0.2">
      <c r="A151" s="2">
        <v>45835</v>
      </c>
      <c r="B151" s="3">
        <v>62.25</v>
      </c>
      <c r="C151" s="1">
        <v>1741351</v>
      </c>
      <c r="D151" s="3">
        <v>1</v>
      </c>
      <c r="E151" s="3">
        <v>1.6326530612244801</v>
      </c>
      <c r="F151" s="3">
        <v>1.63265410263371</v>
      </c>
      <c r="G151" s="3">
        <v>79.666504000000003</v>
      </c>
      <c r="H151" s="3">
        <v>2120.0588091992599</v>
      </c>
      <c r="I151" s="3">
        <v>61.35</v>
      </c>
      <c r="J151" s="3">
        <v>62.3</v>
      </c>
      <c r="K151" s="3">
        <v>60.76</v>
      </c>
      <c r="L151" s="3">
        <v>1634.71476635468</v>
      </c>
    </row>
    <row r="152" spans="1:12" ht="15" customHeight="1" x14ac:dyDescent="0.2">
      <c r="A152" s="2">
        <v>45834</v>
      </c>
      <c r="B152" s="3">
        <v>61.25</v>
      </c>
      <c r="C152" s="1">
        <v>939478</v>
      </c>
      <c r="D152" s="3">
        <v>1.46999999999999</v>
      </c>
      <c r="E152" s="3">
        <v>2.4590163934426101</v>
      </c>
      <c r="F152" s="3">
        <v>2.4590146792175802</v>
      </c>
      <c r="G152" s="3">
        <v>78.386719999999997</v>
      </c>
      <c r="H152" s="3">
        <v>2084.3951914876998</v>
      </c>
      <c r="I152" s="3">
        <v>59.78</v>
      </c>
      <c r="J152" s="3">
        <v>61.34</v>
      </c>
      <c r="K152" s="3">
        <v>59.45</v>
      </c>
      <c r="L152" s="3">
        <v>1606.84786247749</v>
      </c>
    </row>
    <row r="153" spans="1:12" ht="15" customHeight="1" x14ac:dyDescent="0.2">
      <c r="A153" s="2">
        <v>45833</v>
      </c>
      <c r="B153" s="3">
        <v>59.78</v>
      </c>
      <c r="C153" s="1">
        <v>1458332</v>
      </c>
      <c r="D153" s="3">
        <v>9.0000000000003397E-2</v>
      </c>
      <c r="E153" s="3">
        <v>0.15077902496232101</v>
      </c>
      <c r="F153" s="3">
        <v>0.15077838457415699</v>
      </c>
      <c r="G153" s="3">
        <v>76.505439999999993</v>
      </c>
      <c r="H153" s="3">
        <v>2031.96974256164</v>
      </c>
      <c r="I153" s="3">
        <v>59.71</v>
      </c>
      <c r="J153" s="3">
        <v>60.134999999999998</v>
      </c>
      <c r="K153" s="3">
        <v>59.155000000000001</v>
      </c>
      <c r="L153" s="3">
        <v>1565.88351377803</v>
      </c>
    </row>
    <row r="154" spans="1:12" ht="15" customHeight="1" x14ac:dyDescent="0.2">
      <c r="A154" s="2">
        <v>45832</v>
      </c>
      <c r="B154" s="3">
        <v>59.69</v>
      </c>
      <c r="C154" s="1">
        <v>1531187</v>
      </c>
      <c r="D154" s="3">
        <v>-0.42000000000000098</v>
      </c>
      <c r="E154" s="3">
        <v>-0.69871901513891499</v>
      </c>
      <c r="F154" s="3">
        <v>-0.69871391688033302</v>
      </c>
      <c r="G154" s="3">
        <v>76.390259999999998</v>
      </c>
      <c r="H154" s="3">
        <v>2028.76003257306</v>
      </c>
      <c r="I154" s="3">
        <v>60.88</v>
      </c>
      <c r="J154" s="3">
        <v>61.204999999999998</v>
      </c>
      <c r="K154" s="3">
        <v>59.55</v>
      </c>
      <c r="L154" s="3">
        <v>1563.3754924290899</v>
      </c>
    </row>
    <row r="155" spans="1:12" ht="15" customHeight="1" x14ac:dyDescent="0.2">
      <c r="A155" s="2">
        <v>45831</v>
      </c>
      <c r="B155" s="3">
        <v>60.11</v>
      </c>
      <c r="C155" s="1">
        <v>1333364</v>
      </c>
      <c r="D155" s="3">
        <v>0.119999999999997</v>
      </c>
      <c r="E155" s="3">
        <v>0.20003333888980401</v>
      </c>
      <c r="F155" s="3">
        <v>0.20003467311082701</v>
      </c>
      <c r="G155" s="3">
        <v>76.927764999999994</v>
      </c>
      <c r="H155" s="3">
        <v>2043.73863274157</v>
      </c>
      <c r="I155" s="3">
        <v>59.15</v>
      </c>
      <c r="J155" s="3">
        <v>60.23</v>
      </c>
      <c r="K155" s="3">
        <v>57.12</v>
      </c>
      <c r="L155" s="3">
        <v>1575.0795920574999</v>
      </c>
    </row>
    <row r="156" spans="1:12" ht="15" customHeight="1" x14ac:dyDescent="0.2">
      <c r="A156" s="2">
        <v>45828</v>
      </c>
      <c r="B156" s="3">
        <v>59.99</v>
      </c>
      <c r="C156" s="1">
        <v>1728032</v>
      </c>
      <c r="D156" s="3">
        <v>1.07</v>
      </c>
      <c r="E156" s="3">
        <v>1.81602172437203</v>
      </c>
      <c r="F156" s="3">
        <v>1.8160244928639899</v>
      </c>
      <c r="G156" s="3">
        <v>76.774190000000004</v>
      </c>
      <c r="H156" s="3">
        <v>2039.4589729786301</v>
      </c>
      <c r="I156" s="3">
        <v>59.46</v>
      </c>
      <c r="J156" s="3">
        <v>60.222799999999999</v>
      </c>
      <c r="K156" s="3">
        <v>58.97</v>
      </c>
      <c r="L156" s="3">
        <v>1571.7355635922399</v>
      </c>
    </row>
    <row r="157" spans="1:12" ht="15" customHeight="1" x14ac:dyDescent="0.2">
      <c r="A157" s="2">
        <v>45826</v>
      </c>
      <c r="B157" s="3">
        <v>58.92</v>
      </c>
      <c r="C157" s="1">
        <v>1381508</v>
      </c>
      <c r="D157" s="3">
        <v>-7.9999999999998295E-2</v>
      </c>
      <c r="E157" s="3">
        <v>-0.13559322033898</v>
      </c>
      <c r="F157" s="3">
        <v>-0.13560294440756401</v>
      </c>
      <c r="G157" s="3">
        <v>75.404820000000001</v>
      </c>
      <c r="H157" s="3">
        <v>2001.29887081633</v>
      </c>
      <c r="I157" s="3">
        <v>58.96</v>
      </c>
      <c r="J157" s="3">
        <v>59.77</v>
      </c>
      <c r="K157" s="3">
        <v>58.33</v>
      </c>
      <c r="L157" s="3">
        <v>1541.9179764436601</v>
      </c>
    </row>
    <row r="158" spans="1:12" ht="15" customHeight="1" x14ac:dyDescent="0.2">
      <c r="A158" s="2">
        <v>45825</v>
      </c>
      <c r="B158" s="3">
        <v>59</v>
      </c>
      <c r="C158" s="1">
        <v>1273082</v>
      </c>
      <c r="D158" s="3">
        <v>-0.14000000000000001</v>
      </c>
      <c r="E158" s="3">
        <v>-0.23672641190395299</v>
      </c>
      <c r="F158" s="3">
        <v>-0.236726872126791</v>
      </c>
      <c r="G158" s="3">
        <v>75.507210000000001</v>
      </c>
      <c r="H158" s="3">
        <v>2004.1521631043099</v>
      </c>
      <c r="I158" s="3">
        <v>58.86</v>
      </c>
      <c r="J158" s="3">
        <v>60.045000000000002</v>
      </c>
      <c r="K158" s="3">
        <v>58.37</v>
      </c>
      <c r="L158" s="3">
        <v>1544.1473287538299</v>
      </c>
    </row>
    <row r="159" spans="1:12" ht="15" customHeight="1" x14ac:dyDescent="0.2">
      <c r="A159" s="2">
        <v>45824</v>
      </c>
      <c r="B159" s="3">
        <v>59.14</v>
      </c>
      <c r="C159" s="1">
        <v>1301098</v>
      </c>
      <c r="D159" s="3">
        <v>2.1199999999999899</v>
      </c>
      <c r="E159" s="3">
        <v>3.7179936864258001</v>
      </c>
      <c r="F159" s="3">
        <v>3.7179987468282101</v>
      </c>
      <c r="G159" s="3">
        <v>75.68638</v>
      </c>
      <c r="H159" s="3">
        <v>2009.1450762719901</v>
      </c>
      <c r="I159" s="3">
        <v>57.86</v>
      </c>
      <c r="J159" s="3">
        <v>59.36</v>
      </c>
      <c r="K159" s="3">
        <v>57.62</v>
      </c>
      <c r="L159" s="3">
        <v>1548.0486952966401</v>
      </c>
    </row>
    <row r="160" spans="1:12" ht="15" customHeight="1" x14ac:dyDescent="0.2">
      <c r="A160" s="2">
        <v>45821</v>
      </c>
      <c r="B160" s="3">
        <v>57.02</v>
      </c>
      <c r="C160" s="1">
        <v>1993548</v>
      </c>
      <c r="D160" s="3">
        <v>-1.76999999999999</v>
      </c>
      <c r="E160" s="3">
        <v>-3.0107161081816498</v>
      </c>
      <c r="F160" s="3">
        <v>-3.0107261631883402</v>
      </c>
      <c r="G160" s="3">
        <v>72.973236</v>
      </c>
      <c r="H160" s="3">
        <v>1933.5381532190299</v>
      </c>
      <c r="I160" s="3">
        <v>57.51</v>
      </c>
      <c r="J160" s="3">
        <v>58.13</v>
      </c>
      <c r="K160" s="3">
        <v>56.4</v>
      </c>
      <c r="L160" s="3">
        <v>1488.9708590770099</v>
      </c>
    </row>
    <row r="161" spans="1:12" ht="15" customHeight="1" x14ac:dyDescent="0.2">
      <c r="A161" s="2">
        <v>45820</v>
      </c>
      <c r="B161" s="3">
        <v>58.79</v>
      </c>
      <c r="C161" s="1">
        <v>1250732</v>
      </c>
      <c r="D161" s="3">
        <v>1.1799999999999899</v>
      </c>
      <c r="E161" s="3">
        <v>2.0482555111959599</v>
      </c>
      <c r="F161" s="3">
        <v>2.0482634146910601</v>
      </c>
      <c r="G161" s="3">
        <v>75.238460000000003</v>
      </c>
      <c r="H161" s="3">
        <v>1996.6629326873201</v>
      </c>
      <c r="I161" s="3">
        <v>56.94</v>
      </c>
      <c r="J161" s="3">
        <v>58.84</v>
      </c>
      <c r="K161" s="3">
        <v>56.94</v>
      </c>
      <c r="L161" s="3">
        <v>1538.2952789396199</v>
      </c>
    </row>
    <row r="162" spans="1:12" ht="15" customHeight="1" x14ac:dyDescent="0.2">
      <c r="A162" s="2">
        <v>45819</v>
      </c>
      <c r="B162" s="3">
        <v>57.61</v>
      </c>
      <c r="C162" s="1">
        <v>1108125</v>
      </c>
      <c r="D162" s="3">
        <v>0.28000000000000103</v>
      </c>
      <c r="E162" s="3">
        <v>0.488400488400486</v>
      </c>
      <c r="F162" s="3">
        <v>0.48840145361923598</v>
      </c>
      <c r="G162" s="3">
        <v>73.728309999999993</v>
      </c>
      <c r="H162" s="3">
        <v>1954.5797277971899</v>
      </c>
      <c r="I162" s="3">
        <v>57.77</v>
      </c>
      <c r="J162" s="3">
        <v>58.16</v>
      </c>
      <c r="K162" s="3">
        <v>57.15</v>
      </c>
      <c r="L162" s="3">
        <v>1505.4123323645399</v>
      </c>
    </row>
    <row r="163" spans="1:12" ht="15" customHeight="1" x14ac:dyDescent="0.2">
      <c r="A163" s="2">
        <v>45818</v>
      </c>
      <c r="B163" s="3">
        <v>57.33</v>
      </c>
      <c r="C163" s="1">
        <v>1349866</v>
      </c>
      <c r="D163" s="3">
        <v>-1.51</v>
      </c>
      <c r="E163" s="3">
        <v>-2.5662814411964701</v>
      </c>
      <c r="F163" s="3">
        <v>-2.5662832404217801</v>
      </c>
      <c r="G163" s="3">
        <v>73.369969999999995</v>
      </c>
      <c r="H163" s="3">
        <v>1944.59390146184</v>
      </c>
      <c r="I163" s="3">
        <v>58.75</v>
      </c>
      <c r="J163" s="3">
        <v>59.45</v>
      </c>
      <c r="K163" s="3">
        <v>56.88</v>
      </c>
      <c r="L163" s="3">
        <v>1497.6095992789301</v>
      </c>
    </row>
    <row r="164" spans="1:12" ht="15" customHeight="1" x14ac:dyDescent="0.2">
      <c r="A164" s="2">
        <v>45817</v>
      </c>
      <c r="B164" s="3">
        <v>58.84</v>
      </c>
      <c r="C164" s="1">
        <v>1334371</v>
      </c>
      <c r="D164" s="3">
        <v>1.03</v>
      </c>
      <c r="E164" s="3">
        <v>1.78169866805051</v>
      </c>
      <c r="F164" s="3">
        <v>1.7816949467772001</v>
      </c>
      <c r="G164" s="3">
        <v>75.302443999999994</v>
      </c>
      <c r="H164" s="3">
        <v>1998.445968665</v>
      </c>
      <c r="I164" s="3">
        <v>58.02</v>
      </c>
      <c r="J164" s="3">
        <v>59.14</v>
      </c>
      <c r="K164" s="3">
        <v>57.81</v>
      </c>
      <c r="L164" s="3">
        <v>1539.6886241334801</v>
      </c>
    </row>
    <row r="165" spans="1:12" ht="15" customHeight="1" x14ac:dyDescent="0.2">
      <c r="A165" s="2">
        <v>45814</v>
      </c>
      <c r="B165" s="3">
        <v>57.81</v>
      </c>
      <c r="C165" s="1">
        <v>1044486</v>
      </c>
      <c r="D165" s="3">
        <v>1.1099999999999901</v>
      </c>
      <c r="E165" s="3">
        <v>1.9576719576719499</v>
      </c>
      <c r="F165" s="3">
        <v>1.95767980700543</v>
      </c>
      <c r="G165" s="3">
        <v>73.984269999999995</v>
      </c>
      <c r="H165" s="3">
        <v>1961.7125405136001</v>
      </c>
      <c r="I165" s="3">
        <v>57.49</v>
      </c>
      <c r="J165" s="3">
        <v>57.89</v>
      </c>
      <c r="K165" s="3">
        <v>56.61</v>
      </c>
      <c r="L165" s="3">
        <v>1510.9857131399799</v>
      </c>
    </row>
    <row r="166" spans="1:12" ht="15" customHeight="1" x14ac:dyDescent="0.2">
      <c r="A166" s="2">
        <v>45813</v>
      </c>
      <c r="B166" s="3">
        <v>56.7</v>
      </c>
      <c r="C166" s="1">
        <v>1303305</v>
      </c>
      <c r="D166" s="3">
        <v>-0.35999999999999899</v>
      </c>
      <c r="E166" s="3">
        <v>-0.63091482649841801</v>
      </c>
      <c r="F166" s="3">
        <v>-0.63091899519105399</v>
      </c>
      <c r="G166" s="3">
        <v>72.563704999999999</v>
      </c>
      <c r="H166" s="3">
        <v>1922.1257922073</v>
      </c>
      <c r="I166" s="3">
        <v>57.16</v>
      </c>
      <c r="J166" s="3">
        <v>57.5349</v>
      </c>
      <c r="K166" s="3">
        <v>56.14</v>
      </c>
      <c r="L166" s="3">
        <v>1480.0534498363099</v>
      </c>
    </row>
    <row r="167" spans="1:12" ht="15" customHeight="1" x14ac:dyDescent="0.2">
      <c r="A167" s="2">
        <v>45812</v>
      </c>
      <c r="B167" s="3">
        <v>57.06</v>
      </c>
      <c r="C167" s="1">
        <v>1238209</v>
      </c>
      <c r="D167" s="3">
        <v>0.64</v>
      </c>
      <c r="E167" s="3">
        <v>1.13434952144628</v>
      </c>
      <c r="F167" s="3">
        <v>1.13434776388514</v>
      </c>
      <c r="G167" s="3">
        <v>73.024429999999995</v>
      </c>
      <c r="H167" s="3">
        <v>1934.96477149612</v>
      </c>
      <c r="I167" s="3">
        <v>56.865000000000002</v>
      </c>
      <c r="J167" s="3">
        <v>57.56</v>
      </c>
      <c r="K167" s="3">
        <v>56.043500000000002</v>
      </c>
      <c r="L167" s="3">
        <v>1490.08553523209</v>
      </c>
    </row>
    <row r="168" spans="1:12" ht="15" customHeight="1" x14ac:dyDescent="0.2">
      <c r="A168" s="2">
        <v>45811</v>
      </c>
      <c r="B168" s="3">
        <v>56.42</v>
      </c>
      <c r="C168" s="1">
        <v>1396724</v>
      </c>
      <c r="D168" s="3">
        <v>0.49000000000000199</v>
      </c>
      <c r="E168" s="3">
        <v>0.87609511889863401</v>
      </c>
      <c r="F168" s="3">
        <v>0.87610387901244602</v>
      </c>
      <c r="G168" s="3">
        <v>72.205370000000002</v>
      </c>
      <c r="H168" s="3">
        <v>1912.14010520647</v>
      </c>
      <c r="I168" s="3">
        <v>56.04</v>
      </c>
      <c r="J168" s="3">
        <v>56.914999999999999</v>
      </c>
      <c r="K168" s="3">
        <v>55.03</v>
      </c>
      <c r="L168" s="3">
        <v>1472.2507167506999</v>
      </c>
    </row>
    <row r="169" spans="1:12" ht="15" customHeight="1" x14ac:dyDescent="0.2">
      <c r="A169" s="2">
        <v>45810</v>
      </c>
      <c r="B169" s="3">
        <v>55.93</v>
      </c>
      <c r="C169" s="1">
        <v>1177395</v>
      </c>
      <c r="D169" s="3">
        <v>0.75999999999999801</v>
      </c>
      <c r="E169" s="3">
        <v>1.3775602682617201</v>
      </c>
      <c r="F169" s="3">
        <v>1.37755284138776</v>
      </c>
      <c r="G169" s="3">
        <v>71.578270000000003</v>
      </c>
      <c r="H169" s="3">
        <v>1894.6647697850899</v>
      </c>
      <c r="I169" s="3">
        <v>54.93</v>
      </c>
      <c r="J169" s="3">
        <v>56.13</v>
      </c>
      <c r="K169" s="3">
        <v>54.27</v>
      </c>
      <c r="L169" s="3">
        <v>1458.5959338508801</v>
      </c>
    </row>
    <row r="170" spans="1:12" ht="15" customHeight="1" x14ac:dyDescent="0.2">
      <c r="A170" s="2">
        <v>45807</v>
      </c>
      <c r="B170" s="3">
        <v>55.17</v>
      </c>
      <c r="C170" s="1">
        <v>1153000</v>
      </c>
      <c r="D170" s="3">
        <v>-0.439999999999997</v>
      </c>
      <c r="E170" s="3">
        <v>-0.79122459989210403</v>
      </c>
      <c r="F170" s="3">
        <v>-0.79123210678845302</v>
      </c>
      <c r="G170" s="3">
        <v>70.605639999999994</v>
      </c>
      <c r="H170" s="3">
        <v>1867.5605830670299</v>
      </c>
      <c r="I170" s="3">
        <v>55.42</v>
      </c>
      <c r="J170" s="3">
        <v>55.81</v>
      </c>
      <c r="K170" s="3">
        <v>54.43</v>
      </c>
      <c r="L170" s="3">
        <v>1437.41708690422</v>
      </c>
    </row>
    <row r="171" spans="1:12" ht="15" customHeight="1" x14ac:dyDescent="0.2">
      <c r="A171" s="2">
        <v>45806</v>
      </c>
      <c r="B171" s="3">
        <v>55.61</v>
      </c>
      <c r="C171" s="1">
        <v>1361636</v>
      </c>
      <c r="D171" s="3">
        <v>0.47999999999999599</v>
      </c>
      <c r="E171" s="3">
        <v>0.87066932704515898</v>
      </c>
      <c r="F171" s="3">
        <v>0.87067506018401097</v>
      </c>
      <c r="G171" s="3">
        <v>71.168750000000003</v>
      </c>
      <c r="H171" s="3">
        <v>1883.2527153093099</v>
      </c>
      <c r="I171" s="3">
        <v>55.31</v>
      </c>
      <c r="J171" s="3">
        <v>57.02</v>
      </c>
      <c r="K171" s="3">
        <v>55.259700000000002</v>
      </c>
      <c r="L171" s="3">
        <v>1449.6785246101799</v>
      </c>
    </row>
    <row r="172" spans="1:12" ht="15" customHeight="1" x14ac:dyDescent="0.2">
      <c r="A172" s="2">
        <v>45805</v>
      </c>
      <c r="B172" s="3">
        <v>55.13</v>
      </c>
      <c r="C172" s="1">
        <v>1174018</v>
      </c>
      <c r="D172" s="3">
        <v>-0.28999999999999898</v>
      </c>
      <c r="E172" s="3">
        <v>-0.52327679538072203</v>
      </c>
      <c r="F172" s="3">
        <v>-0.52326678188602205</v>
      </c>
      <c r="G172" s="3">
        <v>70.554450000000003</v>
      </c>
      <c r="H172" s="3">
        <v>1866.1340762575501</v>
      </c>
      <c r="I172" s="3">
        <v>55.57</v>
      </c>
      <c r="J172" s="3">
        <v>55.86</v>
      </c>
      <c r="K172" s="3">
        <v>54.39</v>
      </c>
      <c r="L172" s="3">
        <v>1436.3024107491301</v>
      </c>
    </row>
    <row r="173" spans="1:12" ht="15" customHeight="1" x14ac:dyDescent="0.2">
      <c r="A173" s="2">
        <v>45804</v>
      </c>
      <c r="B173" s="3">
        <v>55.42</v>
      </c>
      <c r="C173" s="1">
        <v>1546336</v>
      </c>
      <c r="D173" s="3">
        <v>2.84</v>
      </c>
      <c r="E173" s="3">
        <v>5.4012932674020604</v>
      </c>
      <c r="F173" s="3">
        <v>5.4012869477344703</v>
      </c>
      <c r="G173" s="3">
        <v>70.925579999999997</v>
      </c>
      <c r="H173" s="3">
        <v>1876.4763202934901</v>
      </c>
      <c r="I173" s="3">
        <v>53.49</v>
      </c>
      <c r="J173" s="3">
        <v>56.09</v>
      </c>
      <c r="K173" s="3">
        <v>53.1479</v>
      </c>
      <c r="L173" s="3">
        <v>1444.3838128735099</v>
      </c>
    </row>
    <row r="174" spans="1:12" ht="15" customHeight="1" x14ac:dyDescent="0.2">
      <c r="A174" s="2">
        <v>45800</v>
      </c>
      <c r="B174" s="3">
        <v>52.58</v>
      </c>
      <c r="C174" s="1">
        <v>952433</v>
      </c>
      <c r="D174" s="3">
        <v>0.22999999999999601</v>
      </c>
      <c r="E174" s="3">
        <v>0.43935052531041102</v>
      </c>
      <c r="F174" s="3">
        <v>0.43935032572524002</v>
      </c>
      <c r="G174" s="3">
        <v>67.290999999999997</v>
      </c>
      <c r="H174" s="3">
        <v>1775.19182879956</v>
      </c>
      <c r="I174" s="3">
        <v>51.99</v>
      </c>
      <c r="J174" s="3">
        <v>53.02</v>
      </c>
      <c r="K174" s="3">
        <v>51.36</v>
      </c>
      <c r="L174" s="3">
        <v>1365.24180586231</v>
      </c>
    </row>
    <row r="175" spans="1:12" ht="15" customHeight="1" x14ac:dyDescent="0.2">
      <c r="A175" s="2">
        <v>45799</v>
      </c>
      <c r="B175" s="3">
        <v>52.35</v>
      </c>
      <c r="C175" s="1">
        <v>737407</v>
      </c>
      <c r="D175" s="3">
        <v>-0.17000000000000101</v>
      </c>
      <c r="E175" s="3">
        <v>-0.32368621477533099</v>
      </c>
      <c r="F175" s="3">
        <v>-0.32368155483787298</v>
      </c>
      <c r="G175" s="3">
        <v>66.996650000000002</v>
      </c>
      <c r="H175" s="3">
        <v>1766.98920564331</v>
      </c>
      <c r="I175" s="3">
        <v>52.51</v>
      </c>
      <c r="J175" s="3">
        <v>52.58</v>
      </c>
      <c r="K175" s="3">
        <v>51.6</v>
      </c>
      <c r="L175" s="3">
        <v>1358.8324179705601</v>
      </c>
    </row>
    <row r="176" spans="1:12" ht="15" customHeight="1" x14ac:dyDescent="0.2">
      <c r="A176" s="2">
        <v>45798</v>
      </c>
      <c r="B176" s="3">
        <v>52.52</v>
      </c>
      <c r="C176" s="1">
        <v>939576</v>
      </c>
      <c r="D176" s="3">
        <v>-1.1199999999999899</v>
      </c>
      <c r="E176" s="3">
        <v>-2.0879940343027501</v>
      </c>
      <c r="F176" s="3">
        <v>-2.0879981622073398</v>
      </c>
      <c r="G176" s="3">
        <v>67.214209999999994</v>
      </c>
      <c r="H176" s="3">
        <v>1773.05192925083</v>
      </c>
      <c r="I176" s="3">
        <v>53.34</v>
      </c>
      <c r="J176" s="3">
        <v>53.616999999999997</v>
      </c>
      <c r="K176" s="3">
        <v>52.49</v>
      </c>
      <c r="L176" s="3">
        <v>1363.5697916296799</v>
      </c>
    </row>
    <row r="177" spans="1:12" ht="15" customHeight="1" x14ac:dyDescent="0.2">
      <c r="A177" s="2">
        <v>45797</v>
      </c>
      <c r="B177" s="3">
        <v>53.64</v>
      </c>
      <c r="C177" s="1">
        <v>654086</v>
      </c>
      <c r="D177" s="3">
        <v>-0.89999999999999802</v>
      </c>
      <c r="E177" s="3">
        <v>-1.6501650165016399</v>
      </c>
      <c r="F177" s="3">
        <v>-1.65017225081368</v>
      </c>
      <c r="G177" s="3">
        <v>68.647570000000002</v>
      </c>
      <c r="H177" s="3">
        <v>1812.99523459223</v>
      </c>
      <c r="I177" s="3">
        <v>54.26</v>
      </c>
      <c r="J177" s="3">
        <v>54.75</v>
      </c>
      <c r="K177" s="3">
        <v>53.545000000000002</v>
      </c>
      <c r="L177" s="3">
        <v>1394.7807239721301</v>
      </c>
    </row>
    <row r="178" spans="1:12" ht="15" customHeight="1" x14ac:dyDescent="0.2">
      <c r="A178" s="2">
        <v>45796</v>
      </c>
      <c r="B178" s="3">
        <v>54.54</v>
      </c>
      <c r="C178" s="1">
        <v>1277006</v>
      </c>
      <c r="D178" s="3">
        <v>-1.52</v>
      </c>
      <c r="E178" s="3">
        <v>-2.7113806635747402</v>
      </c>
      <c r="F178" s="3">
        <v>-2.71137173668322</v>
      </c>
      <c r="G178" s="3">
        <v>69.799379999999999</v>
      </c>
      <c r="H178" s="3">
        <v>1845.0926131470101</v>
      </c>
      <c r="I178" s="3">
        <v>55.09</v>
      </c>
      <c r="J178" s="3">
        <v>55.64</v>
      </c>
      <c r="K178" s="3">
        <v>54.27</v>
      </c>
      <c r="L178" s="3">
        <v>1419.8609374615901</v>
      </c>
    </row>
    <row r="179" spans="1:12" ht="15" customHeight="1" x14ac:dyDescent="0.2">
      <c r="A179" s="2">
        <v>45793</v>
      </c>
      <c r="B179" s="3">
        <v>56.06</v>
      </c>
      <c r="C179" s="1">
        <v>1381836</v>
      </c>
      <c r="D179" s="3">
        <v>1.03</v>
      </c>
      <c r="E179" s="3">
        <v>1.87170634199527</v>
      </c>
      <c r="F179" s="3">
        <v>1.8717025004944801</v>
      </c>
      <c r="G179" s="3">
        <v>71.744643999999994</v>
      </c>
      <c r="H179" s="3">
        <v>1899.3010980507599</v>
      </c>
      <c r="I179" s="3">
        <v>55.03</v>
      </c>
      <c r="J179" s="3">
        <v>56.26</v>
      </c>
      <c r="K179" s="3">
        <v>54.75</v>
      </c>
      <c r="L179" s="3">
        <v>1462.21863135491</v>
      </c>
    </row>
    <row r="180" spans="1:12" ht="15" customHeight="1" x14ac:dyDescent="0.2">
      <c r="A180" s="2">
        <v>45792</v>
      </c>
      <c r="B180" s="3">
        <v>55.03</v>
      </c>
      <c r="C180" s="1">
        <v>928462</v>
      </c>
      <c r="D180" s="3">
        <v>0.78000000000000103</v>
      </c>
      <c r="E180" s="3">
        <v>1.4377880184331699</v>
      </c>
      <c r="F180" s="3">
        <v>1.4377866988994601</v>
      </c>
      <c r="G180" s="3">
        <v>70.426469999999995</v>
      </c>
      <c r="H180" s="3">
        <v>1862.56766989935</v>
      </c>
      <c r="I180" s="3">
        <v>54.49</v>
      </c>
      <c r="J180" s="3">
        <v>55.07</v>
      </c>
      <c r="K180" s="3">
        <v>54.14</v>
      </c>
      <c r="L180" s="3">
        <v>1433.5157203614101</v>
      </c>
    </row>
    <row r="181" spans="1:12" ht="15" customHeight="1" x14ac:dyDescent="0.2">
      <c r="A181" s="2">
        <v>45791</v>
      </c>
      <c r="B181" s="3">
        <v>54.25</v>
      </c>
      <c r="C181" s="1">
        <v>1183194</v>
      </c>
      <c r="D181" s="3">
        <v>0.46999999999999797</v>
      </c>
      <c r="E181" s="3">
        <v>0.87393082930458099</v>
      </c>
      <c r="F181" s="3">
        <v>1.37598278278827</v>
      </c>
      <c r="G181" s="3">
        <v>69.428240000000002</v>
      </c>
      <c r="H181" s="3">
        <v>1834.7500904420299</v>
      </c>
      <c r="I181" s="3">
        <v>53.27</v>
      </c>
      <c r="J181" s="3">
        <v>54.32</v>
      </c>
      <c r="K181" s="3">
        <v>52.92</v>
      </c>
      <c r="L181" s="3">
        <v>1411.7795353372101</v>
      </c>
    </row>
    <row r="182" spans="1:12" ht="15" customHeight="1" x14ac:dyDescent="0.2">
      <c r="A182" s="2">
        <v>45790</v>
      </c>
      <c r="B182" s="3">
        <v>53.78</v>
      </c>
      <c r="C182" s="1">
        <v>1383053</v>
      </c>
      <c r="D182" s="3">
        <v>1.25</v>
      </c>
      <c r="E182" s="3">
        <v>2.37959261374451</v>
      </c>
      <c r="F182" s="3">
        <v>2.3795917366678601</v>
      </c>
      <c r="G182" s="3">
        <v>68.485885999999994</v>
      </c>
      <c r="H182" s="3">
        <v>1808.48960210575</v>
      </c>
      <c r="I182" s="3">
        <v>52.66</v>
      </c>
      <c r="J182" s="3">
        <v>53.95</v>
      </c>
      <c r="K182" s="3">
        <v>52.42</v>
      </c>
      <c r="L182" s="3">
        <v>1398.68209051493</v>
      </c>
    </row>
    <row r="183" spans="1:12" ht="15" customHeight="1" x14ac:dyDescent="0.2">
      <c r="A183" s="2">
        <v>45789</v>
      </c>
      <c r="B183" s="3">
        <v>52.53</v>
      </c>
      <c r="C183" s="1">
        <v>1517868</v>
      </c>
      <c r="D183" s="3">
        <v>2.3999999999999901</v>
      </c>
      <c r="E183" s="3">
        <v>4.7875523638539699</v>
      </c>
      <c r="F183" s="3">
        <v>4.7875545855974702</v>
      </c>
      <c r="G183" s="3">
        <v>66.894080000000002</v>
      </c>
      <c r="H183" s="3">
        <v>1764.1308973126299</v>
      </c>
      <c r="I183" s="3">
        <v>52.21</v>
      </c>
      <c r="J183" s="3">
        <v>53.03</v>
      </c>
      <c r="K183" s="3">
        <v>51.45</v>
      </c>
      <c r="L183" s="3">
        <v>1363.8484606684499</v>
      </c>
    </row>
    <row r="184" spans="1:12" ht="15" customHeight="1" x14ac:dyDescent="0.2">
      <c r="A184" s="2">
        <v>45786</v>
      </c>
      <c r="B184" s="3">
        <v>50.13</v>
      </c>
      <c r="C184" s="1">
        <v>767922</v>
      </c>
      <c r="D184" s="3">
        <v>0.21</v>
      </c>
      <c r="E184" s="3">
        <v>0.42067307692308298</v>
      </c>
      <c r="F184" s="3">
        <v>0.42067544502048998</v>
      </c>
      <c r="G184" s="3">
        <v>63.837809999999998</v>
      </c>
      <c r="H184" s="3">
        <v>1678.96211499991</v>
      </c>
      <c r="I184" s="3">
        <v>49.88</v>
      </c>
      <c r="J184" s="3">
        <v>50.48</v>
      </c>
      <c r="K184" s="3">
        <v>49.15</v>
      </c>
      <c r="L184" s="3">
        <v>1296.9678913632099</v>
      </c>
    </row>
    <row r="185" spans="1:12" ht="15" customHeight="1" x14ac:dyDescent="0.2">
      <c r="A185" s="2">
        <v>45785</v>
      </c>
      <c r="B185" s="3">
        <v>49.92</v>
      </c>
      <c r="C185" s="1">
        <v>1062645</v>
      </c>
      <c r="D185" s="3">
        <v>-0.189999999999997</v>
      </c>
      <c r="E185" s="3">
        <v>-0.37916583516264202</v>
      </c>
      <c r="F185" s="3">
        <v>-0.379172719309606</v>
      </c>
      <c r="G185" s="3">
        <v>63.570385000000002</v>
      </c>
      <c r="H185" s="3">
        <v>1671.5098082305501</v>
      </c>
      <c r="I185" s="3">
        <v>50.63</v>
      </c>
      <c r="J185" s="3">
        <v>51.02</v>
      </c>
      <c r="K185" s="3">
        <v>49.87</v>
      </c>
      <c r="L185" s="3">
        <v>1291.1158415489999</v>
      </c>
    </row>
    <row r="186" spans="1:12" ht="15" customHeight="1" x14ac:dyDescent="0.2">
      <c r="A186" s="2">
        <v>45784</v>
      </c>
      <c r="B186" s="3">
        <v>50.11</v>
      </c>
      <c r="C186" s="1">
        <v>918039</v>
      </c>
      <c r="D186" s="3">
        <v>0.60999999999999899</v>
      </c>
      <c r="E186" s="3">
        <v>1.2323232323232201</v>
      </c>
      <c r="F186" s="3">
        <v>1.23232703328948</v>
      </c>
      <c r="G186" s="3">
        <v>63.812344000000003</v>
      </c>
      <c r="H186" s="3">
        <v>1678.2524564257701</v>
      </c>
      <c r="I186" s="3">
        <v>49.72</v>
      </c>
      <c r="J186" s="3">
        <v>50.69</v>
      </c>
      <c r="K186" s="3">
        <v>49.442500000000003</v>
      </c>
      <c r="L186" s="3">
        <v>1296.4105532856699</v>
      </c>
    </row>
    <row r="187" spans="1:12" ht="15" customHeight="1" x14ac:dyDescent="0.2">
      <c r="A187" s="2">
        <v>45783</v>
      </c>
      <c r="B187" s="3">
        <v>49.5</v>
      </c>
      <c r="C187" s="1">
        <v>1161394</v>
      </c>
      <c r="D187" s="3">
        <v>-0.89999999999999802</v>
      </c>
      <c r="E187" s="3">
        <v>-1.78571428571427</v>
      </c>
      <c r="F187" s="3">
        <v>-1.7857131728014499</v>
      </c>
      <c r="G187" s="3">
        <v>63.035539999999997</v>
      </c>
      <c r="H187" s="3">
        <v>1656.60533402636</v>
      </c>
      <c r="I187" s="3">
        <v>49.43</v>
      </c>
      <c r="J187" s="3">
        <v>49.59</v>
      </c>
      <c r="K187" s="3">
        <v>48.57</v>
      </c>
      <c r="L187" s="3">
        <v>1279.41174192059</v>
      </c>
    </row>
    <row r="188" spans="1:12" ht="15" customHeight="1" x14ac:dyDescent="0.2">
      <c r="A188" s="2">
        <v>45782</v>
      </c>
      <c r="B188" s="3">
        <v>50.4</v>
      </c>
      <c r="C188" s="1">
        <v>1062168</v>
      </c>
      <c r="D188" s="3">
        <v>8.9999999999996305E-2</v>
      </c>
      <c r="E188" s="3">
        <v>0.17889087656528499</v>
      </c>
      <c r="F188" s="3">
        <v>0.17889076487547201</v>
      </c>
      <c r="G188" s="3">
        <v>64.181640000000002</v>
      </c>
      <c r="H188" s="3">
        <v>1688.54359256</v>
      </c>
      <c r="I188" s="3">
        <v>49.9</v>
      </c>
      <c r="J188" s="3">
        <v>50.96</v>
      </c>
      <c r="K188" s="3">
        <v>49.31</v>
      </c>
      <c r="L188" s="3">
        <v>1304.49195541005</v>
      </c>
    </row>
    <row r="189" spans="1:12" ht="15" customHeight="1" x14ac:dyDescent="0.2">
      <c r="A189" s="2">
        <v>45779</v>
      </c>
      <c r="B189" s="3">
        <v>50.31</v>
      </c>
      <c r="C189" s="1">
        <v>1673491</v>
      </c>
      <c r="D189" s="3">
        <v>2.15</v>
      </c>
      <c r="E189" s="3">
        <v>4.4642857142857197</v>
      </c>
      <c r="F189" s="3">
        <v>4.4642835596347297</v>
      </c>
      <c r="G189" s="3">
        <v>64.067030000000003</v>
      </c>
      <c r="H189" s="3">
        <v>1685.3497667066399</v>
      </c>
      <c r="I189" s="3">
        <v>49.2</v>
      </c>
      <c r="J189" s="3">
        <v>50.74</v>
      </c>
      <c r="K189" s="3">
        <v>48.36</v>
      </c>
      <c r="L189" s="3">
        <v>1301.9839340610999</v>
      </c>
    </row>
    <row r="190" spans="1:12" ht="15" customHeight="1" x14ac:dyDescent="0.2">
      <c r="A190" s="2">
        <v>45778</v>
      </c>
      <c r="B190" s="3">
        <v>48.16</v>
      </c>
      <c r="C190" s="1">
        <v>2433041</v>
      </c>
      <c r="D190" s="3">
        <v>-2.21</v>
      </c>
      <c r="E190" s="3">
        <v>-4.3875322612666201</v>
      </c>
      <c r="F190" s="3">
        <v>-4.3875202807208602</v>
      </c>
      <c r="G190" s="3">
        <v>61.329124</v>
      </c>
      <c r="H190" s="3">
        <v>1609.0528033798701</v>
      </c>
      <c r="I190" s="3">
        <v>49.85</v>
      </c>
      <c r="J190" s="3">
        <v>51.85</v>
      </c>
      <c r="K190" s="3">
        <v>47.78</v>
      </c>
      <c r="L190" s="3">
        <v>1242.0700907251601</v>
      </c>
    </row>
    <row r="191" spans="1:12" ht="15" customHeight="1" x14ac:dyDescent="0.2">
      <c r="A191" s="2">
        <v>45777</v>
      </c>
      <c r="B191" s="3">
        <v>50.37</v>
      </c>
      <c r="C191" s="1">
        <v>2940865</v>
      </c>
      <c r="D191" s="3">
        <v>0.71999999999999797</v>
      </c>
      <c r="E191" s="3">
        <v>1.4501510574017999</v>
      </c>
      <c r="F191" s="3">
        <v>1.45013424737958</v>
      </c>
      <c r="G191" s="3">
        <v>64.143429999999995</v>
      </c>
      <c r="H191" s="3">
        <v>1687.4787981628499</v>
      </c>
      <c r="I191" s="3">
        <v>48.44</v>
      </c>
      <c r="J191" s="3">
        <v>50.57</v>
      </c>
      <c r="K191" s="3">
        <v>47.23</v>
      </c>
      <c r="L191" s="3">
        <v>1303.65594829374</v>
      </c>
    </row>
    <row r="192" spans="1:12" ht="15" customHeight="1" x14ac:dyDescent="0.2">
      <c r="A192" s="2">
        <v>45776</v>
      </c>
      <c r="B192" s="3">
        <v>49.65</v>
      </c>
      <c r="C192" s="1">
        <v>1843508</v>
      </c>
      <c r="D192" s="3">
        <v>-1.42</v>
      </c>
      <c r="E192" s="3">
        <v>-2.7804973565694202</v>
      </c>
      <c r="F192" s="3">
        <v>-2.78049384291654</v>
      </c>
      <c r="G192" s="3">
        <v>63.226559999999999</v>
      </c>
      <c r="H192" s="3">
        <v>1661.92847000498</v>
      </c>
      <c r="I192" s="3">
        <v>50.59</v>
      </c>
      <c r="J192" s="3">
        <v>50.86</v>
      </c>
      <c r="K192" s="3">
        <v>49.243000000000002</v>
      </c>
      <c r="L192" s="3">
        <v>1283.5917775021601</v>
      </c>
    </row>
    <row r="193" spans="1:12" ht="15" customHeight="1" x14ac:dyDescent="0.2">
      <c r="A193" s="2">
        <v>45775</v>
      </c>
      <c r="B193" s="3">
        <v>51.07</v>
      </c>
      <c r="C193" s="1">
        <v>1154074</v>
      </c>
      <c r="D193" s="3">
        <v>0.92000000000000104</v>
      </c>
      <c r="E193" s="3">
        <v>1.8344965104686</v>
      </c>
      <c r="F193" s="3">
        <v>1.83449706936442</v>
      </c>
      <c r="G193" s="3">
        <v>65.034850000000006</v>
      </c>
      <c r="H193" s="3">
        <v>1712.3199136170499</v>
      </c>
      <c r="I193" s="3">
        <v>50.35</v>
      </c>
      <c r="J193" s="3">
        <v>51.524999999999999</v>
      </c>
      <c r="K193" s="3">
        <v>50.295000000000002</v>
      </c>
      <c r="L193" s="3">
        <v>1323.16278100776</v>
      </c>
    </row>
    <row r="194" spans="1:12" ht="15" customHeight="1" x14ac:dyDescent="0.2">
      <c r="A194" s="2">
        <v>45772</v>
      </c>
      <c r="B194" s="3">
        <v>50.15</v>
      </c>
      <c r="C194" s="1">
        <v>1113570</v>
      </c>
      <c r="D194" s="3">
        <v>-0.32999999999999802</v>
      </c>
      <c r="E194" s="3">
        <v>-0.65372424722661604</v>
      </c>
      <c r="F194" s="3">
        <v>-0.65372279885873497</v>
      </c>
      <c r="G194" s="3">
        <v>63.863280000000003</v>
      </c>
      <c r="H194" s="3">
        <v>1679.6718850416601</v>
      </c>
      <c r="I194" s="3">
        <v>50.174999999999997</v>
      </c>
      <c r="J194" s="3">
        <v>50.95</v>
      </c>
      <c r="K194" s="3">
        <v>49.825000000000003</v>
      </c>
      <c r="L194" s="3">
        <v>1297.5252294407501</v>
      </c>
    </row>
    <row r="195" spans="1:12" ht="15" customHeight="1" x14ac:dyDescent="0.2">
      <c r="A195" s="2">
        <v>45771</v>
      </c>
      <c r="B195" s="3">
        <v>50.48</v>
      </c>
      <c r="C195" s="1">
        <v>2012020</v>
      </c>
      <c r="D195" s="3">
        <v>-0.82</v>
      </c>
      <c r="E195" s="3">
        <v>-1.5984405458089599</v>
      </c>
      <c r="F195" s="3">
        <v>-1.5984388867577499</v>
      </c>
      <c r="G195" s="3">
        <v>64.283516000000006</v>
      </c>
      <c r="H195" s="3">
        <v>1691.3825612593901</v>
      </c>
      <c r="I195" s="3">
        <v>51.155000000000001</v>
      </c>
      <c r="J195" s="3">
        <v>51.22</v>
      </c>
      <c r="K195" s="3">
        <v>49.375</v>
      </c>
      <c r="L195" s="3">
        <v>1306.72130772023</v>
      </c>
    </row>
    <row r="196" spans="1:12" ht="15" customHeight="1" x14ac:dyDescent="0.2">
      <c r="A196" s="2">
        <v>45770</v>
      </c>
      <c r="B196" s="3">
        <v>51.3</v>
      </c>
      <c r="C196" s="1">
        <v>1959001</v>
      </c>
      <c r="D196" s="3">
        <v>0.89</v>
      </c>
      <c r="E196" s="3">
        <v>1.76552271374728</v>
      </c>
      <c r="F196" s="3">
        <v>1.76552231820192</v>
      </c>
      <c r="G196" s="3">
        <v>65.327740000000006</v>
      </c>
      <c r="H196" s="3">
        <v>1720.48185109364</v>
      </c>
      <c r="I196" s="3">
        <v>51.5</v>
      </c>
      <c r="J196" s="3">
        <v>52.27</v>
      </c>
      <c r="K196" s="3">
        <v>50.99</v>
      </c>
      <c r="L196" s="3">
        <v>1329.57216889952</v>
      </c>
    </row>
    <row r="197" spans="1:12" ht="15" customHeight="1" x14ac:dyDescent="0.2">
      <c r="A197" s="2">
        <v>45769</v>
      </c>
      <c r="B197" s="3">
        <v>50.41</v>
      </c>
      <c r="C197" s="1">
        <v>1396612</v>
      </c>
      <c r="D197" s="3">
        <v>1.5499999999999901</v>
      </c>
      <c r="E197" s="3">
        <v>3.1723291035612</v>
      </c>
      <c r="F197" s="3">
        <v>3.17232727105287</v>
      </c>
      <c r="G197" s="3">
        <v>64.194373999999996</v>
      </c>
      <c r="H197" s="3">
        <v>1688.89844971397</v>
      </c>
      <c r="I197" s="3">
        <v>49.08</v>
      </c>
      <c r="J197" s="3">
        <v>50.77</v>
      </c>
      <c r="K197" s="3">
        <v>49.08</v>
      </c>
      <c r="L197" s="3">
        <v>1304.7706244488199</v>
      </c>
    </row>
    <row r="198" spans="1:12" ht="15" customHeight="1" x14ac:dyDescent="0.2">
      <c r="A198" s="2">
        <v>45768</v>
      </c>
      <c r="B198" s="3">
        <v>48.86</v>
      </c>
      <c r="C198" s="1">
        <v>893816</v>
      </c>
      <c r="D198" s="3">
        <v>0.99000000000000199</v>
      </c>
      <c r="E198" s="3">
        <v>2.0681011071652402</v>
      </c>
      <c r="F198" s="3">
        <v>2.0681014433375098</v>
      </c>
      <c r="G198" s="3">
        <v>62.220534999999998</v>
      </c>
      <c r="H198" s="3">
        <v>1633.89366803194</v>
      </c>
      <c r="I198" s="3">
        <v>47.3</v>
      </c>
      <c r="J198" s="3">
        <v>48.93</v>
      </c>
      <c r="K198" s="3">
        <v>47.02</v>
      </c>
      <c r="L198" s="3">
        <v>1261.5769234391901</v>
      </c>
    </row>
    <row r="199" spans="1:12" ht="15" customHeight="1" x14ac:dyDescent="0.2">
      <c r="A199" s="2">
        <v>45764</v>
      </c>
      <c r="B199" s="3">
        <v>47.87</v>
      </c>
      <c r="C199" s="1">
        <v>867890</v>
      </c>
      <c r="D199" s="3">
        <v>1.0599999999999901</v>
      </c>
      <c r="E199" s="3">
        <v>2.2644734031189699</v>
      </c>
      <c r="F199" s="3">
        <v>2.2644700365076398</v>
      </c>
      <c r="G199" s="3">
        <v>60.959823999999998</v>
      </c>
      <c r="H199" s="3">
        <v>1598.76155577803</v>
      </c>
      <c r="I199" s="3">
        <v>46.81</v>
      </c>
      <c r="J199" s="3">
        <v>48.26</v>
      </c>
      <c r="K199" s="3">
        <v>46.543199999999999</v>
      </c>
      <c r="L199" s="3">
        <v>1233.9886886007801</v>
      </c>
    </row>
    <row r="200" spans="1:12" ht="15" customHeight="1" x14ac:dyDescent="0.2">
      <c r="A200" s="2">
        <v>45763</v>
      </c>
      <c r="B200" s="3">
        <v>46.81</v>
      </c>
      <c r="C200" s="1">
        <v>840983</v>
      </c>
      <c r="D200" s="3">
        <v>-0.21</v>
      </c>
      <c r="E200" s="3">
        <v>-0.44661846022968599</v>
      </c>
      <c r="F200" s="3">
        <v>-0.44661594836220497</v>
      </c>
      <c r="G200" s="3">
        <v>59.609974000000001</v>
      </c>
      <c r="H200" s="3">
        <v>1561.1454155794099</v>
      </c>
      <c r="I200" s="3">
        <v>46.64</v>
      </c>
      <c r="J200" s="3">
        <v>47.74</v>
      </c>
      <c r="K200" s="3">
        <v>46.02</v>
      </c>
      <c r="L200" s="3">
        <v>1204.44977049096</v>
      </c>
    </row>
    <row r="201" spans="1:12" ht="15" customHeight="1" x14ac:dyDescent="0.2">
      <c r="A201" s="2">
        <v>45762</v>
      </c>
      <c r="B201" s="3">
        <v>47.02</v>
      </c>
      <c r="C201" s="1">
        <v>781218</v>
      </c>
      <c r="D201" s="3">
        <v>3.0000000000001099E-2</v>
      </c>
      <c r="E201" s="3">
        <v>6.3843370929994495E-2</v>
      </c>
      <c r="F201" s="3">
        <v>6.3839428321177394E-2</v>
      </c>
      <c r="G201" s="3">
        <v>59.877395999999997</v>
      </c>
      <c r="H201" s="3">
        <v>1568.59763874806</v>
      </c>
      <c r="I201" s="3">
        <v>47.08</v>
      </c>
      <c r="J201" s="3">
        <v>48.2577</v>
      </c>
      <c r="K201" s="3">
        <v>46.79</v>
      </c>
      <c r="L201" s="3">
        <v>1210.3018203051699</v>
      </c>
    </row>
    <row r="202" spans="1:12" ht="15" customHeight="1" x14ac:dyDescent="0.2">
      <c r="A202" s="2">
        <v>45761</v>
      </c>
      <c r="B202" s="3">
        <v>46.99</v>
      </c>
      <c r="C202" s="1">
        <v>948099</v>
      </c>
      <c r="D202" s="3">
        <v>0.91000000000000303</v>
      </c>
      <c r="E202" s="3">
        <v>1.9748263888888999</v>
      </c>
      <c r="F202" s="3">
        <v>1.9748259894792599</v>
      </c>
      <c r="G202" s="3">
        <v>59.839194999999997</v>
      </c>
      <c r="H202" s="3">
        <v>1567.53309515304</v>
      </c>
      <c r="I202" s="3">
        <v>47.185000000000002</v>
      </c>
      <c r="J202" s="3">
        <v>47.97</v>
      </c>
      <c r="K202" s="3">
        <v>46.03</v>
      </c>
      <c r="L202" s="3">
        <v>1209.46581318885</v>
      </c>
    </row>
    <row r="203" spans="1:12" ht="15" customHeight="1" x14ac:dyDescent="0.2">
      <c r="A203" s="2">
        <v>45758</v>
      </c>
      <c r="B203" s="3">
        <v>46.08</v>
      </c>
      <c r="C203" s="1">
        <v>1171298</v>
      </c>
      <c r="D203" s="3">
        <v>0.76999999999999602</v>
      </c>
      <c r="E203" s="3">
        <v>1.69940410505406</v>
      </c>
      <c r="F203" s="3">
        <v>1.6994060603947101</v>
      </c>
      <c r="G203" s="3">
        <v>58.68036</v>
      </c>
      <c r="H203" s="3">
        <v>1535.2399515985301</v>
      </c>
      <c r="I203" s="3">
        <v>45.14</v>
      </c>
      <c r="J203" s="3">
        <v>46.26</v>
      </c>
      <c r="K203" s="3">
        <v>44.18</v>
      </c>
      <c r="L203" s="3">
        <v>1184.10693066062</v>
      </c>
    </row>
    <row r="204" spans="1:12" ht="15" customHeight="1" x14ac:dyDescent="0.2">
      <c r="A204" s="2">
        <v>45757</v>
      </c>
      <c r="B204" s="3">
        <v>45.31</v>
      </c>
      <c r="C204" s="1">
        <v>1588963</v>
      </c>
      <c r="D204" s="3">
        <v>-2.44999999999999</v>
      </c>
      <c r="E204" s="3">
        <v>-5.1298157453936204</v>
      </c>
      <c r="F204" s="3">
        <v>-5.1298111350156201</v>
      </c>
      <c r="G204" s="3">
        <v>57.699806000000002</v>
      </c>
      <c r="H204" s="3">
        <v>1507.9149475341401</v>
      </c>
      <c r="I204" s="3">
        <v>46.68</v>
      </c>
      <c r="J204" s="3">
        <v>46.895000000000003</v>
      </c>
      <c r="K204" s="3">
        <v>44.67</v>
      </c>
      <c r="L204" s="3">
        <v>1162.64941467519</v>
      </c>
    </row>
    <row r="205" spans="1:12" ht="15" customHeight="1" x14ac:dyDescent="0.2">
      <c r="A205" s="2">
        <v>45756</v>
      </c>
      <c r="B205" s="3">
        <v>47.76</v>
      </c>
      <c r="C205" s="1">
        <v>2322030</v>
      </c>
      <c r="D205" s="3">
        <v>3.53</v>
      </c>
      <c r="E205" s="3">
        <v>7.9810083653628796</v>
      </c>
      <c r="F205" s="3">
        <v>7.9810090397280398</v>
      </c>
      <c r="G205" s="3">
        <v>60.819744</v>
      </c>
      <c r="H205" s="3">
        <v>1594.8579598829101</v>
      </c>
      <c r="I205" s="3">
        <v>43.48</v>
      </c>
      <c r="J205" s="3">
        <v>49.0199</v>
      </c>
      <c r="K205" s="3">
        <v>43</v>
      </c>
      <c r="L205" s="3">
        <v>1230.9233291742901</v>
      </c>
    </row>
    <row r="206" spans="1:12" ht="15" customHeight="1" x14ac:dyDescent="0.2">
      <c r="A206" s="2">
        <v>45755</v>
      </c>
      <c r="B206" s="3">
        <v>44.23</v>
      </c>
      <c r="C206" s="1">
        <v>1608864</v>
      </c>
      <c r="D206" s="3">
        <v>-0.17000000000000101</v>
      </c>
      <c r="E206" s="3">
        <v>-0.38288288288288402</v>
      </c>
      <c r="F206" s="3">
        <v>-0.38288695789972998</v>
      </c>
      <c r="G206" s="3">
        <v>56.324482000000003</v>
      </c>
      <c r="H206" s="3">
        <v>1469.58892582616</v>
      </c>
      <c r="I206" s="3">
        <v>46.83</v>
      </c>
      <c r="J206" s="3">
        <v>47</v>
      </c>
      <c r="K206" s="3">
        <v>43.69</v>
      </c>
      <c r="L206" s="3">
        <v>1132.5531584878299</v>
      </c>
    </row>
    <row r="207" spans="1:12" ht="15" customHeight="1" x14ac:dyDescent="0.2">
      <c r="A207" s="2">
        <v>45754</v>
      </c>
      <c r="B207" s="3">
        <v>44.4</v>
      </c>
      <c r="C207" s="1">
        <v>1854125</v>
      </c>
      <c r="D207" s="3">
        <v>-1.28</v>
      </c>
      <c r="E207" s="3">
        <v>-2.80210157618213</v>
      </c>
      <c r="F207" s="3">
        <v>-2.8021016665010499</v>
      </c>
      <c r="G207" s="3">
        <v>56.540970000000002</v>
      </c>
      <c r="H207" s="3">
        <v>1475.62177611272</v>
      </c>
      <c r="I207" s="3">
        <v>43.01</v>
      </c>
      <c r="J207" s="3">
        <v>48.545000000000002</v>
      </c>
      <c r="K207" s="3">
        <v>42.690100000000001</v>
      </c>
      <c r="L207" s="3">
        <v>1137.29053214695</v>
      </c>
    </row>
    <row r="208" spans="1:12" ht="15" customHeight="1" x14ac:dyDescent="0.2">
      <c r="A208" s="2">
        <v>45751</v>
      </c>
      <c r="B208" s="3">
        <v>45.68</v>
      </c>
      <c r="C208" s="1">
        <v>2054686</v>
      </c>
      <c r="D208" s="3">
        <v>-1.1099999999999901</v>
      </c>
      <c r="E208" s="3">
        <v>-2.3723017738833101</v>
      </c>
      <c r="F208" s="3">
        <v>-2.37229972363787</v>
      </c>
      <c r="G208" s="3">
        <v>58.17098</v>
      </c>
      <c r="H208" s="3">
        <v>1521.0451081015699</v>
      </c>
      <c r="I208" s="3">
        <v>45.685000000000002</v>
      </c>
      <c r="J208" s="3">
        <v>46.43</v>
      </c>
      <c r="K208" s="3">
        <v>43.12</v>
      </c>
      <c r="L208" s="3">
        <v>1172.96016910974</v>
      </c>
    </row>
    <row r="209" spans="1:12" ht="15" customHeight="1" x14ac:dyDescent="0.2">
      <c r="A209" s="2">
        <v>45750</v>
      </c>
      <c r="B209" s="3">
        <v>46.79</v>
      </c>
      <c r="C209" s="1">
        <v>1513695</v>
      </c>
      <c r="D209" s="3">
        <v>-4.8599999999999897</v>
      </c>
      <c r="E209" s="3">
        <v>-9.4094869312681499</v>
      </c>
      <c r="F209" s="3">
        <v>-9.4094912156804806</v>
      </c>
      <c r="G209" s="3">
        <v>59.584502999999998</v>
      </c>
      <c r="H209" s="3">
        <v>1560.4356176707599</v>
      </c>
      <c r="I209" s="3">
        <v>48.63</v>
      </c>
      <c r="J209" s="3">
        <v>49.04</v>
      </c>
      <c r="K209" s="3">
        <v>46.71</v>
      </c>
      <c r="L209" s="3">
        <v>1203.89243241342</v>
      </c>
    </row>
    <row r="210" spans="1:12" ht="15" customHeight="1" x14ac:dyDescent="0.2">
      <c r="A210" s="2">
        <v>45749</v>
      </c>
      <c r="B210" s="3">
        <v>51.65</v>
      </c>
      <c r="C210" s="1">
        <v>917528</v>
      </c>
      <c r="D210" s="3">
        <v>0.78999999999999904</v>
      </c>
      <c r="E210" s="3">
        <v>1.5532835233975599</v>
      </c>
      <c r="F210" s="3">
        <v>1.5532869871963</v>
      </c>
      <c r="G210" s="3">
        <v>65.773449999999997</v>
      </c>
      <c r="H210" s="3">
        <v>1732.90240882074</v>
      </c>
      <c r="I210" s="3">
        <v>49.314999999999998</v>
      </c>
      <c r="J210" s="3">
        <v>51.89</v>
      </c>
      <c r="K210" s="3">
        <v>49.314999999999998</v>
      </c>
      <c r="L210" s="3">
        <v>1339.3255852565301</v>
      </c>
    </row>
    <row r="211" spans="1:12" ht="15" customHeight="1" x14ac:dyDescent="0.2">
      <c r="A211" s="2">
        <v>45748</v>
      </c>
      <c r="B211" s="3">
        <v>50.86</v>
      </c>
      <c r="C211" s="1">
        <v>1180512</v>
      </c>
      <c r="D211" s="3">
        <v>2.2000000000000002</v>
      </c>
      <c r="E211" s="3">
        <v>4.5211672831894703</v>
      </c>
      <c r="F211" s="3">
        <v>4.5211663127916202</v>
      </c>
      <c r="G211" s="3">
        <v>64.767426</v>
      </c>
      <c r="H211" s="3">
        <v>1704.8676347145999</v>
      </c>
      <c r="I211" s="3">
        <v>48.65</v>
      </c>
      <c r="J211" s="3">
        <v>50.99</v>
      </c>
      <c r="K211" s="3">
        <v>48.604999999999997</v>
      </c>
      <c r="L211" s="3">
        <v>1317.3107311935601</v>
      </c>
    </row>
    <row r="212" spans="1:12" ht="15" customHeight="1" x14ac:dyDescent="0.2">
      <c r="A212" s="2">
        <v>45747</v>
      </c>
      <c r="B212" s="3">
        <v>48.66</v>
      </c>
      <c r="C212" s="1">
        <v>1074535</v>
      </c>
      <c r="D212" s="3">
        <v>-1.02</v>
      </c>
      <c r="E212" s="3">
        <v>-2.0531400966183599</v>
      </c>
      <c r="F212" s="3">
        <v>-2.0531382716065099</v>
      </c>
      <c r="G212" s="3">
        <v>61.965846999999997</v>
      </c>
      <c r="H212" s="3">
        <v>1626.7963020172599</v>
      </c>
      <c r="I212" s="3">
        <v>48.73</v>
      </c>
      <c r="J212" s="3">
        <v>49.185000000000002</v>
      </c>
      <c r="K212" s="3">
        <v>47.8</v>
      </c>
      <c r="L212" s="3">
        <v>1256.0035426637501</v>
      </c>
    </row>
    <row r="213" spans="1:12" ht="15" customHeight="1" x14ac:dyDescent="0.2">
      <c r="A213" s="2">
        <v>45744</v>
      </c>
      <c r="B213" s="3">
        <v>49.68</v>
      </c>
      <c r="C213" s="1">
        <v>915272</v>
      </c>
      <c r="D213" s="3">
        <v>-1.41</v>
      </c>
      <c r="E213" s="3">
        <v>-2.7598355842630702</v>
      </c>
      <c r="F213" s="3">
        <v>-2.7598388695290699</v>
      </c>
      <c r="G213" s="3">
        <v>63.264760000000003</v>
      </c>
      <c r="H213" s="3">
        <v>1662.9929857330901</v>
      </c>
      <c r="I213" s="3">
        <v>50.774999999999999</v>
      </c>
      <c r="J213" s="3">
        <v>51</v>
      </c>
      <c r="K213" s="3">
        <v>49.150100000000002</v>
      </c>
      <c r="L213" s="3">
        <v>1284.42778461848</v>
      </c>
    </row>
    <row r="214" spans="1:12" ht="15" customHeight="1" x14ac:dyDescent="0.2">
      <c r="A214" s="2">
        <v>45743</v>
      </c>
      <c r="B214" s="3">
        <v>51.09</v>
      </c>
      <c r="C214" s="1">
        <v>1094754</v>
      </c>
      <c r="D214" s="3">
        <v>0.61000000000000598</v>
      </c>
      <c r="E214" s="3">
        <v>1.2083993660855801</v>
      </c>
      <c r="F214" s="3">
        <v>1.2084030997930999</v>
      </c>
      <c r="G214" s="3">
        <v>65.060320000000004</v>
      </c>
      <c r="H214" s="3">
        <v>1713.0296836588</v>
      </c>
      <c r="I214" s="3">
        <v>50.25</v>
      </c>
      <c r="J214" s="3">
        <v>51.984999999999999</v>
      </c>
      <c r="K214" s="3">
        <v>50</v>
      </c>
      <c r="L214" s="3">
        <v>1323.72011908531</v>
      </c>
    </row>
    <row r="215" spans="1:12" ht="15" customHeight="1" x14ac:dyDescent="0.2">
      <c r="A215" s="2">
        <v>45742</v>
      </c>
      <c r="B215" s="3">
        <v>50.48</v>
      </c>
      <c r="C215" s="1">
        <v>1020821</v>
      </c>
      <c r="D215" s="3">
        <v>-0.32</v>
      </c>
      <c r="E215" s="3">
        <v>-0.62992125984252501</v>
      </c>
      <c r="F215" s="3">
        <v>-0.62992359681449595</v>
      </c>
      <c r="G215" s="3">
        <v>64.283516000000006</v>
      </c>
      <c r="H215" s="3">
        <v>1691.3825612593901</v>
      </c>
      <c r="I215" s="3">
        <v>50.69</v>
      </c>
      <c r="J215" s="3">
        <v>51.23</v>
      </c>
      <c r="K215" s="3">
        <v>49.95</v>
      </c>
      <c r="L215" s="3">
        <v>1306.72130772023</v>
      </c>
    </row>
    <row r="216" spans="1:12" ht="15" customHeight="1" x14ac:dyDescent="0.2">
      <c r="A216" s="2">
        <v>45741</v>
      </c>
      <c r="B216" s="3">
        <v>50.8</v>
      </c>
      <c r="C216" s="1">
        <v>812686</v>
      </c>
      <c r="D216" s="3">
        <v>-0.40000000000000502</v>
      </c>
      <c r="E216" s="3">
        <v>-0.78125000000001099</v>
      </c>
      <c r="F216" s="3">
        <v>-0.78125287574923796</v>
      </c>
      <c r="G216" s="3">
        <v>64.691019999999995</v>
      </c>
      <c r="H216" s="3">
        <v>1702.7384360569599</v>
      </c>
      <c r="I216" s="3">
        <v>51.49</v>
      </c>
      <c r="J216" s="3">
        <v>51.83</v>
      </c>
      <c r="K216" s="3">
        <v>50.79</v>
      </c>
      <c r="L216" s="3">
        <v>1315.63871696092</v>
      </c>
    </row>
    <row r="217" spans="1:12" ht="15" customHeight="1" x14ac:dyDescent="0.2">
      <c r="A217" s="2">
        <v>45740</v>
      </c>
      <c r="B217" s="3">
        <v>51.2</v>
      </c>
      <c r="C217" s="1">
        <v>1402220</v>
      </c>
      <c r="D217" s="3">
        <v>2.5</v>
      </c>
      <c r="E217" s="3">
        <v>5.1334702258726903</v>
      </c>
      <c r="F217" s="3">
        <v>5.1334731395701896</v>
      </c>
      <c r="G217" s="3">
        <v>65.200400000000002</v>
      </c>
      <c r="H217" s="3">
        <v>1716.9332795539201</v>
      </c>
      <c r="I217" s="3">
        <v>49.43</v>
      </c>
      <c r="J217" s="3">
        <v>51.37</v>
      </c>
      <c r="K217" s="3">
        <v>49.08</v>
      </c>
      <c r="L217" s="3">
        <v>1326.7854785118</v>
      </c>
    </row>
    <row r="218" spans="1:12" ht="15" customHeight="1" x14ac:dyDescent="0.2">
      <c r="A218" s="2">
        <v>45737</v>
      </c>
      <c r="B218" s="3">
        <v>48.7</v>
      </c>
      <c r="C218" s="1">
        <v>1558896</v>
      </c>
      <c r="D218" s="3">
        <v>0.17000000000000101</v>
      </c>
      <c r="E218" s="3">
        <v>0.35029878425716299</v>
      </c>
      <c r="F218" s="3">
        <v>0.35030252362702102</v>
      </c>
      <c r="G218" s="3">
        <v>62.016784999999999</v>
      </c>
      <c r="H218" s="3">
        <v>1628.2157863669599</v>
      </c>
      <c r="I218" s="3">
        <v>47.66</v>
      </c>
      <c r="J218" s="3">
        <v>48.87</v>
      </c>
      <c r="K218" s="3">
        <v>47.25</v>
      </c>
      <c r="L218" s="3">
        <v>1257.11821881884</v>
      </c>
    </row>
    <row r="219" spans="1:12" ht="15" customHeight="1" x14ac:dyDescent="0.2">
      <c r="A219" s="2">
        <v>45736</v>
      </c>
      <c r="B219" s="3">
        <v>48.53</v>
      </c>
      <c r="C219" s="1">
        <v>1180556</v>
      </c>
      <c r="D219" s="3">
        <v>0.25999999999999801</v>
      </c>
      <c r="E219" s="3">
        <v>0.53863683447274902</v>
      </c>
      <c r="F219" s="3">
        <v>0.53863232066582101</v>
      </c>
      <c r="G219" s="3">
        <v>61.800297</v>
      </c>
      <c r="H219" s="3">
        <v>1622.1829360803999</v>
      </c>
      <c r="I219" s="3">
        <v>47.88</v>
      </c>
      <c r="J219" s="3">
        <v>49.44</v>
      </c>
      <c r="K219" s="3">
        <v>47.59</v>
      </c>
      <c r="L219" s="3">
        <v>1252.3808451597199</v>
      </c>
    </row>
    <row r="220" spans="1:12" ht="15" customHeight="1" x14ac:dyDescent="0.2">
      <c r="A220" s="2">
        <v>45735</v>
      </c>
      <c r="B220" s="3">
        <v>48.27</v>
      </c>
      <c r="C220" s="1">
        <v>1211563</v>
      </c>
      <c r="D220" s="3">
        <v>1.46</v>
      </c>
      <c r="E220" s="3">
        <v>3.1189916684469101</v>
      </c>
      <c r="F220" s="3">
        <v>3.11899146273741</v>
      </c>
      <c r="G220" s="3">
        <v>61.469203999999998</v>
      </c>
      <c r="H220" s="3">
        <v>1612.95639927499</v>
      </c>
      <c r="I220" s="3">
        <v>46.59</v>
      </c>
      <c r="J220" s="3">
        <v>48.755000000000003</v>
      </c>
      <c r="K220" s="3">
        <v>46.52</v>
      </c>
      <c r="L220" s="3">
        <v>1245.13545015165</v>
      </c>
    </row>
    <row r="221" spans="1:12" ht="15" customHeight="1" x14ac:dyDescent="0.2">
      <c r="A221" s="2">
        <v>45734</v>
      </c>
      <c r="B221" s="3">
        <v>46.81</v>
      </c>
      <c r="C221" s="1">
        <v>1241525</v>
      </c>
      <c r="D221" s="3">
        <v>-0.46</v>
      </c>
      <c r="E221" s="3">
        <v>-0.973133065369158</v>
      </c>
      <c r="F221" s="3">
        <v>-0.97313498492251904</v>
      </c>
      <c r="G221" s="3">
        <v>59.609974000000001</v>
      </c>
      <c r="H221" s="3">
        <v>1561.1454155794099</v>
      </c>
      <c r="I221" s="3">
        <v>46.7</v>
      </c>
      <c r="J221" s="3">
        <v>46.88</v>
      </c>
      <c r="K221" s="3">
        <v>45.975000000000001</v>
      </c>
      <c r="L221" s="3">
        <v>1204.44977049096</v>
      </c>
    </row>
    <row r="222" spans="1:12" ht="15" customHeight="1" x14ac:dyDescent="0.2">
      <c r="A222" s="2">
        <v>45733</v>
      </c>
      <c r="B222" s="3">
        <v>47.27</v>
      </c>
      <c r="C222" s="1">
        <v>985752</v>
      </c>
      <c r="D222" s="3">
        <v>1.08</v>
      </c>
      <c r="E222" s="3">
        <v>2.33816843472614</v>
      </c>
      <c r="F222" s="3">
        <v>2.33817549972215</v>
      </c>
      <c r="G222" s="3">
        <v>60.19576</v>
      </c>
      <c r="H222" s="3">
        <v>1577.4694577340099</v>
      </c>
      <c r="I222" s="3">
        <v>46.29</v>
      </c>
      <c r="J222" s="3">
        <v>47.37</v>
      </c>
      <c r="K222" s="3">
        <v>45.914999999999999</v>
      </c>
      <c r="L222" s="3">
        <v>1217.2685462744701</v>
      </c>
    </row>
    <row r="223" spans="1:12" ht="15" customHeight="1" x14ac:dyDescent="0.2">
      <c r="A223" s="2">
        <v>45730</v>
      </c>
      <c r="B223" s="3">
        <v>46.19</v>
      </c>
      <c r="C223" s="1">
        <v>912923</v>
      </c>
      <c r="D223" s="3">
        <v>1.32</v>
      </c>
      <c r="E223" s="3">
        <v>2.9418319589926401</v>
      </c>
      <c r="F223" s="3">
        <v>2.9418270971617</v>
      </c>
      <c r="G223" s="3">
        <v>58.820435000000003</v>
      </c>
      <c r="H223" s="3">
        <v>1539.1434081591201</v>
      </c>
      <c r="I223" s="3">
        <v>45.41</v>
      </c>
      <c r="J223" s="3">
        <v>46.28</v>
      </c>
      <c r="K223" s="3">
        <v>44.96</v>
      </c>
      <c r="L223" s="3">
        <v>1187.17229008711</v>
      </c>
    </row>
    <row r="224" spans="1:12" ht="15" customHeight="1" x14ac:dyDescent="0.2">
      <c r="A224" s="2">
        <v>45729</v>
      </c>
      <c r="B224" s="3">
        <v>44.87</v>
      </c>
      <c r="C224" s="1">
        <v>1597105</v>
      </c>
      <c r="D224" s="3">
        <v>-2.81</v>
      </c>
      <c r="E224" s="3">
        <v>-5.8934563758389302</v>
      </c>
      <c r="F224" s="3">
        <v>-5.8934544311254502</v>
      </c>
      <c r="G224" s="3">
        <v>57.139490000000002</v>
      </c>
      <c r="H224" s="3">
        <v>1492.30067542129</v>
      </c>
      <c r="I224" s="3">
        <v>47.72</v>
      </c>
      <c r="J224" s="3">
        <v>47.83</v>
      </c>
      <c r="K224" s="3">
        <v>44.4</v>
      </c>
      <c r="L224" s="3">
        <v>1150.3879769692301</v>
      </c>
    </row>
    <row r="225" spans="1:12" ht="15" customHeight="1" x14ac:dyDescent="0.2">
      <c r="A225" s="2">
        <v>45728</v>
      </c>
      <c r="B225" s="3">
        <v>47.68</v>
      </c>
      <c r="C225" s="1">
        <v>1607155</v>
      </c>
      <c r="D225" s="3">
        <v>0.81000000000000205</v>
      </c>
      <c r="E225" s="3">
        <v>1.7281843396629</v>
      </c>
      <c r="F225" s="3">
        <v>1.7281832136577899</v>
      </c>
      <c r="G225" s="3">
        <v>60.717869999999998</v>
      </c>
      <c r="H225" s="3">
        <v>1592.0190469173299</v>
      </c>
      <c r="I225" s="3">
        <v>47.63</v>
      </c>
      <c r="J225" s="3">
        <v>47.82</v>
      </c>
      <c r="K225" s="3">
        <v>46.42</v>
      </c>
      <c r="L225" s="3">
        <v>1228.69397686411</v>
      </c>
    </row>
    <row r="226" spans="1:12" ht="15" customHeight="1" x14ac:dyDescent="0.2">
      <c r="A226" s="2">
        <v>45727</v>
      </c>
      <c r="B226" s="3">
        <v>46.87</v>
      </c>
      <c r="C226" s="1">
        <v>1787065</v>
      </c>
      <c r="D226" s="3">
        <v>-2.13</v>
      </c>
      <c r="E226" s="3">
        <v>-4.3469387755102096</v>
      </c>
      <c r="F226" s="3">
        <v>-4.3469411761312102</v>
      </c>
      <c r="G226" s="3">
        <v>59.68638</v>
      </c>
      <c r="H226" s="3">
        <v>1563.2746142370499</v>
      </c>
      <c r="I226" s="3">
        <v>49.08</v>
      </c>
      <c r="J226" s="3">
        <v>49.87</v>
      </c>
      <c r="K226" s="3">
        <v>46.82</v>
      </c>
      <c r="L226" s="3">
        <v>1206.1217847235901</v>
      </c>
    </row>
    <row r="227" spans="1:12" ht="15" customHeight="1" x14ac:dyDescent="0.2">
      <c r="A227" s="2">
        <v>45726</v>
      </c>
      <c r="B227" s="3">
        <v>49</v>
      </c>
      <c r="C227" s="1">
        <v>1611177</v>
      </c>
      <c r="D227" s="3">
        <v>-0.15999999999999601</v>
      </c>
      <c r="E227" s="3">
        <v>-0.32546786004881101</v>
      </c>
      <c r="F227" s="3">
        <v>-0.32546587144904798</v>
      </c>
      <c r="G227" s="3">
        <v>62.398820000000001</v>
      </c>
      <c r="H227" s="3">
        <v>1638.8619189896799</v>
      </c>
      <c r="I227" s="3">
        <v>48.83</v>
      </c>
      <c r="J227" s="3">
        <v>49.52</v>
      </c>
      <c r="K227" s="3">
        <v>47.87</v>
      </c>
      <c r="L227" s="3">
        <v>1265.47828998199</v>
      </c>
    </row>
    <row r="228" spans="1:12" ht="15" customHeight="1" x14ac:dyDescent="0.2">
      <c r="A228" s="2">
        <v>45723</v>
      </c>
      <c r="B228" s="3">
        <v>49.16</v>
      </c>
      <c r="C228" s="1">
        <v>2008056</v>
      </c>
      <c r="D228" s="3">
        <v>0.93999999999999695</v>
      </c>
      <c r="E228" s="3">
        <v>1.9493985897967601</v>
      </c>
      <c r="F228" s="3">
        <v>1.9493959933545499</v>
      </c>
      <c r="G228" s="3">
        <v>62.60257</v>
      </c>
      <c r="H228" s="3">
        <v>1644.53980065466</v>
      </c>
      <c r="I228" s="3">
        <v>48.14</v>
      </c>
      <c r="J228" s="3">
        <v>49.65</v>
      </c>
      <c r="K228" s="3">
        <v>48.07</v>
      </c>
      <c r="L228" s="3">
        <v>1269.9369946023401</v>
      </c>
    </row>
    <row r="229" spans="1:12" ht="15" customHeight="1" x14ac:dyDescent="0.2">
      <c r="A229" s="2">
        <v>45722</v>
      </c>
      <c r="B229" s="3">
        <v>48.22</v>
      </c>
      <c r="C229" s="1">
        <v>1458285</v>
      </c>
      <c r="D229" s="3">
        <v>-1.71</v>
      </c>
      <c r="E229" s="3">
        <v>-3.4247947125976301</v>
      </c>
      <c r="F229" s="3">
        <v>-3.4247909374440599</v>
      </c>
      <c r="G229" s="3">
        <v>61.405532999999998</v>
      </c>
      <c r="H229" s="3">
        <v>1611.1820856382201</v>
      </c>
      <c r="I229" s="3">
        <v>49.55</v>
      </c>
      <c r="J229" s="3">
        <v>49.98</v>
      </c>
      <c r="K229" s="3">
        <v>48.11</v>
      </c>
      <c r="L229" s="3">
        <v>1243.7421049577899</v>
      </c>
    </row>
    <row r="230" spans="1:12" ht="15" customHeight="1" x14ac:dyDescent="0.2">
      <c r="A230" s="2">
        <v>45721</v>
      </c>
      <c r="B230" s="3">
        <v>49.93</v>
      </c>
      <c r="C230" s="1">
        <v>1553903</v>
      </c>
      <c r="D230" s="3">
        <v>-0.32</v>
      </c>
      <c r="E230" s="3">
        <v>-0.63681592039801505</v>
      </c>
      <c r="F230" s="3">
        <v>-9.9499657875656802E-2</v>
      </c>
      <c r="G230" s="3">
        <v>63.583122000000003</v>
      </c>
      <c r="H230" s="3">
        <v>1671.8647489852401</v>
      </c>
      <c r="I230" s="3">
        <v>50.59</v>
      </c>
      <c r="J230" s="3">
        <v>50.844999999999999</v>
      </c>
      <c r="K230" s="3">
        <v>49.29</v>
      </c>
      <c r="L230" s="3">
        <v>1291.3945105877699</v>
      </c>
    </row>
    <row r="231" spans="1:12" ht="15" customHeight="1" x14ac:dyDescent="0.2">
      <c r="A231" s="2">
        <v>45720</v>
      </c>
      <c r="B231" s="3">
        <v>50.25</v>
      </c>
      <c r="C231" s="1">
        <v>2294686</v>
      </c>
      <c r="D231" s="3">
        <v>-1.03999999999999</v>
      </c>
      <c r="E231" s="3">
        <v>-2.0276857087151399</v>
      </c>
      <c r="F231" s="3">
        <v>-2.0276934593410898</v>
      </c>
      <c r="G231" s="3">
        <v>63.646450000000002</v>
      </c>
      <c r="H231" s="3">
        <v>1673.62950427397</v>
      </c>
      <c r="I231" s="3">
        <v>50.56</v>
      </c>
      <c r="J231" s="3">
        <v>51.86</v>
      </c>
      <c r="K231" s="3">
        <v>48.87</v>
      </c>
      <c r="L231" s="3">
        <v>1300.3119198284701</v>
      </c>
    </row>
    <row r="232" spans="1:12" ht="15" customHeight="1" x14ac:dyDescent="0.2">
      <c r="A232" s="2">
        <v>45719</v>
      </c>
      <c r="B232" s="3">
        <v>51.29</v>
      </c>
      <c r="C232" s="1">
        <v>1645687</v>
      </c>
      <c r="D232" s="3">
        <v>-2.74</v>
      </c>
      <c r="E232" s="3">
        <v>-5.0712567092356098</v>
      </c>
      <c r="F232" s="3">
        <v>-5.0712451000362702</v>
      </c>
      <c r="G232" s="3">
        <v>64.963714999999993</v>
      </c>
      <c r="H232" s="3">
        <v>1710.3376014097501</v>
      </c>
      <c r="I232" s="3">
        <v>54.19</v>
      </c>
      <c r="J232" s="3">
        <v>55.14</v>
      </c>
      <c r="K232" s="3">
        <v>50.94</v>
      </c>
      <c r="L232" s="3">
        <v>1329.29349986074</v>
      </c>
    </row>
    <row r="233" spans="1:12" ht="15" customHeight="1" x14ac:dyDescent="0.2">
      <c r="A233" s="2">
        <v>45716</v>
      </c>
      <c r="B233" s="3">
        <v>54.03</v>
      </c>
      <c r="C233" s="1">
        <v>1550573</v>
      </c>
      <c r="D233" s="3">
        <v>1.56</v>
      </c>
      <c r="E233" s="3">
        <v>2.9731275014293899</v>
      </c>
      <c r="F233" s="3">
        <v>2.9731124630031101</v>
      </c>
      <c r="G233" s="3">
        <v>68.434179999999998</v>
      </c>
      <c r="H233" s="3">
        <v>1807.04871597388</v>
      </c>
      <c r="I233" s="3">
        <v>52.59</v>
      </c>
      <c r="J233" s="3">
        <v>54.125</v>
      </c>
      <c r="K233" s="3">
        <v>52</v>
      </c>
      <c r="L233" s="3">
        <v>1405.6488164842301</v>
      </c>
    </row>
    <row r="234" spans="1:12" ht="15" customHeight="1" x14ac:dyDescent="0.2">
      <c r="A234" s="2">
        <v>45715</v>
      </c>
      <c r="B234" s="3">
        <v>52.47</v>
      </c>
      <c r="C234" s="1">
        <v>1639408</v>
      </c>
      <c r="D234" s="3">
        <v>-1.1799999999999899</v>
      </c>
      <c r="E234" s="3">
        <v>-2.1994408201304698</v>
      </c>
      <c r="F234" s="3">
        <v>-2.1994358443674402</v>
      </c>
      <c r="G234" s="3">
        <v>66.458299999999994</v>
      </c>
      <c r="H234" s="3">
        <v>1751.9870579410299</v>
      </c>
      <c r="I234" s="3">
        <v>53.65</v>
      </c>
      <c r="J234" s="3">
        <v>54.024999999999999</v>
      </c>
      <c r="K234" s="3">
        <v>52.22</v>
      </c>
      <c r="L234" s="3">
        <v>1362.17644643582</v>
      </c>
    </row>
    <row r="235" spans="1:12" ht="15" customHeight="1" x14ac:dyDescent="0.2">
      <c r="A235" s="2">
        <v>45714</v>
      </c>
      <c r="B235" s="3">
        <v>53.65</v>
      </c>
      <c r="C235" s="1">
        <v>8183815</v>
      </c>
      <c r="D235" s="3">
        <v>-0.75999999999999801</v>
      </c>
      <c r="E235" s="3">
        <v>-1.3968020584451299</v>
      </c>
      <c r="F235" s="3">
        <v>-1.3967977300894301</v>
      </c>
      <c r="G235" s="3">
        <v>67.952879999999993</v>
      </c>
      <c r="H235" s="3">
        <v>1793.6363751377901</v>
      </c>
      <c r="I235" s="3">
        <v>54.4</v>
      </c>
      <c r="J235" s="3">
        <v>55.13</v>
      </c>
      <c r="K235" s="3">
        <v>53.234999999999999</v>
      </c>
      <c r="L235" s="3">
        <v>1395.0593930109001</v>
      </c>
    </row>
    <row r="236" spans="1:12" ht="15" customHeight="1" x14ac:dyDescent="0.2">
      <c r="A236" s="2">
        <v>45713</v>
      </c>
      <c r="B236" s="3">
        <v>54.41</v>
      </c>
      <c r="C236" s="1">
        <v>1835470</v>
      </c>
      <c r="D236" s="3">
        <v>-0.66000000000000303</v>
      </c>
      <c r="E236" s="3">
        <v>-1.1984746686035901</v>
      </c>
      <c r="F236" s="3">
        <v>-1.1984698810519101</v>
      </c>
      <c r="G236" s="3">
        <v>68.915490000000005</v>
      </c>
      <c r="H236" s="3">
        <v>1820.4613354790099</v>
      </c>
      <c r="I236" s="3">
        <v>53.2</v>
      </c>
      <c r="J236" s="3">
        <v>55.122826000000003</v>
      </c>
      <c r="K236" s="3">
        <v>53.14</v>
      </c>
      <c r="L236" s="3">
        <v>1416.2382399575599</v>
      </c>
    </row>
    <row r="237" spans="1:12" ht="15" customHeight="1" x14ac:dyDescent="0.2">
      <c r="A237" s="2">
        <v>45712</v>
      </c>
      <c r="B237" s="3">
        <v>55.07</v>
      </c>
      <c r="C237" s="1">
        <v>1713247</v>
      </c>
      <c r="D237" s="3">
        <v>0.42000000000000098</v>
      </c>
      <c r="E237" s="3">
        <v>0.76852698993596902</v>
      </c>
      <c r="F237" s="3">
        <v>0.76851926426775297</v>
      </c>
      <c r="G237" s="3">
        <v>69.751440000000002</v>
      </c>
      <c r="H237" s="3">
        <v>1843.7566737751399</v>
      </c>
      <c r="I237" s="3">
        <v>54.74</v>
      </c>
      <c r="J237" s="3">
        <v>55.42</v>
      </c>
      <c r="K237" s="3">
        <v>53.465000000000003</v>
      </c>
      <c r="L237" s="3">
        <v>1434.6303965165</v>
      </c>
    </row>
    <row r="238" spans="1:12" ht="15" customHeight="1" x14ac:dyDescent="0.2">
      <c r="A238" s="2">
        <v>45709</v>
      </c>
      <c r="B238" s="3">
        <v>54.65</v>
      </c>
      <c r="C238" s="1">
        <v>2234195</v>
      </c>
      <c r="D238" s="3">
        <v>-0.32</v>
      </c>
      <c r="E238" s="3">
        <v>-0.58213571038748801</v>
      </c>
      <c r="F238" s="3">
        <v>-0.58214179173826597</v>
      </c>
      <c r="G238" s="3">
        <v>69.219475000000003</v>
      </c>
      <c r="H238" s="3">
        <v>1828.9324562541101</v>
      </c>
      <c r="I238" s="3">
        <v>55.1</v>
      </c>
      <c r="J238" s="3">
        <v>56.554400000000001</v>
      </c>
      <c r="K238" s="3">
        <v>53.74</v>
      </c>
      <c r="L238" s="3">
        <v>1422.9262968880801</v>
      </c>
    </row>
    <row r="239" spans="1:12" ht="15" customHeight="1" x14ac:dyDescent="0.2">
      <c r="A239" s="2">
        <v>45708</v>
      </c>
      <c r="B239" s="3">
        <v>54.97</v>
      </c>
      <c r="C239" s="1">
        <v>2631393</v>
      </c>
      <c r="D239" s="3">
        <v>0.67999999999999905</v>
      </c>
      <c r="E239" s="3">
        <v>1.2525326947872399</v>
      </c>
      <c r="F239" s="3">
        <v>1.2525336114343499</v>
      </c>
      <c r="G239" s="3">
        <v>69.624790000000004</v>
      </c>
      <c r="H239" s="3">
        <v>1840.2273303990901</v>
      </c>
      <c r="I239" s="3">
        <v>53.25</v>
      </c>
      <c r="J239" s="3">
        <v>55.9</v>
      </c>
      <c r="K239" s="3">
        <v>53</v>
      </c>
      <c r="L239" s="3">
        <v>1431.84370612878</v>
      </c>
    </row>
    <row r="240" spans="1:12" ht="15" customHeight="1" x14ac:dyDescent="0.2">
      <c r="A240" s="2">
        <v>45707</v>
      </c>
      <c r="B240" s="3">
        <v>54.29</v>
      </c>
      <c r="C240" s="1">
        <v>3117526</v>
      </c>
      <c r="D240" s="3">
        <v>-1.49</v>
      </c>
      <c r="E240" s="3">
        <v>-2.6712083183936901</v>
      </c>
      <c r="F240" s="3">
        <v>-2.6712052373697999</v>
      </c>
      <c r="G240" s="3">
        <v>68.763503999999998</v>
      </c>
      <c r="H240" s="3">
        <v>1816.22595622633</v>
      </c>
      <c r="I240" s="3">
        <v>54.87</v>
      </c>
      <c r="J240" s="3">
        <v>55.85</v>
      </c>
      <c r="K240" s="3">
        <v>54.04</v>
      </c>
      <c r="L240" s="3">
        <v>1412.8942114923</v>
      </c>
    </row>
    <row r="241" spans="1:12" ht="15" customHeight="1" x14ac:dyDescent="0.2">
      <c r="A241" s="2">
        <v>45706</v>
      </c>
      <c r="B241" s="3">
        <v>55.78</v>
      </c>
      <c r="C241" s="1">
        <v>2425454</v>
      </c>
      <c r="D241" s="3">
        <v>2.4399999999999902</v>
      </c>
      <c r="E241" s="3">
        <v>4.5744281964754396</v>
      </c>
      <c r="F241" s="3">
        <v>4.57443057405633</v>
      </c>
      <c r="G241" s="3">
        <v>70.650729999999996</v>
      </c>
      <c r="H241" s="3">
        <v>1868.8171017628499</v>
      </c>
      <c r="I241" s="3">
        <v>53.71</v>
      </c>
      <c r="J241" s="3">
        <v>56.12</v>
      </c>
      <c r="K241" s="3">
        <v>53.674999999999997</v>
      </c>
      <c r="L241" s="3">
        <v>1454.4158982693</v>
      </c>
    </row>
    <row r="242" spans="1:12" ht="15" customHeight="1" x14ac:dyDescent="0.2">
      <c r="A242" s="2">
        <v>45702</v>
      </c>
      <c r="B242" s="3">
        <v>53.34</v>
      </c>
      <c r="C242" s="1">
        <v>1490727</v>
      </c>
      <c r="D242" s="3">
        <v>0.83000000000000496</v>
      </c>
      <c r="E242" s="3">
        <v>1.5806513045134301</v>
      </c>
      <c r="F242" s="3">
        <v>1.58065018608017</v>
      </c>
      <c r="G242" s="3">
        <v>67.560233999999994</v>
      </c>
      <c r="H242" s="3">
        <v>1782.6945467980299</v>
      </c>
      <c r="I242" s="3">
        <v>52.63</v>
      </c>
      <c r="J242" s="3">
        <v>53.44</v>
      </c>
      <c r="K242" s="3">
        <v>52.162999999999997</v>
      </c>
      <c r="L242" s="3">
        <v>1386.4206528089701</v>
      </c>
    </row>
    <row r="243" spans="1:12" ht="15" customHeight="1" x14ac:dyDescent="0.2">
      <c r="A243" s="2">
        <v>45701</v>
      </c>
      <c r="B243" s="3">
        <v>52.51</v>
      </c>
      <c r="C243" s="1">
        <v>987314</v>
      </c>
      <c r="D243" s="3">
        <v>1.07</v>
      </c>
      <c r="E243" s="3">
        <v>2.0800933125971901</v>
      </c>
      <c r="F243" s="3">
        <v>2.0800967558250698</v>
      </c>
      <c r="G243" s="3">
        <v>66.508960000000002</v>
      </c>
      <c r="H243" s="3">
        <v>1753.3987952914499</v>
      </c>
      <c r="I243" s="3">
        <v>52</v>
      </c>
      <c r="J243" s="3">
        <v>52.545000000000002</v>
      </c>
      <c r="K243" s="3">
        <v>50.784999999999997</v>
      </c>
      <c r="L243" s="3">
        <v>1363.2911225909099</v>
      </c>
    </row>
    <row r="244" spans="1:12" ht="15" customHeight="1" x14ac:dyDescent="0.2">
      <c r="A244" s="2">
        <v>45700</v>
      </c>
      <c r="B244" s="3">
        <v>51.44</v>
      </c>
      <c r="C244" s="1">
        <v>1482610</v>
      </c>
      <c r="D244" s="3">
        <v>-0.53999999999999904</v>
      </c>
      <c r="E244" s="3">
        <v>-1.03886110042323</v>
      </c>
      <c r="F244" s="3">
        <v>-1.0388583069325299</v>
      </c>
      <c r="G244" s="3">
        <v>65.153700000000001</v>
      </c>
      <c r="H244" s="3">
        <v>1715.63189514286</v>
      </c>
      <c r="I244" s="3">
        <v>51.5</v>
      </c>
      <c r="J244" s="3">
        <v>51.674999999999997</v>
      </c>
      <c r="K244" s="3">
        <v>50.360100000000003</v>
      </c>
      <c r="L244" s="3">
        <v>1333.4735354423201</v>
      </c>
    </row>
    <row r="245" spans="1:12" ht="15" customHeight="1" x14ac:dyDescent="0.2">
      <c r="A245" s="2">
        <v>45699</v>
      </c>
      <c r="B245" s="3">
        <v>51.98</v>
      </c>
      <c r="C245" s="1">
        <v>936994</v>
      </c>
      <c r="D245" s="3">
        <v>-1.03</v>
      </c>
      <c r="E245" s="3">
        <v>-1.9430296170533901</v>
      </c>
      <c r="F245" s="3">
        <v>-1.9430385572365201</v>
      </c>
      <c r="G245" s="3">
        <v>65.83766</v>
      </c>
      <c r="H245" s="3">
        <v>1734.69174271869</v>
      </c>
      <c r="I245" s="3">
        <v>52.5</v>
      </c>
      <c r="J245" s="3">
        <v>52.81</v>
      </c>
      <c r="K245" s="3">
        <v>51.51</v>
      </c>
      <c r="L245" s="3">
        <v>1348.521663536</v>
      </c>
    </row>
    <row r="246" spans="1:12" ht="15" customHeight="1" x14ac:dyDescent="0.2">
      <c r="A246" s="2">
        <v>45698</v>
      </c>
      <c r="B246" s="3">
        <v>53.01</v>
      </c>
      <c r="C246" s="1">
        <v>1274845</v>
      </c>
      <c r="D246" s="3">
        <v>-0.30000000000000399</v>
      </c>
      <c r="E246" s="3">
        <v>-0.56274620146314902</v>
      </c>
      <c r="F246" s="3">
        <v>-0.56274791831550897</v>
      </c>
      <c r="G246" s="3">
        <v>67.142259999999993</v>
      </c>
      <c r="H246" s="3">
        <v>1771.0469055168701</v>
      </c>
      <c r="I246" s="3">
        <v>53.6</v>
      </c>
      <c r="J246" s="3">
        <v>53.6</v>
      </c>
      <c r="K246" s="3">
        <v>52.44</v>
      </c>
      <c r="L246" s="3">
        <v>1377.2245745294999</v>
      </c>
    </row>
    <row r="247" spans="1:12" ht="15" customHeight="1" x14ac:dyDescent="0.2">
      <c r="A247" s="2">
        <v>45695</v>
      </c>
      <c r="B247" s="3">
        <v>53.31</v>
      </c>
      <c r="C247" s="1">
        <v>1355725</v>
      </c>
      <c r="D247" s="3">
        <v>-2.25999999999999</v>
      </c>
      <c r="E247" s="3">
        <v>-4.06694259492531</v>
      </c>
      <c r="F247" s="3">
        <v>-4.0669326902393799</v>
      </c>
      <c r="G247" s="3">
        <v>67.522239999999996</v>
      </c>
      <c r="H247" s="3">
        <v>1781.63577165212</v>
      </c>
      <c r="I247" s="3">
        <v>55.4</v>
      </c>
      <c r="J247" s="3">
        <v>55.55</v>
      </c>
      <c r="K247" s="3">
        <v>52.704999999999998</v>
      </c>
      <c r="L247" s="3">
        <v>1385.5846456926599</v>
      </c>
    </row>
    <row r="248" spans="1:12" ht="15" customHeight="1" x14ac:dyDescent="0.2">
      <c r="A248" s="2">
        <v>45694</v>
      </c>
      <c r="B248" s="3">
        <v>55.57</v>
      </c>
      <c r="C248" s="1">
        <v>788876</v>
      </c>
      <c r="D248" s="3">
        <v>-4.9999999999997102E-2</v>
      </c>
      <c r="E248" s="3">
        <v>-8.9895720963673001E-2</v>
      </c>
      <c r="F248" s="3">
        <v>-8.9901677084902598E-2</v>
      </c>
      <c r="G248" s="3">
        <v>70.384739999999994</v>
      </c>
      <c r="H248" s="3">
        <v>1861.4047840005601</v>
      </c>
      <c r="I248" s="3">
        <v>56.24</v>
      </c>
      <c r="J248" s="3">
        <v>56.78</v>
      </c>
      <c r="K248" s="3">
        <v>55.29</v>
      </c>
      <c r="L248" s="3">
        <v>1448.56384845509</v>
      </c>
    </row>
    <row r="249" spans="1:12" ht="15" customHeight="1" x14ac:dyDescent="0.2">
      <c r="A249" s="2">
        <v>45693</v>
      </c>
      <c r="B249" s="3">
        <v>55.62</v>
      </c>
      <c r="C249" s="1">
        <v>1140306</v>
      </c>
      <c r="D249" s="3">
        <v>-0.67999999999999905</v>
      </c>
      <c r="E249" s="3">
        <v>-1.20781527531083</v>
      </c>
      <c r="F249" s="3">
        <v>-1.2078161969199901</v>
      </c>
      <c r="G249" s="3">
        <v>70.448074000000005</v>
      </c>
      <c r="H249" s="3">
        <v>1863.16970649072</v>
      </c>
      <c r="I249" s="3">
        <v>56.22</v>
      </c>
      <c r="J249" s="3">
        <v>56.384999999999998</v>
      </c>
      <c r="K249" s="3">
        <v>54.91</v>
      </c>
      <c r="L249" s="3">
        <v>1449.9571936489499</v>
      </c>
    </row>
    <row r="250" spans="1:12" ht="15" customHeight="1" x14ac:dyDescent="0.2">
      <c r="A250" s="2">
        <v>45692</v>
      </c>
      <c r="B250" s="3">
        <v>56.3</v>
      </c>
      <c r="C250" s="1">
        <v>1261501</v>
      </c>
      <c r="D250" s="3">
        <v>-0.41000000000000297</v>
      </c>
      <c r="E250" s="3">
        <v>-0.72297654734615402</v>
      </c>
      <c r="F250" s="3">
        <v>-0.72297046889082595</v>
      </c>
      <c r="G250" s="3">
        <v>71.309359999999998</v>
      </c>
      <c r="H250" s="3">
        <v>1887.1710806634801</v>
      </c>
      <c r="I250" s="3">
        <v>56.64</v>
      </c>
      <c r="J250" s="3">
        <v>57.320999999999998</v>
      </c>
      <c r="K250" s="3">
        <v>55.870100000000001</v>
      </c>
      <c r="L250" s="3">
        <v>1468.9066882854299</v>
      </c>
    </row>
    <row r="251" spans="1:12" ht="15" customHeight="1" x14ac:dyDescent="0.2">
      <c r="A251" s="2">
        <v>45691</v>
      </c>
      <c r="B251" s="3">
        <v>56.71</v>
      </c>
      <c r="C251" s="1">
        <v>1352065</v>
      </c>
      <c r="D251" s="3">
        <v>0.56000000000000205</v>
      </c>
      <c r="E251" s="3">
        <v>0.99732858414960301</v>
      </c>
      <c r="F251" s="3">
        <v>0.997323232756408</v>
      </c>
      <c r="G251" s="3">
        <v>71.828659999999999</v>
      </c>
      <c r="H251" s="3">
        <v>1901.6423638469</v>
      </c>
      <c r="I251" s="3">
        <v>54.42</v>
      </c>
      <c r="J251" s="3">
        <v>57.18</v>
      </c>
      <c r="K251" s="3">
        <v>54.31</v>
      </c>
      <c r="L251" s="3">
        <v>1480.3321188750799</v>
      </c>
    </row>
    <row r="252" spans="1:12" ht="15" customHeight="1" x14ac:dyDescent="0.2">
      <c r="A252" s="2">
        <v>45688</v>
      </c>
      <c r="B252" s="3">
        <v>56.15</v>
      </c>
      <c r="C252" s="1">
        <v>1170148</v>
      </c>
      <c r="D252" s="3">
        <v>-2.0000000000003099E-2</v>
      </c>
      <c r="E252" s="3">
        <v>-3.5606195478021699E-2</v>
      </c>
      <c r="F252" s="3">
        <v>-3.5603495411462502E-2</v>
      </c>
      <c r="G252" s="3">
        <v>71.119370000000004</v>
      </c>
      <c r="H252" s="3">
        <v>1881.87664759585</v>
      </c>
      <c r="I252" s="3">
        <v>55.81</v>
      </c>
      <c r="J252" s="3">
        <v>56.55</v>
      </c>
      <c r="K252" s="3">
        <v>55.3</v>
      </c>
      <c r="L252" s="3">
        <v>1464.7266527038601</v>
      </c>
    </row>
    <row r="253" spans="1:12" ht="15" customHeight="1" x14ac:dyDescent="0.2">
      <c r="A253" s="2">
        <v>45687</v>
      </c>
      <c r="B253" s="3">
        <v>56.17</v>
      </c>
      <c r="C253" s="1">
        <v>1643664</v>
      </c>
      <c r="D253" s="3">
        <v>2.3199999999999998</v>
      </c>
      <c r="E253" s="3">
        <v>4.3082636954503197</v>
      </c>
      <c r="F253" s="3">
        <v>4.3082746595286903</v>
      </c>
      <c r="G253" s="3">
        <v>71.1447</v>
      </c>
      <c r="H253" s="3">
        <v>1882.5825162710601</v>
      </c>
      <c r="I253" s="3">
        <v>54.23</v>
      </c>
      <c r="J253" s="3">
        <v>56.32</v>
      </c>
      <c r="K253" s="3">
        <v>54.111800000000002</v>
      </c>
      <c r="L253" s="3">
        <v>1465.2839907814</v>
      </c>
    </row>
    <row r="254" spans="1:12" ht="15" customHeight="1" x14ac:dyDescent="0.2">
      <c r="A254" s="2">
        <v>45686</v>
      </c>
      <c r="B254" s="3">
        <v>53.85</v>
      </c>
      <c r="C254" s="1">
        <v>1279729</v>
      </c>
      <c r="D254" s="3">
        <v>0.75</v>
      </c>
      <c r="E254" s="3">
        <v>1.41242937853107</v>
      </c>
      <c r="F254" s="3">
        <v>1.4124189201747099</v>
      </c>
      <c r="G254" s="3">
        <v>68.206190000000007</v>
      </c>
      <c r="H254" s="3">
        <v>1800.69534055892</v>
      </c>
      <c r="I254" s="3">
        <v>53.47</v>
      </c>
      <c r="J254" s="3">
        <v>54.7</v>
      </c>
      <c r="K254" s="3">
        <v>53.12</v>
      </c>
      <c r="L254" s="3">
        <v>1400.6327737863301</v>
      </c>
    </row>
    <row r="255" spans="1:12" ht="15" customHeight="1" x14ac:dyDescent="0.2">
      <c r="A255" s="2">
        <v>45685</v>
      </c>
      <c r="B255" s="3">
        <v>53.1</v>
      </c>
      <c r="C255" s="1">
        <v>1237752</v>
      </c>
      <c r="D255" s="3">
        <v>1.27</v>
      </c>
      <c r="E255" s="3">
        <v>2.45031834844684</v>
      </c>
      <c r="F255" s="3">
        <v>2.4503152624978499</v>
      </c>
      <c r="G255" s="3">
        <v>67.256249999999994</v>
      </c>
      <c r="H255" s="3">
        <v>1774.2234538898299</v>
      </c>
      <c r="I255" s="3">
        <v>51.77</v>
      </c>
      <c r="J255" s="3">
        <v>53.46</v>
      </c>
      <c r="K255" s="3">
        <v>51.46</v>
      </c>
      <c r="L255" s="3">
        <v>1379.73259587845</v>
      </c>
    </row>
    <row r="256" spans="1:12" ht="15" customHeight="1" x14ac:dyDescent="0.2">
      <c r="A256" s="2">
        <v>45684</v>
      </c>
      <c r="B256" s="3">
        <v>51.83</v>
      </c>
      <c r="C256" s="1">
        <v>942555</v>
      </c>
      <c r="D256" s="3">
        <v>0.35999999999999899</v>
      </c>
      <c r="E256" s="3">
        <v>0.69943656498931905</v>
      </c>
      <c r="F256" s="3">
        <v>0.69943719829366202</v>
      </c>
      <c r="G256" s="3">
        <v>65.647675000000007</v>
      </c>
      <c r="H256" s="3">
        <v>1729.39744898559</v>
      </c>
      <c r="I256" s="3">
        <v>51.13</v>
      </c>
      <c r="J256" s="3">
        <v>52.25</v>
      </c>
      <c r="K256" s="3">
        <v>50.86</v>
      </c>
      <c r="L256" s="3">
        <v>1344.3416279544199</v>
      </c>
    </row>
    <row r="257" spans="1:12" ht="15" customHeight="1" x14ac:dyDescent="0.2">
      <c r="A257" s="2">
        <v>45681</v>
      </c>
      <c r="B257" s="3">
        <v>51.47</v>
      </c>
      <c r="C257" s="1">
        <v>827297</v>
      </c>
      <c r="D257" s="3">
        <v>-6.0000000000002197E-2</v>
      </c>
      <c r="E257" s="3">
        <v>-0.11643702697458</v>
      </c>
      <c r="F257" s="3">
        <v>-0.116428205134888</v>
      </c>
      <c r="G257" s="3">
        <v>65.191699999999997</v>
      </c>
      <c r="H257" s="3">
        <v>1716.69083749019</v>
      </c>
      <c r="I257" s="3">
        <v>50.98</v>
      </c>
      <c r="J257" s="3">
        <v>51.75</v>
      </c>
      <c r="K257" s="3">
        <v>50.484999999999999</v>
      </c>
      <c r="L257" s="3">
        <v>1334.30954255864</v>
      </c>
    </row>
    <row r="258" spans="1:12" ht="15" customHeight="1" x14ac:dyDescent="0.2">
      <c r="A258" s="2">
        <v>45680</v>
      </c>
      <c r="B258" s="3">
        <v>51.53</v>
      </c>
      <c r="C258" s="1">
        <v>929642</v>
      </c>
      <c r="D258" s="3">
        <v>0.57999999999999796</v>
      </c>
      <c r="E258" s="3">
        <v>1.13837095191364</v>
      </c>
      <c r="F258" s="3">
        <v>1.13836835212508</v>
      </c>
      <c r="G258" s="3">
        <v>65.267690000000002</v>
      </c>
      <c r="H258" s="3">
        <v>1718.80844351582</v>
      </c>
      <c r="I258" s="3">
        <v>50.48</v>
      </c>
      <c r="J258" s="3">
        <v>51.64</v>
      </c>
      <c r="K258" s="3">
        <v>50.26</v>
      </c>
      <c r="L258" s="3">
        <v>1335.9815567912699</v>
      </c>
    </row>
    <row r="259" spans="1:12" ht="15" customHeight="1" x14ac:dyDescent="0.2">
      <c r="A259" s="2">
        <v>45679</v>
      </c>
      <c r="B259" s="3">
        <v>50.95</v>
      </c>
      <c r="C259" s="1">
        <v>1715574</v>
      </c>
      <c r="D259" s="3">
        <v>-0.83999999999999597</v>
      </c>
      <c r="E259" s="3">
        <v>-1.6219347364355901</v>
      </c>
      <c r="F259" s="3">
        <v>-1.62193978048693</v>
      </c>
      <c r="G259" s="3">
        <v>64.533066000000005</v>
      </c>
      <c r="H259" s="3">
        <v>1698.3367471219401</v>
      </c>
      <c r="I259" s="3">
        <v>51.85</v>
      </c>
      <c r="J259" s="3">
        <v>52.9</v>
      </c>
      <c r="K259" s="3">
        <v>50.78</v>
      </c>
      <c r="L259" s="3">
        <v>1319.8187525425001</v>
      </c>
    </row>
    <row r="260" spans="1:12" ht="15" customHeight="1" x14ac:dyDescent="0.2">
      <c r="A260" s="2">
        <v>45678</v>
      </c>
      <c r="B260" s="3">
        <v>51.79</v>
      </c>
      <c r="C260" s="1">
        <v>1842679</v>
      </c>
      <c r="D260" s="3">
        <v>3.03</v>
      </c>
      <c r="E260" s="3">
        <v>6.2141099261689901</v>
      </c>
      <c r="F260" s="3">
        <v>6.21411669383129</v>
      </c>
      <c r="G260" s="3">
        <v>65.597009999999997</v>
      </c>
      <c r="H260" s="3">
        <v>1727.9855723006499</v>
      </c>
      <c r="I260" s="3">
        <v>49.53</v>
      </c>
      <c r="J260" s="3">
        <v>51.97</v>
      </c>
      <c r="K260" s="3">
        <v>49.395000000000003</v>
      </c>
      <c r="L260" s="3">
        <v>1343.22695179934</v>
      </c>
    </row>
    <row r="261" spans="1:12" ht="15" customHeight="1" x14ac:dyDescent="0.2">
      <c r="A261" s="2">
        <v>45674</v>
      </c>
      <c r="B261" s="3">
        <v>48.76</v>
      </c>
      <c r="C261" s="1">
        <v>968840</v>
      </c>
      <c r="D261" s="3">
        <v>0.76999999999999602</v>
      </c>
      <c r="E261" s="3">
        <v>1.6045009376953501</v>
      </c>
      <c r="F261" s="3">
        <v>1.6044910673536901</v>
      </c>
      <c r="G261" s="3">
        <v>61.759219999999999</v>
      </c>
      <c r="H261" s="3">
        <v>1621.03824726983</v>
      </c>
      <c r="I261" s="3">
        <v>48.48</v>
      </c>
      <c r="J261" s="3">
        <v>49.17</v>
      </c>
      <c r="K261" s="3">
        <v>48.35</v>
      </c>
      <c r="L261" s="3">
        <v>1258.7902330514701</v>
      </c>
    </row>
    <row r="262" spans="1:12" ht="15" customHeight="1" x14ac:dyDescent="0.2">
      <c r="A262" s="2">
        <v>45673</v>
      </c>
      <c r="B262" s="3">
        <v>47.99</v>
      </c>
      <c r="C262" s="1">
        <v>1375910</v>
      </c>
      <c r="D262" s="3">
        <v>-0.97999999999999599</v>
      </c>
      <c r="E262" s="3">
        <v>-2.0012252399428099</v>
      </c>
      <c r="F262" s="3">
        <v>-2.0012233735282798</v>
      </c>
      <c r="G262" s="3">
        <v>60.783946999999998</v>
      </c>
      <c r="H262" s="3">
        <v>1593.8604083248199</v>
      </c>
      <c r="I262" s="3">
        <v>48.86</v>
      </c>
      <c r="J262" s="3">
        <v>49.36</v>
      </c>
      <c r="K262" s="3">
        <v>47.875</v>
      </c>
      <c r="L262" s="3">
        <v>1237.33271706604</v>
      </c>
    </row>
    <row r="263" spans="1:12" ht="15" customHeight="1" x14ac:dyDescent="0.2">
      <c r="A263" s="2">
        <v>45672</v>
      </c>
      <c r="B263" s="3">
        <v>48.97</v>
      </c>
      <c r="C263" s="1">
        <v>1392312</v>
      </c>
      <c r="D263" s="3">
        <v>-0.67000000000000104</v>
      </c>
      <c r="E263" s="3">
        <v>-1.34971796937953</v>
      </c>
      <c r="F263" s="3">
        <v>-1.3497189530206699</v>
      </c>
      <c r="G263" s="3">
        <v>62.025210000000001</v>
      </c>
      <c r="H263" s="3">
        <v>1628.45056503212</v>
      </c>
      <c r="I263" s="3">
        <v>50.64</v>
      </c>
      <c r="J263" s="3">
        <v>51</v>
      </c>
      <c r="K263" s="3">
        <v>48.5</v>
      </c>
      <c r="L263" s="3">
        <v>1264.64228286568</v>
      </c>
    </row>
    <row r="264" spans="1:12" ht="15" customHeight="1" x14ac:dyDescent="0.2">
      <c r="A264" s="2">
        <v>45671</v>
      </c>
      <c r="B264" s="3">
        <v>49.64</v>
      </c>
      <c r="C264" s="1">
        <v>1187180</v>
      </c>
      <c r="D264" s="3">
        <v>1.07</v>
      </c>
      <c r="E264" s="3">
        <v>2.2030059707638299</v>
      </c>
      <c r="F264" s="3">
        <v>2.2030095953140698</v>
      </c>
      <c r="G264" s="3">
        <v>62.873829999999998</v>
      </c>
      <c r="H264" s="3">
        <v>1652.09897700038</v>
      </c>
      <c r="I264" s="3">
        <v>49.35</v>
      </c>
      <c r="J264" s="3">
        <v>50.11</v>
      </c>
      <c r="K264" s="3">
        <v>48.82</v>
      </c>
      <c r="L264" s="3">
        <v>1283.3131084633901</v>
      </c>
    </row>
    <row r="265" spans="1:12" ht="15" customHeight="1" x14ac:dyDescent="0.2">
      <c r="A265" s="2">
        <v>45670</v>
      </c>
      <c r="B265" s="3">
        <v>48.57</v>
      </c>
      <c r="C265" s="1">
        <v>1623383</v>
      </c>
      <c r="D265" s="3">
        <v>-0.32</v>
      </c>
      <c r="E265" s="3">
        <v>-0.65453057885047605</v>
      </c>
      <c r="F265" s="3">
        <v>-0.65452939964356605</v>
      </c>
      <c r="G265" s="3">
        <v>61.518569999999997</v>
      </c>
      <c r="H265" s="3">
        <v>1614.3320768517899</v>
      </c>
      <c r="I265" s="3">
        <v>48.24</v>
      </c>
      <c r="J265" s="3">
        <v>48.62</v>
      </c>
      <c r="K265" s="3">
        <v>47.2</v>
      </c>
      <c r="L265" s="3">
        <v>1253.4955213148</v>
      </c>
    </row>
    <row r="266" spans="1:12" ht="15" customHeight="1" x14ac:dyDescent="0.2">
      <c r="A266" s="2">
        <v>45667</v>
      </c>
      <c r="B266" s="3">
        <v>48.89</v>
      </c>
      <c r="C266" s="1">
        <v>1861387</v>
      </c>
      <c r="D266" s="3">
        <v>-0.83999999999999597</v>
      </c>
      <c r="E266" s="3">
        <v>-1.6891212547757799</v>
      </c>
      <c r="F266" s="3">
        <v>-1.6891202140350301</v>
      </c>
      <c r="G266" s="3">
        <v>61.923879999999997</v>
      </c>
      <c r="H266" s="3">
        <v>1625.62681166225</v>
      </c>
      <c r="I266" s="3">
        <v>49.18</v>
      </c>
      <c r="J266" s="3">
        <v>49.24</v>
      </c>
      <c r="K266" s="3">
        <v>47.9</v>
      </c>
      <c r="L266" s="3">
        <v>1262.4129305555</v>
      </c>
    </row>
    <row r="267" spans="1:12" ht="15" customHeight="1" x14ac:dyDescent="0.2">
      <c r="A267" s="2">
        <v>45665</v>
      </c>
      <c r="B267" s="3">
        <v>49.73</v>
      </c>
      <c r="C267" s="1">
        <v>1490980</v>
      </c>
      <c r="D267" s="3">
        <v>-0.72000000000000597</v>
      </c>
      <c r="E267" s="3">
        <v>-1.4271555996035801</v>
      </c>
      <c r="F267" s="3">
        <v>-1.42716156440806</v>
      </c>
      <c r="G267" s="3">
        <v>62.987819999999999</v>
      </c>
      <c r="H267" s="3">
        <v>1655.2755253733401</v>
      </c>
      <c r="I267" s="3">
        <v>49.1</v>
      </c>
      <c r="J267" s="3">
        <v>50.1</v>
      </c>
      <c r="K267" s="3">
        <v>48.25</v>
      </c>
      <c r="L267" s="3">
        <v>1285.8211298123399</v>
      </c>
    </row>
    <row r="268" spans="1:12" ht="15" customHeight="1" x14ac:dyDescent="0.2">
      <c r="A268" s="2">
        <v>45664</v>
      </c>
      <c r="B268" s="3">
        <v>50.45</v>
      </c>
      <c r="C268" s="1">
        <v>1634805</v>
      </c>
      <c r="D268" s="3">
        <v>0.190000000000004</v>
      </c>
      <c r="E268" s="3">
        <v>0.37803422204536402</v>
      </c>
      <c r="F268" s="3">
        <v>0.378041699134534</v>
      </c>
      <c r="G268" s="3">
        <v>63.899773000000003</v>
      </c>
      <c r="H268" s="3">
        <v>1680.6888319648499</v>
      </c>
      <c r="I268" s="3">
        <v>50.65</v>
      </c>
      <c r="J268" s="3">
        <v>51.808199999999999</v>
      </c>
      <c r="K268" s="3">
        <v>49.81</v>
      </c>
      <c r="L268" s="3">
        <v>1305.8853006039101</v>
      </c>
    </row>
    <row r="269" spans="1:12" ht="15" customHeight="1" x14ac:dyDescent="0.2">
      <c r="A269" s="2">
        <v>45663</v>
      </c>
      <c r="B269" s="3">
        <v>50.26</v>
      </c>
      <c r="C269" s="1">
        <v>1483613</v>
      </c>
      <c r="D269" s="3">
        <v>0.78000000000000103</v>
      </c>
      <c r="E269" s="3">
        <v>1.57639450282942</v>
      </c>
      <c r="F269" s="3">
        <v>1.57638983396719</v>
      </c>
      <c r="G269" s="3">
        <v>63.659115</v>
      </c>
      <c r="H269" s="3">
        <v>1673.9824386115699</v>
      </c>
      <c r="I269" s="3">
        <v>49.39</v>
      </c>
      <c r="J269" s="3">
        <v>50.51</v>
      </c>
      <c r="K269" s="3">
        <v>49.265000000000001</v>
      </c>
      <c r="L269" s="3">
        <v>1300.5905888672401</v>
      </c>
    </row>
    <row r="270" spans="1:12" ht="15" customHeight="1" x14ac:dyDescent="0.2">
      <c r="A270" s="2">
        <v>45660</v>
      </c>
      <c r="B270" s="3">
        <v>49.48</v>
      </c>
      <c r="C270" s="1">
        <v>1186792</v>
      </c>
      <c r="D270" s="3">
        <v>0.97999999999999599</v>
      </c>
      <c r="E270" s="3">
        <v>2.02061855670101</v>
      </c>
      <c r="F270" s="3">
        <v>2.0206166670274999</v>
      </c>
      <c r="G270" s="3">
        <v>62.671173000000003</v>
      </c>
      <c r="H270" s="3">
        <v>1646.45155386134</v>
      </c>
      <c r="I270" s="3">
        <v>48.64</v>
      </c>
      <c r="J270" s="3">
        <v>49.6</v>
      </c>
      <c r="K270" s="3">
        <v>48.04</v>
      </c>
      <c r="L270" s="3">
        <v>1278.85440384304</v>
      </c>
    </row>
    <row r="271" spans="1:12" ht="15" customHeight="1" x14ac:dyDescent="0.2">
      <c r="A271" s="2">
        <v>45659</v>
      </c>
      <c r="B271" s="3">
        <v>48.5</v>
      </c>
      <c r="C271" s="1">
        <v>779961</v>
      </c>
      <c r="D271" s="3">
        <v>1.06</v>
      </c>
      <c r="E271" s="3">
        <v>2.2344013490725101</v>
      </c>
      <c r="F271" s="3">
        <v>2.23440671296428</v>
      </c>
      <c r="G271" s="3">
        <v>61.42991</v>
      </c>
      <c r="H271" s="3">
        <v>1611.8613971540401</v>
      </c>
      <c r="I271" s="3">
        <v>47.96</v>
      </c>
      <c r="J271" s="3">
        <v>48.99</v>
      </c>
      <c r="K271" s="3">
        <v>47.835000000000001</v>
      </c>
      <c r="L271" s="3">
        <v>1251.5448380434</v>
      </c>
    </row>
    <row r="272" spans="1:12" ht="15" customHeight="1" x14ac:dyDescent="0.2">
      <c r="A272" s="2">
        <v>45657</v>
      </c>
      <c r="B272" s="3">
        <v>47.44</v>
      </c>
      <c r="C272" s="1">
        <v>722234</v>
      </c>
      <c r="D272" s="3">
        <v>7.0000000000000201E-2</v>
      </c>
      <c r="E272" s="3">
        <v>0.14777285201603699</v>
      </c>
      <c r="F272" s="3">
        <v>0.14777331751096801</v>
      </c>
      <c r="G272" s="3">
        <v>60.087314999999997</v>
      </c>
      <c r="H272" s="3">
        <v>1574.4474313430501</v>
      </c>
      <c r="I272" s="3">
        <v>47.55</v>
      </c>
      <c r="J272" s="3">
        <v>48.22</v>
      </c>
      <c r="K272" s="3">
        <v>47.33</v>
      </c>
      <c r="L272" s="3">
        <v>1222.0059199335899</v>
      </c>
    </row>
    <row r="273" spans="1:12" ht="15" customHeight="1" x14ac:dyDescent="0.2">
      <c r="A273" s="2">
        <v>45656</v>
      </c>
      <c r="B273" s="3">
        <v>47.37</v>
      </c>
      <c r="C273" s="1">
        <v>718151</v>
      </c>
      <c r="D273" s="3">
        <v>-0.62000000000000399</v>
      </c>
      <c r="E273" s="3">
        <v>-1.29193581996249</v>
      </c>
      <c r="F273" s="3">
        <v>-1.29194308490694</v>
      </c>
      <c r="G273" s="3">
        <v>59.998652999999997</v>
      </c>
      <c r="H273" s="3">
        <v>1571.97669591149</v>
      </c>
      <c r="I273" s="3">
        <v>47.15</v>
      </c>
      <c r="J273" s="3">
        <v>47.98</v>
      </c>
      <c r="K273" s="3">
        <v>46.84</v>
      </c>
      <c r="L273" s="3">
        <v>1220.0552366621801</v>
      </c>
    </row>
    <row r="274" spans="1:12" ht="15" customHeight="1" x14ac:dyDescent="0.2">
      <c r="A274" s="2">
        <v>45653</v>
      </c>
      <c r="B274" s="3">
        <v>47.99</v>
      </c>
      <c r="C274" s="1">
        <v>767967</v>
      </c>
      <c r="D274" s="3">
        <v>-0.51999999999999602</v>
      </c>
      <c r="E274" s="3">
        <v>-1.07194392908678</v>
      </c>
      <c r="F274" s="3">
        <v>-1.0719391410913199</v>
      </c>
      <c r="G274" s="3">
        <v>60.783946999999998</v>
      </c>
      <c r="H274" s="3">
        <v>1593.8604083248199</v>
      </c>
      <c r="I274" s="3">
        <v>47.89</v>
      </c>
      <c r="J274" s="3">
        <v>48.383200000000002</v>
      </c>
      <c r="K274" s="3">
        <v>47.49</v>
      </c>
      <c r="L274" s="3">
        <v>1237.33271706604</v>
      </c>
    </row>
    <row r="275" spans="1:12" ht="15" customHeight="1" x14ac:dyDescent="0.2">
      <c r="A275" s="2">
        <v>45652</v>
      </c>
      <c r="B275" s="3">
        <v>48.51</v>
      </c>
      <c r="C275" s="1">
        <v>710477</v>
      </c>
      <c r="D275" s="3">
        <v>0.439999999999997</v>
      </c>
      <c r="E275" s="3">
        <v>0.91533180778031697</v>
      </c>
      <c r="F275" s="3">
        <v>0.91532972185244199</v>
      </c>
      <c r="G275" s="3">
        <v>61.442574</v>
      </c>
      <c r="H275" s="3">
        <v>1612.2143036247401</v>
      </c>
      <c r="I275" s="3">
        <v>47.69</v>
      </c>
      <c r="J275" s="3">
        <v>48.64</v>
      </c>
      <c r="K275" s="3">
        <v>47.380400000000002</v>
      </c>
      <c r="L275" s="3">
        <v>1251.82350708217</v>
      </c>
    </row>
    <row r="276" spans="1:12" ht="15" customHeight="1" x14ac:dyDescent="0.2">
      <c r="A276" s="2">
        <v>45650</v>
      </c>
      <c r="B276" s="3">
        <v>48.07</v>
      </c>
      <c r="C276" s="1">
        <v>356822</v>
      </c>
      <c r="D276" s="3">
        <v>0.60000000000000098</v>
      </c>
      <c r="E276" s="3">
        <v>1.26395618285233</v>
      </c>
      <c r="F276" s="3">
        <v>1.2639534191561901</v>
      </c>
      <c r="G276" s="3">
        <v>60.885272999999998</v>
      </c>
      <c r="H276" s="3">
        <v>1596.68405022708</v>
      </c>
      <c r="I276" s="3">
        <v>47.8</v>
      </c>
      <c r="J276" s="3">
        <v>48.244999999999997</v>
      </c>
      <c r="K276" s="3">
        <v>47.5015</v>
      </c>
      <c r="L276" s="3">
        <v>1239.56206937621</v>
      </c>
    </row>
    <row r="277" spans="1:12" ht="15" customHeight="1" x14ac:dyDescent="0.2">
      <c r="A277" s="2">
        <v>45649</v>
      </c>
      <c r="B277" s="3">
        <v>47.47</v>
      </c>
      <c r="C277" s="1">
        <v>1196881</v>
      </c>
      <c r="D277" s="3">
        <v>-0.89999999999999802</v>
      </c>
      <c r="E277" s="3">
        <v>-1.8606574322927401</v>
      </c>
      <c r="F277" s="3">
        <v>-1.86065183770571</v>
      </c>
      <c r="G277" s="3">
        <v>60.125317000000003</v>
      </c>
      <c r="H277" s="3">
        <v>1575.5064294241899</v>
      </c>
      <c r="I277" s="3">
        <v>48.26</v>
      </c>
      <c r="J277" s="3">
        <v>48.26</v>
      </c>
      <c r="K277" s="3">
        <v>47.055</v>
      </c>
      <c r="L277" s="3">
        <v>1222.8419270499001</v>
      </c>
    </row>
    <row r="278" spans="1:12" ht="15" customHeight="1" x14ac:dyDescent="0.2">
      <c r="A278" s="2">
        <v>45646</v>
      </c>
      <c r="B278" s="3">
        <v>48.37</v>
      </c>
      <c r="C278" s="1">
        <v>1571578</v>
      </c>
      <c r="D278" s="3">
        <v>-0.160000000000003</v>
      </c>
      <c r="E278" s="3">
        <v>-0.329692973418516</v>
      </c>
      <c r="F278" s="3">
        <v>-0.32968913873635503</v>
      </c>
      <c r="G278" s="3">
        <v>61.265250000000002</v>
      </c>
      <c r="H278" s="3">
        <v>1607.2728327616201</v>
      </c>
      <c r="I278" s="3">
        <v>47.87</v>
      </c>
      <c r="J278" s="3">
        <v>49.07</v>
      </c>
      <c r="K278" s="3">
        <v>47.854999999999997</v>
      </c>
      <c r="L278" s="3">
        <v>1247.92214053937</v>
      </c>
    </row>
    <row r="279" spans="1:12" ht="15" customHeight="1" x14ac:dyDescent="0.2">
      <c r="A279" s="2">
        <v>45645</v>
      </c>
      <c r="B279" s="3">
        <v>48.53</v>
      </c>
      <c r="C279" s="1">
        <v>1077469</v>
      </c>
      <c r="D279" s="3">
        <v>0.96</v>
      </c>
      <c r="E279" s="3">
        <v>2.0180786209795998</v>
      </c>
      <c r="F279" s="3">
        <v>2.0180766863530901</v>
      </c>
      <c r="G279" s="3">
        <v>61.467903</v>
      </c>
      <c r="H279" s="3">
        <v>1612.9201444330399</v>
      </c>
      <c r="I279" s="3">
        <v>49.49</v>
      </c>
      <c r="J279" s="3">
        <v>49.75</v>
      </c>
      <c r="K279" s="3">
        <v>48.13</v>
      </c>
      <c r="L279" s="3">
        <v>1252.3808451597199</v>
      </c>
    </row>
    <row r="280" spans="1:12" ht="15" customHeight="1" x14ac:dyDescent="0.2">
      <c r="A280" s="2">
        <v>45644</v>
      </c>
      <c r="B280" s="3">
        <v>47.57</v>
      </c>
      <c r="C280" s="1">
        <v>1662826</v>
      </c>
      <c r="D280" s="3">
        <v>-2.82</v>
      </c>
      <c r="E280" s="3">
        <v>-5.5963484818416296</v>
      </c>
      <c r="F280" s="3">
        <v>-5.5963473923164404</v>
      </c>
      <c r="G280" s="3">
        <v>60.251972000000002</v>
      </c>
      <c r="H280" s="3">
        <v>1579.0359121347601</v>
      </c>
      <c r="I280" s="3">
        <v>50.42</v>
      </c>
      <c r="J280" s="3">
        <v>50.953299999999999</v>
      </c>
      <c r="K280" s="3">
        <v>47.354999999999997</v>
      </c>
      <c r="L280" s="3">
        <v>1225.6286174376201</v>
      </c>
    </row>
    <row r="281" spans="1:12" ht="15" customHeight="1" x14ac:dyDescent="0.2">
      <c r="A281" s="2">
        <v>45643</v>
      </c>
      <c r="B281" s="3">
        <v>50.39</v>
      </c>
      <c r="C281" s="1">
        <v>1395345</v>
      </c>
      <c r="D281" s="3">
        <v>-0.96999999999999797</v>
      </c>
      <c r="E281" s="3">
        <v>-1.8886292834890901</v>
      </c>
      <c r="F281" s="3">
        <v>-1.8886381644230701</v>
      </c>
      <c r="G281" s="3">
        <v>63.823771999999998</v>
      </c>
      <c r="H281" s="3">
        <v>1678.57091940328</v>
      </c>
      <c r="I281" s="3">
        <v>51.1</v>
      </c>
      <c r="J281" s="3">
        <v>51.3</v>
      </c>
      <c r="K281" s="3">
        <v>49.85</v>
      </c>
      <c r="L281" s="3">
        <v>1304.21328637128</v>
      </c>
    </row>
    <row r="282" spans="1:12" ht="15" customHeight="1" x14ac:dyDescent="0.2">
      <c r="A282" s="2">
        <v>45642</v>
      </c>
      <c r="B282" s="3">
        <v>51.36</v>
      </c>
      <c r="C282" s="1">
        <v>1133640</v>
      </c>
      <c r="D282" s="3">
        <v>1.49</v>
      </c>
      <c r="E282" s="3">
        <v>2.9877681973130099</v>
      </c>
      <c r="F282" s="3">
        <v>2.9877776574934201</v>
      </c>
      <c r="G282" s="3">
        <v>65.052375999999995</v>
      </c>
      <c r="H282" s="3">
        <v>1712.8083089744</v>
      </c>
      <c r="I282" s="3">
        <v>50.06</v>
      </c>
      <c r="J282" s="3">
        <v>51.8</v>
      </c>
      <c r="K282" s="3">
        <v>50.05</v>
      </c>
      <c r="L282" s="3">
        <v>1331.2441831321501</v>
      </c>
    </row>
    <row r="283" spans="1:12" ht="15" customHeight="1" x14ac:dyDescent="0.2">
      <c r="A283" s="2">
        <v>45639</v>
      </c>
      <c r="B283" s="3">
        <v>49.87</v>
      </c>
      <c r="C283" s="1">
        <v>870050</v>
      </c>
      <c r="D283" s="3">
        <v>-9.0000000000003397E-2</v>
      </c>
      <c r="E283" s="3">
        <v>-0.18014411529223501</v>
      </c>
      <c r="F283" s="3">
        <v>-0.18014626210847101</v>
      </c>
      <c r="G283" s="3">
        <v>63.165142000000003</v>
      </c>
      <c r="H283" s="3">
        <v>1660.21694050265</v>
      </c>
      <c r="I283" s="3">
        <v>50.03</v>
      </c>
      <c r="J283" s="3">
        <v>50.38</v>
      </c>
      <c r="K283" s="3">
        <v>49.33</v>
      </c>
      <c r="L283" s="3">
        <v>1289.72249635514</v>
      </c>
    </row>
    <row r="284" spans="1:12" ht="15" customHeight="1" x14ac:dyDescent="0.2">
      <c r="A284" s="2">
        <v>45638</v>
      </c>
      <c r="B284" s="3">
        <v>49.96</v>
      </c>
      <c r="C284" s="1">
        <v>874840</v>
      </c>
      <c r="D284" s="3">
        <v>-0.109999999999999</v>
      </c>
      <c r="E284" s="3">
        <v>-0.21969243059716201</v>
      </c>
      <c r="F284" s="3">
        <v>-0.21969626669456899</v>
      </c>
      <c r="G284" s="3">
        <v>63.279136999999999</v>
      </c>
      <c r="H284" s="3">
        <v>1663.3936282101299</v>
      </c>
      <c r="I284" s="3">
        <v>50.08</v>
      </c>
      <c r="J284" s="3">
        <v>51.09</v>
      </c>
      <c r="K284" s="3">
        <v>49.890999999999998</v>
      </c>
      <c r="L284" s="3">
        <v>1292.2305177040901</v>
      </c>
    </row>
    <row r="285" spans="1:12" ht="15" customHeight="1" x14ac:dyDescent="0.2">
      <c r="A285" s="2">
        <v>45637</v>
      </c>
      <c r="B285" s="3">
        <v>50.07</v>
      </c>
      <c r="C285" s="1">
        <v>900276</v>
      </c>
      <c r="D285" s="3">
        <v>-0.71</v>
      </c>
      <c r="E285" s="3">
        <v>-1.3981882630957101</v>
      </c>
      <c r="F285" s="3">
        <v>-1.39819101258984</v>
      </c>
      <c r="G285" s="3">
        <v>63.418464999999998</v>
      </c>
      <c r="H285" s="3">
        <v>1667.2762681935301</v>
      </c>
      <c r="I285" s="3">
        <v>50.93</v>
      </c>
      <c r="J285" s="3">
        <v>51.49</v>
      </c>
      <c r="K285" s="3">
        <v>49.965000000000003</v>
      </c>
      <c r="L285" s="3">
        <v>1295.29587713058</v>
      </c>
    </row>
    <row r="286" spans="1:12" ht="15" customHeight="1" x14ac:dyDescent="0.2">
      <c r="A286" s="2">
        <v>45636</v>
      </c>
      <c r="B286" s="3">
        <v>50.78</v>
      </c>
      <c r="C286" s="1">
        <v>1205319</v>
      </c>
      <c r="D286" s="3">
        <v>2.02</v>
      </c>
      <c r="E286" s="3">
        <v>4.1427399507793297</v>
      </c>
      <c r="F286" s="3">
        <v>4.1427498598589798</v>
      </c>
      <c r="G286" s="3">
        <v>64.317750000000004</v>
      </c>
      <c r="H286" s="3">
        <v>1692.33655684672</v>
      </c>
      <c r="I286" s="3">
        <v>49.09</v>
      </c>
      <c r="J286" s="3">
        <v>51.18</v>
      </c>
      <c r="K286" s="3">
        <v>48.26</v>
      </c>
      <c r="L286" s="3">
        <v>1315.08137888338</v>
      </c>
    </row>
    <row r="287" spans="1:12" ht="15" customHeight="1" x14ac:dyDescent="0.2">
      <c r="A287" s="2">
        <v>45635</v>
      </c>
      <c r="B287" s="3">
        <v>48.76</v>
      </c>
      <c r="C287" s="1">
        <v>1191756</v>
      </c>
      <c r="D287" s="3">
        <v>-1.1599999999999999</v>
      </c>
      <c r="E287" s="3">
        <v>-2.3237179487179498</v>
      </c>
      <c r="F287" s="3">
        <v>-2.3237220623100798</v>
      </c>
      <c r="G287" s="3">
        <v>61.759219999999999</v>
      </c>
      <c r="H287" s="3">
        <v>1621.03824726983</v>
      </c>
      <c r="I287" s="3">
        <v>50.35</v>
      </c>
      <c r="J287" s="3">
        <v>50.43</v>
      </c>
      <c r="K287" s="3">
        <v>48.6</v>
      </c>
      <c r="L287" s="3">
        <v>1258.7902330514701</v>
      </c>
    </row>
    <row r="288" spans="1:12" ht="15" customHeight="1" x14ac:dyDescent="0.2">
      <c r="A288" s="2">
        <v>45632</v>
      </c>
      <c r="B288" s="3">
        <v>49.92</v>
      </c>
      <c r="C288" s="1">
        <v>1014722</v>
      </c>
      <c r="D288" s="3">
        <v>-0.50999999999999801</v>
      </c>
      <c r="E288" s="3">
        <v>-1.01130279595478</v>
      </c>
      <c r="F288" s="3">
        <v>-1.0113059308230301</v>
      </c>
      <c r="G288" s="3">
        <v>63.228473999999999</v>
      </c>
      <c r="H288" s="3">
        <v>1661.9818072590001</v>
      </c>
      <c r="I288" s="3">
        <v>50.96</v>
      </c>
      <c r="J288" s="3">
        <v>51.73</v>
      </c>
      <c r="K288" s="3">
        <v>49.89</v>
      </c>
      <c r="L288" s="3">
        <v>1291.1158415489999</v>
      </c>
    </row>
    <row r="289" spans="1:12" ht="15" customHeight="1" x14ac:dyDescent="0.2">
      <c r="A289" s="2">
        <v>45631</v>
      </c>
      <c r="B289" s="3">
        <v>50.43</v>
      </c>
      <c r="C289" s="1">
        <v>1053259</v>
      </c>
      <c r="D289" s="3">
        <v>-0.74000000000000199</v>
      </c>
      <c r="E289" s="3">
        <v>-1.44615985929256</v>
      </c>
      <c r="F289" s="3">
        <v>-1.44614907113858</v>
      </c>
      <c r="G289" s="3">
        <v>63.87444</v>
      </c>
      <c r="H289" s="3">
        <v>1679.9828796889301</v>
      </c>
      <c r="I289" s="3">
        <v>51.95</v>
      </c>
      <c r="J289" s="3">
        <v>52.1</v>
      </c>
      <c r="K289" s="3">
        <v>50.2</v>
      </c>
      <c r="L289" s="3">
        <v>1305.3279625263699</v>
      </c>
    </row>
    <row r="290" spans="1:12" ht="15" customHeight="1" x14ac:dyDescent="0.2">
      <c r="A290" s="2">
        <v>45630</v>
      </c>
      <c r="B290" s="3">
        <v>51.17</v>
      </c>
      <c r="C290" s="1">
        <v>1133013</v>
      </c>
      <c r="D290" s="3">
        <v>1.06</v>
      </c>
      <c r="E290" s="3">
        <v>2.1153462382758002</v>
      </c>
      <c r="F290" s="3">
        <v>2.1153370816753498</v>
      </c>
      <c r="G290" s="3">
        <v>64.811713999999995</v>
      </c>
      <c r="H290" s="3">
        <v>1706.1018041535101</v>
      </c>
      <c r="I290" s="3">
        <v>50.15</v>
      </c>
      <c r="J290" s="3">
        <v>51.23</v>
      </c>
      <c r="K290" s="3">
        <v>50</v>
      </c>
      <c r="L290" s="3">
        <v>1325.94947139548</v>
      </c>
    </row>
    <row r="291" spans="1:12" ht="15" customHeight="1" x14ac:dyDescent="0.2">
      <c r="A291" s="2">
        <v>45629</v>
      </c>
      <c r="B291" s="3">
        <v>50.11</v>
      </c>
      <c r="C291" s="1">
        <v>1741533</v>
      </c>
      <c r="D291" s="3">
        <v>0.56000000000000205</v>
      </c>
      <c r="E291" s="3">
        <v>1.1301715438950499</v>
      </c>
      <c r="F291" s="3">
        <v>1.13017188668791</v>
      </c>
      <c r="G291" s="3">
        <v>63.469127999999998</v>
      </c>
      <c r="H291" s="3">
        <v>1668.6880891446599</v>
      </c>
      <c r="I291" s="3">
        <v>49.55</v>
      </c>
      <c r="J291" s="3">
        <v>50.61</v>
      </c>
      <c r="K291" s="3">
        <v>49.55</v>
      </c>
      <c r="L291" s="3">
        <v>1296.4105532856699</v>
      </c>
    </row>
    <row r="292" spans="1:12" ht="15" customHeight="1" x14ac:dyDescent="0.2">
      <c r="A292" s="2">
        <v>45628</v>
      </c>
      <c r="B292" s="3">
        <v>49.55</v>
      </c>
      <c r="C292" s="1">
        <v>1370017</v>
      </c>
      <c r="D292" s="3">
        <v>-1.0900000000000001</v>
      </c>
      <c r="E292" s="3">
        <v>-2.1524486571879899</v>
      </c>
      <c r="F292" s="3">
        <v>-2.15245828567098</v>
      </c>
      <c r="G292" s="3">
        <v>62.759833999999998</v>
      </c>
      <c r="H292" s="3">
        <v>1648.922261426</v>
      </c>
      <c r="I292" s="3">
        <v>50.78</v>
      </c>
      <c r="J292" s="3">
        <v>50.78</v>
      </c>
      <c r="K292" s="3">
        <v>48.935000000000002</v>
      </c>
      <c r="L292" s="3">
        <v>1280.8050871144401</v>
      </c>
    </row>
    <row r="293" spans="1:12" ht="15" customHeight="1" x14ac:dyDescent="0.2">
      <c r="A293" s="2">
        <v>45625</v>
      </c>
      <c r="B293" s="3">
        <v>50.64</v>
      </c>
      <c r="C293" s="1">
        <v>502153</v>
      </c>
      <c r="D293" s="3">
        <v>0.89999999999999802</v>
      </c>
      <c r="E293" s="3">
        <v>1.8094089264173601</v>
      </c>
      <c r="F293" s="3">
        <v>1.80941449820468</v>
      </c>
      <c r="G293" s="3">
        <v>64.140429999999995</v>
      </c>
      <c r="H293" s="3">
        <v>1687.3951974512199</v>
      </c>
      <c r="I293" s="3">
        <v>50.37</v>
      </c>
      <c r="J293" s="3">
        <v>50.94</v>
      </c>
      <c r="K293" s="3">
        <v>50.21</v>
      </c>
      <c r="L293" s="3">
        <v>1311.1800123405701</v>
      </c>
    </row>
    <row r="294" spans="1:12" ht="15" customHeight="1" x14ac:dyDescent="0.2">
      <c r="A294" s="2">
        <v>45623</v>
      </c>
      <c r="B294" s="3">
        <v>49.74</v>
      </c>
      <c r="C294" s="1">
        <v>1104589</v>
      </c>
      <c r="D294" s="3">
        <v>0.89</v>
      </c>
      <c r="E294" s="3">
        <v>1.8219037871033801</v>
      </c>
      <c r="F294" s="3">
        <v>1.8219111452346399</v>
      </c>
      <c r="G294" s="3">
        <v>63.000489999999999</v>
      </c>
      <c r="H294" s="3">
        <v>1655.6285990454601</v>
      </c>
      <c r="I294" s="3">
        <v>49.12</v>
      </c>
      <c r="J294" s="3">
        <v>50.22</v>
      </c>
      <c r="K294" s="3">
        <v>49.1</v>
      </c>
      <c r="L294" s="3">
        <v>1286.0997988511101</v>
      </c>
    </row>
    <row r="295" spans="1:12" ht="15" customHeight="1" x14ac:dyDescent="0.2">
      <c r="A295" s="2">
        <v>45622</v>
      </c>
      <c r="B295" s="3">
        <v>48.85</v>
      </c>
      <c r="C295" s="1">
        <v>1001379</v>
      </c>
      <c r="D295" s="3">
        <v>7.9999999999998295E-2</v>
      </c>
      <c r="E295" s="3">
        <v>0.16403526758252901</v>
      </c>
      <c r="F295" s="3">
        <v>0.16403092086061299</v>
      </c>
      <c r="G295" s="3">
        <v>61.873215000000002</v>
      </c>
      <c r="H295" s="3">
        <v>1624.2149349773099</v>
      </c>
      <c r="I295" s="3">
        <v>48.6</v>
      </c>
      <c r="J295" s="3">
        <v>48.92</v>
      </c>
      <c r="K295" s="3">
        <v>48.26</v>
      </c>
      <c r="L295" s="3">
        <v>1261.2982544004201</v>
      </c>
    </row>
    <row r="296" spans="1:12" ht="15" customHeight="1" x14ac:dyDescent="0.2">
      <c r="A296" s="2">
        <v>45621</v>
      </c>
      <c r="B296" s="3">
        <v>48.77</v>
      </c>
      <c r="C296" s="1">
        <v>1756944</v>
      </c>
      <c r="D296" s="3">
        <v>2.21</v>
      </c>
      <c r="E296" s="3">
        <v>4.7465635738831597</v>
      </c>
      <c r="F296" s="3">
        <v>4.7465630417918803</v>
      </c>
      <c r="G296" s="3">
        <v>61.771889999999999</v>
      </c>
      <c r="H296" s="3">
        <v>1621.39132094196</v>
      </c>
      <c r="I296" s="3">
        <v>46.9</v>
      </c>
      <c r="J296" s="3">
        <v>49.84</v>
      </c>
      <c r="K296" s="3">
        <v>46.9</v>
      </c>
      <c r="L296" s="3">
        <v>1259.06890209024</v>
      </c>
    </row>
    <row r="297" spans="1:12" ht="15" customHeight="1" x14ac:dyDescent="0.2">
      <c r="A297" s="2">
        <v>45618</v>
      </c>
      <c r="B297" s="3">
        <v>46.56</v>
      </c>
      <c r="C297" s="1">
        <v>906768</v>
      </c>
      <c r="D297" s="3">
        <v>0.219999999999998</v>
      </c>
      <c r="E297" s="3">
        <v>0.47475183426843798</v>
      </c>
      <c r="F297" s="3">
        <v>0.47475502631781902</v>
      </c>
      <c r="G297" s="3">
        <v>58.972712999999999</v>
      </c>
      <c r="H297" s="3">
        <v>1543.3869245477299</v>
      </c>
      <c r="I297" s="3">
        <v>46.38</v>
      </c>
      <c r="J297" s="3">
        <v>47.23</v>
      </c>
      <c r="K297" s="3">
        <v>46.05</v>
      </c>
      <c r="L297" s="3">
        <v>1197.4830445216701</v>
      </c>
    </row>
    <row r="298" spans="1:12" ht="15" customHeight="1" x14ac:dyDescent="0.2">
      <c r="A298" s="2">
        <v>45617</v>
      </c>
      <c r="B298" s="3">
        <v>46.34</v>
      </c>
      <c r="C298" s="1">
        <v>740735</v>
      </c>
      <c r="D298" s="3">
        <v>-0.28999999999999898</v>
      </c>
      <c r="E298" s="3">
        <v>-0.62191722067338395</v>
      </c>
      <c r="F298" s="3">
        <v>-0.62192084082024401</v>
      </c>
      <c r="G298" s="3">
        <v>58.69406</v>
      </c>
      <c r="H298" s="3">
        <v>1535.62172818164</v>
      </c>
      <c r="I298" s="3">
        <v>46.45</v>
      </c>
      <c r="J298" s="3">
        <v>46.869300000000003</v>
      </c>
      <c r="K298" s="3">
        <v>46.09</v>
      </c>
      <c r="L298" s="3">
        <v>1191.3523256686899</v>
      </c>
    </row>
    <row r="299" spans="1:12" ht="15" customHeight="1" x14ac:dyDescent="0.2">
      <c r="A299" s="2">
        <v>45616</v>
      </c>
      <c r="B299" s="3">
        <v>46.63</v>
      </c>
      <c r="C299" s="1">
        <v>705373</v>
      </c>
      <c r="D299" s="3">
        <v>6.0000000000002197E-2</v>
      </c>
      <c r="E299" s="3">
        <v>0.12883830792356199</v>
      </c>
      <c r="F299" s="3">
        <v>0.12883701012014101</v>
      </c>
      <c r="G299" s="3">
        <v>59.061374999999998</v>
      </c>
      <c r="H299" s="3">
        <v>1545.85765997929</v>
      </c>
      <c r="I299" s="3">
        <v>46.31</v>
      </c>
      <c r="J299" s="3">
        <v>46.65</v>
      </c>
      <c r="K299" s="3">
        <v>45.75</v>
      </c>
      <c r="L299" s="3">
        <v>1199.4337277930699</v>
      </c>
    </row>
    <row r="300" spans="1:12" ht="15" customHeight="1" x14ac:dyDescent="0.2">
      <c r="A300" s="2">
        <v>45615</v>
      </c>
      <c r="B300" s="3">
        <v>46.57</v>
      </c>
      <c r="C300" s="1">
        <v>924497</v>
      </c>
      <c r="D300" s="3">
        <v>-0.39999999999999802</v>
      </c>
      <c r="E300" s="3">
        <v>-0.85160740898445597</v>
      </c>
      <c r="F300" s="3">
        <v>-0.85161001425064697</v>
      </c>
      <c r="G300" s="3">
        <v>58.985379999999999</v>
      </c>
      <c r="H300" s="3">
        <v>1543.7399146191501</v>
      </c>
      <c r="I300" s="3">
        <v>46.11</v>
      </c>
      <c r="J300" s="3">
        <v>47.06</v>
      </c>
      <c r="K300" s="3">
        <v>46.01</v>
      </c>
      <c r="L300" s="3">
        <v>1197.7617135604401</v>
      </c>
    </row>
    <row r="301" spans="1:12" ht="15" customHeight="1" x14ac:dyDescent="0.2">
      <c r="A301" s="2">
        <v>45614</v>
      </c>
      <c r="B301" s="3">
        <v>46.97</v>
      </c>
      <c r="C301" s="1">
        <v>933286</v>
      </c>
      <c r="D301" s="3">
        <v>-1.0900000000000001</v>
      </c>
      <c r="E301" s="3">
        <v>-2.26799833541406</v>
      </c>
      <c r="F301" s="3">
        <v>-2.2679986943224502</v>
      </c>
      <c r="G301" s="3">
        <v>59.492019999999997</v>
      </c>
      <c r="H301" s="3">
        <v>1557.85840279948</v>
      </c>
      <c r="I301" s="3">
        <v>48.32</v>
      </c>
      <c r="J301" s="3">
        <v>48.747999999999998</v>
      </c>
      <c r="K301" s="3">
        <v>46.42</v>
      </c>
      <c r="L301" s="3">
        <v>1208.9084751113101</v>
      </c>
    </row>
    <row r="302" spans="1:12" ht="15" customHeight="1" x14ac:dyDescent="0.2">
      <c r="A302" s="2">
        <v>45611</v>
      </c>
      <c r="B302" s="3">
        <v>48.06</v>
      </c>
      <c r="C302" s="1">
        <v>746075</v>
      </c>
      <c r="D302" s="3">
        <v>-3.9999999999999099E-2</v>
      </c>
      <c r="E302" s="3">
        <v>-8.3160083160083095E-2</v>
      </c>
      <c r="F302" s="3">
        <v>-8.3148856741388499E-2</v>
      </c>
      <c r="G302" s="3">
        <v>60.872610000000002</v>
      </c>
      <c r="H302" s="3">
        <v>1596.3311716232799</v>
      </c>
      <c r="I302" s="3">
        <v>48.48</v>
      </c>
      <c r="J302" s="3">
        <v>48.834099999999999</v>
      </c>
      <c r="K302" s="3">
        <v>47.73</v>
      </c>
      <c r="L302" s="3">
        <v>1239.2834003374401</v>
      </c>
    </row>
    <row r="303" spans="1:12" ht="15" customHeight="1" x14ac:dyDescent="0.2">
      <c r="A303" s="2">
        <v>45610</v>
      </c>
      <c r="B303" s="3">
        <v>48.1</v>
      </c>
      <c r="C303" s="1">
        <v>1016491</v>
      </c>
      <c r="D303" s="3">
        <v>-0.219999999999998</v>
      </c>
      <c r="E303" s="3">
        <v>-0.455298013245031</v>
      </c>
      <c r="F303" s="3">
        <v>-0.45530107552180699</v>
      </c>
      <c r="G303" s="3">
        <v>60.923267000000003</v>
      </c>
      <c r="H303" s="3">
        <v>1597.74282537299</v>
      </c>
      <c r="I303" s="3">
        <v>49.11</v>
      </c>
      <c r="J303" s="3">
        <v>49.65</v>
      </c>
      <c r="K303" s="3">
        <v>47.85</v>
      </c>
      <c r="L303" s="3">
        <v>1240.39807649253</v>
      </c>
    </row>
    <row r="304" spans="1:12" ht="15" customHeight="1" x14ac:dyDescent="0.2">
      <c r="A304" s="2">
        <v>45609</v>
      </c>
      <c r="B304" s="3">
        <v>48.32</v>
      </c>
      <c r="C304" s="1">
        <v>1294412</v>
      </c>
      <c r="D304" s="3">
        <v>0.310000000000002</v>
      </c>
      <c r="E304" s="3">
        <v>0.64569881274734098</v>
      </c>
      <c r="F304" s="3">
        <v>1.2080756218892199</v>
      </c>
      <c r="G304" s="3">
        <v>61.201920000000001</v>
      </c>
      <c r="H304" s="3">
        <v>1605.50802173908</v>
      </c>
      <c r="I304" s="3">
        <v>49.02</v>
      </c>
      <c r="J304" s="3">
        <v>49.49</v>
      </c>
      <c r="K304" s="3">
        <v>48.155000000000001</v>
      </c>
      <c r="L304" s="3">
        <v>1246.5287953455099</v>
      </c>
    </row>
    <row r="305" spans="1:12" ht="15" customHeight="1" x14ac:dyDescent="0.2">
      <c r="A305" s="2">
        <v>45608</v>
      </c>
      <c r="B305" s="3">
        <v>48.01</v>
      </c>
      <c r="C305" s="1">
        <v>1700402</v>
      </c>
      <c r="D305" s="3">
        <v>1.07</v>
      </c>
      <c r="E305" s="3">
        <v>2.27950575202386</v>
      </c>
      <c r="F305" s="3">
        <v>2.2795056320352902</v>
      </c>
      <c r="G305" s="3">
        <v>60.471380000000003</v>
      </c>
      <c r="H305" s="3">
        <v>1585.1501337806401</v>
      </c>
      <c r="I305" s="3">
        <v>47.33</v>
      </c>
      <c r="J305" s="3">
        <v>48.44</v>
      </c>
      <c r="K305" s="3">
        <v>47.29</v>
      </c>
      <c r="L305" s="3">
        <v>1237.89005514358</v>
      </c>
    </row>
    <row r="306" spans="1:12" ht="15" customHeight="1" x14ac:dyDescent="0.2">
      <c r="A306" s="2">
        <v>45607</v>
      </c>
      <c r="B306" s="3">
        <v>46.94</v>
      </c>
      <c r="C306" s="1">
        <v>1045303</v>
      </c>
      <c r="D306" s="3">
        <v>0.39</v>
      </c>
      <c r="E306" s="3">
        <v>0.83780880773363098</v>
      </c>
      <c r="F306" s="3">
        <v>0.83781289407056603</v>
      </c>
      <c r="G306" s="3">
        <v>59.123652999999997</v>
      </c>
      <c r="H306" s="3">
        <v>1547.59315501896</v>
      </c>
      <c r="I306" s="3">
        <v>47.37</v>
      </c>
      <c r="J306" s="3">
        <v>47.84</v>
      </c>
      <c r="K306" s="3">
        <v>46.7</v>
      </c>
      <c r="L306" s="3">
        <v>1208.0724679949999</v>
      </c>
    </row>
    <row r="307" spans="1:12" ht="15" customHeight="1" x14ac:dyDescent="0.2">
      <c r="A307" s="2">
        <v>45604</v>
      </c>
      <c r="B307" s="3">
        <v>46.55</v>
      </c>
      <c r="C307" s="1">
        <v>1345365</v>
      </c>
      <c r="D307" s="3">
        <v>-0.75</v>
      </c>
      <c r="E307" s="3">
        <v>-1.58562367864693</v>
      </c>
      <c r="F307" s="3">
        <v>-1.58562951080444</v>
      </c>
      <c r="G307" s="3">
        <v>58.632423000000003</v>
      </c>
      <c r="H307" s="3">
        <v>1533.9040958273699</v>
      </c>
      <c r="I307" s="3">
        <v>47.12</v>
      </c>
      <c r="J307" s="3">
        <v>47.32</v>
      </c>
      <c r="K307" s="3">
        <v>46.27</v>
      </c>
      <c r="L307" s="3">
        <v>1197.2043754828901</v>
      </c>
    </row>
    <row r="308" spans="1:12" ht="15" customHeight="1" x14ac:dyDescent="0.2">
      <c r="A308" s="2">
        <v>45603</v>
      </c>
      <c r="B308" s="3">
        <v>47.3</v>
      </c>
      <c r="C308" s="1">
        <v>1391107</v>
      </c>
      <c r="D308" s="3">
        <v>-2.1</v>
      </c>
      <c r="E308" s="3">
        <v>-4.2510121457489802</v>
      </c>
      <c r="F308" s="3">
        <v>-4.2510138830263804</v>
      </c>
      <c r="G308" s="3">
        <v>59.577095</v>
      </c>
      <c r="H308" s="3">
        <v>1560.2291796468301</v>
      </c>
      <c r="I308" s="3">
        <v>49.61</v>
      </c>
      <c r="J308" s="3">
        <v>49.63</v>
      </c>
      <c r="K308" s="3">
        <v>47.204999999999998</v>
      </c>
      <c r="L308" s="3">
        <v>1218.10455339078</v>
      </c>
    </row>
    <row r="309" spans="1:12" ht="15" customHeight="1" x14ac:dyDescent="0.2">
      <c r="A309" s="2">
        <v>45602</v>
      </c>
      <c r="B309" s="3">
        <v>49.4</v>
      </c>
      <c r="C309" s="1">
        <v>1821097</v>
      </c>
      <c r="D309" s="3">
        <v>2.67</v>
      </c>
      <c r="E309" s="3">
        <v>5.7136742991654197</v>
      </c>
      <c r="F309" s="3">
        <v>5.7136778708953804</v>
      </c>
      <c r="G309" s="3">
        <v>62.222168000000003</v>
      </c>
      <c r="H309" s="3">
        <v>1633.9391746859701</v>
      </c>
      <c r="I309" s="3">
        <v>49.03</v>
      </c>
      <c r="J309" s="3">
        <v>50.75</v>
      </c>
      <c r="K309" s="3">
        <v>48.75</v>
      </c>
      <c r="L309" s="3">
        <v>1276.62505153287</v>
      </c>
    </row>
    <row r="310" spans="1:12" ht="15" customHeight="1" x14ac:dyDescent="0.2">
      <c r="A310" s="2">
        <v>45601</v>
      </c>
      <c r="B310" s="3">
        <v>46.73</v>
      </c>
      <c r="C310" s="1">
        <v>1042239</v>
      </c>
      <c r="D310" s="3">
        <v>1.1799999999999899</v>
      </c>
      <c r="E310" s="3">
        <v>2.5905598243688202</v>
      </c>
      <c r="F310" s="3">
        <v>2.5905590077874598</v>
      </c>
      <c r="G310" s="3">
        <v>58.859146000000003</v>
      </c>
      <c r="H310" s="3">
        <v>1540.22216387511</v>
      </c>
      <c r="I310" s="3">
        <v>45.79</v>
      </c>
      <c r="J310" s="3">
        <v>46.875</v>
      </c>
      <c r="K310" s="3">
        <v>45.44</v>
      </c>
      <c r="L310" s="3">
        <v>1202.2204181807899</v>
      </c>
    </row>
    <row r="311" spans="1:12" ht="15" customHeight="1" x14ac:dyDescent="0.2">
      <c r="A311" s="2">
        <v>45600</v>
      </c>
      <c r="B311" s="3">
        <v>45.55</v>
      </c>
      <c r="C311" s="1">
        <v>1032316</v>
      </c>
      <c r="D311" s="3">
        <v>-0.27000000000000302</v>
      </c>
      <c r="E311" s="3">
        <v>-0.58926233085989599</v>
      </c>
      <c r="F311" s="3">
        <v>-0.58926118277652295</v>
      </c>
      <c r="G311" s="3">
        <v>57.372867999999997</v>
      </c>
      <c r="H311" s="3">
        <v>1498.80419771434</v>
      </c>
      <c r="I311" s="3">
        <v>45.63</v>
      </c>
      <c r="J311" s="3">
        <v>46.05</v>
      </c>
      <c r="K311" s="3">
        <v>45.11</v>
      </c>
      <c r="L311" s="3">
        <v>1169.3374716057101</v>
      </c>
    </row>
    <row r="312" spans="1:12" ht="15" customHeight="1" x14ac:dyDescent="0.2">
      <c r="A312" s="2">
        <v>45597</v>
      </c>
      <c r="B312" s="3">
        <v>45.82</v>
      </c>
      <c r="C312" s="1">
        <v>1028041.99999999</v>
      </c>
      <c r="D312" s="3">
        <v>-0.39999999999999802</v>
      </c>
      <c r="E312" s="3">
        <v>-0.86542622241453304</v>
      </c>
      <c r="F312" s="3">
        <v>-0.86543098386042605</v>
      </c>
      <c r="G312" s="3">
        <v>57.712947999999997</v>
      </c>
      <c r="H312" s="3">
        <v>1508.2811743848899</v>
      </c>
      <c r="I312" s="3">
        <v>46.39</v>
      </c>
      <c r="J312" s="3">
        <v>46.77</v>
      </c>
      <c r="K312" s="3">
        <v>45.58</v>
      </c>
      <c r="L312" s="3">
        <v>1176.8615356525499</v>
      </c>
    </row>
    <row r="313" spans="1:12" ht="15" customHeight="1" x14ac:dyDescent="0.2">
      <c r="A313" s="2">
        <v>45596</v>
      </c>
      <c r="B313" s="3">
        <v>46.22</v>
      </c>
      <c r="C313" s="1">
        <v>1217458</v>
      </c>
      <c r="D313" s="3">
        <v>-0.42000000000000098</v>
      </c>
      <c r="E313" s="3">
        <v>-0.90051457975987004</v>
      </c>
      <c r="F313" s="3">
        <v>-0.90050886204004998</v>
      </c>
      <c r="G313" s="3">
        <v>58.216774000000001</v>
      </c>
      <c r="H313" s="3">
        <v>1522.3212450977201</v>
      </c>
      <c r="I313" s="3">
        <v>46.33</v>
      </c>
      <c r="J313" s="3">
        <v>47.25</v>
      </c>
      <c r="K313" s="3">
        <v>45.89</v>
      </c>
      <c r="L313" s="3">
        <v>1188.0082972034199</v>
      </c>
    </row>
    <row r="314" spans="1:12" ht="15" customHeight="1" x14ac:dyDescent="0.2">
      <c r="A314" s="2">
        <v>45595</v>
      </c>
      <c r="B314" s="3">
        <v>46.64</v>
      </c>
      <c r="C314" s="1">
        <v>3733283</v>
      </c>
      <c r="D314" s="3">
        <v>3.78</v>
      </c>
      <c r="E314" s="3">
        <v>8.8194120391973794</v>
      </c>
      <c r="F314" s="3">
        <v>8.8194095592753303</v>
      </c>
      <c r="G314" s="3">
        <v>58.745784999999998</v>
      </c>
      <c r="H314" s="3">
        <v>1537.0631437846901</v>
      </c>
      <c r="I314" s="3">
        <v>46.5</v>
      </c>
      <c r="J314" s="3">
        <v>49.75</v>
      </c>
      <c r="K314" s="3">
        <v>46.482700000000001</v>
      </c>
      <c r="L314" s="3">
        <v>1199.7123968318399</v>
      </c>
    </row>
    <row r="315" spans="1:12" ht="15" customHeight="1" x14ac:dyDescent="0.2">
      <c r="A315" s="2">
        <v>45594</v>
      </c>
      <c r="B315" s="3">
        <v>42.86</v>
      </c>
      <c r="C315" s="1">
        <v>1537184</v>
      </c>
      <c r="D315" s="3">
        <v>-0.39</v>
      </c>
      <c r="E315" s="3">
        <v>-0.90173410404624699</v>
      </c>
      <c r="F315" s="3">
        <v>-0.901731138529693</v>
      </c>
      <c r="G315" s="3">
        <v>53.984656999999999</v>
      </c>
      <c r="H315" s="3">
        <v>1404.3852474617199</v>
      </c>
      <c r="I315" s="3">
        <v>43.13</v>
      </c>
      <c r="J315" s="3">
        <v>43.81</v>
      </c>
      <c r="K315" s="3">
        <v>42.780099999999997</v>
      </c>
      <c r="L315" s="3">
        <v>1094.3755001760901</v>
      </c>
    </row>
    <row r="316" spans="1:12" ht="15" customHeight="1" x14ac:dyDescent="0.2">
      <c r="A316" s="2">
        <v>45593</v>
      </c>
      <c r="B316" s="3">
        <v>43.25</v>
      </c>
      <c r="C316" s="1">
        <v>1277739</v>
      </c>
      <c r="D316" s="3">
        <v>1.21</v>
      </c>
      <c r="E316" s="3">
        <v>2.8782112274024798</v>
      </c>
      <c r="F316" s="3">
        <v>2.87820701913552</v>
      </c>
      <c r="G316" s="3">
        <v>54.475883000000003</v>
      </c>
      <c r="H316" s="3">
        <v>1418.0741951857001</v>
      </c>
      <c r="I316" s="3">
        <v>42.82</v>
      </c>
      <c r="J316" s="3">
        <v>43.4</v>
      </c>
      <c r="K316" s="3">
        <v>42.435000000000002</v>
      </c>
      <c r="L316" s="3">
        <v>1105.2435926881899</v>
      </c>
    </row>
    <row r="317" spans="1:12" ht="15" customHeight="1" x14ac:dyDescent="0.2">
      <c r="A317" s="2">
        <v>45590</v>
      </c>
      <c r="B317" s="3">
        <v>42.04</v>
      </c>
      <c r="C317" s="1">
        <v>727346</v>
      </c>
      <c r="D317" s="3">
        <v>0.53000000000000103</v>
      </c>
      <c r="E317" s="3">
        <v>1.27680077089857</v>
      </c>
      <c r="F317" s="3">
        <v>1.2768051075876501</v>
      </c>
      <c r="G317" s="3">
        <v>52.951819999999998</v>
      </c>
      <c r="H317" s="3">
        <v>1375.60327806193</v>
      </c>
      <c r="I317" s="3">
        <v>41.68</v>
      </c>
      <c r="J317" s="3">
        <v>42.6</v>
      </c>
      <c r="K317" s="3">
        <v>41.68</v>
      </c>
      <c r="L317" s="3">
        <v>1071.5246389967999</v>
      </c>
    </row>
    <row r="318" spans="1:12" ht="15" customHeight="1" x14ac:dyDescent="0.2">
      <c r="A318" s="2">
        <v>45589</v>
      </c>
      <c r="B318" s="3">
        <v>41.51</v>
      </c>
      <c r="C318" s="1">
        <v>942958</v>
      </c>
      <c r="D318" s="3"/>
      <c r="E318" s="3"/>
      <c r="F318" s="3"/>
      <c r="G318" s="3">
        <v>52.284252000000002</v>
      </c>
      <c r="H318" s="3">
        <v>1357.0002247744401</v>
      </c>
      <c r="I318" s="3">
        <v>41.48</v>
      </c>
      <c r="J318" s="3">
        <v>41.67</v>
      </c>
      <c r="K318" s="3">
        <v>40.717500000000001</v>
      </c>
      <c r="L318" s="3">
        <v>1056.75517994189</v>
      </c>
    </row>
    <row r="319" spans="1:12" ht="15" customHeight="1" x14ac:dyDescent="0.2">
      <c r="A319" s="2">
        <v>45588</v>
      </c>
      <c r="B319" s="3">
        <v>41.51</v>
      </c>
      <c r="C319" s="1">
        <v>733372</v>
      </c>
      <c r="D319" s="3">
        <v>-0.53000000000000103</v>
      </c>
      <c r="E319" s="3">
        <v>-1.2607040913415799</v>
      </c>
      <c r="F319" s="3">
        <v>-1.26070831937409</v>
      </c>
      <c r="G319" s="3">
        <v>52.284252000000002</v>
      </c>
      <c r="H319" s="3">
        <v>1357.0002247744401</v>
      </c>
      <c r="I319" s="3">
        <v>41.534999999999997</v>
      </c>
      <c r="J319" s="3">
        <v>42.14</v>
      </c>
      <c r="K319" s="3">
        <v>41.12</v>
      </c>
      <c r="L319" s="3">
        <v>1056.75517994189</v>
      </c>
    </row>
    <row r="320" spans="1:12" ht="15" customHeight="1" x14ac:dyDescent="0.2">
      <c r="A320" s="2">
        <v>45587</v>
      </c>
      <c r="B320" s="3">
        <v>42.04</v>
      </c>
      <c r="C320" s="1">
        <v>1365564</v>
      </c>
      <c r="D320" s="3">
        <v>-0.41000000000000297</v>
      </c>
      <c r="E320" s="3">
        <v>-0.96584216725560301</v>
      </c>
      <c r="F320" s="3">
        <v>-0.96584439659881305</v>
      </c>
      <c r="G320" s="3">
        <v>52.951819999999998</v>
      </c>
      <c r="H320" s="3">
        <v>1375.60327806193</v>
      </c>
      <c r="I320" s="3">
        <v>43.06</v>
      </c>
      <c r="J320" s="3">
        <v>43.51</v>
      </c>
      <c r="K320" s="3">
        <v>41.83</v>
      </c>
      <c r="L320" s="3">
        <v>1071.5246389967999</v>
      </c>
    </row>
    <row r="321" spans="1:12" ht="15" customHeight="1" x14ac:dyDescent="0.2">
      <c r="A321" s="2">
        <v>45586</v>
      </c>
      <c r="B321" s="3">
        <v>42.45</v>
      </c>
      <c r="C321" s="1">
        <v>1569977</v>
      </c>
      <c r="D321" s="3">
        <v>-0.56999999999999995</v>
      </c>
      <c r="E321" s="3">
        <v>-1.3249651324965099</v>
      </c>
      <c r="F321" s="3">
        <v>-1.3249649523232701</v>
      </c>
      <c r="G321" s="3">
        <v>53.468240000000002</v>
      </c>
      <c r="H321" s="3">
        <v>1389.9943045621801</v>
      </c>
      <c r="I321" s="3">
        <v>42.87</v>
      </c>
      <c r="J321" s="3">
        <v>43.104999999999997</v>
      </c>
      <c r="K321" s="3">
        <v>42.18</v>
      </c>
      <c r="L321" s="3">
        <v>1082.9500695864399</v>
      </c>
    </row>
    <row r="322" spans="1:12" ht="15" customHeight="1" x14ac:dyDescent="0.2">
      <c r="A322" s="2">
        <v>45583</v>
      </c>
      <c r="B322" s="3">
        <v>43.02</v>
      </c>
      <c r="C322" s="1">
        <v>2521185</v>
      </c>
      <c r="D322" s="3">
        <v>0.90000000000000502</v>
      </c>
      <c r="E322" s="3">
        <v>2.13675213675215</v>
      </c>
      <c r="F322" s="3">
        <v>2.13676318851976</v>
      </c>
      <c r="G322" s="3">
        <v>54.186188000000001</v>
      </c>
      <c r="H322" s="3">
        <v>1410.001292467</v>
      </c>
      <c r="I322" s="3">
        <v>42.58</v>
      </c>
      <c r="J322" s="3">
        <v>43.41</v>
      </c>
      <c r="K322" s="3">
        <v>42.25</v>
      </c>
      <c r="L322" s="3">
        <v>1098.83420479644</v>
      </c>
    </row>
    <row r="323" spans="1:12" ht="15" customHeight="1" x14ac:dyDescent="0.2">
      <c r="A323" s="2">
        <v>45582</v>
      </c>
      <c r="B323" s="3">
        <v>42.12</v>
      </c>
      <c r="C323" s="1">
        <v>536201</v>
      </c>
      <c r="D323" s="3">
        <v>0.35999999999999899</v>
      </c>
      <c r="E323" s="3">
        <v>0.862068965517237</v>
      </c>
      <c r="F323" s="3">
        <v>0.862067326576054</v>
      </c>
      <c r="G323" s="3">
        <v>53.052579999999999</v>
      </c>
      <c r="H323" s="3">
        <v>1378.4111472965899</v>
      </c>
      <c r="I323" s="3">
        <v>41.9</v>
      </c>
      <c r="J323" s="3">
        <v>42.295000000000002</v>
      </c>
      <c r="K323" s="3">
        <v>41.61</v>
      </c>
      <c r="L323" s="3">
        <v>1073.75399130697</v>
      </c>
    </row>
    <row r="324" spans="1:12" ht="15" customHeight="1" x14ac:dyDescent="0.2">
      <c r="A324" s="2">
        <v>45581</v>
      </c>
      <c r="B324" s="3">
        <v>41.76</v>
      </c>
      <c r="C324" s="1">
        <v>782325</v>
      </c>
      <c r="D324" s="3">
        <v>1.1699999999999899</v>
      </c>
      <c r="E324" s="3">
        <v>2.8824833702882202</v>
      </c>
      <c r="F324" s="3">
        <v>2.8824777322296899</v>
      </c>
      <c r="G324" s="3">
        <v>52.599139999999998</v>
      </c>
      <c r="H324" s="3">
        <v>1365.7751784025199</v>
      </c>
      <c r="I324" s="3">
        <v>40.76</v>
      </c>
      <c r="J324" s="3">
        <v>41.88</v>
      </c>
      <c r="K324" s="3">
        <v>40.76</v>
      </c>
      <c r="L324" s="3">
        <v>1063.7219059111801</v>
      </c>
    </row>
    <row r="325" spans="1:12" ht="15" customHeight="1" x14ac:dyDescent="0.2">
      <c r="A325" s="2">
        <v>45580</v>
      </c>
      <c r="B325" s="3">
        <v>40.590000000000003</v>
      </c>
      <c r="C325" s="1">
        <v>1079437</v>
      </c>
      <c r="D325" s="3">
        <v>1.42</v>
      </c>
      <c r="E325" s="3">
        <v>3.6252233852438001</v>
      </c>
      <c r="F325" s="3">
        <v>3.6252309732410302</v>
      </c>
      <c r="G325" s="3">
        <v>51.125459999999997</v>
      </c>
      <c r="H325" s="3">
        <v>1324.7082794967901</v>
      </c>
      <c r="I325" s="3">
        <v>39.130000000000003</v>
      </c>
      <c r="J325" s="3">
        <v>41.064999999999998</v>
      </c>
      <c r="K325" s="3">
        <v>38.99</v>
      </c>
      <c r="L325" s="3">
        <v>1031.11762837488</v>
      </c>
    </row>
    <row r="326" spans="1:12" ht="15" customHeight="1" x14ac:dyDescent="0.2">
      <c r="A326" s="2">
        <v>45579</v>
      </c>
      <c r="B326" s="3">
        <v>39.17</v>
      </c>
      <c r="C326" s="1">
        <v>1366390</v>
      </c>
      <c r="D326" s="3">
        <v>-0.39999999999999802</v>
      </c>
      <c r="E326" s="3">
        <v>-1.01086681829668</v>
      </c>
      <c r="F326" s="3">
        <v>-1.01087243741111</v>
      </c>
      <c r="G326" s="3">
        <v>49.336883999999998</v>
      </c>
      <c r="H326" s="3">
        <v>1274.86620402775</v>
      </c>
      <c r="I326" s="3">
        <v>39.6</v>
      </c>
      <c r="J326" s="3">
        <v>39.6</v>
      </c>
      <c r="K326" s="3">
        <v>38.47</v>
      </c>
      <c r="L326" s="3">
        <v>991.54662486928305</v>
      </c>
    </row>
    <row r="327" spans="1:12" ht="15" customHeight="1" x14ac:dyDescent="0.2">
      <c r="A327" s="2">
        <v>45576</v>
      </c>
      <c r="B327" s="3">
        <v>39.57</v>
      </c>
      <c r="C327" s="1">
        <v>899287</v>
      </c>
      <c r="D327" s="3">
        <v>0.869999999999997</v>
      </c>
      <c r="E327" s="3">
        <v>2.2480620155038702</v>
      </c>
      <c r="F327" s="3">
        <v>2.2480589557520099</v>
      </c>
      <c r="G327" s="3">
        <v>49.840710000000001</v>
      </c>
      <c r="H327" s="3">
        <v>1288.9062747405801</v>
      </c>
      <c r="I327" s="3">
        <v>38.53</v>
      </c>
      <c r="J327" s="3">
        <v>39.630000000000003</v>
      </c>
      <c r="K327" s="3">
        <v>38.5</v>
      </c>
      <c r="L327" s="3">
        <v>1002.69338642015</v>
      </c>
    </row>
    <row r="328" spans="1:12" ht="15" customHeight="1" x14ac:dyDescent="0.2">
      <c r="A328" s="2">
        <v>45575</v>
      </c>
      <c r="B328" s="3">
        <v>38.700000000000003</v>
      </c>
      <c r="C328" s="1">
        <v>1086438</v>
      </c>
      <c r="D328" s="3">
        <v>-0.83999999999999597</v>
      </c>
      <c r="E328" s="3">
        <v>-2.1244309559939101</v>
      </c>
      <c r="F328" s="3">
        <v>-2.1244314465465699</v>
      </c>
      <c r="G328" s="3">
        <v>48.744895999999997</v>
      </c>
      <c r="H328" s="3">
        <v>1258.3693313353101</v>
      </c>
      <c r="I328" s="3">
        <v>39.06</v>
      </c>
      <c r="J328" s="3">
        <v>39.064999999999998</v>
      </c>
      <c r="K328" s="3">
        <v>38.4</v>
      </c>
      <c r="L328" s="3">
        <v>978.44918004700696</v>
      </c>
    </row>
    <row r="329" spans="1:12" ht="15" customHeight="1" x14ac:dyDescent="0.2">
      <c r="A329" s="2">
        <v>45574</v>
      </c>
      <c r="B329" s="3">
        <v>39.54</v>
      </c>
      <c r="C329" s="1">
        <v>652762</v>
      </c>
      <c r="D329" s="3">
        <v>-0.41000000000000297</v>
      </c>
      <c r="E329" s="3">
        <v>-1.0262828535669699</v>
      </c>
      <c r="F329" s="3">
        <v>-1.0262832520233101</v>
      </c>
      <c r="G329" s="3">
        <v>49.802925000000002</v>
      </c>
      <c r="H329" s="3">
        <v>1287.85332377758</v>
      </c>
      <c r="I329" s="3">
        <v>40.1</v>
      </c>
      <c r="J329" s="3">
        <v>40.28</v>
      </c>
      <c r="K329" s="3">
        <v>39.51</v>
      </c>
      <c r="L329" s="3">
        <v>1001.85737930384</v>
      </c>
    </row>
    <row r="330" spans="1:12" ht="15" customHeight="1" x14ac:dyDescent="0.2">
      <c r="A330" s="2">
        <v>45573</v>
      </c>
      <c r="B330" s="3">
        <v>39.950000000000003</v>
      </c>
      <c r="C330" s="1">
        <v>761908</v>
      </c>
      <c r="D330" s="3">
        <v>-0.57999999999999796</v>
      </c>
      <c r="E330" s="3">
        <v>-1.43103873673821</v>
      </c>
      <c r="F330" s="3">
        <v>-1.43103358606978</v>
      </c>
      <c r="G330" s="3">
        <v>50.319344000000001</v>
      </c>
      <c r="H330" s="3">
        <v>1302.24432241093</v>
      </c>
      <c r="I330" s="3">
        <v>40.53</v>
      </c>
      <c r="J330" s="3">
        <v>40.72</v>
      </c>
      <c r="K330" s="3">
        <v>39.93</v>
      </c>
      <c r="L330" s="3">
        <v>1013.28280989348</v>
      </c>
    </row>
    <row r="331" spans="1:12" ht="15" customHeight="1" x14ac:dyDescent="0.2">
      <c r="A331" s="2">
        <v>45572</v>
      </c>
      <c r="B331" s="3">
        <v>40.53</v>
      </c>
      <c r="C331" s="1">
        <v>1099092</v>
      </c>
      <c r="D331" s="3">
        <v>-2.0699999999999998</v>
      </c>
      <c r="E331" s="3">
        <v>-4.8591549295774596</v>
      </c>
      <c r="F331" s="3">
        <v>-4.8591548902038504</v>
      </c>
      <c r="G331" s="3">
        <v>51.049885000000003</v>
      </c>
      <c r="H331" s="3">
        <v>1322.6022382362701</v>
      </c>
      <c r="I331" s="3">
        <v>42.43</v>
      </c>
      <c r="J331" s="3">
        <v>42.43</v>
      </c>
      <c r="K331" s="3">
        <v>40.020000000000003</v>
      </c>
      <c r="L331" s="3">
        <v>1029.44561414225</v>
      </c>
    </row>
    <row r="332" spans="1:12" ht="15" customHeight="1" x14ac:dyDescent="0.2">
      <c r="A332" s="2">
        <v>45569</v>
      </c>
      <c r="B332" s="3">
        <v>42.6</v>
      </c>
      <c r="C332" s="1">
        <v>1005257</v>
      </c>
      <c r="D332" s="3">
        <v>2.0699999999999998</v>
      </c>
      <c r="E332" s="3">
        <v>5.1073279052553602</v>
      </c>
      <c r="F332" s="3">
        <v>5.10732786175718</v>
      </c>
      <c r="G332" s="3">
        <v>53.657170000000001</v>
      </c>
      <c r="H332" s="3">
        <v>1395.2591987117</v>
      </c>
      <c r="I332" s="3">
        <v>41.37</v>
      </c>
      <c r="J332" s="3">
        <v>42.82</v>
      </c>
      <c r="K332" s="3">
        <v>40.98</v>
      </c>
      <c r="L332" s="3">
        <v>1087.13010516802</v>
      </c>
    </row>
    <row r="333" spans="1:12" ht="15" customHeight="1" x14ac:dyDescent="0.2">
      <c r="A333" s="2">
        <v>45568</v>
      </c>
      <c r="B333" s="3">
        <v>40.53</v>
      </c>
      <c r="C333" s="1">
        <v>547071</v>
      </c>
      <c r="D333" s="3">
        <v>-0.92999999999999905</v>
      </c>
      <c r="E333" s="3">
        <v>-2.2431259044862499</v>
      </c>
      <c r="F333" s="3">
        <v>-2.2431279205649299</v>
      </c>
      <c r="G333" s="3">
        <v>51.049885000000003</v>
      </c>
      <c r="H333" s="3">
        <v>1322.6022382362701</v>
      </c>
      <c r="I333" s="3">
        <v>40.98</v>
      </c>
      <c r="J333" s="3">
        <v>41.18</v>
      </c>
      <c r="K333" s="3">
        <v>40.299999999999997</v>
      </c>
      <c r="L333" s="3">
        <v>1029.44561414225</v>
      </c>
    </row>
    <row r="334" spans="1:12" ht="15" customHeight="1" x14ac:dyDescent="0.2">
      <c r="A334" s="2">
        <v>45567</v>
      </c>
      <c r="B334" s="3">
        <v>41.46</v>
      </c>
      <c r="C334" s="1">
        <v>738719</v>
      </c>
      <c r="D334" s="3">
        <v>0.494999999999997</v>
      </c>
      <c r="E334" s="3">
        <v>1.20834859025997</v>
      </c>
      <c r="F334" s="3">
        <v>1.2083481708539501</v>
      </c>
      <c r="G334" s="3">
        <v>52.221274999999999</v>
      </c>
      <c r="H334" s="3">
        <v>1355.24525076897</v>
      </c>
      <c r="I334" s="3">
        <v>40.700000000000003</v>
      </c>
      <c r="J334" s="3">
        <v>41.8</v>
      </c>
      <c r="K334" s="3">
        <v>40.47</v>
      </c>
      <c r="L334" s="3">
        <v>1055.3618347480301</v>
      </c>
    </row>
    <row r="335" spans="1:12" ht="15" customHeight="1" x14ac:dyDescent="0.2">
      <c r="A335" s="2">
        <v>45566</v>
      </c>
      <c r="B335" s="3">
        <v>40.965000000000003</v>
      </c>
      <c r="C335" s="1">
        <v>763383</v>
      </c>
      <c r="D335" s="3">
        <v>0.41500000000000598</v>
      </c>
      <c r="E335" s="3">
        <v>1.0234278668310901</v>
      </c>
      <c r="F335" s="3">
        <v>1.0234287067251999</v>
      </c>
      <c r="G335" s="3">
        <v>51.597794</v>
      </c>
      <c r="H335" s="3">
        <v>1337.8707656727199</v>
      </c>
      <c r="I335" s="3">
        <v>40.729999999999997</v>
      </c>
      <c r="J335" s="3">
        <v>41.619900000000001</v>
      </c>
      <c r="K335" s="3">
        <v>40.6</v>
      </c>
      <c r="L335" s="3">
        <v>1041.56771732882</v>
      </c>
    </row>
    <row r="336" spans="1:12" ht="15" customHeight="1" x14ac:dyDescent="0.2">
      <c r="A336" s="2">
        <v>45565</v>
      </c>
      <c r="B336" s="3">
        <v>40.549999999999997</v>
      </c>
      <c r="C336" s="1">
        <v>867505</v>
      </c>
      <c r="D336" s="3">
        <v>0.75</v>
      </c>
      <c r="E336" s="3">
        <v>1.8844221105527701</v>
      </c>
      <c r="F336" s="3">
        <v>1.8844190582123701</v>
      </c>
      <c r="G336" s="3">
        <v>51.075077</v>
      </c>
      <c r="H336" s="3">
        <v>1323.3042612787499</v>
      </c>
      <c r="I336" s="3">
        <v>39.93</v>
      </c>
      <c r="J336" s="3">
        <v>41</v>
      </c>
      <c r="K336" s="3">
        <v>39.85</v>
      </c>
      <c r="L336" s="3">
        <v>1030.0029522197899</v>
      </c>
    </row>
    <row r="337" spans="1:12" ht="15" customHeight="1" x14ac:dyDescent="0.2">
      <c r="A337" s="2">
        <v>45562</v>
      </c>
      <c r="B337" s="3">
        <v>39.799999999999997</v>
      </c>
      <c r="C337" s="1">
        <v>869441</v>
      </c>
      <c r="D337" s="3">
        <v>-1.33</v>
      </c>
      <c r="E337" s="3">
        <v>-3.2336494043277502</v>
      </c>
      <c r="F337" s="3">
        <v>-3.23364904295522</v>
      </c>
      <c r="G337" s="3">
        <v>50.130409999999998</v>
      </c>
      <c r="H337" s="3">
        <v>1296.9793167938001</v>
      </c>
      <c r="I337" s="3">
        <v>41.24</v>
      </c>
      <c r="J337" s="3">
        <v>41.26</v>
      </c>
      <c r="K337" s="3">
        <v>39.46</v>
      </c>
      <c r="L337" s="3">
        <v>1009.1027743119</v>
      </c>
    </row>
    <row r="338" spans="1:12" ht="15" customHeight="1" x14ac:dyDescent="0.2">
      <c r="A338" s="2">
        <v>45561</v>
      </c>
      <c r="B338" s="3">
        <v>41.13</v>
      </c>
      <c r="C338" s="1">
        <v>684799</v>
      </c>
      <c r="D338" s="3">
        <v>0.99000000000000199</v>
      </c>
      <c r="E338" s="3">
        <v>2.4663677130044799</v>
      </c>
      <c r="F338" s="3">
        <v>2.46636679057552</v>
      </c>
      <c r="G338" s="3">
        <v>51.805622</v>
      </c>
      <c r="H338" s="3">
        <v>1343.66228857171</v>
      </c>
      <c r="I338" s="3">
        <v>40.6</v>
      </c>
      <c r="J338" s="3">
        <v>41.21</v>
      </c>
      <c r="K338" s="3">
        <v>40.299999999999997</v>
      </c>
      <c r="L338" s="3">
        <v>1046.1657564685599</v>
      </c>
    </row>
    <row r="339" spans="1:12" ht="15" customHeight="1" x14ac:dyDescent="0.2">
      <c r="A339" s="2">
        <v>45560</v>
      </c>
      <c r="B339" s="3">
        <v>40.14</v>
      </c>
      <c r="C339" s="1">
        <v>823719</v>
      </c>
      <c r="D339" s="3">
        <v>0.219999999999998</v>
      </c>
      <c r="E339" s="3">
        <v>0.55110220440881497</v>
      </c>
      <c r="F339" s="3">
        <v>0.55110666326847402</v>
      </c>
      <c r="G339" s="3">
        <v>50.558660000000003</v>
      </c>
      <c r="H339" s="3">
        <v>1308.9133183792001</v>
      </c>
      <c r="I339" s="3">
        <v>40</v>
      </c>
      <c r="J339" s="3">
        <v>40.5</v>
      </c>
      <c r="K339" s="3">
        <v>39.67</v>
      </c>
      <c r="L339" s="3">
        <v>1018.57752163015</v>
      </c>
    </row>
    <row r="340" spans="1:12" ht="15" customHeight="1" x14ac:dyDescent="0.2">
      <c r="A340" s="2">
        <v>45559</v>
      </c>
      <c r="B340" s="3">
        <v>39.92</v>
      </c>
      <c r="C340" s="1">
        <v>794515</v>
      </c>
      <c r="D340" s="3">
        <v>0.35999999999999899</v>
      </c>
      <c r="E340" s="3">
        <v>0.91001011122344699</v>
      </c>
      <c r="F340" s="3">
        <v>0.91000428533150002</v>
      </c>
      <c r="G340" s="3">
        <v>50.281554999999997</v>
      </c>
      <c r="H340" s="3">
        <v>1301.19125998032</v>
      </c>
      <c r="I340" s="3">
        <v>39.57</v>
      </c>
      <c r="J340" s="3">
        <v>40.520000000000003</v>
      </c>
      <c r="K340" s="3">
        <v>39.57</v>
      </c>
      <c r="L340" s="3">
        <v>1012.44680277717</v>
      </c>
    </row>
    <row r="341" spans="1:12" ht="15" customHeight="1" x14ac:dyDescent="0.2">
      <c r="A341" s="2">
        <v>45558</v>
      </c>
      <c r="B341" s="3">
        <v>39.56</v>
      </c>
      <c r="C341" s="1">
        <v>999516</v>
      </c>
      <c r="D341" s="3">
        <v>0.83000000000000496</v>
      </c>
      <c r="E341" s="3">
        <v>2.1430415698425</v>
      </c>
      <c r="F341" s="3">
        <v>2.1430495413536002</v>
      </c>
      <c r="G341" s="3">
        <v>49.828116999999999</v>
      </c>
      <c r="H341" s="3">
        <v>1288.5553468200601</v>
      </c>
      <c r="I341" s="3">
        <v>39.049999999999997</v>
      </c>
      <c r="J341" s="3">
        <v>39.744999999999997</v>
      </c>
      <c r="K341" s="3">
        <v>38.82</v>
      </c>
      <c r="L341" s="3">
        <v>1002.41471738138</v>
      </c>
    </row>
    <row r="342" spans="1:12" ht="15" customHeight="1" x14ac:dyDescent="0.2">
      <c r="A342" s="2">
        <v>45555</v>
      </c>
      <c r="B342" s="3">
        <v>38.729999999999997</v>
      </c>
      <c r="C342" s="1">
        <v>1344886</v>
      </c>
      <c r="D342" s="3">
        <v>-0.48000000000000398</v>
      </c>
      <c r="E342" s="3">
        <v>-1.2241775057383399</v>
      </c>
      <c r="F342" s="3">
        <v>-1.2241778589574901</v>
      </c>
      <c r="G342" s="3">
        <v>48.782679999999999</v>
      </c>
      <c r="H342" s="3">
        <v>1259.4222544314</v>
      </c>
      <c r="I342" s="3">
        <v>39.270000000000003</v>
      </c>
      <c r="J342" s="3">
        <v>39.4</v>
      </c>
      <c r="K342" s="3">
        <v>38.53</v>
      </c>
      <c r="L342" s="3">
        <v>979.28518716332201</v>
      </c>
    </row>
    <row r="343" spans="1:12" ht="15" customHeight="1" x14ac:dyDescent="0.2">
      <c r="A343" s="2">
        <v>45554</v>
      </c>
      <c r="B343" s="3">
        <v>39.21</v>
      </c>
      <c r="C343" s="1">
        <v>1038906.99999999</v>
      </c>
      <c r="D343" s="3">
        <v>1.07</v>
      </c>
      <c r="E343" s="3">
        <v>2.8054535920293699</v>
      </c>
      <c r="F343" s="3">
        <v>2.80544925250432</v>
      </c>
      <c r="G343" s="3">
        <v>49.387267999999999</v>
      </c>
      <c r="H343" s="3">
        <v>1276.2702501127001</v>
      </c>
      <c r="I343" s="3">
        <v>39.33</v>
      </c>
      <c r="J343" s="3">
        <v>40.08</v>
      </c>
      <c r="K343" s="3">
        <v>38.369999999999997</v>
      </c>
      <c r="L343" s="3">
        <v>992.66130102437</v>
      </c>
    </row>
    <row r="344" spans="1:12" ht="15" customHeight="1" x14ac:dyDescent="0.2">
      <c r="A344" s="2">
        <v>45553</v>
      </c>
      <c r="B344" s="3">
        <v>38.14</v>
      </c>
      <c r="C344" s="1">
        <v>931443</v>
      </c>
      <c r="D344" s="3">
        <v>-0.149999999999998</v>
      </c>
      <c r="E344" s="3">
        <v>-0.39174719247845302</v>
      </c>
      <c r="F344" s="3">
        <v>-0.39174780493275102</v>
      </c>
      <c r="G344" s="3">
        <v>48.039543000000002</v>
      </c>
      <c r="H344" s="3">
        <v>1238.7133270848301</v>
      </c>
      <c r="I344" s="3">
        <v>38.36</v>
      </c>
      <c r="J344" s="3">
        <v>39.07</v>
      </c>
      <c r="K344" s="3">
        <v>37.82</v>
      </c>
      <c r="L344" s="3">
        <v>962.84371387578403</v>
      </c>
    </row>
    <row r="345" spans="1:12" ht="15" customHeight="1" x14ac:dyDescent="0.2">
      <c r="A345" s="2">
        <v>45552</v>
      </c>
      <c r="B345" s="3">
        <v>38.29</v>
      </c>
      <c r="C345" s="1">
        <v>922433</v>
      </c>
      <c r="D345" s="3">
        <v>0.71</v>
      </c>
      <c r="E345" s="3">
        <v>1.8893028206492699</v>
      </c>
      <c r="F345" s="3">
        <v>1.889295928436</v>
      </c>
      <c r="G345" s="3">
        <v>48.228476999999998</v>
      </c>
      <c r="H345" s="3">
        <v>1243.97833270196</v>
      </c>
      <c r="I345" s="3">
        <v>38</v>
      </c>
      <c r="J345" s="3">
        <v>38.92</v>
      </c>
      <c r="K345" s="3">
        <v>37.869999999999997</v>
      </c>
      <c r="L345" s="3">
        <v>967.02374945736096</v>
      </c>
    </row>
    <row r="346" spans="1:12" ht="15" customHeight="1" x14ac:dyDescent="0.2">
      <c r="A346" s="2">
        <v>45551</v>
      </c>
      <c r="B346" s="3">
        <v>37.58</v>
      </c>
      <c r="C346" s="1">
        <v>1024905</v>
      </c>
      <c r="D346" s="3">
        <v>0.21</v>
      </c>
      <c r="E346" s="3">
        <v>0.56194808670055796</v>
      </c>
      <c r="F346" s="3">
        <v>0.56195619588090795</v>
      </c>
      <c r="G346" s="3">
        <v>47.334193999999997</v>
      </c>
      <c r="H346" s="3">
        <v>1219.05743430196</v>
      </c>
      <c r="I346" s="3">
        <v>37.39</v>
      </c>
      <c r="J346" s="3">
        <v>38.090000000000003</v>
      </c>
      <c r="K346" s="3">
        <v>37.18</v>
      </c>
      <c r="L346" s="3">
        <v>947.23824770456099</v>
      </c>
    </row>
    <row r="347" spans="1:12" ht="15" customHeight="1" x14ac:dyDescent="0.2">
      <c r="A347" s="2">
        <v>45548</v>
      </c>
      <c r="B347" s="3">
        <v>37.369999999999997</v>
      </c>
      <c r="C347" s="1">
        <v>1162410</v>
      </c>
      <c r="D347" s="3">
        <v>0.66999999999999404</v>
      </c>
      <c r="E347" s="3">
        <v>1.8256130790190499</v>
      </c>
      <c r="F347" s="3">
        <v>1.82561116329458</v>
      </c>
      <c r="G347" s="3">
        <v>47.069682999999998</v>
      </c>
      <c r="H347" s="3">
        <v>1211.6863316905001</v>
      </c>
      <c r="I347" s="3">
        <v>37.15</v>
      </c>
      <c r="J347" s="3">
        <v>37.47</v>
      </c>
      <c r="K347" s="3">
        <v>36.78</v>
      </c>
      <c r="L347" s="3">
        <v>941.38619789035204</v>
      </c>
    </row>
    <row r="348" spans="1:12" ht="15" customHeight="1" x14ac:dyDescent="0.2">
      <c r="A348" s="2">
        <v>45547</v>
      </c>
      <c r="B348" s="3">
        <v>36.700000000000003</v>
      </c>
      <c r="C348" s="1">
        <v>576675</v>
      </c>
      <c r="D348" s="3">
        <v>0.440000000000004</v>
      </c>
      <c r="E348" s="3">
        <v>1.2134583563155199</v>
      </c>
      <c r="F348" s="3">
        <v>1.21346824731445</v>
      </c>
      <c r="G348" s="3">
        <v>46.22578</v>
      </c>
      <c r="H348" s="3">
        <v>1188.1693679078301</v>
      </c>
      <c r="I348" s="3">
        <v>36.4</v>
      </c>
      <c r="J348" s="3">
        <v>36.92</v>
      </c>
      <c r="K348" s="3">
        <v>35.799999999999997</v>
      </c>
      <c r="L348" s="3">
        <v>922.71537229263902</v>
      </c>
    </row>
    <row r="349" spans="1:12" ht="15" customHeight="1" x14ac:dyDescent="0.2">
      <c r="A349" s="2">
        <v>45546</v>
      </c>
      <c r="B349" s="3">
        <v>36.26</v>
      </c>
      <c r="C349" s="1">
        <v>615755</v>
      </c>
      <c r="D349" s="3">
        <v>0.219999999999998</v>
      </c>
      <c r="E349" s="3">
        <v>0.61043285238624401</v>
      </c>
      <c r="F349" s="3">
        <v>0.61041791121976197</v>
      </c>
      <c r="G349" s="3">
        <v>45.671570000000003</v>
      </c>
      <c r="H349" s="3">
        <v>1172.7252511100601</v>
      </c>
      <c r="I349" s="3">
        <v>35.92</v>
      </c>
      <c r="J349" s="3">
        <v>36.46</v>
      </c>
      <c r="K349" s="3">
        <v>35.4</v>
      </c>
      <c r="L349" s="3">
        <v>910.45393458667797</v>
      </c>
    </row>
    <row r="350" spans="1:12" ht="15" customHeight="1" x14ac:dyDescent="0.2">
      <c r="A350" s="2">
        <v>45545</v>
      </c>
      <c r="B350" s="3">
        <v>36.04</v>
      </c>
      <c r="C350" s="1">
        <v>633786</v>
      </c>
      <c r="D350" s="3">
        <v>-0.45000000000000201</v>
      </c>
      <c r="E350" s="3">
        <v>-1.2332145793368099</v>
      </c>
      <c r="F350" s="3">
        <v>-1.23320996787882</v>
      </c>
      <c r="G350" s="3">
        <v>45.394474000000002</v>
      </c>
      <c r="H350" s="3">
        <v>1165.00344351331</v>
      </c>
      <c r="I350" s="3">
        <v>36.450000000000003</v>
      </c>
      <c r="J350" s="3">
        <v>36.450000000000003</v>
      </c>
      <c r="K350" s="3">
        <v>35.6051</v>
      </c>
      <c r="L350" s="3">
        <v>904.32321573369802</v>
      </c>
    </row>
    <row r="351" spans="1:12" ht="15" customHeight="1" x14ac:dyDescent="0.2">
      <c r="A351" s="2">
        <v>45544</v>
      </c>
      <c r="B351" s="3">
        <v>36.49</v>
      </c>
      <c r="C351" s="1">
        <v>944521</v>
      </c>
      <c r="D351" s="3">
        <v>-0.96999999999999797</v>
      </c>
      <c r="E351" s="3">
        <v>-2.58942872397223</v>
      </c>
      <c r="F351" s="3">
        <v>-2.5894198423840402</v>
      </c>
      <c r="G351" s="3">
        <v>45.961272999999998</v>
      </c>
      <c r="H351" s="3">
        <v>1180.7983767639901</v>
      </c>
      <c r="I351" s="3">
        <v>37.31</v>
      </c>
      <c r="J351" s="3">
        <v>38.03</v>
      </c>
      <c r="K351" s="3">
        <v>36.369999999999997</v>
      </c>
      <c r="L351" s="3">
        <v>916.86332247843097</v>
      </c>
    </row>
    <row r="352" spans="1:12" ht="15" customHeight="1" x14ac:dyDescent="0.2">
      <c r="A352" s="2">
        <v>45541</v>
      </c>
      <c r="B352" s="3">
        <v>37.46</v>
      </c>
      <c r="C352" s="1">
        <v>775322</v>
      </c>
      <c r="D352" s="3">
        <v>-1.19999999999999</v>
      </c>
      <c r="E352" s="3">
        <v>-3.1039834454216</v>
      </c>
      <c r="F352" s="3">
        <v>-3.10398441220581</v>
      </c>
      <c r="G352" s="3">
        <v>47.183039999999998</v>
      </c>
      <c r="H352" s="3">
        <v>1214.8452403133099</v>
      </c>
      <c r="I352" s="3">
        <v>38.659999999999997</v>
      </c>
      <c r="J352" s="3">
        <v>39.024999999999999</v>
      </c>
      <c r="K352" s="3">
        <v>37.340000000000003</v>
      </c>
      <c r="L352" s="3">
        <v>943.89421923929899</v>
      </c>
    </row>
    <row r="353" spans="1:12" ht="15" customHeight="1" x14ac:dyDescent="0.2">
      <c r="A353" s="2">
        <v>45540</v>
      </c>
      <c r="B353" s="3">
        <v>38.659999999999997</v>
      </c>
      <c r="C353" s="1">
        <v>403937</v>
      </c>
      <c r="D353" s="3">
        <v>-0.160000000000003</v>
      </c>
      <c r="E353" s="3">
        <v>-0.41215868109223303</v>
      </c>
      <c r="F353" s="3">
        <v>-0.41216016675378297</v>
      </c>
      <c r="G353" s="3">
        <v>48.694510000000001</v>
      </c>
      <c r="H353" s="3">
        <v>1256.9652295165499</v>
      </c>
      <c r="I353" s="3">
        <v>39.06</v>
      </c>
      <c r="J353" s="3">
        <v>39.36</v>
      </c>
      <c r="K353" s="3">
        <v>38.590000000000003</v>
      </c>
      <c r="L353" s="3">
        <v>977.33450389191898</v>
      </c>
    </row>
    <row r="354" spans="1:12" ht="15" customHeight="1" x14ac:dyDescent="0.2">
      <c r="A354" s="2">
        <v>45539</v>
      </c>
      <c r="B354" s="3">
        <v>38.82</v>
      </c>
      <c r="C354" s="1">
        <v>622955</v>
      </c>
      <c r="D354" s="3">
        <v>-0.109999999999999</v>
      </c>
      <c r="E354" s="3">
        <v>-0.28255843822244597</v>
      </c>
      <c r="F354" s="3">
        <v>-0.28256580889472999</v>
      </c>
      <c r="G354" s="3">
        <v>48.896039999999999</v>
      </c>
      <c r="H354" s="3">
        <v>1262.5812466549201</v>
      </c>
      <c r="I354" s="3">
        <v>38.94</v>
      </c>
      <c r="J354" s="3">
        <v>39.24</v>
      </c>
      <c r="K354" s="3">
        <v>38.64</v>
      </c>
      <c r="L354" s="3">
        <v>981.79320851226896</v>
      </c>
    </row>
    <row r="355" spans="1:12" ht="15" customHeight="1" x14ac:dyDescent="0.2">
      <c r="A355" s="2">
        <v>45538</v>
      </c>
      <c r="B355" s="3">
        <v>38.93</v>
      </c>
      <c r="C355" s="1">
        <v>825322</v>
      </c>
      <c r="D355" s="3">
        <v>-0.380000000000002</v>
      </c>
      <c r="E355" s="3">
        <v>-0.96667514627322104</v>
      </c>
      <c r="F355" s="3">
        <v>-0.96667302591029103</v>
      </c>
      <c r="G355" s="3">
        <v>49.034595000000003</v>
      </c>
      <c r="H355" s="3">
        <v>1266.4423455216199</v>
      </c>
      <c r="I355" s="3">
        <v>39.049999999999997</v>
      </c>
      <c r="J355" s="3">
        <v>39.840000000000003</v>
      </c>
      <c r="K355" s="3">
        <v>38.75</v>
      </c>
      <c r="L355" s="3">
        <v>984.85856793875905</v>
      </c>
    </row>
    <row r="356" spans="1:12" ht="15" customHeight="1" x14ac:dyDescent="0.2">
      <c r="A356" s="2">
        <v>45534</v>
      </c>
      <c r="B356" s="3">
        <v>39.31</v>
      </c>
      <c r="C356" s="1">
        <v>644708</v>
      </c>
      <c r="D356" s="3">
        <v>2.0000000000003099E-2</v>
      </c>
      <c r="E356" s="3">
        <v>5.0903537795887702E-2</v>
      </c>
      <c r="F356" s="3">
        <v>5.0899169833717998E-2</v>
      </c>
      <c r="G356" s="3">
        <v>49.513226000000003</v>
      </c>
      <c r="H356" s="3">
        <v>1279.78030959127</v>
      </c>
      <c r="I356" s="3">
        <v>39.380000000000003</v>
      </c>
      <c r="J356" s="3">
        <v>39.6</v>
      </c>
      <c r="K356" s="3">
        <v>38.72</v>
      </c>
      <c r="L356" s="3">
        <v>995.44799141208898</v>
      </c>
    </row>
    <row r="357" spans="1:12" ht="15" customHeight="1" x14ac:dyDescent="0.2">
      <c r="A357" s="2">
        <v>45533</v>
      </c>
      <c r="B357" s="3">
        <v>39.29</v>
      </c>
      <c r="C357" s="1">
        <v>816568</v>
      </c>
      <c r="D357" s="3">
        <v>-0.56000000000000205</v>
      </c>
      <c r="E357" s="3">
        <v>-1.4052697616060299</v>
      </c>
      <c r="F357" s="3">
        <v>-1.40526283682076</v>
      </c>
      <c r="G357" s="3">
        <v>49.488036999999998</v>
      </c>
      <c r="H357" s="3">
        <v>1279.0783701495</v>
      </c>
      <c r="I357" s="3">
        <v>39.9</v>
      </c>
      <c r="J357" s="3">
        <v>40.21</v>
      </c>
      <c r="K357" s="3">
        <v>39.234999999999999</v>
      </c>
      <c r="L357" s="3">
        <v>994.89065333454505</v>
      </c>
    </row>
    <row r="358" spans="1:12" ht="15" customHeight="1" x14ac:dyDescent="0.2">
      <c r="A358" s="2">
        <v>45532</v>
      </c>
      <c r="B358" s="3">
        <v>39.85</v>
      </c>
      <c r="C358" s="1">
        <v>1097423</v>
      </c>
      <c r="D358" s="3">
        <v>-0.72999999999999599</v>
      </c>
      <c r="E358" s="3">
        <v>-1.7989157220305401</v>
      </c>
      <c r="F358" s="3">
        <v>-1.7989189218800401</v>
      </c>
      <c r="G358" s="3">
        <v>50.193385999999997</v>
      </c>
      <c r="H358" s="3">
        <v>1298.73426293237</v>
      </c>
      <c r="I358" s="3">
        <v>40.299999999999997</v>
      </c>
      <c r="J358" s="3">
        <v>40.549999999999997</v>
      </c>
      <c r="K358" s="3">
        <v>39.47</v>
      </c>
      <c r="L358" s="3">
        <v>1010.49611950576</v>
      </c>
    </row>
    <row r="359" spans="1:12" ht="15" customHeight="1" x14ac:dyDescent="0.2">
      <c r="A359" s="2">
        <v>45531</v>
      </c>
      <c r="B359" s="3">
        <v>40.58</v>
      </c>
      <c r="C359" s="1">
        <v>800998</v>
      </c>
      <c r="D359" s="3">
        <v>9.9999999999980105E-3</v>
      </c>
      <c r="E359" s="3">
        <v>2.4648755237865999E-2</v>
      </c>
      <c r="F359" s="3">
        <v>2.4647619278717E-2</v>
      </c>
      <c r="G359" s="3">
        <v>51.112864999999999</v>
      </c>
      <c r="H359" s="3">
        <v>1324.35729584246</v>
      </c>
      <c r="I359" s="3">
        <v>40.340000000000003</v>
      </c>
      <c r="J359" s="3">
        <v>40.590000000000003</v>
      </c>
      <c r="K359" s="3">
        <v>39.4</v>
      </c>
      <c r="L359" s="3">
        <v>1030.8389593361101</v>
      </c>
    </row>
    <row r="360" spans="1:12" ht="15" customHeight="1" x14ac:dyDescent="0.2">
      <c r="A360" s="2">
        <v>45530</v>
      </c>
      <c r="B360" s="3">
        <v>40.57</v>
      </c>
      <c r="C360" s="1">
        <v>1119069</v>
      </c>
      <c r="D360" s="3">
        <v>-3.9999999999999099E-2</v>
      </c>
      <c r="E360" s="3">
        <v>-9.8497906919481307E-2</v>
      </c>
      <c r="F360" s="3">
        <v>-9.8493372029484494E-2</v>
      </c>
      <c r="G360" s="3">
        <v>51.100270000000002</v>
      </c>
      <c r="H360" s="3">
        <v>1324.0063121881301</v>
      </c>
      <c r="I360" s="3">
        <v>40.71</v>
      </c>
      <c r="J360" s="3">
        <v>41.335000000000001</v>
      </c>
      <c r="K360" s="3">
        <v>40.380000000000003</v>
      </c>
      <c r="L360" s="3">
        <v>1030.5602902973401</v>
      </c>
    </row>
    <row r="361" spans="1:12" ht="15" customHeight="1" x14ac:dyDescent="0.2">
      <c r="A361" s="2">
        <v>45527</v>
      </c>
      <c r="B361" s="3">
        <v>40.61</v>
      </c>
      <c r="C361" s="1">
        <v>1290108</v>
      </c>
      <c r="D361" s="3">
        <v>2.25</v>
      </c>
      <c r="E361" s="3">
        <v>5.8654848800834198</v>
      </c>
      <c r="F361" s="3">
        <v>5.8654794485221498</v>
      </c>
      <c r="G361" s="3">
        <v>51.150649999999999</v>
      </c>
      <c r="H361" s="3">
        <v>1325.41024680546</v>
      </c>
      <c r="I361" s="3">
        <v>38.92</v>
      </c>
      <c r="J361" s="3">
        <v>40.719900000000003</v>
      </c>
      <c r="K361" s="3">
        <v>38.543500000000002</v>
      </c>
      <c r="L361" s="3">
        <v>1031.67496645242</v>
      </c>
    </row>
    <row r="362" spans="1:12" ht="15" customHeight="1" x14ac:dyDescent="0.2">
      <c r="A362" s="2">
        <v>45526</v>
      </c>
      <c r="B362" s="3">
        <v>38.36</v>
      </c>
      <c r="C362" s="1">
        <v>603963</v>
      </c>
      <c r="D362" s="3">
        <v>-0.39</v>
      </c>
      <c r="E362" s="3">
        <v>-1.0064516129032199</v>
      </c>
      <c r="F362" s="3">
        <v>-1.0064482834562201</v>
      </c>
      <c r="G362" s="3">
        <v>48.316647000000003</v>
      </c>
      <c r="H362" s="3">
        <v>1246.4353576168101</v>
      </c>
      <c r="I362" s="3">
        <v>38.659999999999997</v>
      </c>
      <c r="J362" s="3">
        <v>39.090000000000003</v>
      </c>
      <c r="K362" s="3">
        <v>38.265000000000001</v>
      </c>
      <c r="L362" s="3">
        <v>968.97443272876399</v>
      </c>
    </row>
    <row r="363" spans="1:12" ht="15" customHeight="1" x14ac:dyDescent="0.2">
      <c r="A363" s="2">
        <v>45525</v>
      </c>
      <c r="B363" s="3">
        <v>38.75</v>
      </c>
      <c r="C363" s="1">
        <v>487000</v>
      </c>
      <c r="D363" s="3">
        <v>0.56999999999999995</v>
      </c>
      <c r="E363" s="3">
        <v>1.4929282346778301</v>
      </c>
      <c r="F363" s="3">
        <v>1.4929302030088401</v>
      </c>
      <c r="G363" s="3">
        <v>48.807873000000001</v>
      </c>
      <c r="H363" s="3">
        <v>1260.12430534078</v>
      </c>
      <c r="I363" s="3">
        <v>38.479999999999997</v>
      </c>
      <c r="J363" s="3">
        <v>38.96</v>
      </c>
      <c r="K363" s="3">
        <v>38.21</v>
      </c>
      <c r="L363" s="3">
        <v>979.84252524086605</v>
      </c>
    </row>
    <row r="364" spans="1:12" ht="15" customHeight="1" x14ac:dyDescent="0.2">
      <c r="A364" s="2">
        <v>45524</v>
      </c>
      <c r="B364" s="3">
        <v>38.18</v>
      </c>
      <c r="C364" s="1">
        <v>665666</v>
      </c>
      <c r="D364" s="3">
        <v>-0.32999999999999802</v>
      </c>
      <c r="E364" s="3">
        <v>-0.85692028044663804</v>
      </c>
      <c r="F364" s="3">
        <v>-0.85691795811437799</v>
      </c>
      <c r="G364" s="3">
        <v>48.089924000000003</v>
      </c>
      <c r="H364" s="3">
        <v>1240.1172895690599</v>
      </c>
      <c r="I364" s="3">
        <v>38.409999999999997</v>
      </c>
      <c r="J364" s="3">
        <v>38.729999999999997</v>
      </c>
      <c r="K364" s="3">
        <v>37.65</v>
      </c>
      <c r="L364" s="3">
        <v>963.95839003087099</v>
      </c>
    </row>
    <row r="365" spans="1:12" ht="15" customHeight="1" x14ac:dyDescent="0.2">
      <c r="A365" s="2">
        <v>45523</v>
      </c>
      <c r="B365" s="3">
        <v>38.51</v>
      </c>
      <c r="C365" s="1">
        <v>1192671</v>
      </c>
      <c r="D365" s="3">
        <v>1.32</v>
      </c>
      <c r="E365" s="3">
        <v>3.54934122075827</v>
      </c>
      <c r="F365" s="3">
        <v>3.5493423131245301</v>
      </c>
      <c r="G365" s="3">
        <v>48.505577000000002</v>
      </c>
      <c r="H365" s="3">
        <v>1251.70025176632</v>
      </c>
      <c r="I365" s="3">
        <v>37</v>
      </c>
      <c r="J365" s="3">
        <v>38.548999999999999</v>
      </c>
      <c r="K365" s="3">
        <v>37</v>
      </c>
      <c r="L365" s="3">
        <v>973.15446831034205</v>
      </c>
    </row>
    <row r="366" spans="1:12" ht="15" customHeight="1" x14ac:dyDescent="0.2">
      <c r="A366" s="2">
        <v>45520</v>
      </c>
      <c r="B366" s="3">
        <v>37.19</v>
      </c>
      <c r="C366" s="1">
        <v>590361</v>
      </c>
      <c r="D366" s="3">
        <v>-1.00000000000051E-2</v>
      </c>
      <c r="E366" s="3">
        <v>-2.6881720430116302E-2</v>
      </c>
      <c r="F366" s="3">
        <v>-2.6891152298680301E-2</v>
      </c>
      <c r="G366" s="3">
        <v>46.842959999999998</v>
      </c>
      <c r="H366" s="3">
        <v>1205.36826364275</v>
      </c>
      <c r="I366" s="3">
        <v>37.15</v>
      </c>
      <c r="J366" s="3">
        <v>37.56</v>
      </c>
      <c r="K366" s="3">
        <v>36.82</v>
      </c>
      <c r="L366" s="3">
        <v>936.37015519245904</v>
      </c>
    </row>
    <row r="367" spans="1:12" ht="15" customHeight="1" x14ac:dyDescent="0.2">
      <c r="A367" s="2">
        <v>45519</v>
      </c>
      <c r="B367" s="3">
        <v>37.200000000000003</v>
      </c>
      <c r="C367" s="1">
        <v>906241</v>
      </c>
      <c r="D367" s="3">
        <v>1.84</v>
      </c>
      <c r="E367" s="3">
        <v>5.2036199095022599</v>
      </c>
      <c r="F367" s="3">
        <v>5.2036273768202497</v>
      </c>
      <c r="G367" s="3">
        <v>46.855559999999997</v>
      </c>
      <c r="H367" s="3">
        <v>1205.71938663161</v>
      </c>
      <c r="I367" s="3">
        <v>36.31</v>
      </c>
      <c r="J367" s="3">
        <v>37.49</v>
      </c>
      <c r="K367" s="3">
        <v>36.292200000000001</v>
      </c>
      <c r="L367" s="3">
        <v>936.64882423123095</v>
      </c>
    </row>
    <row r="368" spans="1:12" ht="15" customHeight="1" x14ac:dyDescent="0.2">
      <c r="A368" s="2">
        <v>45518</v>
      </c>
      <c r="B368" s="3">
        <v>35.36</v>
      </c>
      <c r="C368" s="1">
        <v>783821</v>
      </c>
      <c r="D368" s="3">
        <v>-1.0499999999999901</v>
      </c>
      <c r="E368" s="3">
        <v>-2.8838231255149598</v>
      </c>
      <c r="F368" s="3">
        <v>-2.1422679859679401</v>
      </c>
      <c r="G368" s="3">
        <v>44.537970000000001</v>
      </c>
      <c r="H368" s="3">
        <v>1141.1353288748801</v>
      </c>
      <c r="I368" s="3">
        <v>36.200000000000003</v>
      </c>
      <c r="J368" s="3">
        <v>36.229999999999997</v>
      </c>
      <c r="K368" s="3">
        <v>35.119999999999997</v>
      </c>
      <c r="L368" s="3">
        <v>885.37372109721298</v>
      </c>
    </row>
    <row r="369" spans="1:12" ht="15" customHeight="1" x14ac:dyDescent="0.2">
      <c r="A369" s="2">
        <v>45517</v>
      </c>
      <c r="B369" s="3">
        <v>36.409999999999997</v>
      </c>
      <c r="C369" s="1">
        <v>875029</v>
      </c>
      <c r="D369" s="3">
        <v>0.31999999999999301</v>
      </c>
      <c r="E369" s="3">
        <v>0.88667220836795502</v>
      </c>
      <c r="F369" s="3">
        <v>0.88666277421709505</v>
      </c>
      <c r="G369" s="3">
        <v>45.512979999999999</v>
      </c>
      <c r="H369" s="3">
        <v>1168.30583882418</v>
      </c>
      <c r="I369" s="3">
        <v>36.380000000000003</v>
      </c>
      <c r="J369" s="3">
        <v>36.99</v>
      </c>
      <c r="K369" s="3">
        <v>36.08</v>
      </c>
      <c r="L369" s="3">
        <v>914.63397016825604</v>
      </c>
    </row>
    <row r="370" spans="1:12" ht="15" customHeight="1" x14ac:dyDescent="0.2">
      <c r="A370" s="2">
        <v>45516</v>
      </c>
      <c r="B370" s="3">
        <v>36.090000000000003</v>
      </c>
      <c r="C370" s="1">
        <v>664785</v>
      </c>
      <c r="D370" s="3">
        <v>0.35000000000000098</v>
      </c>
      <c r="E370" s="3">
        <v>0.97929490766648297</v>
      </c>
      <c r="F370" s="3">
        <v>0.97929342711422496</v>
      </c>
      <c r="G370" s="3">
        <v>45.11298</v>
      </c>
      <c r="H370" s="3">
        <v>1157.1590772733</v>
      </c>
      <c r="I370" s="3">
        <v>36.08</v>
      </c>
      <c r="J370" s="3">
        <v>36.49</v>
      </c>
      <c r="K370" s="3">
        <v>35.840000000000003</v>
      </c>
      <c r="L370" s="3">
        <v>905.716560927557</v>
      </c>
    </row>
    <row r="371" spans="1:12" ht="15" customHeight="1" x14ac:dyDescent="0.2">
      <c r="A371" s="2">
        <v>45513</v>
      </c>
      <c r="B371" s="3">
        <v>35.74</v>
      </c>
      <c r="C371" s="1">
        <v>699660</v>
      </c>
      <c r="D371" s="3">
        <v>-0.189999999999997</v>
      </c>
      <c r="E371" s="3">
        <v>-0.52880601168938601</v>
      </c>
      <c r="F371" s="3">
        <v>-0.52880926627445402</v>
      </c>
      <c r="G371" s="3">
        <v>44.675476000000003</v>
      </c>
      <c r="H371" s="3">
        <v>1144.96719535942</v>
      </c>
      <c r="I371" s="3">
        <v>35.840000000000003</v>
      </c>
      <c r="J371" s="3">
        <v>36.130000000000003</v>
      </c>
      <c r="K371" s="3">
        <v>35.54</v>
      </c>
      <c r="L371" s="3">
        <v>895.96314457054302</v>
      </c>
    </row>
    <row r="372" spans="1:12" ht="15" customHeight="1" x14ac:dyDescent="0.2">
      <c r="A372" s="2">
        <v>45512</v>
      </c>
      <c r="B372" s="3">
        <v>35.93</v>
      </c>
      <c r="C372" s="1">
        <v>844476</v>
      </c>
      <c r="D372" s="3">
        <v>1.35</v>
      </c>
      <c r="E372" s="3">
        <v>3.9039907460960199</v>
      </c>
      <c r="F372" s="3">
        <v>3.90399546933681</v>
      </c>
      <c r="G372" s="3">
        <v>44.912979999999997</v>
      </c>
      <c r="H372" s="3">
        <v>1151.58569649787</v>
      </c>
      <c r="I372" s="3">
        <v>35</v>
      </c>
      <c r="J372" s="3">
        <v>36.28</v>
      </c>
      <c r="K372" s="3">
        <v>34.82</v>
      </c>
      <c r="L372" s="3">
        <v>901.25785630720804</v>
      </c>
    </row>
    <row r="373" spans="1:12" ht="15" customHeight="1" x14ac:dyDescent="0.2">
      <c r="A373" s="2">
        <v>45511</v>
      </c>
      <c r="B373" s="3">
        <v>34.58</v>
      </c>
      <c r="C373" s="1">
        <v>917389</v>
      </c>
      <c r="D373" s="3">
        <v>-0.160000000000003</v>
      </c>
      <c r="E373" s="3">
        <v>-0.46056419113414898</v>
      </c>
      <c r="F373" s="3">
        <v>-0.46057077339299801</v>
      </c>
      <c r="G373" s="3">
        <v>43.225459999999998</v>
      </c>
      <c r="H373" s="3">
        <v>1104.5597388670401</v>
      </c>
      <c r="I373" s="3">
        <v>35.159999999999997</v>
      </c>
      <c r="J373" s="3">
        <v>36.06</v>
      </c>
      <c r="K373" s="3">
        <v>34.53</v>
      </c>
      <c r="L373" s="3">
        <v>863.63753607300998</v>
      </c>
    </row>
    <row r="374" spans="1:12" ht="15" customHeight="1" x14ac:dyDescent="0.2">
      <c r="A374" s="2">
        <v>45510</v>
      </c>
      <c r="B374" s="3">
        <v>34.74</v>
      </c>
      <c r="C374" s="1">
        <v>1152965</v>
      </c>
      <c r="D374" s="3">
        <v>0.5</v>
      </c>
      <c r="E374" s="3">
        <v>1.46028037383176</v>
      </c>
      <c r="F374" s="3">
        <v>1.46028347314142</v>
      </c>
      <c r="G374" s="3">
        <v>43.425465000000003</v>
      </c>
      <c r="H374" s="3">
        <v>1110.133258977</v>
      </c>
      <c r="I374" s="3">
        <v>34.409999999999997</v>
      </c>
      <c r="J374" s="3">
        <v>35.744999999999997</v>
      </c>
      <c r="K374" s="3">
        <v>34.04</v>
      </c>
      <c r="L374" s="3">
        <v>868.09624069335905</v>
      </c>
    </row>
    <row r="375" spans="1:12" ht="15" customHeight="1" x14ac:dyDescent="0.2">
      <c r="A375" s="2">
        <v>45509</v>
      </c>
      <c r="B375" s="3">
        <v>34.24</v>
      </c>
      <c r="C375" s="1">
        <v>1588313</v>
      </c>
      <c r="D375" s="3">
        <v>-0.85999999999999899</v>
      </c>
      <c r="E375" s="3">
        <v>-2.4501424501424398</v>
      </c>
      <c r="F375" s="3">
        <v>-2.4501347165209402</v>
      </c>
      <c r="G375" s="3">
        <v>42.800457000000002</v>
      </c>
      <c r="H375" s="3">
        <v>1092.71622111853</v>
      </c>
      <c r="I375" s="3">
        <v>33.79</v>
      </c>
      <c r="J375" s="3">
        <v>34.549999999999997</v>
      </c>
      <c r="K375" s="3">
        <v>33.5</v>
      </c>
      <c r="L375" s="3">
        <v>854.16278875476803</v>
      </c>
    </row>
    <row r="376" spans="1:12" ht="15" customHeight="1" x14ac:dyDescent="0.2">
      <c r="A376" s="2">
        <v>45506</v>
      </c>
      <c r="B376" s="3">
        <v>35.1</v>
      </c>
      <c r="C376" s="1">
        <v>2125273</v>
      </c>
      <c r="D376" s="3">
        <v>-1.75</v>
      </c>
      <c r="E376" s="3">
        <v>-4.7489823609226596</v>
      </c>
      <c r="F376" s="3">
        <v>-4.7489861166198599</v>
      </c>
      <c r="G376" s="3">
        <v>43.875464999999998</v>
      </c>
      <c r="H376" s="3">
        <v>1122.6733657217301</v>
      </c>
      <c r="I376" s="3">
        <v>36.049999999999997</v>
      </c>
      <c r="J376" s="3">
        <v>36.473100000000002</v>
      </c>
      <c r="K376" s="3">
        <v>34.229999999999997</v>
      </c>
      <c r="L376" s="3">
        <v>878.12832608914596</v>
      </c>
    </row>
    <row r="377" spans="1:12" ht="15" customHeight="1" x14ac:dyDescent="0.2">
      <c r="A377" s="2">
        <v>45505</v>
      </c>
      <c r="B377" s="3">
        <v>36.85</v>
      </c>
      <c r="C377" s="1">
        <v>2190914</v>
      </c>
      <c r="D377" s="3">
        <v>-2.0399999999999898</v>
      </c>
      <c r="E377" s="3">
        <v>-5.2455644124453498</v>
      </c>
      <c r="F377" s="3">
        <v>-5.2455583190130897</v>
      </c>
      <c r="G377" s="3">
        <v>46.062989999999999</v>
      </c>
      <c r="H377" s="3">
        <v>1183.6329146256701</v>
      </c>
      <c r="I377" s="3">
        <v>38.75</v>
      </c>
      <c r="J377" s="3">
        <v>38.75</v>
      </c>
      <c r="K377" s="3">
        <v>36.29</v>
      </c>
      <c r="L377" s="3">
        <v>926.89540787421697</v>
      </c>
    </row>
    <row r="378" spans="1:12" ht="15" customHeight="1" x14ac:dyDescent="0.2">
      <c r="A378" s="2">
        <v>45504</v>
      </c>
      <c r="B378" s="3">
        <v>38.89</v>
      </c>
      <c r="C378" s="1">
        <v>1473482</v>
      </c>
      <c r="D378" s="3">
        <v>-3.0000000000001099E-2</v>
      </c>
      <c r="E378" s="3">
        <v>-7.7081192189110095E-2</v>
      </c>
      <c r="F378" s="3">
        <v>-7.7078323922297104E-2</v>
      </c>
      <c r="G378" s="3">
        <v>48.613014</v>
      </c>
      <c r="H378" s="3">
        <v>1254.6941883181801</v>
      </c>
      <c r="I378" s="3">
        <v>39.15</v>
      </c>
      <c r="J378" s="3">
        <v>39.86</v>
      </c>
      <c r="K378" s="3">
        <v>38.85</v>
      </c>
      <c r="L378" s="3">
        <v>983.74389178367096</v>
      </c>
    </row>
    <row r="379" spans="1:12" ht="15" customHeight="1" x14ac:dyDescent="0.2">
      <c r="A379" s="2">
        <v>45503</v>
      </c>
      <c r="B379" s="3">
        <v>38.92</v>
      </c>
      <c r="C379" s="1">
        <v>976772</v>
      </c>
      <c r="D379" s="3">
        <v>0.67000000000000104</v>
      </c>
      <c r="E379" s="3">
        <v>1.7516339869280999</v>
      </c>
      <c r="F379" s="3">
        <v>1.75162796182217</v>
      </c>
      <c r="G379" s="3">
        <v>48.650512999999997</v>
      </c>
      <c r="H379" s="3">
        <v>1255.73916934667</v>
      </c>
      <c r="I379" s="3">
        <v>38.39</v>
      </c>
      <c r="J379" s="3">
        <v>39.14</v>
      </c>
      <c r="K379" s="3">
        <v>38.255000000000003</v>
      </c>
      <c r="L379" s="3">
        <v>984.57989889998703</v>
      </c>
    </row>
    <row r="380" spans="1:12" ht="15" customHeight="1" x14ac:dyDescent="0.2">
      <c r="A380" s="2">
        <v>45502</v>
      </c>
      <c r="B380" s="3">
        <v>38.25</v>
      </c>
      <c r="C380" s="1">
        <v>994432</v>
      </c>
      <c r="D380" s="3">
        <v>0.869999999999997</v>
      </c>
      <c r="E380" s="3">
        <v>2.32744783306579</v>
      </c>
      <c r="F380" s="3">
        <v>2.3274379086365999</v>
      </c>
      <c r="G380" s="3">
        <v>47.813006999999999</v>
      </c>
      <c r="H380" s="3">
        <v>1232.4004701481001</v>
      </c>
      <c r="I380" s="3">
        <v>37.39</v>
      </c>
      <c r="J380" s="3">
        <v>38.31</v>
      </c>
      <c r="K380" s="3">
        <v>36.799999999999997</v>
      </c>
      <c r="L380" s="3">
        <v>965.90907330227401</v>
      </c>
    </row>
    <row r="381" spans="1:12" ht="15" customHeight="1" x14ac:dyDescent="0.2">
      <c r="A381" s="2">
        <v>45499</v>
      </c>
      <c r="B381" s="3">
        <v>37.380000000000003</v>
      </c>
      <c r="C381" s="1">
        <v>1060227</v>
      </c>
      <c r="D381" s="3">
        <v>0.69000000000000405</v>
      </c>
      <c r="E381" s="3">
        <v>1.8806214227309901</v>
      </c>
      <c r="F381" s="3">
        <v>1.8806364627299299</v>
      </c>
      <c r="G381" s="3">
        <v>46.725499999999997</v>
      </c>
      <c r="H381" s="3">
        <v>1202.09501711334</v>
      </c>
      <c r="I381" s="3">
        <v>37.21</v>
      </c>
      <c r="J381" s="3">
        <v>37.93</v>
      </c>
      <c r="K381" s="3">
        <v>36.795000000000002</v>
      </c>
      <c r="L381" s="3">
        <v>941.66486692912395</v>
      </c>
    </row>
    <row r="382" spans="1:12" ht="15" customHeight="1" x14ac:dyDescent="0.2">
      <c r="A382" s="2">
        <v>45498</v>
      </c>
      <c r="B382" s="3">
        <v>36.69</v>
      </c>
      <c r="C382" s="1">
        <v>1380447</v>
      </c>
      <c r="D382" s="3">
        <v>-0.27000000000000302</v>
      </c>
      <c r="E382" s="3">
        <v>-0.73051948051948701</v>
      </c>
      <c r="F382" s="3">
        <v>-0.730524719543024</v>
      </c>
      <c r="G382" s="3">
        <v>45.862983999999997</v>
      </c>
      <c r="H382" s="3">
        <v>1178.0593666488101</v>
      </c>
      <c r="I382" s="3">
        <v>36.76</v>
      </c>
      <c r="J382" s="3">
        <v>37.340000000000003</v>
      </c>
      <c r="K382" s="3">
        <v>36.005000000000003</v>
      </c>
      <c r="L382" s="3">
        <v>922.43670325386699</v>
      </c>
    </row>
    <row r="383" spans="1:12" ht="15" customHeight="1" x14ac:dyDescent="0.2">
      <c r="A383" s="2">
        <v>45497</v>
      </c>
      <c r="B383" s="3">
        <v>36.96</v>
      </c>
      <c r="C383" s="1">
        <v>1369474</v>
      </c>
      <c r="D383" s="3">
        <v>-1.7999999999999901</v>
      </c>
      <c r="E383" s="3">
        <v>-4.6439628482972104</v>
      </c>
      <c r="F383" s="3">
        <v>-4.6439591804519997</v>
      </c>
      <c r="G383" s="3">
        <v>46.200490000000002</v>
      </c>
      <c r="H383" s="3">
        <v>1187.4646139087799</v>
      </c>
      <c r="I383" s="3">
        <v>38.76</v>
      </c>
      <c r="J383" s="3">
        <v>38.76</v>
      </c>
      <c r="K383" s="3">
        <v>36.520000000000003</v>
      </c>
      <c r="L383" s="3">
        <v>929.96076730070695</v>
      </c>
    </row>
    <row r="384" spans="1:12" ht="15" customHeight="1" x14ac:dyDescent="0.2">
      <c r="A384" s="2">
        <v>45496</v>
      </c>
      <c r="B384" s="3">
        <v>38.76</v>
      </c>
      <c r="C384" s="1">
        <v>1048541.99999999</v>
      </c>
      <c r="D384" s="3">
        <v>-0.440000000000004</v>
      </c>
      <c r="E384" s="3">
        <v>-1.12244897959185</v>
      </c>
      <c r="F384" s="3">
        <v>-1.12245944803486</v>
      </c>
      <c r="G384" s="3">
        <v>48.450512000000003</v>
      </c>
      <c r="H384" s="3">
        <v>1250.1657607043301</v>
      </c>
      <c r="I384" s="3">
        <v>38.78</v>
      </c>
      <c r="J384" s="3">
        <v>39.74</v>
      </c>
      <c r="K384" s="3">
        <v>38.64</v>
      </c>
      <c r="L384" s="3">
        <v>980.12119427963796</v>
      </c>
    </row>
    <row r="385" spans="1:12" ht="15" customHeight="1" x14ac:dyDescent="0.2">
      <c r="A385" s="2">
        <v>45495</v>
      </c>
      <c r="B385" s="3">
        <v>39.200000000000003</v>
      </c>
      <c r="C385" s="1">
        <v>1038143</v>
      </c>
      <c r="D385" s="3">
        <v>-0.58999999999999597</v>
      </c>
      <c r="E385" s="3">
        <v>-1.4827846192510501</v>
      </c>
      <c r="F385" s="3">
        <v>-1.48278289268795</v>
      </c>
      <c r="G385" s="3">
        <v>49.000523000000001</v>
      </c>
      <c r="H385" s="3">
        <v>1265.4928643727201</v>
      </c>
      <c r="I385" s="3">
        <v>39.65</v>
      </c>
      <c r="J385" s="3">
        <v>39.734999999999999</v>
      </c>
      <c r="K385" s="3">
        <v>38.375</v>
      </c>
      <c r="L385" s="3">
        <v>992.38263198559798</v>
      </c>
    </row>
    <row r="386" spans="1:12" ht="15" customHeight="1" x14ac:dyDescent="0.2">
      <c r="A386" s="2">
        <v>45492</v>
      </c>
      <c r="B386" s="3">
        <v>39.79</v>
      </c>
      <c r="C386" s="1">
        <v>951251</v>
      </c>
      <c r="D386" s="3">
        <v>3.0000000000001099E-2</v>
      </c>
      <c r="E386" s="3">
        <v>7.5452716297785799E-2</v>
      </c>
      <c r="F386" s="3">
        <v>7.5457952387503094E-2</v>
      </c>
      <c r="G386" s="3">
        <v>49.738030000000002</v>
      </c>
      <c r="H386" s="3">
        <v>1286.0449010504699</v>
      </c>
      <c r="I386" s="3">
        <v>39.880000000000003</v>
      </c>
      <c r="J386" s="3">
        <v>40.020000000000003</v>
      </c>
      <c r="K386" s="3">
        <v>39.4</v>
      </c>
      <c r="L386" s="3">
        <v>1008.82410527313</v>
      </c>
    </row>
    <row r="387" spans="1:12" ht="15" customHeight="1" x14ac:dyDescent="0.2">
      <c r="A387" s="2">
        <v>45491</v>
      </c>
      <c r="B387" s="3">
        <v>39.76</v>
      </c>
      <c r="C387" s="1">
        <v>1436215</v>
      </c>
      <c r="D387" s="3">
        <v>-8.00000000000054E-2</v>
      </c>
      <c r="E387" s="3">
        <v>-0.200803212851419</v>
      </c>
      <c r="F387" s="3">
        <v>-0.20080709984412401</v>
      </c>
      <c r="G387" s="3">
        <v>49.700527000000001</v>
      </c>
      <c r="H387" s="3">
        <v>1284.99980855437</v>
      </c>
      <c r="I387" s="3">
        <v>39.380000000000003</v>
      </c>
      <c r="J387" s="3">
        <v>40.18</v>
      </c>
      <c r="K387" s="3">
        <v>38.880000000000003</v>
      </c>
      <c r="L387" s="3">
        <v>1007.98809815682</v>
      </c>
    </row>
    <row r="388" spans="1:12" ht="15" customHeight="1" x14ac:dyDescent="0.2">
      <c r="A388" s="2">
        <v>45490</v>
      </c>
      <c r="B388" s="3">
        <v>39.840000000000003</v>
      </c>
      <c r="C388" s="1">
        <v>1336493</v>
      </c>
      <c r="D388" s="3">
        <v>-0.35999999999999899</v>
      </c>
      <c r="E388" s="3">
        <v>-0.89552238805969897</v>
      </c>
      <c r="F388" s="3">
        <v>-0.895520831679119</v>
      </c>
      <c r="G388" s="3">
        <v>49.800530000000002</v>
      </c>
      <c r="H388" s="3">
        <v>1287.7865825428</v>
      </c>
      <c r="I388" s="3">
        <v>39.979999999999997</v>
      </c>
      <c r="J388" s="3">
        <v>41.12</v>
      </c>
      <c r="K388" s="3">
        <v>39.61</v>
      </c>
      <c r="L388" s="3">
        <v>1010.21745046699</v>
      </c>
    </row>
    <row r="389" spans="1:12" ht="15" customHeight="1" x14ac:dyDescent="0.2">
      <c r="A389" s="2">
        <v>45489</v>
      </c>
      <c r="B389" s="3">
        <v>40.200000000000003</v>
      </c>
      <c r="C389" s="1">
        <v>1367003</v>
      </c>
      <c r="D389" s="3">
        <v>1.55</v>
      </c>
      <c r="E389" s="3">
        <v>4.0103492884864202</v>
      </c>
      <c r="F389" s="3">
        <v>4.0103458664295797</v>
      </c>
      <c r="G389" s="3">
        <v>50.250534000000002</v>
      </c>
      <c r="H389" s="3">
        <v>1300.3268007551401</v>
      </c>
      <c r="I389" s="3">
        <v>38.86</v>
      </c>
      <c r="J389" s="3">
        <v>40.22</v>
      </c>
      <c r="K389" s="3">
        <v>37.869999999999997</v>
      </c>
      <c r="L389" s="3">
        <v>1020.24953586278</v>
      </c>
    </row>
    <row r="390" spans="1:12" ht="15" customHeight="1" x14ac:dyDescent="0.2">
      <c r="A390" s="2">
        <v>45488</v>
      </c>
      <c r="B390" s="3">
        <v>38.65</v>
      </c>
      <c r="C390" s="1">
        <v>905327</v>
      </c>
      <c r="D390" s="3">
        <v>0.67999999999999905</v>
      </c>
      <c r="E390" s="3">
        <v>1.79088754279694</v>
      </c>
      <c r="F390" s="3">
        <v>1.7908895570349901</v>
      </c>
      <c r="G390" s="3">
        <v>48.313015</v>
      </c>
      <c r="H390" s="3">
        <v>1246.33414502193</v>
      </c>
      <c r="I390" s="3">
        <v>38.43</v>
      </c>
      <c r="J390" s="3">
        <v>38.869999999999997</v>
      </c>
      <c r="K390" s="3">
        <v>38.04</v>
      </c>
      <c r="L390" s="3">
        <v>977.05583485314696</v>
      </c>
    </row>
    <row r="391" spans="1:12" ht="15" customHeight="1" x14ac:dyDescent="0.2">
      <c r="A391" s="2">
        <v>45485</v>
      </c>
      <c r="B391" s="3">
        <v>37.97</v>
      </c>
      <c r="C391" s="1">
        <v>721757</v>
      </c>
      <c r="D391" s="3">
        <v>0.219999999999998</v>
      </c>
      <c r="E391" s="3">
        <v>0.58278145695362904</v>
      </c>
      <c r="F391" s="3">
        <v>0.58278587776552304</v>
      </c>
      <c r="G391" s="3">
        <v>47.463005000000003</v>
      </c>
      <c r="H391" s="3">
        <v>1222.6469980572799</v>
      </c>
      <c r="I391" s="3">
        <v>38.049999999999997</v>
      </c>
      <c r="J391" s="3">
        <v>38.799999999999997</v>
      </c>
      <c r="K391" s="3">
        <v>37.97</v>
      </c>
      <c r="L391" s="3">
        <v>958.10634021666203</v>
      </c>
    </row>
    <row r="392" spans="1:12" ht="15" customHeight="1" x14ac:dyDescent="0.2">
      <c r="A392" s="2">
        <v>45484</v>
      </c>
      <c r="B392" s="3">
        <v>37.75</v>
      </c>
      <c r="C392" s="1">
        <v>837225</v>
      </c>
      <c r="D392" s="3">
        <v>0.92999999999999905</v>
      </c>
      <c r="E392" s="3">
        <v>2.5258011950027099</v>
      </c>
      <c r="F392" s="3">
        <v>2.5257960317206898</v>
      </c>
      <c r="G392" s="3">
        <v>47.188000000000002</v>
      </c>
      <c r="H392" s="3">
        <v>1214.9834601565401</v>
      </c>
      <c r="I392" s="3">
        <v>37.46</v>
      </c>
      <c r="J392" s="3">
        <v>38.17</v>
      </c>
      <c r="K392" s="3">
        <v>36.914999999999999</v>
      </c>
      <c r="L392" s="3">
        <v>951.97562136368197</v>
      </c>
    </row>
    <row r="393" spans="1:12" ht="15" customHeight="1" x14ac:dyDescent="0.2">
      <c r="A393" s="2">
        <v>45483</v>
      </c>
      <c r="B393" s="3">
        <v>36.82</v>
      </c>
      <c r="C393" s="1">
        <v>717181</v>
      </c>
      <c r="D393" s="3">
        <v>-0.67999999999999905</v>
      </c>
      <c r="E393" s="3">
        <v>-1.8133333333333299</v>
      </c>
      <c r="F393" s="3">
        <v>-1.81333532442321</v>
      </c>
      <c r="G393" s="3">
        <v>46.025489999999998</v>
      </c>
      <c r="H393" s="3">
        <v>1182.58790573027</v>
      </c>
      <c r="I393" s="3">
        <v>37.65</v>
      </c>
      <c r="J393" s="3">
        <v>37.65</v>
      </c>
      <c r="K393" s="3">
        <v>36.78</v>
      </c>
      <c r="L393" s="3">
        <v>926.05940075790102</v>
      </c>
    </row>
    <row r="394" spans="1:12" ht="15" customHeight="1" x14ac:dyDescent="0.2">
      <c r="A394" s="2">
        <v>45482</v>
      </c>
      <c r="B394" s="3">
        <v>37.5</v>
      </c>
      <c r="C394" s="1">
        <v>887492</v>
      </c>
      <c r="D394" s="3">
        <v>-0.46999999999999797</v>
      </c>
      <c r="E394" s="3">
        <v>-1.2378193310508201</v>
      </c>
      <c r="F394" s="3">
        <v>-1.2378166953398699</v>
      </c>
      <c r="G394" s="3">
        <v>46.875500000000002</v>
      </c>
      <c r="H394" s="3">
        <v>1206.2750526949201</v>
      </c>
      <c r="I394" s="3">
        <v>37.94</v>
      </c>
      <c r="J394" s="3">
        <v>38.085000000000001</v>
      </c>
      <c r="K394" s="3">
        <v>37.1</v>
      </c>
      <c r="L394" s="3">
        <v>945.00889539438595</v>
      </c>
    </row>
    <row r="395" spans="1:12" ht="15" customHeight="1" x14ac:dyDescent="0.2">
      <c r="A395" s="2">
        <v>45481</v>
      </c>
      <c r="B395" s="3">
        <v>37.97</v>
      </c>
      <c r="C395" s="1">
        <v>867021</v>
      </c>
      <c r="D395" s="3">
        <v>0.439999999999997</v>
      </c>
      <c r="E395" s="3">
        <v>1.1723954169997099</v>
      </c>
      <c r="F395" s="3">
        <v>1.1723935796048099</v>
      </c>
      <c r="G395" s="3">
        <v>47.463005000000003</v>
      </c>
      <c r="H395" s="3">
        <v>1222.6469980572799</v>
      </c>
      <c r="I395" s="3">
        <v>37.9</v>
      </c>
      <c r="J395" s="3">
        <v>38.74</v>
      </c>
      <c r="K395" s="3">
        <v>37.669400000000003</v>
      </c>
      <c r="L395" s="3">
        <v>958.10634021666203</v>
      </c>
    </row>
    <row r="396" spans="1:12" ht="15" customHeight="1" x14ac:dyDescent="0.2">
      <c r="A396" s="2">
        <v>45478</v>
      </c>
      <c r="B396" s="3">
        <v>37.53</v>
      </c>
      <c r="C396" s="1">
        <v>719789</v>
      </c>
      <c r="D396" s="3">
        <v>0.310000000000002</v>
      </c>
      <c r="E396" s="3">
        <v>0.83288554540570303</v>
      </c>
      <c r="F396" s="3">
        <v>0.83288309633746604</v>
      </c>
      <c r="G396" s="3">
        <v>46.912999999999997</v>
      </c>
      <c r="H396" s="3">
        <v>1207.3200615903099</v>
      </c>
      <c r="I396" s="3">
        <v>37.22</v>
      </c>
      <c r="J396" s="3">
        <v>37.628799999999998</v>
      </c>
      <c r="K396" s="3">
        <v>36.977499999999999</v>
      </c>
      <c r="L396" s="3">
        <v>945.84490251070201</v>
      </c>
    </row>
    <row r="397" spans="1:12" ht="15" customHeight="1" x14ac:dyDescent="0.2">
      <c r="A397" s="2">
        <v>45476</v>
      </c>
      <c r="B397" s="3">
        <v>37.22</v>
      </c>
      <c r="C397" s="1">
        <v>568088</v>
      </c>
      <c r="D397" s="3">
        <v>-0.60999999999999899</v>
      </c>
      <c r="E397" s="3">
        <v>-1.6124768702088199</v>
      </c>
      <c r="F397" s="3">
        <v>-1.6124786483913101</v>
      </c>
      <c r="G397" s="3">
        <v>46.525497000000001</v>
      </c>
      <c r="H397" s="3">
        <v>1196.5215527371899</v>
      </c>
      <c r="I397" s="3">
        <v>38.01</v>
      </c>
      <c r="J397" s="3">
        <v>38.01</v>
      </c>
      <c r="K397" s="3">
        <v>37.22</v>
      </c>
      <c r="L397" s="3">
        <v>937.20616230877499</v>
      </c>
    </row>
    <row r="398" spans="1:12" ht="15" customHeight="1" x14ac:dyDescent="0.2">
      <c r="A398" s="2">
        <v>45475</v>
      </c>
      <c r="B398" s="3">
        <v>37.83</v>
      </c>
      <c r="C398" s="1">
        <v>737743</v>
      </c>
      <c r="D398" s="3">
        <v>-0.67000000000000104</v>
      </c>
      <c r="E398" s="3">
        <v>-1.74025974025974</v>
      </c>
      <c r="F398" s="3">
        <v>-1.7402496098222999</v>
      </c>
      <c r="G398" s="3">
        <v>47.288006000000003</v>
      </c>
      <c r="H398" s="3">
        <v>1217.7703177456799</v>
      </c>
      <c r="I398" s="3">
        <v>38.51</v>
      </c>
      <c r="J398" s="3">
        <v>38.575000000000003</v>
      </c>
      <c r="K398" s="3">
        <v>37.770000000000003</v>
      </c>
      <c r="L398" s="3">
        <v>954.20497367385701</v>
      </c>
    </row>
    <row r="399" spans="1:12" ht="15" customHeight="1" x14ac:dyDescent="0.2">
      <c r="A399" s="2">
        <v>45474</v>
      </c>
      <c r="B399" s="3">
        <v>38.5</v>
      </c>
      <c r="C399" s="1">
        <v>738840</v>
      </c>
      <c r="D399" s="3">
        <v>-0.78999999999999904</v>
      </c>
      <c r="E399" s="3">
        <v>-2.0106897429371302</v>
      </c>
      <c r="F399" s="3">
        <v>-2.01068881530803</v>
      </c>
      <c r="G399" s="3">
        <v>48.125509999999998</v>
      </c>
      <c r="H399" s="3">
        <v>1241.1089612104399</v>
      </c>
      <c r="I399" s="3">
        <v>39.39</v>
      </c>
      <c r="J399" s="3">
        <v>39.4</v>
      </c>
      <c r="K399" s="3">
        <v>38.15</v>
      </c>
      <c r="L399" s="3">
        <v>972.87579927157003</v>
      </c>
    </row>
    <row r="400" spans="1:12" ht="15" customHeight="1" x14ac:dyDescent="0.2">
      <c r="A400" s="2">
        <v>45471</v>
      </c>
      <c r="B400" s="3">
        <v>39.29</v>
      </c>
      <c r="C400" s="1">
        <v>1119613</v>
      </c>
      <c r="D400" s="3">
        <v>-0.55000000000000404</v>
      </c>
      <c r="E400" s="3">
        <v>-1.3805220883534099</v>
      </c>
      <c r="F400" s="3">
        <v>-1.3805274763140001</v>
      </c>
      <c r="G400" s="3">
        <v>49.113019999999999</v>
      </c>
      <c r="H400" s="3">
        <v>1268.6278074581901</v>
      </c>
      <c r="I400" s="3">
        <v>40.090000000000003</v>
      </c>
      <c r="J400" s="3">
        <v>40.090000000000003</v>
      </c>
      <c r="K400" s="3">
        <v>38.770000000000003</v>
      </c>
      <c r="L400" s="3">
        <v>994.89065333454505</v>
      </c>
    </row>
    <row r="401" spans="1:12" ht="15" customHeight="1" x14ac:dyDescent="0.2">
      <c r="A401" s="2">
        <v>45470</v>
      </c>
      <c r="B401" s="3">
        <v>39.840000000000003</v>
      </c>
      <c r="C401" s="1">
        <v>542754</v>
      </c>
      <c r="D401" s="3">
        <v>8.00000000000054E-2</v>
      </c>
      <c r="E401" s="3">
        <v>0.20120724346077701</v>
      </c>
      <c r="F401" s="3">
        <v>0.20121114611117899</v>
      </c>
      <c r="G401" s="3">
        <v>49.800530000000002</v>
      </c>
      <c r="H401" s="3">
        <v>1287.7865825428</v>
      </c>
      <c r="I401" s="3">
        <v>39.979999999999997</v>
      </c>
      <c r="J401" s="3">
        <v>39.979999999999997</v>
      </c>
      <c r="K401" s="3">
        <v>39.435000000000002</v>
      </c>
      <c r="L401" s="3">
        <v>1010.21745046699</v>
      </c>
    </row>
    <row r="402" spans="1:12" ht="15" customHeight="1" x14ac:dyDescent="0.2">
      <c r="A402" s="2">
        <v>45469</v>
      </c>
      <c r="B402" s="3">
        <v>39.76</v>
      </c>
      <c r="C402" s="1">
        <v>624461</v>
      </c>
      <c r="D402" s="3">
        <v>-0.99000000000000199</v>
      </c>
      <c r="E402" s="3">
        <v>-2.4294478527607399</v>
      </c>
      <c r="F402" s="3">
        <v>-2.4294476191074499</v>
      </c>
      <c r="G402" s="3">
        <v>49.700527000000001</v>
      </c>
      <c r="H402" s="3">
        <v>1284.99980855437</v>
      </c>
      <c r="I402" s="3">
        <v>40.380000000000003</v>
      </c>
      <c r="J402" s="3">
        <v>40.65</v>
      </c>
      <c r="K402" s="3">
        <v>39.590000000000003</v>
      </c>
      <c r="L402" s="3">
        <v>1007.98809815682</v>
      </c>
    </row>
    <row r="403" spans="1:12" ht="15" customHeight="1" x14ac:dyDescent="0.2">
      <c r="A403" s="2">
        <v>45468</v>
      </c>
      <c r="B403" s="3">
        <v>40.75</v>
      </c>
      <c r="C403" s="1">
        <v>573065</v>
      </c>
      <c r="D403" s="3">
        <v>0.35000000000000098</v>
      </c>
      <c r="E403" s="3">
        <v>0.86633663366337799</v>
      </c>
      <c r="F403" s="3">
        <v>0.86633136462823601</v>
      </c>
      <c r="G403" s="3">
        <v>50.938040000000001</v>
      </c>
      <c r="H403" s="3">
        <v>1319.4854643721301</v>
      </c>
      <c r="I403" s="3">
        <v>40.369999999999997</v>
      </c>
      <c r="J403" s="3">
        <v>40.880000000000003</v>
      </c>
      <c r="K403" s="3">
        <v>40.33</v>
      </c>
      <c r="L403" s="3">
        <v>1035.5763329952299</v>
      </c>
    </row>
    <row r="404" spans="1:12" ht="15" customHeight="1" x14ac:dyDescent="0.2">
      <c r="A404" s="2">
        <v>45467</v>
      </c>
      <c r="B404" s="3">
        <v>40.4</v>
      </c>
      <c r="C404" s="1">
        <v>794080</v>
      </c>
      <c r="D404" s="3">
        <v>0.39</v>
      </c>
      <c r="E404" s="3">
        <v>0.97475631092227499</v>
      </c>
      <c r="F404" s="3">
        <v>0.97476197702879297</v>
      </c>
      <c r="G404" s="3">
        <v>50.500537999999999</v>
      </c>
      <c r="H404" s="3">
        <v>1307.2936381920599</v>
      </c>
      <c r="I404" s="3">
        <v>40.07</v>
      </c>
      <c r="J404" s="3">
        <v>40.44</v>
      </c>
      <c r="K404" s="3">
        <v>39.634999999999998</v>
      </c>
      <c r="L404" s="3">
        <v>1025.82291663821</v>
      </c>
    </row>
    <row r="405" spans="1:12" ht="15" customHeight="1" x14ac:dyDescent="0.2">
      <c r="A405" s="2">
        <v>45464</v>
      </c>
      <c r="B405" s="3">
        <v>40.01</v>
      </c>
      <c r="C405" s="1">
        <v>1182643</v>
      </c>
      <c r="D405" s="3">
        <v>-0.42999999999999899</v>
      </c>
      <c r="E405" s="3">
        <v>-1.06330365974283</v>
      </c>
      <c r="F405" s="3">
        <v>-1.0632983830259499</v>
      </c>
      <c r="G405" s="3">
        <v>50.013030000000001</v>
      </c>
      <c r="H405" s="3">
        <v>1293.7082996167001</v>
      </c>
      <c r="I405" s="3">
        <v>40.33</v>
      </c>
      <c r="J405" s="3">
        <v>40.435000000000002</v>
      </c>
      <c r="K405" s="3">
        <v>39.9</v>
      </c>
      <c r="L405" s="3">
        <v>1014.95482412611</v>
      </c>
    </row>
    <row r="406" spans="1:12" ht="15" customHeight="1" x14ac:dyDescent="0.2">
      <c r="A406" s="2">
        <v>45463</v>
      </c>
      <c r="B406" s="3">
        <v>40.44</v>
      </c>
      <c r="C406" s="1">
        <v>917853</v>
      </c>
      <c r="D406" s="3">
        <v>0.87999999999999501</v>
      </c>
      <c r="E406" s="3">
        <v>2.2244691607684302</v>
      </c>
      <c r="F406" s="3">
        <v>2.22445758768152</v>
      </c>
      <c r="G406" s="3">
        <v>50.550533000000001</v>
      </c>
      <c r="H406" s="3">
        <v>1308.6868440513999</v>
      </c>
      <c r="I406" s="3">
        <v>39.630000000000003</v>
      </c>
      <c r="J406" s="3">
        <v>40.98</v>
      </c>
      <c r="K406" s="3">
        <v>39.424999999999997</v>
      </c>
      <c r="L406" s="3">
        <v>1026.9375927932999</v>
      </c>
    </row>
    <row r="407" spans="1:12" ht="15" customHeight="1" x14ac:dyDescent="0.2">
      <c r="A407" s="2">
        <v>45461</v>
      </c>
      <c r="B407" s="3">
        <v>39.56</v>
      </c>
      <c r="C407" s="1">
        <v>831456</v>
      </c>
      <c r="D407" s="3">
        <v>-1.22999999999999</v>
      </c>
      <c r="E407" s="3">
        <v>-3.01544496200047</v>
      </c>
      <c r="F407" s="3">
        <v>-3.0154385224456401</v>
      </c>
      <c r="G407" s="3">
        <v>49.450527000000001</v>
      </c>
      <c r="H407" s="3">
        <v>1278.0330825850699</v>
      </c>
      <c r="I407" s="3">
        <v>40.76</v>
      </c>
      <c r="J407" s="3">
        <v>40.76</v>
      </c>
      <c r="K407" s="3">
        <v>39.450000000000003</v>
      </c>
      <c r="L407" s="3">
        <v>1002.41471738138</v>
      </c>
    </row>
    <row r="408" spans="1:12" ht="15" customHeight="1" x14ac:dyDescent="0.2">
      <c r="A408" s="2">
        <v>45460</v>
      </c>
      <c r="B408" s="3">
        <v>40.79</v>
      </c>
      <c r="C408" s="1">
        <v>954822</v>
      </c>
      <c r="D408" s="3">
        <v>1.32</v>
      </c>
      <c r="E408" s="3">
        <v>3.34431213579933</v>
      </c>
      <c r="F408" s="3">
        <v>3.3443090465074201</v>
      </c>
      <c r="G408" s="3">
        <v>50.988039999999998</v>
      </c>
      <c r="H408" s="3">
        <v>1320.87880956599</v>
      </c>
      <c r="I408" s="3">
        <v>39.47</v>
      </c>
      <c r="J408" s="3">
        <v>40.85</v>
      </c>
      <c r="K408" s="3">
        <v>39.01</v>
      </c>
      <c r="L408" s="3">
        <v>1036.69100915032</v>
      </c>
    </row>
    <row r="409" spans="1:12" ht="15" customHeight="1" x14ac:dyDescent="0.2">
      <c r="A409" s="2">
        <v>45457</v>
      </c>
      <c r="B409" s="3">
        <v>39.47</v>
      </c>
      <c r="C409" s="1">
        <v>1125263</v>
      </c>
      <c r="D409" s="3">
        <v>-0.85000000000000098</v>
      </c>
      <c r="E409" s="3">
        <v>-2.1081349206349098</v>
      </c>
      <c r="F409" s="3">
        <v>-2.1081363102963899</v>
      </c>
      <c r="G409" s="3">
        <v>49.338023999999997</v>
      </c>
      <c r="H409" s="3">
        <v>1274.8979722981701</v>
      </c>
      <c r="I409" s="3">
        <v>39.82</v>
      </c>
      <c r="J409" s="3">
        <v>39.909999999999997</v>
      </c>
      <c r="K409" s="3">
        <v>39.25</v>
      </c>
      <c r="L409" s="3">
        <v>999.90669603243805</v>
      </c>
    </row>
    <row r="410" spans="1:12" ht="15" customHeight="1" x14ac:dyDescent="0.2">
      <c r="A410" s="2">
        <v>45456</v>
      </c>
      <c r="B410" s="3">
        <v>40.32</v>
      </c>
      <c r="C410" s="1">
        <v>845167</v>
      </c>
      <c r="D410" s="3">
        <v>3.0000000000001099E-2</v>
      </c>
      <c r="E410" s="3">
        <v>7.4460163812362007E-2</v>
      </c>
      <c r="F410" s="3">
        <v>7.4457384291592904E-2</v>
      </c>
      <c r="G410" s="3">
        <v>50.400536000000002</v>
      </c>
      <c r="H410" s="3">
        <v>1304.5068920705301</v>
      </c>
      <c r="I410" s="3">
        <v>39.89</v>
      </c>
      <c r="J410" s="3">
        <v>40.4</v>
      </c>
      <c r="K410" s="3">
        <v>39.5</v>
      </c>
      <c r="L410" s="3">
        <v>1023.59356432804</v>
      </c>
    </row>
    <row r="411" spans="1:12" ht="15" customHeight="1" x14ac:dyDescent="0.2">
      <c r="A411" s="2">
        <v>45455</v>
      </c>
      <c r="B411" s="3">
        <v>40.29</v>
      </c>
      <c r="C411" s="1">
        <v>1202613</v>
      </c>
      <c r="D411" s="3">
        <v>1.1599999999999899</v>
      </c>
      <c r="E411" s="3">
        <v>2.9644773830820301</v>
      </c>
      <c r="F411" s="3">
        <v>2.9644806229506901</v>
      </c>
      <c r="G411" s="3">
        <v>50.363036999999998</v>
      </c>
      <c r="H411" s="3">
        <v>1303.4619110420399</v>
      </c>
      <c r="I411" s="3">
        <v>39.950000000000003</v>
      </c>
      <c r="J411" s="3">
        <v>40.81</v>
      </c>
      <c r="K411" s="3">
        <v>39.695</v>
      </c>
      <c r="L411" s="3">
        <v>1022.75755721172</v>
      </c>
    </row>
    <row r="412" spans="1:12" ht="15" customHeight="1" x14ac:dyDescent="0.2">
      <c r="A412" s="2">
        <v>45454</v>
      </c>
      <c r="B412" s="3">
        <v>39.130000000000003</v>
      </c>
      <c r="C412" s="1">
        <v>1123377</v>
      </c>
      <c r="D412" s="3">
        <v>1.35</v>
      </c>
      <c r="E412" s="3">
        <v>3.5733192165166598</v>
      </c>
      <c r="F412" s="3">
        <v>3.5733237339996502</v>
      </c>
      <c r="G412" s="3">
        <v>48.913020000000003</v>
      </c>
      <c r="H412" s="3">
        <v>1263.0544266827601</v>
      </c>
      <c r="I412" s="3">
        <v>37.71</v>
      </c>
      <c r="J412" s="3">
        <v>39.28</v>
      </c>
      <c r="K412" s="3">
        <v>37.35</v>
      </c>
      <c r="L412" s="3">
        <v>990.43194871419598</v>
      </c>
    </row>
    <row r="413" spans="1:12" ht="15" customHeight="1" x14ac:dyDescent="0.2">
      <c r="A413" s="2">
        <v>45453</v>
      </c>
      <c r="B413" s="3">
        <v>37.78</v>
      </c>
      <c r="C413" s="1">
        <v>918652</v>
      </c>
      <c r="D413" s="3">
        <v>-1.01999999999999</v>
      </c>
      <c r="E413" s="3">
        <v>-2.62886597938143</v>
      </c>
      <c r="F413" s="3">
        <v>-2.6288689924220501</v>
      </c>
      <c r="G413" s="3">
        <v>47.225499999999997</v>
      </c>
      <c r="H413" s="3">
        <v>1216.02846905193</v>
      </c>
      <c r="I413" s="3">
        <v>38.229999999999997</v>
      </c>
      <c r="J413" s="3">
        <v>38.429900000000004</v>
      </c>
      <c r="K413" s="3">
        <v>37.549999999999997</v>
      </c>
      <c r="L413" s="3">
        <v>952.81162847999803</v>
      </c>
    </row>
    <row r="414" spans="1:12" ht="15" customHeight="1" x14ac:dyDescent="0.2">
      <c r="A414" s="2">
        <v>45450</v>
      </c>
      <c r="B414" s="3">
        <v>38.799999999999997</v>
      </c>
      <c r="C414" s="1">
        <v>748431</v>
      </c>
      <c r="D414" s="3">
        <v>-0.45000000000000201</v>
      </c>
      <c r="E414" s="3">
        <v>-1.1464968152866299</v>
      </c>
      <c r="F414" s="3">
        <v>-1.1465008994655701</v>
      </c>
      <c r="G414" s="3">
        <v>48.500515</v>
      </c>
      <c r="H414" s="3">
        <v>1251.5591894989</v>
      </c>
      <c r="I414" s="3">
        <v>39</v>
      </c>
      <c r="J414" s="3">
        <v>39.090000000000003</v>
      </c>
      <c r="K414" s="3">
        <v>38.53</v>
      </c>
      <c r="L414" s="3">
        <v>981.23587043472503</v>
      </c>
    </row>
    <row r="415" spans="1:12" ht="15" customHeight="1" x14ac:dyDescent="0.2">
      <c r="A415" s="2">
        <v>45449</v>
      </c>
      <c r="B415" s="3">
        <v>39.25</v>
      </c>
      <c r="C415" s="1">
        <v>858067</v>
      </c>
      <c r="D415" s="3">
        <v>-0.28000000000000103</v>
      </c>
      <c r="E415" s="3">
        <v>-0.70832279281558497</v>
      </c>
      <c r="F415" s="3">
        <v>-0.70831931459366304</v>
      </c>
      <c r="G415" s="3">
        <v>49.063023000000001</v>
      </c>
      <c r="H415" s="3">
        <v>1267.23454586505</v>
      </c>
      <c r="I415" s="3">
        <v>39.29</v>
      </c>
      <c r="J415" s="3">
        <v>39.51</v>
      </c>
      <c r="K415" s="3">
        <v>39</v>
      </c>
      <c r="L415" s="3">
        <v>993.77597717945798</v>
      </c>
    </row>
    <row r="416" spans="1:12" ht="15" customHeight="1" x14ac:dyDescent="0.2">
      <c r="A416" s="2">
        <v>45448</v>
      </c>
      <c r="B416" s="3">
        <v>39.53</v>
      </c>
      <c r="C416" s="1">
        <v>857487</v>
      </c>
      <c r="D416" s="3">
        <v>0.57999999999999796</v>
      </c>
      <c r="E416" s="3">
        <v>1.4890885750962599</v>
      </c>
      <c r="F416" s="3">
        <v>1.48908294073162</v>
      </c>
      <c r="G416" s="3">
        <v>49.413024999999998</v>
      </c>
      <c r="H416" s="3">
        <v>1276.98801795587</v>
      </c>
      <c r="I416" s="3">
        <v>39.148000000000003</v>
      </c>
      <c r="J416" s="3">
        <v>39.950000000000003</v>
      </c>
      <c r="K416" s="3">
        <v>38.685000000000002</v>
      </c>
      <c r="L416" s="3">
        <v>1001.57871026506</v>
      </c>
    </row>
    <row r="417" spans="1:12" ht="15" customHeight="1" x14ac:dyDescent="0.2">
      <c r="A417" s="2">
        <v>45447</v>
      </c>
      <c r="B417" s="3">
        <v>38.950000000000003</v>
      </c>
      <c r="C417" s="1">
        <v>783342</v>
      </c>
      <c r="D417" s="3">
        <v>-4.9999999999997102E-2</v>
      </c>
      <c r="E417" s="3">
        <v>-0.12820512820511601</v>
      </c>
      <c r="F417" s="3">
        <v>-0.128203760698342</v>
      </c>
      <c r="G417" s="3">
        <v>48.688020000000002</v>
      </c>
      <c r="H417" s="3">
        <v>1256.78437331039</v>
      </c>
      <c r="I417" s="3">
        <v>38.799999999999997</v>
      </c>
      <c r="J417" s="3">
        <v>39.039900000000003</v>
      </c>
      <c r="K417" s="3">
        <v>38.08</v>
      </c>
      <c r="L417" s="3">
        <v>985.41590601630298</v>
      </c>
    </row>
    <row r="418" spans="1:12" ht="15" customHeight="1" x14ac:dyDescent="0.2">
      <c r="A418" s="2">
        <v>45446</v>
      </c>
      <c r="B418" s="3">
        <v>39</v>
      </c>
      <c r="C418" s="1">
        <v>795733</v>
      </c>
      <c r="D418" s="3">
        <v>0.52000000000000302</v>
      </c>
      <c r="E418" s="3">
        <v>1.35135135135135</v>
      </c>
      <c r="F418" s="3">
        <v>1.35135781304605</v>
      </c>
      <c r="G418" s="3">
        <v>48.750520000000002</v>
      </c>
      <c r="H418" s="3">
        <v>1258.52605480271</v>
      </c>
      <c r="I418" s="3">
        <v>38.26</v>
      </c>
      <c r="J418" s="3">
        <v>39.119999999999997</v>
      </c>
      <c r="K418" s="3">
        <v>38.26</v>
      </c>
      <c r="L418" s="3">
        <v>986.80925121016196</v>
      </c>
    </row>
    <row r="419" spans="1:12" ht="15" customHeight="1" x14ac:dyDescent="0.2">
      <c r="A419" s="2">
        <v>45443</v>
      </c>
      <c r="B419" s="3">
        <v>38.479999999999997</v>
      </c>
      <c r="C419" s="1">
        <v>833943</v>
      </c>
      <c r="D419" s="3">
        <v>1.9999999999996E-2</v>
      </c>
      <c r="E419" s="3">
        <v>5.2002080083202097E-2</v>
      </c>
      <c r="F419" s="3">
        <v>5.2001528428924297E-2</v>
      </c>
      <c r="G419" s="3">
        <v>48.10051</v>
      </c>
      <c r="H419" s="3">
        <v>1240.4122886135101</v>
      </c>
      <c r="I419" s="3">
        <v>38.86</v>
      </c>
      <c r="J419" s="3">
        <v>38.93</v>
      </c>
      <c r="K419" s="3">
        <v>38.07</v>
      </c>
      <c r="L419" s="3">
        <v>972.31846119402599</v>
      </c>
    </row>
    <row r="420" spans="1:12" ht="15" customHeight="1" x14ac:dyDescent="0.2">
      <c r="A420" s="2">
        <v>45442</v>
      </c>
      <c r="B420" s="3">
        <v>38.46</v>
      </c>
      <c r="C420" s="1">
        <v>929771</v>
      </c>
      <c r="D420" s="3">
        <v>1.21</v>
      </c>
      <c r="E420" s="3">
        <v>3.2483221476509998</v>
      </c>
      <c r="F420" s="3">
        <v>3.2483176125522601</v>
      </c>
      <c r="G420" s="3">
        <v>48.075510000000001</v>
      </c>
      <c r="H420" s="3">
        <v>1239.71561601658</v>
      </c>
      <c r="I420" s="3">
        <v>37.840000000000003</v>
      </c>
      <c r="J420" s="3">
        <v>38.655000000000001</v>
      </c>
      <c r="K420" s="3">
        <v>37.54</v>
      </c>
      <c r="L420" s="3">
        <v>971.76112311648296</v>
      </c>
    </row>
    <row r="421" spans="1:12" ht="15" customHeight="1" x14ac:dyDescent="0.2">
      <c r="A421" s="2">
        <v>45441</v>
      </c>
      <c r="B421" s="3">
        <v>37.25</v>
      </c>
      <c r="C421" s="1">
        <v>709675</v>
      </c>
      <c r="D421" s="3">
        <v>-0.65999999999999603</v>
      </c>
      <c r="E421" s="3">
        <v>-1.7409654444737399</v>
      </c>
      <c r="F421" s="3">
        <v>-1.7409638101659699</v>
      </c>
      <c r="G421" s="3">
        <v>46.562995999999998</v>
      </c>
      <c r="H421" s="3">
        <v>1197.5665337656801</v>
      </c>
      <c r="I421" s="3">
        <v>37.4</v>
      </c>
      <c r="J421" s="3">
        <v>37.5</v>
      </c>
      <c r="K421" s="3">
        <v>36.979999999999997</v>
      </c>
      <c r="L421" s="3">
        <v>938.04216942509004</v>
      </c>
    </row>
    <row r="422" spans="1:12" ht="15" customHeight="1" x14ac:dyDescent="0.2">
      <c r="A422" s="2">
        <v>45440</v>
      </c>
      <c r="B422" s="3">
        <v>37.909999999999997</v>
      </c>
      <c r="C422" s="1">
        <v>1291430</v>
      </c>
      <c r="D422" s="3">
        <v>0.42999999999999899</v>
      </c>
      <c r="E422" s="3">
        <v>1.1472785485592201</v>
      </c>
      <c r="F422" s="3">
        <v>1.1472748423176</v>
      </c>
      <c r="G422" s="3">
        <v>47.388004000000002</v>
      </c>
      <c r="H422" s="3">
        <v>1220.55695239959</v>
      </c>
      <c r="I422" s="3">
        <v>38.01</v>
      </c>
      <c r="J422" s="3">
        <v>38.79</v>
      </c>
      <c r="K422" s="3">
        <v>37.67</v>
      </c>
      <c r="L422" s="3">
        <v>956.43432598403103</v>
      </c>
    </row>
    <row r="423" spans="1:12" ht="15" customHeight="1" x14ac:dyDescent="0.2">
      <c r="A423" s="2">
        <v>45436</v>
      </c>
      <c r="B423" s="3">
        <v>37.479999999999997</v>
      </c>
      <c r="C423" s="1">
        <v>789920</v>
      </c>
      <c r="D423" s="3">
        <v>0.65999999999999603</v>
      </c>
      <c r="E423" s="3">
        <v>1.7925040738728799</v>
      </c>
      <c r="F423" s="3">
        <v>1.7925067174732801</v>
      </c>
      <c r="G423" s="3">
        <v>46.850499999999997</v>
      </c>
      <c r="H423" s="3">
        <v>1205.57838009799</v>
      </c>
      <c r="I423" s="3">
        <v>37.119999999999997</v>
      </c>
      <c r="J423" s="3">
        <v>37.53</v>
      </c>
      <c r="K423" s="3">
        <v>36.85</v>
      </c>
      <c r="L423" s="3">
        <v>944.45155731684201</v>
      </c>
    </row>
    <row r="424" spans="1:12" ht="15" customHeight="1" x14ac:dyDescent="0.2">
      <c r="A424" s="2">
        <v>45435</v>
      </c>
      <c r="B424" s="3">
        <v>36.82</v>
      </c>
      <c r="C424" s="1">
        <v>805635</v>
      </c>
      <c r="D424" s="3">
        <v>-0.28999999999999898</v>
      </c>
      <c r="E424" s="3">
        <v>-0.781460522770138</v>
      </c>
      <c r="F424" s="3">
        <v>-0.78145868479372305</v>
      </c>
      <c r="G424" s="3">
        <v>46.025489999999998</v>
      </c>
      <c r="H424" s="3">
        <v>1182.58790573027</v>
      </c>
      <c r="I424" s="3">
        <v>37.31</v>
      </c>
      <c r="J424" s="3">
        <v>37.31</v>
      </c>
      <c r="K424" s="3">
        <v>36.54</v>
      </c>
      <c r="L424" s="3">
        <v>926.05940075790102</v>
      </c>
    </row>
    <row r="425" spans="1:12" ht="15" customHeight="1" x14ac:dyDescent="0.2">
      <c r="A425" s="2">
        <v>45434</v>
      </c>
      <c r="B425" s="3">
        <v>37.11</v>
      </c>
      <c r="C425" s="1">
        <v>1327996</v>
      </c>
      <c r="D425" s="3">
        <v>-0.48000000000000398</v>
      </c>
      <c r="E425" s="3">
        <v>-1.2769353551476501</v>
      </c>
      <c r="F425" s="3">
        <v>-1.27693666468033</v>
      </c>
      <c r="G425" s="3">
        <v>46.387993000000002</v>
      </c>
      <c r="H425" s="3">
        <v>1192.6897419864599</v>
      </c>
      <c r="I425" s="3">
        <v>37.380000000000003</v>
      </c>
      <c r="J425" s="3">
        <v>37.569899999999997</v>
      </c>
      <c r="K425" s="3">
        <v>36.970599999999997</v>
      </c>
      <c r="L425" s="3">
        <v>934.14080288228502</v>
      </c>
    </row>
    <row r="426" spans="1:12" ht="15" customHeight="1" x14ac:dyDescent="0.2">
      <c r="A426" s="2">
        <v>45433</v>
      </c>
      <c r="B426" s="3">
        <v>37.590000000000003</v>
      </c>
      <c r="C426" s="1">
        <v>863701</v>
      </c>
      <c r="D426" s="3">
        <v>-0.97999999999999599</v>
      </c>
      <c r="E426" s="3">
        <v>-2.5408348457350098</v>
      </c>
      <c r="F426" s="3">
        <v>-1.8408147889217099</v>
      </c>
      <c r="G426" s="3">
        <v>46.988</v>
      </c>
      <c r="H426" s="3">
        <v>1209.4100793811001</v>
      </c>
      <c r="I426" s="3">
        <v>38.340000000000003</v>
      </c>
      <c r="J426" s="3">
        <v>38.58</v>
      </c>
      <c r="K426" s="3">
        <v>37.56</v>
      </c>
      <c r="L426" s="3">
        <v>947.51691674333301</v>
      </c>
    </row>
    <row r="427" spans="1:12" ht="15" customHeight="1" x14ac:dyDescent="0.2">
      <c r="A427" s="2">
        <v>45432</v>
      </c>
      <c r="B427" s="3">
        <v>38.57</v>
      </c>
      <c r="C427" s="1">
        <v>1431056</v>
      </c>
      <c r="D427" s="3">
        <v>0.130000000000002</v>
      </c>
      <c r="E427" s="3">
        <v>0.33818938605620902</v>
      </c>
      <c r="F427" s="3">
        <v>0.33819811068354</v>
      </c>
      <c r="G427" s="3">
        <v>47.869183</v>
      </c>
      <c r="H427" s="3">
        <v>1233.9659213403099</v>
      </c>
      <c r="I427" s="3">
        <v>38.340000000000003</v>
      </c>
      <c r="J427" s="3">
        <v>38.700000000000003</v>
      </c>
      <c r="K427" s="3">
        <v>37.76</v>
      </c>
      <c r="L427" s="3">
        <v>974.82648254297305</v>
      </c>
    </row>
    <row r="428" spans="1:12" ht="15" customHeight="1" x14ac:dyDescent="0.2">
      <c r="A428" s="2">
        <v>45429</v>
      </c>
      <c r="B428" s="3">
        <v>38.44</v>
      </c>
      <c r="C428" s="1">
        <v>2756021</v>
      </c>
      <c r="D428" s="3">
        <v>-2.25</v>
      </c>
      <c r="E428" s="3">
        <v>-5.5296141558122303</v>
      </c>
      <c r="F428" s="3">
        <v>-5.5296175409616204</v>
      </c>
      <c r="G428" s="3">
        <v>47.707836</v>
      </c>
      <c r="H428" s="3">
        <v>1229.4696800004399</v>
      </c>
      <c r="I428" s="3">
        <v>38.994999999999997</v>
      </c>
      <c r="J428" s="3">
        <v>39.155000000000001</v>
      </c>
      <c r="K428" s="3">
        <v>38.409999999999997</v>
      </c>
      <c r="L428" s="3">
        <v>971.20378503893903</v>
      </c>
    </row>
    <row r="429" spans="1:12" ht="15" customHeight="1" x14ac:dyDescent="0.2">
      <c r="A429" s="2">
        <v>45428</v>
      </c>
      <c r="B429" s="3">
        <v>40.69</v>
      </c>
      <c r="C429" s="1">
        <v>963473</v>
      </c>
      <c r="D429" s="3">
        <v>-0.32</v>
      </c>
      <c r="E429" s="3">
        <v>-0.78029748841745805</v>
      </c>
      <c r="F429" s="3">
        <v>-0.78029434081779903</v>
      </c>
      <c r="G429" s="3">
        <v>50.500309999999999</v>
      </c>
      <c r="H429" s="3">
        <v>1307.28728453797</v>
      </c>
      <c r="I429" s="3">
        <v>41</v>
      </c>
      <c r="J429" s="3">
        <v>41.14</v>
      </c>
      <c r="K429" s="3">
        <v>40.15</v>
      </c>
      <c r="L429" s="3">
        <v>1033.9043187626</v>
      </c>
    </row>
    <row r="430" spans="1:12" ht="15" customHeight="1" x14ac:dyDescent="0.2">
      <c r="A430" s="2">
        <v>45427</v>
      </c>
      <c r="B430" s="3">
        <v>41.01</v>
      </c>
      <c r="C430" s="1">
        <v>1686654</v>
      </c>
      <c r="D430" s="3">
        <v>0.989999999999994</v>
      </c>
      <c r="E430" s="3">
        <v>2.4737631184407598</v>
      </c>
      <c r="F430" s="3">
        <v>2.4737594690781002</v>
      </c>
      <c r="G430" s="3">
        <v>50.897460000000002</v>
      </c>
      <c r="H430" s="3">
        <v>1318.35462541279</v>
      </c>
      <c r="I430" s="3">
        <v>40.76</v>
      </c>
      <c r="J430" s="3">
        <v>41.25</v>
      </c>
      <c r="K430" s="3">
        <v>40.1</v>
      </c>
      <c r="L430" s="3">
        <v>1042.8217280033</v>
      </c>
    </row>
    <row r="431" spans="1:12" ht="15" customHeight="1" x14ac:dyDescent="0.2">
      <c r="A431" s="2">
        <v>45426</v>
      </c>
      <c r="B431" s="3">
        <v>40.020000000000003</v>
      </c>
      <c r="C431" s="1">
        <v>1732443</v>
      </c>
      <c r="D431" s="3">
        <v>0.89</v>
      </c>
      <c r="E431" s="3">
        <v>2.2744697163301799</v>
      </c>
      <c r="F431" s="3">
        <v>2.27446564648303</v>
      </c>
      <c r="G431" s="3">
        <v>49.668773999999999</v>
      </c>
      <c r="H431" s="3">
        <v>1284.1149507555499</v>
      </c>
      <c r="I431" s="3">
        <v>39.604999999999997</v>
      </c>
      <c r="J431" s="3">
        <v>40.729999999999997</v>
      </c>
      <c r="K431" s="3">
        <v>39.4</v>
      </c>
      <c r="L431" s="3">
        <v>1015.23349316488</v>
      </c>
    </row>
    <row r="432" spans="1:12" ht="15" customHeight="1" x14ac:dyDescent="0.2">
      <c r="A432" s="2">
        <v>45425</v>
      </c>
      <c r="B432" s="3">
        <v>39.130000000000003</v>
      </c>
      <c r="C432" s="1">
        <v>1495187</v>
      </c>
      <c r="D432" s="3">
        <v>1.48</v>
      </c>
      <c r="E432" s="3">
        <v>3.9309428950863299</v>
      </c>
      <c r="F432" s="3">
        <v>3.93094668071409</v>
      </c>
      <c r="G432" s="3">
        <v>48.564197999999998</v>
      </c>
      <c r="H432" s="3">
        <v>1253.3338375385099</v>
      </c>
      <c r="I432" s="3">
        <v>37.880000000000003</v>
      </c>
      <c r="J432" s="3">
        <v>39.25</v>
      </c>
      <c r="K432" s="3">
        <v>37.799999999999997</v>
      </c>
      <c r="L432" s="3">
        <v>990.43194871419598</v>
      </c>
    </row>
    <row r="433" spans="1:12" ht="15" customHeight="1" x14ac:dyDescent="0.2">
      <c r="A433" s="2">
        <v>45422</v>
      </c>
      <c r="B433" s="3">
        <v>37.65</v>
      </c>
      <c r="C433" s="1">
        <v>2507915</v>
      </c>
      <c r="D433" s="3">
        <v>1.5899999999999901</v>
      </c>
      <c r="E433" s="3">
        <v>4.40931780366056</v>
      </c>
      <c r="F433" s="3">
        <v>4.4093129053755602</v>
      </c>
      <c r="G433" s="3">
        <v>46.727370000000001</v>
      </c>
      <c r="H433" s="3">
        <v>1202.14712822359</v>
      </c>
      <c r="I433" s="3">
        <v>36.92</v>
      </c>
      <c r="J433" s="3">
        <v>37.774999999999999</v>
      </c>
      <c r="K433" s="3">
        <v>36.750100000000003</v>
      </c>
      <c r="L433" s="3">
        <v>949.18893097596401</v>
      </c>
    </row>
    <row r="434" spans="1:12" ht="15" customHeight="1" x14ac:dyDescent="0.2">
      <c r="A434" s="2">
        <v>45421</v>
      </c>
      <c r="B434" s="3">
        <v>36.06</v>
      </c>
      <c r="C434" s="1">
        <v>3336633</v>
      </c>
      <c r="D434" s="3">
        <v>2.09</v>
      </c>
      <c r="E434" s="3">
        <v>6.1524874889608601</v>
      </c>
      <c r="F434" s="3">
        <v>6.1524834007864602</v>
      </c>
      <c r="G434" s="3">
        <v>44.754024999999999</v>
      </c>
      <c r="H434" s="3">
        <v>1147.15611279207</v>
      </c>
      <c r="I434" s="3">
        <v>36.5</v>
      </c>
      <c r="J434" s="3">
        <v>37.89</v>
      </c>
      <c r="K434" s="3">
        <v>35.49</v>
      </c>
      <c r="L434" s="3">
        <v>904.88055381124195</v>
      </c>
    </row>
    <row r="435" spans="1:12" ht="15" customHeight="1" x14ac:dyDescent="0.2">
      <c r="A435" s="2">
        <v>45420</v>
      </c>
      <c r="B435" s="3">
        <v>33.97</v>
      </c>
      <c r="C435" s="1">
        <v>1507829</v>
      </c>
      <c r="D435" s="3">
        <v>-5.0000000000004201E-2</v>
      </c>
      <c r="E435" s="3">
        <v>-0.14697236919460899</v>
      </c>
      <c r="F435" s="3">
        <v>-0.14696776810426601</v>
      </c>
      <c r="G435" s="3">
        <v>42.160130000000002</v>
      </c>
      <c r="H435" s="3">
        <v>1074.87229015956</v>
      </c>
      <c r="I435" s="3">
        <v>33.82</v>
      </c>
      <c r="J435" s="3">
        <v>34.26</v>
      </c>
      <c r="K435" s="3">
        <v>33.74</v>
      </c>
      <c r="L435" s="3">
        <v>846.63872470792796</v>
      </c>
    </row>
    <row r="436" spans="1:12" ht="15" customHeight="1" x14ac:dyDescent="0.2">
      <c r="A436" s="2">
        <v>45419</v>
      </c>
      <c r="B436" s="3">
        <v>34.020000000000003</v>
      </c>
      <c r="C436" s="1">
        <v>1108398</v>
      </c>
      <c r="D436" s="3">
        <v>-0.60999999999999899</v>
      </c>
      <c r="E436" s="3">
        <v>-1.7614784868611</v>
      </c>
      <c r="F436" s="3">
        <v>-1.7614709423733499</v>
      </c>
      <c r="G436" s="3">
        <v>42.222183000000001</v>
      </c>
      <c r="H436" s="3">
        <v>1076.60151514585</v>
      </c>
      <c r="I436" s="3">
        <v>34.549999999999997</v>
      </c>
      <c r="J436" s="3">
        <v>34.799999999999997</v>
      </c>
      <c r="K436" s="3">
        <v>33.880000000000003</v>
      </c>
      <c r="L436" s="3">
        <v>848.03206990178705</v>
      </c>
    </row>
    <row r="437" spans="1:12" ht="15" customHeight="1" x14ac:dyDescent="0.2">
      <c r="A437" s="2">
        <v>45418</v>
      </c>
      <c r="B437" s="3">
        <v>34.630000000000003</v>
      </c>
      <c r="C437" s="1">
        <v>1312266</v>
      </c>
      <c r="D437" s="3">
        <v>0.96</v>
      </c>
      <c r="E437" s="3">
        <v>2.85120285120286</v>
      </c>
      <c r="F437" s="3">
        <v>2.85120086256762</v>
      </c>
      <c r="G437" s="3">
        <v>42.97925</v>
      </c>
      <c r="H437" s="3">
        <v>1097.6986284634399</v>
      </c>
      <c r="I437" s="3">
        <v>34.020000000000003</v>
      </c>
      <c r="J437" s="3">
        <v>34.92</v>
      </c>
      <c r="K437" s="3">
        <v>33.935000000000002</v>
      </c>
      <c r="L437" s="3">
        <v>865.03088126686896</v>
      </c>
    </row>
    <row r="438" spans="1:12" ht="15" customHeight="1" x14ac:dyDescent="0.2">
      <c r="A438" s="2">
        <v>45415</v>
      </c>
      <c r="B438" s="3">
        <v>33.67</v>
      </c>
      <c r="C438" s="1">
        <v>942395</v>
      </c>
      <c r="D438" s="3">
        <v>0.20000000000000201</v>
      </c>
      <c r="E438" s="3">
        <v>0.59755004481625296</v>
      </c>
      <c r="F438" s="3">
        <v>0.59754821287660798</v>
      </c>
      <c r="G438" s="3">
        <v>41.787796</v>
      </c>
      <c r="H438" s="3">
        <v>1064.4964943713501</v>
      </c>
      <c r="I438" s="3">
        <v>34.130000000000003</v>
      </c>
      <c r="J438" s="3">
        <v>34.700000000000003</v>
      </c>
      <c r="K438" s="3">
        <v>33.481900000000003</v>
      </c>
      <c r="L438" s="3">
        <v>838.27865354477296</v>
      </c>
    </row>
    <row r="439" spans="1:12" ht="15" customHeight="1" x14ac:dyDescent="0.2">
      <c r="A439" s="2">
        <v>45414</v>
      </c>
      <c r="B439" s="3">
        <v>33.47</v>
      </c>
      <c r="C439" s="1">
        <v>522602.99999999901</v>
      </c>
      <c r="D439" s="3">
        <v>-0.35000000000000098</v>
      </c>
      <c r="E439" s="3">
        <v>-1.03489059727972</v>
      </c>
      <c r="F439" s="3">
        <v>-1.03488686795336</v>
      </c>
      <c r="G439" s="3">
        <v>41.539577000000001</v>
      </c>
      <c r="H439" s="3">
        <v>1057.57939935786</v>
      </c>
      <c r="I439" s="3">
        <v>34.200000000000003</v>
      </c>
      <c r="J439" s="3">
        <v>34.39</v>
      </c>
      <c r="K439" s="3">
        <v>33.44</v>
      </c>
      <c r="L439" s="3">
        <v>832.70527276933603</v>
      </c>
    </row>
    <row r="440" spans="1:12" ht="15" customHeight="1" x14ac:dyDescent="0.2">
      <c r="A440" s="2">
        <v>45413</v>
      </c>
      <c r="B440" s="3">
        <v>33.82</v>
      </c>
      <c r="C440" s="1">
        <v>678247</v>
      </c>
      <c r="D440" s="3">
        <v>-0.70000000000000195</v>
      </c>
      <c r="E440" s="3">
        <v>-2.0278099652375401</v>
      </c>
      <c r="F440" s="3">
        <v>-2.0278119531598602</v>
      </c>
      <c r="G440" s="3">
        <v>41.973959999999998</v>
      </c>
      <c r="H440" s="3">
        <v>1069.68430866475</v>
      </c>
      <c r="I440" s="3">
        <v>34.340000000000003</v>
      </c>
      <c r="J440" s="3">
        <v>34.520000000000003</v>
      </c>
      <c r="K440" s="3">
        <v>33.68</v>
      </c>
      <c r="L440" s="3">
        <v>842.45868912635001</v>
      </c>
    </row>
    <row r="441" spans="1:12" ht="15" customHeight="1" x14ac:dyDescent="0.2">
      <c r="A441" s="2">
        <v>45412</v>
      </c>
      <c r="B441" s="3">
        <v>34.520000000000003</v>
      </c>
      <c r="C441" s="1">
        <v>694060</v>
      </c>
      <c r="D441" s="3">
        <v>-0.22999999999999601</v>
      </c>
      <c r="E441" s="3">
        <v>-0.66187050359711697</v>
      </c>
      <c r="F441" s="3">
        <v>-0.66187575479932304</v>
      </c>
      <c r="G441" s="3">
        <v>42.842730000000003</v>
      </c>
      <c r="H441" s="3">
        <v>1093.89423874613</v>
      </c>
      <c r="I441" s="3">
        <v>34.47</v>
      </c>
      <c r="J441" s="3">
        <v>34.950000000000003</v>
      </c>
      <c r="K441" s="3">
        <v>34.28</v>
      </c>
      <c r="L441" s="3">
        <v>861.96552184037898</v>
      </c>
    </row>
    <row r="442" spans="1:12" ht="15" customHeight="1" x14ac:dyDescent="0.2">
      <c r="A442" s="2">
        <v>45411</v>
      </c>
      <c r="B442" s="3">
        <v>34.75</v>
      </c>
      <c r="C442" s="1">
        <v>600234</v>
      </c>
      <c r="D442" s="3">
        <v>-0.60499999999999599</v>
      </c>
      <c r="E442" s="3">
        <v>-1.71121482110025</v>
      </c>
      <c r="F442" s="3">
        <v>-1.7112085410605999</v>
      </c>
      <c r="G442" s="3">
        <v>43.128185000000002</v>
      </c>
      <c r="H442" s="3">
        <v>1101.8489857923901</v>
      </c>
      <c r="I442" s="3">
        <v>35.42</v>
      </c>
      <c r="J442" s="3">
        <v>35.67</v>
      </c>
      <c r="K442" s="3">
        <v>34.590000000000003</v>
      </c>
      <c r="L442" s="3">
        <v>868.37490973213096</v>
      </c>
    </row>
    <row r="443" spans="1:12" ht="15" customHeight="1" x14ac:dyDescent="0.2">
      <c r="A443" s="2">
        <v>45408</v>
      </c>
      <c r="B443" s="3">
        <v>35.354999999999997</v>
      </c>
      <c r="C443" s="1">
        <v>721152</v>
      </c>
      <c r="D443" s="3">
        <v>0.47499999999999398</v>
      </c>
      <c r="E443" s="3">
        <v>1.36181192660549</v>
      </c>
      <c r="F443" s="3">
        <v>1.3618050998384701</v>
      </c>
      <c r="G443" s="3">
        <v>43.879047</v>
      </c>
      <c r="H443" s="3">
        <v>1122.7731849714201</v>
      </c>
      <c r="I443" s="3">
        <v>34.869999999999997</v>
      </c>
      <c r="J443" s="3">
        <v>35.465000000000003</v>
      </c>
      <c r="K443" s="3">
        <v>34.825000000000003</v>
      </c>
      <c r="L443" s="3">
        <v>885.23438657782697</v>
      </c>
    </row>
    <row r="444" spans="1:12" ht="15" customHeight="1" x14ac:dyDescent="0.2">
      <c r="A444" s="2">
        <v>45407</v>
      </c>
      <c r="B444" s="3">
        <v>34.880000000000003</v>
      </c>
      <c r="C444" s="1">
        <v>1078759</v>
      </c>
      <c r="D444" s="3">
        <v>-0.41999999999999399</v>
      </c>
      <c r="E444" s="3">
        <v>-1.18980169971669</v>
      </c>
      <c r="F444" s="3">
        <v>-1.1897960198706301</v>
      </c>
      <c r="G444" s="3">
        <v>43.289527999999997</v>
      </c>
      <c r="H444" s="3">
        <v>1106.3451156646399</v>
      </c>
      <c r="I444" s="3">
        <v>35.03</v>
      </c>
      <c r="J444" s="3">
        <v>35.305</v>
      </c>
      <c r="K444" s="3">
        <v>34.770000000000003</v>
      </c>
      <c r="L444" s="3">
        <v>871.99760723616498</v>
      </c>
    </row>
    <row r="445" spans="1:12" ht="15" customHeight="1" x14ac:dyDescent="0.2">
      <c r="A445" s="2">
        <v>45406</v>
      </c>
      <c r="B445" s="3">
        <v>35.299999999999997</v>
      </c>
      <c r="C445" s="1">
        <v>852943</v>
      </c>
      <c r="D445" s="3">
        <v>-0.17999999999999899</v>
      </c>
      <c r="E445" s="3">
        <v>-0.50732807215332298</v>
      </c>
      <c r="F445" s="3">
        <v>-0.50732630812462198</v>
      </c>
      <c r="G445" s="3">
        <v>43.810786999999998</v>
      </c>
      <c r="H445" s="3">
        <v>1120.87099011276</v>
      </c>
      <c r="I445" s="3">
        <v>35.24</v>
      </c>
      <c r="J445" s="3">
        <v>35.53</v>
      </c>
      <c r="K445" s="3">
        <v>34.96</v>
      </c>
      <c r="L445" s="3">
        <v>883.70170686458198</v>
      </c>
    </row>
    <row r="446" spans="1:12" ht="15" customHeight="1" x14ac:dyDescent="0.2">
      <c r="A446" s="2">
        <v>45405</v>
      </c>
      <c r="B446" s="3">
        <v>35.479999999999997</v>
      </c>
      <c r="C446" s="1">
        <v>757303</v>
      </c>
      <c r="D446" s="3">
        <v>1.1699999999999899</v>
      </c>
      <c r="E446" s="3">
        <v>3.4100845234625399</v>
      </c>
      <c r="F446" s="3">
        <v>3.4100710476870901</v>
      </c>
      <c r="G446" s="3">
        <v>44.034184000000003</v>
      </c>
      <c r="H446" s="3">
        <v>1127.0963728382101</v>
      </c>
      <c r="I446" s="3">
        <v>34.64</v>
      </c>
      <c r="J446" s="3">
        <v>35.630000000000003</v>
      </c>
      <c r="K446" s="3">
        <v>34.6</v>
      </c>
      <c r="L446" s="3">
        <v>888.71774956247498</v>
      </c>
    </row>
    <row r="447" spans="1:12" ht="15" customHeight="1" x14ac:dyDescent="0.2">
      <c r="A447" s="2">
        <v>45404</v>
      </c>
      <c r="B447" s="3">
        <v>34.31</v>
      </c>
      <c r="C447" s="1">
        <v>708413</v>
      </c>
      <c r="D447" s="3">
        <v>0.310000000000002</v>
      </c>
      <c r="E447" s="3">
        <v>0.91176470588236702</v>
      </c>
      <c r="F447" s="3">
        <v>0.91177267961786101</v>
      </c>
      <c r="G447" s="3">
        <v>42.582104000000001</v>
      </c>
      <c r="H447" s="3">
        <v>1086.6313990562301</v>
      </c>
      <c r="I447" s="3">
        <v>34.11</v>
      </c>
      <c r="J447" s="3">
        <v>34.36</v>
      </c>
      <c r="K447" s="3">
        <v>33.79</v>
      </c>
      <c r="L447" s="3">
        <v>856.11347202617003</v>
      </c>
    </row>
    <row r="448" spans="1:12" ht="15" customHeight="1" x14ac:dyDescent="0.2">
      <c r="A448" s="2">
        <v>45401</v>
      </c>
      <c r="B448" s="3">
        <v>34</v>
      </c>
      <c r="C448" s="1">
        <v>572020</v>
      </c>
      <c r="D448" s="3">
        <v>0.189999999999997</v>
      </c>
      <c r="E448" s="3">
        <v>0.56196391600118401</v>
      </c>
      <c r="F448" s="3">
        <v>0.56196684822176202</v>
      </c>
      <c r="G448" s="3">
        <v>42.197360000000003</v>
      </c>
      <c r="H448" s="3">
        <v>1075.9097749909099</v>
      </c>
      <c r="I448" s="3">
        <v>33.6</v>
      </c>
      <c r="J448" s="3">
        <v>34.11</v>
      </c>
      <c r="K448" s="3">
        <v>33.6</v>
      </c>
      <c r="L448" s="3">
        <v>847.47473182424301</v>
      </c>
    </row>
    <row r="449" spans="1:12" ht="15" customHeight="1" x14ac:dyDescent="0.2">
      <c r="A449" s="2">
        <v>45400</v>
      </c>
      <c r="B449" s="3">
        <v>33.81</v>
      </c>
      <c r="C449" s="1">
        <v>555812</v>
      </c>
      <c r="D449" s="3">
        <v>0.33000000000000501</v>
      </c>
      <c r="E449" s="3">
        <v>0.98566308243728196</v>
      </c>
      <c r="F449" s="3">
        <v>0.98566405500657395</v>
      </c>
      <c r="G449" s="3">
        <v>41.961550000000003</v>
      </c>
      <c r="H449" s="3">
        <v>1069.3384803876299</v>
      </c>
      <c r="I449" s="3">
        <v>33.72</v>
      </c>
      <c r="J449" s="3">
        <v>34.164999999999999</v>
      </c>
      <c r="K449" s="3">
        <v>33.42</v>
      </c>
      <c r="L449" s="3">
        <v>842.18002008757901</v>
      </c>
    </row>
    <row r="450" spans="1:12" ht="15" customHeight="1" x14ac:dyDescent="0.2">
      <c r="A450" s="2">
        <v>45399</v>
      </c>
      <c r="B450" s="3">
        <v>33.479999999999997</v>
      </c>
      <c r="C450" s="1">
        <v>691281</v>
      </c>
      <c r="D450" s="3">
        <v>-0.75</v>
      </c>
      <c r="E450" s="3">
        <v>-2.19106047326905</v>
      </c>
      <c r="F450" s="3">
        <v>-2.1910579832172199</v>
      </c>
      <c r="G450" s="3">
        <v>41.551986999999997</v>
      </c>
      <c r="H450" s="3">
        <v>1057.92522763498</v>
      </c>
      <c r="I450" s="3">
        <v>34.46</v>
      </c>
      <c r="J450" s="3">
        <v>34.6</v>
      </c>
      <c r="K450" s="3">
        <v>33.200000000000003</v>
      </c>
      <c r="L450" s="3">
        <v>832.98394180810806</v>
      </c>
    </row>
    <row r="451" spans="1:12" ht="15" customHeight="1" x14ac:dyDescent="0.2">
      <c r="A451" s="2">
        <v>45398</v>
      </c>
      <c r="B451" s="3">
        <v>34.229999999999997</v>
      </c>
      <c r="C451" s="1">
        <v>1020304</v>
      </c>
      <c r="D451" s="3">
        <v>0.60999999999999899</v>
      </c>
      <c r="E451" s="3">
        <v>1.8143961927424099</v>
      </c>
      <c r="F451" s="3">
        <v>1.8143907422904599</v>
      </c>
      <c r="G451" s="3">
        <v>42.482810000000001</v>
      </c>
      <c r="H451" s="3">
        <v>1083.8643827026499</v>
      </c>
      <c r="I451" s="3">
        <v>33.6</v>
      </c>
      <c r="J451" s="3">
        <v>34.29</v>
      </c>
      <c r="K451" s="3">
        <v>33.077500000000001</v>
      </c>
      <c r="L451" s="3">
        <v>853.88411971599601</v>
      </c>
    </row>
    <row r="452" spans="1:12" ht="15" customHeight="1" x14ac:dyDescent="0.2">
      <c r="A452" s="2">
        <v>45397</v>
      </c>
      <c r="B452" s="3">
        <v>33.619999999999997</v>
      </c>
      <c r="C452" s="1">
        <v>605394</v>
      </c>
      <c r="D452" s="3">
        <v>0.16999999999999399</v>
      </c>
      <c r="E452" s="3">
        <v>0.50822122570999195</v>
      </c>
      <c r="F452" s="3">
        <v>0.50822171538769101</v>
      </c>
      <c r="G452" s="3">
        <v>41.725741999999997</v>
      </c>
      <c r="H452" s="3">
        <v>1062.7672415181601</v>
      </c>
      <c r="I452" s="3">
        <v>33.42</v>
      </c>
      <c r="J452" s="3">
        <v>34.020000000000003</v>
      </c>
      <c r="K452" s="3">
        <v>33.39</v>
      </c>
      <c r="L452" s="3">
        <v>836.88530835091399</v>
      </c>
    </row>
    <row r="453" spans="1:12" ht="15" customHeight="1" x14ac:dyDescent="0.2">
      <c r="A453" s="2">
        <v>45394</v>
      </c>
      <c r="B453" s="3">
        <v>33.450000000000003</v>
      </c>
      <c r="C453" s="1">
        <v>940587</v>
      </c>
      <c r="D453" s="3">
        <v>-0.39</v>
      </c>
      <c r="E453" s="3">
        <v>-1.1524822695035499</v>
      </c>
      <c r="F453" s="3">
        <v>-1.1524810135569901</v>
      </c>
      <c r="G453" s="3">
        <v>41.514755000000001</v>
      </c>
      <c r="H453" s="3">
        <v>1056.88768706982</v>
      </c>
      <c r="I453" s="3">
        <v>33.799999999999997</v>
      </c>
      <c r="J453" s="3">
        <v>34.19</v>
      </c>
      <c r="K453" s="3">
        <v>33.049999999999997</v>
      </c>
      <c r="L453" s="3">
        <v>832.14793469179199</v>
      </c>
    </row>
    <row r="454" spans="1:12" ht="15" customHeight="1" x14ac:dyDescent="0.2">
      <c r="A454" s="2">
        <v>45393</v>
      </c>
      <c r="B454" s="3">
        <v>33.840000000000003</v>
      </c>
      <c r="C454" s="1">
        <v>765516</v>
      </c>
      <c r="D454" s="3">
        <v>-0.59999999999999398</v>
      </c>
      <c r="E454" s="3">
        <v>-1.7421602787456301</v>
      </c>
      <c r="F454" s="3">
        <v>-1.7421619498457199</v>
      </c>
      <c r="G454" s="3">
        <v>41.998783000000003</v>
      </c>
      <c r="H454" s="3">
        <v>1070.3760488196899</v>
      </c>
      <c r="I454" s="3">
        <v>34.57</v>
      </c>
      <c r="J454" s="3">
        <v>34.57</v>
      </c>
      <c r="K454" s="3">
        <v>33.51</v>
      </c>
      <c r="L454" s="3">
        <v>843.01602720389405</v>
      </c>
    </row>
    <row r="455" spans="1:12" ht="15" customHeight="1" x14ac:dyDescent="0.2">
      <c r="A455" s="2">
        <v>45392</v>
      </c>
      <c r="B455" s="3">
        <v>34.44</v>
      </c>
      <c r="C455" s="1">
        <v>1046644</v>
      </c>
      <c r="D455" s="3">
        <v>1.9999999999996E-2</v>
      </c>
      <c r="E455" s="3">
        <v>5.8105752469472798E-2</v>
      </c>
      <c r="F455" s="3">
        <v>5.8108150497360102E-2</v>
      </c>
      <c r="G455" s="3">
        <v>42.743442999999999</v>
      </c>
      <c r="H455" s="3">
        <v>1091.12741746087</v>
      </c>
      <c r="I455" s="3">
        <v>34.25</v>
      </c>
      <c r="J455" s="3">
        <v>34.520000000000003</v>
      </c>
      <c r="K455" s="3">
        <v>33.534999999999997</v>
      </c>
      <c r="L455" s="3">
        <v>859.73616953020405</v>
      </c>
    </row>
    <row r="456" spans="1:12" ht="15" customHeight="1" x14ac:dyDescent="0.2">
      <c r="A456" s="2">
        <v>45391</v>
      </c>
      <c r="B456" s="3">
        <v>34.42</v>
      </c>
      <c r="C456" s="1">
        <v>688509</v>
      </c>
      <c r="D456" s="3">
        <v>-7.9999999999998295E-2</v>
      </c>
      <c r="E456" s="3">
        <v>-0.23188405797101</v>
      </c>
      <c r="F456" s="3">
        <v>-0.23188894553702799</v>
      </c>
      <c r="G456" s="3">
        <v>42.718620000000001</v>
      </c>
      <c r="H456" s="3">
        <v>1090.4356773059301</v>
      </c>
      <c r="I456" s="3">
        <v>34.549999999999997</v>
      </c>
      <c r="J456" s="3">
        <v>34.7239</v>
      </c>
      <c r="K456" s="3">
        <v>34.24</v>
      </c>
      <c r="L456" s="3">
        <v>859.17883145266103</v>
      </c>
    </row>
    <row r="457" spans="1:12" ht="15" customHeight="1" x14ac:dyDescent="0.2">
      <c r="A457" s="2">
        <v>45390</v>
      </c>
      <c r="B457" s="3">
        <v>34.5</v>
      </c>
      <c r="C457" s="1">
        <v>812161</v>
      </c>
      <c r="D457" s="3">
        <v>0.21</v>
      </c>
      <c r="E457" s="3">
        <v>0.61242344706911001</v>
      </c>
      <c r="F457" s="3">
        <v>0.61242638685678996</v>
      </c>
      <c r="G457" s="3">
        <v>42.817909999999998</v>
      </c>
      <c r="H457" s="3">
        <v>1093.2025821919001</v>
      </c>
      <c r="I457" s="3">
        <v>34.24</v>
      </c>
      <c r="J457" s="3">
        <v>34.935000000000002</v>
      </c>
      <c r="K457" s="3">
        <v>34.234999999999999</v>
      </c>
      <c r="L457" s="3">
        <v>861.40818376283505</v>
      </c>
    </row>
    <row r="458" spans="1:12" ht="15" customHeight="1" x14ac:dyDescent="0.2">
      <c r="A458" s="2">
        <v>45387</v>
      </c>
      <c r="B458" s="3">
        <v>34.29</v>
      </c>
      <c r="C458" s="1">
        <v>1080905</v>
      </c>
      <c r="D458" s="3">
        <v>-0.60000000000000098</v>
      </c>
      <c r="E458" s="3">
        <v>-1.71969045571797</v>
      </c>
      <c r="F458" s="3">
        <v>-1.71968981433787</v>
      </c>
      <c r="G458" s="3">
        <v>42.557277999999997</v>
      </c>
      <c r="H458" s="3">
        <v>1085.9395753005799</v>
      </c>
      <c r="I458" s="3">
        <v>34.69</v>
      </c>
      <c r="J458" s="3">
        <v>35.03</v>
      </c>
      <c r="K458" s="3">
        <v>34.119999999999997</v>
      </c>
      <c r="L458" s="3">
        <v>855.55613394862701</v>
      </c>
    </row>
    <row r="459" spans="1:12" ht="15" customHeight="1" x14ac:dyDescent="0.2">
      <c r="A459" s="2">
        <v>45386</v>
      </c>
      <c r="B459" s="3">
        <v>34.89</v>
      </c>
      <c r="C459" s="1">
        <v>1171745</v>
      </c>
      <c r="D459" s="3">
        <v>-2.17</v>
      </c>
      <c r="E459" s="3">
        <v>-5.8553696708040999</v>
      </c>
      <c r="F459" s="3">
        <v>-5.8553770644171497</v>
      </c>
      <c r="G459" s="3">
        <v>43.301937000000002</v>
      </c>
      <c r="H459" s="3">
        <v>1106.6909160748601</v>
      </c>
      <c r="I459" s="3">
        <v>37.24</v>
      </c>
      <c r="J459" s="3">
        <v>37.42</v>
      </c>
      <c r="K459" s="3">
        <v>34.830199999999998</v>
      </c>
      <c r="L459" s="3">
        <v>872.276276274937</v>
      </c>
    </row>
    <row r="460" spans="1:12" ht="15" customHeight="1" x14ac:dyDescent="0.2">
      <c r="A460" s="2">
        <v>45385</v>
      </c>
      <c r="B460" s="3">
        <v>37.06</v>
      </c>
      <c r="C460" s="1">
        <v>1183233</v>
      </c>
      <c r="D460" s="3">
        <v>0.130000000000002</v>
      </c>
      <c r="E460" s="3">
        <v>0.35201733008394198</v>
      </c>
      <c r="F460" s="3">
        <v>0.35202202393083099</v>
      </c>
      <c r="G460" s="3">
        <v>45.995125000000002</v>
      </c>
      <c r="H460" s="3">
        <v>1181.7417271940401</v>
      </c>
      <c r="I460" s="3">
        <v>36.97</v>
      </c>
      <c r="J460" s="3">
        <v>37.65</v>
      </c>
      <c r="K460" s="3">
        <v>36.770000000000003</v>
      </c>
      <c r="L460" s="3">
        <v>932.74745768842502</v>
      </c>
    </row>
    <row r="461" spans="1:12" ht="15" customHeight="1" x14ac:dyDescent="0.2">
      <c r="A461" s="2">
        <v>45384</v>
      </c>
      <c r="B461" s="3">
        <v>36.93</v>
      </c>
      <c r="C461" s="1">
        <v>1174560</v>
      </c>
      <c r="D461" s="3">
        <v>0.32999999999999802</v>
      </c>
      <c r="E461" s="3">
        <v>0.90163934426228298</v>
      </c>
      <c r="F461" s="3">
        <v>0.90164908305621005</v>
      </c>
      <c r="G461" s="3">
        <v>45.833779999999997</v>
      </c>
      <c r="H461" s="3">
        <v>1177.2455415879799</v>
      </c>
      <c r="I461" s="3">
        <v>36.47</v>
      </c>
      <c r="J461" s="3">
        <v>37.08</v>
      </c>
      <c r="K461" s="3">
        <v>36.14</v>
      </c>
      <c r="L461" s="3">
        <v>929.12476018439202</v>
      </c>
    </row>
    <row r="462" spans="1:12" ht="15" customHeight="1" x14ac:dyDescent="0.2">
      <c r="A462" s="2">
        <v>45383</v>
      </c>
      <c r="B462" s="3">
        <v>36.6</v>
      </c>
      <c r="C462" s="1">
        <v>746609</v>
      </c>
      <c r="D462" s="3">
        <v>0.45000000000000201</v>
      </c>
      <c r="E462" s="3">
        <v>1.2448132780083101</v>
      </c>
      <c r="F462" s="3">
        <v>1.24480329894605</v>
      </c>
      <c r="G462" s="3">
        <v>45.424213000000002</v>
      </c>
      <c r="H462" s="3">
        <v>1165.8321773677101</v>
      </c>
      <c r="I462" s="3">
        <v>36.61</v>
      </c>
      <c r="J462" s="3">
        <v>36.97</v>
      </c>
      <c r="K462" s="3">
        <v>36.340000000000003</v>
      </c>
      <c r="L462" s="3">
        <v>919.92868190492095</v>
      </c>
    </row>
    <row r="463" spans="1:12" ht="15" customHeight="1" x14ac:dyDescent="0.2">
      <c r="A463" s="2">
        <v>45379</v>
      </c>
      <c r="B463" s="3">
        <v>36.15</v>
      </c>
      <c r="C463" s="1">
        <v>578132</v>
      </c>
      <c r="D463" s="3">
        <v>-0.219999999999998</v>
      </c>
      <c r="E463" s="3">
        <v>-0.60489414352488102</v>
      </c>
      <c r="F463" s="3">
        <v>-0.60489030237712504</v>
      </c>
      <c r="G463" s="3">
        <v>44.865723000000003</v>
      </c>
      <c r="H463" s="3">
        <v>1150.2687902213399</v>
      </c>
      <c r="I463" s="3">
        <v>36.479999999999997</v>
      </c>
      <c r="J463" s="3">
        <v>36.61</v>
      </c>
      <c r="K463" s="3">
        <v>36.11</v>
      </c>
      <c r="L463" s="3">
        <v>907.388575160188</v>
      </c>
    </row>
    <row r="464" spans="1:12" ht="15" customHeight="1" x14ac:dyDescent="0.2">
      <c r="A464" s="2">
        <v>45378</v>
      </c>
      <c r="B464" s="3">
        <v>36.369999999999997</v>
      </c>
      <c r="C464" s="1">
        <v>740428</v>
      </c>
      <c r="D464" s="3">
        <v>1.78999999999999</v>
      </c>
      <c r="E464" s="3">
        <v>5.1764025448235804</v>
      </c>
      <c r="F464" s="3">
        <v>5.17639314773563</v>
      </c>
      <c r="G464" s="3">
        <v>45.138762999999997</v>
      </c>
      <c r="H464" s="3">
        <v>1157.8775696559701</v>
      </c>
      <c r="I464" s="3">
        <v>34.94</v>
      </c>
      <c r="J464" s="3">
        <v>36.409999999999997</v>
      </c>
      <c r="K464" s="3">
        <v>34.875</v>
      </c>
      <c r="L464" s="3">
        <v>913.51929401316897</v>
      </c>
    </row>
    <row r="465" spans="1:12" ht="15" customHeight="1" x14ac:dyDescent="0.2">
      <c r="A465" s="2">
        <v>45377</v>
      </c>
      <c r="B465" s="3">
        <v>34.58</v>
      </c>
      <c r="C465" s="1">
        <v>744631</v>
      </c>
      <c r="D465" s="3">
        <v>0.12999999999999501</v>
      </c>
      <c r="E465" s="3">
        <v>0.377358490566015</v>
      </c>
      <c r="F465" s="3">
        <v>0.37736117363664701</v>
      </c>
      <c r="G465" s="3">
        <v>42.917200000000001</v>
      </c>
      <c r="H465" s="3">
        <v>1095.9694870778601</v>
      </c>
      <c r="I465" s="3">
        <v>34.51</v>
      </c>
      <c r="J465" s="3">
        <v>34.950000000000003</v>
      </c>
      <c r="K465" s="3">
        <v>34.465000000000003</v>
      </c>
      <c r="L465" s="3">
        <v>863.63753607300998</v>
      </c>
    </row>
    <row r="466" spans="1:12" ht="15" customHeight="1" x14ac:dyDescent="0.2">
      <c r="A466" s="2">
        <v>45376</v>
      </c>
      <c r="B466" s="3">
        <v>34.450000000000003</v>
      </c>
      <c r="C466" s="1">
        <v>820312</v>
      </c>
      <c r="D466" s="3">
        <v>-0.22999999999999601</v>
      </c>
      <c r="E466" s="3">
        <v>-0.66320645905419895</v>
      </c>
      <c r="F466" s="3">
        <v>-0.66320013616686302</v>
      </c>
      <c r="G466" s="3">
        <v>42.755856000000001</v>
      </c>
      <c r="H466" s="3">
        <v>1091.4733293387001</v>
      </c>
      <c r="I466" s="3">
        <v>34.86</v>
      </c>
      <c r="J466" s="3">
        <v>35.229999999999997</v>
      </c>
      <c r="K466" s="3">
        <v>34.39</v>
      </c>
      <c r="L466" s="3">
        <v>860.01483856897596</v>
      </c>
    </row>
    <row r="467" spans="1:12" ht="15" customHeight="1" x14ac:dyDescent="0.2">
      <c r="A467" s="2">
        <v>45373</v>
      </c>
      <c r="B467" s="3">
        <v>34.68</v>
      </c>
      <c r="C467" s="1">
        <v>977710</v>
      </c>
      <c r="D467" s="3">
        <v>-0.53999999999999904</v>
      </c>
      <c r="E467" s="3">
        <v>-1.5332197614991401</v>
      </c>
      <c r="F467" s="3">
        <v>-1.53322573998945</v>
      </c>
      <c r="G467" s="3">
        <v>43.041305999999999</v>
      </c>
      <c r="H467" s="3">
        <v>1099.4279370504401</v>
      </c>
      <c r="I467" s="3">
        <v>35.44</v>
      </c>
      <c r="J467" s="3">
        <v>35.44</v>
      </c>
      <c r="K467" s="3">
        <v>34.61</v>
      </c>
      <c r="L467" s="3">
        <v>866.42422646072805</v>
      </c>
    </row>
    <row r="468" spans="1:12" ht="15" customHeight="1" x14ac:dyDescent="0.2">
      <c r="A468" s="2">
        <v>45372</v>
      </c>
      <c r="B468" s="3">
        <v>35.22</v>
      </c>
      <c r="C468" s="1">
        <v>1018364</v>
      </c>
      <c r="D468" s="3">
        <v>-1.25</v>
      </c>
      <c r="E468" s="3">
        <v>-3.42747463668768</v>
      </c>
      <c r="F468" s="3">
        <v>-3.4274733984529102</v>
      </c>
      <c r="G468" s="3">
        <v>43.711502000000003</v>
      </c>
      <c r="H468" s="3">
        <v>1118.1042245613201</v>
      </c>
      <c r="I468" s="3">
        <v>35.700000000000003</v>
      </c>
      <c r="J468" s="3">
        <v>35.979399999999998</v>
      </c>
      <c r="K468" s="3">
        <v>35.049999999999997</v>
      </c>
      <c r="L468" s="3">
        <v>881.47235455440796</v>
      </c>
    </row>
    <row r="469" spans="1:12" ht="15" customHeight="1" x14ac:dyDescent="0.2">
      <c r="A469" s="2">
        <v>45371</v>
      </c>
      <c r="B469" s="3">
        <v>36.47</v>
      </c>
      <c r="C469" s="1">
        <v>589035</v>
      </c>
      <c r="D469" s="3">
        <v>0.32999999999999802</v>
      </c>
      <c r="E469" s="3">
        <v>0.91311566131708699</v>
      </c>
      <c r="F469" s="3">
        <v>0.91312101604095197</v>
      </c>
      <c r="G469" s="3">
        <v>45.262875000000001</v>
      </c>
      <c r="H469" s="3">
        <v>1161.3361868299701</v>
      </c>
      <c r="I469" s="3">
        <v>36.020000000000003</v>
      </c>
      <c r="J469" s="3">
        <v>36.729999999999997</v>
      </c>
      <c r="K469" s="3">
        <v>35.92</v>
      </c>
      <c r="L469" s="3">
        <v>916.30598440088704</v>
      </c>
    </row>
    <row r="470" spans="1:12" ht="15" customHeight="1" x14ac:dyDescent="0.2">
      <c r="A470" s="2">
        <v>45370</v>
      </c>
      <c r="B470" s="3">
        <v>36.14</v>
      </c>
      <c r="C470" s="1">
        <v>590065</v>
      </c>
      <c r="D470" s="3">
        <v>0.49000000000000199</v>
      </c>
      <c r="E470" s="3">
        <v>1.3744740532959301</v>
      </c>
      <c r="F470" s="3">
        <v>1.37446854655831</v>
      </c>
      <c r="G470" s="3">
        <v>44.85331</v>
      </c>
      <c r="H470" s="3">
        <v>1149.9228783435101</v>
      </c>
      <c r="I470" s="3">
        <v>35.56</v>
      </c>
      <c r="J470" s="3">
        <v>36.159999999999997</v>
      </c>
      <c r="K470" s="3">
        <v>35.270000000000003</v>
      </c>
      <c r="L470" s="3">
        <v>907.10990612141597</v>
      </c>
    </row>
    <row r="471" spans="1:12" ht="15" customHeight="1" x14ac:dyDescent="0.2">
      <c r="A471" s="2">
        <v>45369</v>
      </c>
      <c r="B471" s="3">
        <v>35.65</v>
      </c>
      <c r="C471" s="1">
        <v>698876</v>
      </c>
      <c r="D471" s="3">
        <v>-0.109999999999999</v>
      </c>
      <c r="E471" s="3">
        <v>-0.30760626398209601</v>
      </c>
      <c r="F471" s="3">
        <v>-0.30759531689757902</v>
      </c>
      <c r="G471" s="3">
        <v>44.245173999999999</v>
      </c>
      <c r="H471" s="3">
        <v>1132.9760108872599</v>
      </c>
      <c r="I471" s="3">
        <v>35.6</v>
      </c>
      <c r="J471" s="3">
        <v>35.86</v>
      </c>
      <c r="K471" s="3">
        <v>35.31</v>
      </c>
      <c r="L471" s="3">
        <v>893.45512322159595</v>
      </c>
    </row>
    <row r="472" spans="1:12" ht="15" customHeight="1" x14ac:dyDescent="0.2">
      <c r="A472" s="2">
        <v>45366</v>
      </c>
      <c r="B472" s="3">
        <v>35.76</v>
      </c>
      <c r="C472" s="1">
        <v>958503</v>
      </c>
      <c r="D472" s="3">
        <v>-0.20000000000000201</v>
      </c>
      <c r="E472" s="3">
        <v>-0.55617352614016902</v>
      </c>
      <c r="F472" s="3">
        <v>-0.55618078395089898</v>
      </c>
      <c r="G472" s="3">
        <v>44.381689999999999</v>
      </c>
      <c r="H472" s="3">
        <v>1136.7802891369599</v>
      </c>
      <c r="I472" s="3">
        <v>35.72</v>
      </c>
      <c r="J472" s="3">
        <v>36.28</v>
      </c>
      <c r="K472" s="3">
        <v>35.645000000000003</v>
      </c>
      <c r="L472" s="3">
        <v>896.52048264808695</v>
      </c>
    </row>
    <row r="473" spans="1:12" ht="15" customHeight="1" x14ac:dyDescent="0.2">
      <c r="A473" s="2">
        <v>45365</v>
      </c>
      <c r="B473" s="3">
        <v>35.96</v>
      </c>
      <c r="C473" s="1">
        <v>413758</v>
      </c>
      <c r="D473" s="3">
        <v>-0.69999999999999496</v>
      </c>
      <c r="E473" s="3">
        <v>-1.9094380796508299</v>
      </c>
      <c r="F473" s="3">
        <v>-1.9094420401258001</v>
      </c>
      <c r="G473" s="3">
        <v>44.629913000000002</v>
      </c>
      <c r="H473" s="3">
        <v>1143.69749561806</v>
      </c>
      <c r="I473" s="3">
        <v>36.5</v>
      </c>
      <c r="J473" s="3">
        <v>36.604999999999997</v>
      </c>
      <c r="K473" s="3">
        <v>35.69</v>
      </c>
      <c r="L473" s="3">
        <v>902.09386342352298</v>
      </c>
    </row>
    <row r="474" spans="1:12" ht="15" customHeight="1" x14ac:dyDescent="0.2">
      <c r="A474" s="2">
        <v>45364</v>
      </c>
      <c r="B474" s="3">
        <v>36.659999999999997</v>
      </c>
      <c r="C474" s="1">
        <v>631200</v>
      </c>
      <c r="D474" s="3">
        <v>0.5</v>
      </c>
      <c r="E474" s="3">
        <v>1.3827433628318599</v>
      </c>
      <c r="F474" s="3">
        <v>1.38275369316858</v>
      </c>
      <c r="G474" s="3">
        <v>45.498683999999997</v>
      </c>
      <c r="H474" s="3">
        <v>1167.9074535663499</v>
      </c>
      <c r="I474" s="3">
        <v>36.159999999999997</v>
      </c>
      <c r="J474" s="3">
        <v>37.26</v>
      </c>
      <c r="K474" s="3">
        <v>36.15</v>
      </c>
      <c r="L474" s="3">
        <v>921.60069613755195</v>
      </c>
    </row>
    <row r="475" spans="1:12" ht="15" customHeight="1" x14ac:dyDescent="0.2">
      <c r="A475" s="2">
        <v>45363</v>
      </c>
      <c r="B475" s="3">
        <v>36.159999999999997</v>
      </c>
      <c r="C475" s="1">
        <v>619774</v>
      </c>
      <c r="D475" s="3">
        <v>-0.15000000000000499</v>
      </c>
      <c r="E475" s="3">
        <v>-0.41310933627101099</v>
      </c>
      <c r="F475" s="3">
        <v>-0.41312080737968498</v>
      </c>
      <c r="G475" s="3">
        <v>44.878129999999999</v>
      </c>
      <c r="H475" s="3">
        <v>1150.61453489775</v>
      </c>
      <c r="I475" s="3">
        <v>36.299999999999997</v>
      </c>
      <c r="J475" s="3">
        <v>36.65</v>
      </c>
      <c r="K475" s="3">
        <v>35.97</v>
      </c>
      <c r="L475" s="3">
        <v>907.66724419896002</v>
      </c>
    </row>
    <row r="476" spans="1:12" ht="15" customHeight="1" x14ac:dyDescent="0.2">
      <c r="A476" s="2">
        <v>45362</v>
      </c>
      <c r="B476" s="3">
        <v>36.31</v>
      </c>
      <c r="C476" s="1">
        <v>720769</v>
      </c>
      <c r="D476" s="3">
        <v>-0.59999999999999398</v>
      </c>
      <c r="E476" s="3">
        <v>-1.62557572473582</v>
      </c>
      <c r="F476" s="3">
        <v>-1.6255685896880001</v>
      </c>
      <c r="G476" s="3">
        <v>45.064300000000003</v>
      </c>
      <c r="H476" s="3">
        <v>1155.8025163925599</v>
      </c>
      <c r="I476" s="3">
        <v>36.61</v>
      </c>
      <c r="J476" s="3">
        <v>36.65</v>
      </c>
      <c r="K476" s="3">
        <v>35.594999999999999</v>
      </c>
      <c r="L476" s="3">
        <v>911.84727978053797</v>
      </c>
    </row>
    <row r="477" spans="1:12" ht="15" customHeight="1" x14ac:dyDescent="0.2">
      <c r="A477" s="2">
        <v>45359</v>
      </c>
      <c r="B477" s="3">
        <v>36.909999999999997</v>
      </c>
      <c r="C477" s="1">
        <v>1128182</v>
      </c>
      <c r="D477" s="3">
        <v>0.19999999999999499</v>
      </c>
      <c r="E477" s="3">
        <v>0.54481067828928698</v>
      </c>
      <c r="F477" s="3">
        <v>0.54480680273440996</v>
      </c>
      <c r="G477" s="3">
        <v>45.808956000000002</v>
      </c>
      <c r="H477" s="3">
        <v>1176.5537735661301</v>
      </c>
      <c r="I477" s="3">
        <v>36.89</v>
      </c>
      <c r="J477" s="3">
        <v>37.5</v>
      </c>
      <c r="K477" s="3">
        <v>36.604999999999997</v>
      </c>
      <c r="L477" s="3">
        <v>928.56742210684797</v>
      </c>
    </row>
    <row r="478" spans="1:12" ht="15" customHeight="1" x14ac:dyDescent="0.2">
      <c r="A478" s="2">
        <v>45358</v>
      </c>
      <c r="B478" s="3">
        <v>36.71</v>
      </c>
      <c r="C478" s="1">
        <v>531240</v>
      </c>
      <c r="D478" s="3">
        <v>-0.25999999999999801</v>
      </c>
      <c r="E478" s="3">
        <v>-0.70327292399242602</v>
      </c>
      <c r="F478" s="3">
        <v>-0.70327141896104794</v>
      </c>
      <c r="G478" s="3">
        <v>45.560738000000001</v>
      </c>
      <c r="H478" s="3">
        <v>1169.6367064195399</v>
      </c>
      <c r="I478" s="3">
        <v>37.01</v>
      </c>
      <c r="J478" s="3">
        <v>37.07</v>
      </c>
      <c r="K478" s="3">
        <v>36.380099999999999</v>
      </c>
      <c r="L478" s="3">
        <v>922.99404133141104</v>
      </c>
    </row>
    <row r="479" spans="1:12" ht="15" customHeight="1" x14ac:dyDescent="0.2">
      <c r="A479" s="2">
        <v>45357</v>
      </c>
      <c r="B479" s="3">
        <v>36.97</v>
      </c>
      <c r="C479" s="1">
        <v>1021218</v>
      </c>
      <c r="D479" s="3">
        <v>1.1199999999999899</v>
      </c>
      <c r="E479" s="3">
        <v>3.1241283124128199</v>
      </c>
      <c r="F479" s="3">
        <v>3.1241337196379102</v>
      </c>
      <c r="G479" s="3">
        <v>45.883423000000001</v>
      </c>
      <c r="H479" s="3">
        <v>1178.6289382971499</v>
      </c>
      <c r="I479" s="3">
        <v>35.9</v>
      </c>
      <c r="J479" s="3">
        <v>37</v>
      </c>
      <c r="K479" s="3">
        <v>35.57</v>
      </c>
      <c r="L479" s="3">
        <v>930.23943633947897</v>
      </c>
    </row>
    <row r="480" spans="1:12" ht="15" customHeight="1" x14ac:dyDescent="0.2">
      <c r="A480" s="2">
        <v>45356</v>
      </c>
      <c r="B480" s="3">
        <v>35.85</v>
      </c>
      <c r="C480" s="1">
        <v>816300</v>
      </c>
      <c r="D480" s="3">
        <v>0.64999999999999802</v>
      </c>
      <c r="E480" s="3">
        <v>1.8465909090908901</v>
      </c>
      <c r="F480" s="3">
        <v>2.61363467324751</v>
      </c>
      <c r="G480" s="3">
        <v>44.493389999999998</v>
      </c>
      <c r="H480" s="3">
        <v>1139.89302230004</v>
      </c>
      <c r="I480" s="3">
        <v>34.75</v>
      </c>
      <c r="J480" s="3">
        <v>36.1</v>
      </c>
      <c r="K480" s="3">
        <v>34.65</v>
      </c>
      <c r="L480" s="3">
        <v>899.028503997033</v>
      </c>
    </row>
    <row r="481" spans="1:12" ht="15" customHeight="1" x14ac:dyDescent="0.2">
      <c r="A481" s="2">
        <v>45355</v>
      </c>
      <c r="B481" s="3">
        <v>35.200000000000003</v>
      </c>
      <c r="C481" s="1">
        <v>857856</v>
      </c>
      <c r="D481" s="3">
        <v>-0.209999999999993</v>
      </c>
      <c r="E481" s="3">
        <v>-0.593052809940675</v>
      </c>
      <c r="F481" s="3">
        <v>-0.593051660732413</v>
      </c>
      <c r="G481" s="3">
        <v>43.360115</v>
      </c>
      <c r="H481" s="3">
        <v>1108.3121568086201</v>
      </c>
      <c r="I481" s="3">
        <v>35.369999999999997</v>
      </c>
      <c r="J481" s="3">
        <v>36.234999999999999</v>
      </c>
      <c r="K481" s="3">
        <v>35.049999999999997</v>
      </c>
      <c r="L481" s="3">
        <v>880.91501647686403</v>
      </c>
    </row>
    <row r="482" spans="1:12" ht="15" customHeight="1" x14ac:dyDescent="0.2">
      <c r="A482" s="2">
        <v>45352</v>
      </c>
      <c r="B482" s="3">
        <v>35.409999999999997</v>
      </c>
      <c r="C482" s="1">
        <v>682983</v>
      </c>
      <c r="D482" s="3">
        <v>2.9999999999994E-2</v>
      </c>
      <c r="E482" s="3">
        <v>8.4793668739391301E-2</v>
      </c>
      <c r="F482" s="3">
        <v>8.4789895535397605E-2</v>
      </c>
      <c r="G482" s="3">
        <v>43.618797000000001</v>
      </c>
      <c r="H482" s="3">
        <v>1115.52082323738</v>
      </c>
      <c r="I482" s="3">
        <v>35.51</v>
      </c>
      <c r="J482" s="3">
        <v>35.75</v>
      </c>
      <c r="K482" s="3">
        <v>34.89</v>
      </c>
      <c r="L482" s="3">
        <v>886.76706629107196</v>
      </c>
    </row>
    <row r="483" spans="1:12" ht="15" customHeight="1" x14ac:dyDescent="0.2">
      <c r="A483" s="2">
        <v>45351</v>
      </c>
      <c r="B483" s="3">
        <v>35.380000000000003</v>
      </c>
      <c r="C483" s="1">
        <v>771858</v>
      </c>
      <c r="D483" s="3">
        <v>0.160000000000003</v>
      </c>
      <c r="E483" s="3">
        <v>0.45428733674048799</v>
      </c>
      <c r="F483" s="3">
        <v>0.45428400953937398</v>
      </c>
      <c r="G483" s="3">
        <v>43.581843999999997</v>
      </c>
      <c r="H483" s="3">
        <v>1114.4910575384099</v>
      </c>
      <c r="I483" s="3">
        <v>35.58</v>
      </c>
      <c r="J483" s="3">
        <v>35.950000000000003</v>
      </c>
      <c r="K483" s="3">
        <v>34.909999999999997</v>
      </c>
      <c r="L483" s="3">
        <v>885.93105917475702</v>
      </c>
    </row>
    <row r="484" spans="1:12" ht="15" customHeight="1" x14ac:dyDescent="0.2">
      <c r="A484" s="2">
        <v>45350</v>
      </c>
      <c r="B484" s="3">
        <v>35.22</v>
      </c>
      <c r="C484" s="1">
        <v>523039</v>
      </c>
      <c r="D484" s="3">
        <v>-0.25999999999999801</v>
      </c>
      <c r="E484" s="3">
        <v>-0.73280721533257598</v>
      </c>
      <c r="F484" s="3">
        <v>-0.73280131975670404</v>
      </c>
      <c r="G484" s="3">
        <v>43.384754000000001</v>
      </c>
      <c r="H484" s="3">
        <v>1108.9987694532499</v>
      </c>
      <c r="I484" s="3">
        <v>35.130000000000003</v>
      </c>
      <c r="J484" s="3">
        <v>35.78</v>
      </c>
      <c r="K484" s="3">
        <v>35.1</v>
      </c>
      <c r="L484" s="3">
        <v>881.47235455440796</v>
      </c>
    </row>
    <row r="485" spans="1:12" ht="15" customHeight="1" x14ac:dyDescent="0.2">
      <c r="A485" s="2">
        <v>45349</v>
      </c>
      <c r="B485" s="3">
        <v>35.479999999999997</v>
      </c>
      <c r="C485" s="1">
        <v>801455</v>
      </c>
      <c r="D485" s="3">
        <v>-0.17999999999999899</v>
      </c>
      <c r="E485" s="3">
        <v>-0.50476724621424296</v>
      </c>
      <c r="F485" s="3">
        <v>-0.50476982660727598</v>
      </c>
      <c r="G485" s="3">
        <v>43.705024999999999</v>
      </c>
      <c r="H485" s="3">
        <v>1117.9237306248999</v>
      </c>
      <c r="I485" s="3">
        <v>35.93</v>
      </c>
      <c r="J485" s="3">
        <v>36.15</v>
      </c>
      <c r="K485" s="3">
        <v>35.11</v>
      </c>
      <c r="L485" s="3">
        <v>888.71774956247498</v>
      </c>
    </row>
    <row r="486" spans="1:12" ht="15" customHeight="1" x14ac:dyDescent="0.2">
      <c r="A486" s="2">
        <v>45348</v>
      </c>
      <c r="B486" s="3">
        <v>35.659999999999997</v>
      </c>
      <c r="C486" s="1">
        <v>736860</v>
      </c>
      <c r="D486" s="3">
        <v>-0.190000000000004</v>
      </c>
      <c r="E486" s="3">
        <v>-0.529986052998621</v>
      </c>
      <c r="F486" s="3">
        <v>-0.52997911246936902</v>
      </c>
      <c r="G486" s="3">
        <v>43.926754000000003</v>
      </c>
      <c r="H486" s="3">
        <v>1124.1026313546899</v>
      </c>
      <c r="I486" s="3">
        <v>35.869999999999997</v>
      </c>
      <c r="J486" s="3">
        <v>36.36</v>
      </c>
      <c r="K486" s="3">
        <v>35.65</v>
      </c>
      <c r="L486" s="3">
        <v>893.73379226036798</v>
      </c>
    </row>
    <row r="487" spans="1:12" ht="15" customHeight="1" x14ac:dyDescent="0.2">
      <c r="A487" s="2">
        <v>45345</v>
      </c>
      <c r="B487" s="3">
        <v>35.85</v>
      </c>
      <c r="C487" s="1">
        <v>1185285</v>
      </c>
      <c r="D487" s="3">
        <v>0.52000000000000302</v>
      </c>
      <c r="E487" s="3">
        <v>1.4718369657515</v>
      </c>
      <c r="F487" s="3">
        <v>1.4718226841312601</v>
      </c>
      <c r="G487" s="3">
        <v>44.160797000000002</v>
      </c>
      <c r="H487" s="3">
        <v>1130.62468513881</v>
      </c>
      <c r="I487" s="3">
        <v>35.33</v>
      </c>
      <c r="J487" s="3">
        <v>35.875</v>
      </c>
      <c r="K487" s="3">
        <v>34.94</v>
      </c>
      <c r="L487" s="3">
        <v>899.028503997033</v>
      </c>
    </row>
    <row r="488" spans="1:12" ht="15" customHeight="1" x14ac:dyDescent="0.2">
      <c r="A488" s="2">
        <v>45344</v>
      </c>
      <c r="B488" s="3">
        <v>35.33</v>
      </c>
      <c r="C488" s="1">
        <v>1904565</v>
      </c>
      <c r="D488" s="3">
        <v>1.1000000000000001</v>
      </c>
      <c r="E488" s="3">
        <v>3.2135553607946399</v>
      </c>
      <c r="F488" s="3">
        <v>3.2135609299126702</v>
      </c>
      <c r="G488" s="3">
        <v>43.520256000000003</v>
      </c>
      <c r="H488" s="3">
        <v>1112.7747906624199</v>
      </c>
      <c r="I488" s="3">
        <v>35.119999999999997</v>
      </c>
      <c r="J488" s="3">
        <v>36.265000000000001</v>
      </c>
      <c r="K488" s="3">
        <v>34.42</v>
      </c>
      <c r="L488" s="3">
        <v>884.53771398089805</v>
      </c>
    </row>
    <row r="489" spans="1:12" ht="15" customHeight="1" x14ac:dyDescent="0.2">
      <c r="A489" s="2">
        <v>45343</v>
      </c>
      <c r="B489" s="3">
        <v>34.229999999999997</v>
      </c>
      <c r="C489" s="1">
        <v>1483248</v>
      </c>
      <c r="D489" s="3">
        <v>-0.53000000000000103</v>
      </c>
      <c r="E489" s="3">
        <v>-1.5247410817031</v>
      </c>
      <c r="F489" s="3">
        <v>-1.5247286720502</v>
      </c>
      <c r="G489" s="3">
        <v>42.16525</v>
      </c>
      <c r="H489" s="3">
        <v>1075.0149687074099</v>
      </c>
      <c r="I489" s="3">
        <v>34.54</v>
      </c>
      <c r="J489" s="3">
        <v>35.090000000000003</v>
      </c>
      <c r="K489" s="3">
        <v>33.92</v>
      </c>
      <c r="L489" s="3">
        <v>853.88411971599601</v>
      </c>
    </row>
    <row r="490" spans="1:12" ht="15" customHeight="1" x14ac:dyDescent="0.2">
      <c r="A490" s="2">
        <v>45342</v>
      </c>
      <c r="B490" s="3">
        <v>34.76</v>
      </c>
      <c r="C490" s="1">
        <v>1190211</v>
      </c>
      <c r="D490" s="3">
        <v>-0.17000000000000101</v>
      </c>
      <c r="E490" s="3">
        <v>-0.48668766103636601</v>
      </c>
      <c r="F490" s="3">
        <v>-0.48669545769577299</v>
      </c>
      <c r="G490" s="3">
        <v>42.818109999999997</v>
      </c>
      <c r="H490" s="3">
        <v>1093.20815557267</v>
      </c>
      <c r="I490" s="3">
        <v>34.799999999999997</v>
      </c>
      <c r="J490" s="3">
        <v>35.369999999999997</v>
      </c>
      <c r="K490" s="3">
        <v>34.619999999999997</v>
      </c>
      <c r="L490" s="3">
        <v>868.65357877090298</v>
      </c>
    </row>
    <row r="491" spans="1:12" ht="15" customHeight="1" x14ac:dyDescent="0.2">
      <c r="A491" s="2">
        <v>45338</v>
      </c>
      <c r="B491" s="3">
        <v>34.93</v>
      </c>
      <c r="C491" s="1">
        <v>895718</v>
      </c>
      <c r="D491" s="3">
        <v>2.0000000000003099E-2</v>
      </c>
      <c r="E491" s="3">
        <v>5.7290174735036198E-2</v>
      </c>
      <c r="F491" s="3">
        <v>5.7286850129711901E-2</v>
      </c>
      <c r="G491" s="3">
        <v>43.027523000000002</v>
      </c>
      <c r="H491" s="3">
        <v>1099.0438475143001</v>
      </c>
      <c r="I491" s="3">
        <v>34.69</v>
      </c>
      <c r="J491" s="3">
        <v>35.61</v>
      </c>
      <c r="K491" s="3">
        <v>34.29</v>
      </c>
      <c r="L491" s="3">
        <v>873.39095243002396</v>
      </c>
    </row>
    <row r="492" spans="1:12" ht="15" customHeight="1" x14ac:dyDescent="0.2">
      <c r="A492" s="2">
        <v>45337</v>
      </c>
      <c r="B492" s="3">
        <v>34.909999999999997</v>
      </c>
      <c r="C492" s="1">
        <v>970156</v>
      </c>
      <c r="D492" s="3">
        <v>1.1099999999999901</v>
      </c>
      <c r="E492" s="3">
        <v>3.2840236686390401</v>
      </c>
      <c r="F492" s="3">
        <v>3.28403149009899</v>
      </c>
      <c r="G492" s="3">
        <v>43.002887999999999</v>
      </c>
      <c r="H492" s="3">
        <v>1098.35734633729</v>
      </c>
      <c r="I492" s="3">
        <v>33.840000000000003</v>
      </c>
      <c r="J492" s="3">
        <v>34.99</v>
      </c>
      <c r="K492" s="3">
        <v>33.840000000000003</v>
      </c>
      <c r="L492" s="3">
        <v>872.83361435248003</v>
      </c>
    </row>
    <row r="493" spans="1:12" ht="15" customHeight="1" x14ac:dyDescent="0.2">
      <c r="A493" s="2">
        <v>45336</v>
      </c>
      <c r="B493" s="3">
        <v>33.799999999999997</v>
      </c>
      <c r="C493" s="1">
        <v>585617</v>
      </c>
      <c r="D493" s="3">
        <v>-0.380000000000002</v>
      </c>
      <c r="E493" s="3">
        <v>-1.11176126389702</v>
      </c>
      <c r="F493" s="3">
        <v>-1.1117656596907901</v>
      </c>
      <c r="G493" s="3">
        <v>41.635562999999998</v>
      </c>
      <c r="H493" s="3">
        <v>1060.25423199342</v>
      </c>
      <c r="I493" s="3">
        <v>34.54</v>
      </c>
      <c r="J493" s="3">
        <v>34.54</v>
      </c>
      <c r="K493" s="3">
        <v>33.61</v>
      </c>
      <c r="L493" s="3">
        <v>841.90135104880699</v>
      </c>
    </row>
    <row r="494" spans="1:12" ht="15" customHeight="1" x14ac:dyDescent="0.2">
      <c r="A494" s="2">
        <v>45335</v>
      </c>
      <c r="B494" s="3">
        <v>34.18</v>
      </c>
      <c r="C494" s="1">
        <v>717697</v>
      </c>
      <c r="D494" s="3">
        <v>-0.99000000000000199</v>
      </c>
      <c r="E494" s="3">
        <v>-2.8148990617003098</v>
      </c>
      <c r="F494" s="3">
        <v>-2.8148985438735301</v>
      </c>
      <c r="G494" s="3">
        <v>42.103656999999998</v>
      </c>
      <c r="H494" s="3">
        <v>1073.2985624969101</v>
      </c>
      <c r="I494" s="3">
        <v>34.4</v>
      </c>
      <c r="J494" s="3">
        <v>34.6599</v>
      </c>
      <c r="K494" s="3">
        <v>33.79</v>
      </c>
      <c r="L494" s="3">
        <v>852.49077452213601</v>
      </c>
    </row>
    <row r="495" spans="1:12" ht="15" customHeight="1" x14ac:dyDescent="0.2">
      <c r="A495" s="2">
        <v>45334</v>
      </c>
      <c r="B495" s="3">
        <v>35.17</v>
      </c>
      <c r="C495" s="1">
        <v>648157</v>
      </c>
      <c r="D495" s="3">
        <v>6.0000000000002197E-2</v>
      </c>
      <c r="E495" s="3">
        <v>0.17089148390771999</v>
      </c>
      <c r="F495" s="3">
        <v>0.170888504615063</v>
      </c>
      <c r="G495" s="3">
        <v>43.323160000000001</v>
      </c>
      <c r="H495" s="3">
        <v>1107.2823353758399</v>
      </c>
      <c r="I495" s="3">
        <v>35.200000000000003</v>
      </c>
      <c r="J495" s="3">
        <v>35.799999999999997</v>
      </c>
      <c r="K495" s="3">
        <v>35.104999999999997</v>
      </c>
      <c r="L495" s="3">
        <v>880.07900936054796</v>
      </c>
    </row>
    <row r="496" spans="1:12" ht="15" customHeight="1" x14ac:dyDescent="0.2">
      <c r="A496" s="2">
        <v>45331</v>
      </c>
      <c r="B496" s="3">
        <v>35.11</v>
      </c>
      <c r="C496" s="1">
        <v>679419</v>
      </c>
      <c r="D496" s="3">
        <v>-0.53000000000000103</v>
      </c>
      <c r="E496" s="3">
        <v>-1.48709315375982</v>
      </c>
      <c r="F496" s="3">
        <v>-1.4870878088675199</v>
      </c>
      <c r="G496" s="3">
        <v>43.249251999999998</v>
      </c>
      <c r="H496" s="3">
        <v>1105.2227482440901</v>
      </c>
      <c r="I496" s="3">
        <v>35.619999999999997</v>
      </c>
      <c r="J496" s="3">
        <v>35.619999999999997</v>
      </c>
      <c r="K496" s="3">
        <v>34.67</v>
      </c>
      <c r="L496" s="3">
        <v>878.40699512791696</v>
      </c>
    </row>
    <row r="497" spans="1:12" ht="15" customHeight="1" x14ac:dyDescent="0.2">
      <c r="A497" s="2">
        <v>45330</v>
      </c>
      <c r="B497" s="3">
        <v>35.64</v>
      </c>
      <c r="C497" s="1">
        <v>1032259</v>
      </c>
      <c r="D497" s="3">
        <v>1.43999999999999</v>
      </c>
      <c r="E497" s="3">
        <v>4.2105263157894601</v>
      </c>
      <c r="F497" s="3">
        <v>4.2105168459697504</v>
      </c>
      <c r="G497" s="3">
        <v>43.902115000000002</v>
      </c>
      <c r="H497" s="3">
        <v>1123.4160187100599</v>
      </c>
      <c r="I497" s="3">
        <v>34.44</v>
      </c>
      <c r="J497" s="3">
        <v>35.75</v>
      </c>
      <c r="K497" s="3">
        <v>34.185000000000002</v>
      </c>
      <c r="L497" s="3">
        <v>893.17645418282495</v>
      </c>
    </row>
    <row r="498" spans="1:12" ht="15" customHeight="1" x14ac:dyDescent="0.2">
      <c r="A498" s="2">
        <v>45329</v>
      </c>
      <c r="B498" s="3">
        <v>34.200000000000003</v>
      </c>
      <c r="C498" s="1">
        <v>703506</v>
      </c>
      <c r="D498" s="3">
        <v>0.109999999999999</v>
      </c>
      <c r="E498" s="3">
        <v>0.322675271340577</v>
      </c>
      <c r="F498" s="3">
        <v>0.32267917205030999</v>
      </c>
      <c r="G498" s="3">
        <v>42.128295999999999</v>
      </c>
      <c r="H498" s="3">
        <v>1073.9851751415399</v>
      </c>
      <c r="I498" s="3">
        <v>34.29</v>
      </c>
      <c r="J498" s="3">
        <v>34.450000000000003</v>
      </c>
      <c r="K498" s="3">
        <v>33.72</v>
      </c>
      <c r="L498" s="3">
        <v>853.04811259968005</v>
      </c>
    </row>
    <row r="499" spans="1:12" ht="15" customHeight="1" x14ac:dyDescent="0.2">
      <c r="A499" s="2">
        <v>45328</v>
      </c>
      <c r="B499" s="3">
        <v>34.090000000000003</v>
      </c>
      <c r="C499" s="1">
        <v>828721</v>
      </c>
      <c r="D499" s="3">
        <v>-9.9999999999994302E-2</v>
      </c>
      <c r="E499" s="3">
        <v>-0.29248318221700698</v>
      </c>
      <c r="F499" s="3">
        <v>-0.29247809869005198</v>
      </c>
      <c r="G499" s="3">
        <v>41.992794000000004</v>
      </c>
      <c r="H499" s="3">
        <v>1070.2091539323701</v>
      </c>
      <c r="I499" s="3">
        <v>34.32</v>
      </c>
      <c r="J499" s="3">
        <v>34.869999999999997</v>
      </c>
      <c r="K499" s="3">
        <v>33.92</v>
      </c>
      <c r="L499" s="3">
        <v>849.98275317318996</v>
      </c>
    </row>
    <row r="500" spans="1:12" ht="15" customHeight="1" x14ac:dyDescent="0.2">
      <c r="A500" s="2">
        <v>45327</v>
      </c>
      <c r="B500" s="3">
        <v>34.19</v>
      </c>
      <c r="C500" s="1">
        <v>838875</v>
      </c>
      <c r="D500" s="3">
        <v>-1.23</v>
      </c>
      <c r="E500" s="3">
        <v>-3.4726143421795599</v>
      </c>
      <c r="F500" s="3">
        <v>-3.4726158155710598</v>
      </c>
      <c r="G500" s="3">
        <v>42.115974000000001</v>
      </c>
      <c r="H500" s="3">
        <v>1073.64179915196</v>
      </c>
      <c r="I500" s="3">
        <v>34.909999999999997</v>
      </c>
      <c r="J500" s="3">
        <v>35.104999999999997</v>
      </c>
      <c r="K500" s="3">
        <v>34.125</v>
      </c>
      <c r="L500" s="3">
        <v>852.76944356090803</v>
      </c>
    </row>
    <row r="501" spans="1:12" ht="15" customHeight="1" x14ac:dyDescent="0.2">
      <c r="A501" s="2">
        <v>45324</v>
      </c>
      <c r="B501" s="3">
        <v>35.42</v>
      </c>
      <c r="C501" s="1">
        <v>571347</v>
      </c>
      <c r="D501" s="3">
        <v>-0.32</v>
      </c>
      <c r="E501" s="3">
        <v>-0.89535534415221496</v>
      </c>
      <c r="F501" s="3">
        <v>-0.89536692115440497</v>
      </c>
      <c r="G501" s="3">
        <v>43.631115000000001</v>
      </c>
      <c r="H501" s="3">
        <v>1115.86408775934</v>
      </c>
      <c r="I501" s="3">
        <v>35.24</v>
      </c>
      <c r="J501" s="3">
        <v>35.729999999999997</v>
      </c>
      <c r="K501" s="3">
        <v>34.68</v>
      </c>
      <c r="L501" s="3">
        <v>887.04573532984398</v>
      </c>
    </row>
    <row r="502" spans="1:12" ht="15" customHeight="1" x14ac:dyDescent="0.2">
      <c r="A502" s="2">
        <v>45323</v>
      </c>
      <c r="B502" s="3">
        <v>35.74</v>
      </c>
      <c r="C502" s="1">
        <v>821151</v>
      </c>
      <c r="D502" s="3">
        <v>1.37</v>
      </c>
      <c r="E502" s="3">
        <v>3.9860343322665099</v>
      </c>
      <c r="F502" s="3">
        <v>3.98604279532965</v>
      </c>
      <c r="G502" s="3">
        <v>44.025303000000001</v>
      </c>
      <c r="H502" s="3">
        <v>1126.8488868648799</v>
      </c>
      <c r="I502" s="3">
        <v>34.549999999999997</v>
      </c>
      <c r="J502" s="3">
        <v>35.770000000000003</v>
      </c>
      <c r="K502" s="3">
        <v>34.549999999999997</v>
      </c>
      <c r="L502" s="3">
        <v>895.96314457054302</v>
      </c>
    </row>
    <row r="503" spans="1:12" ht="15" customHeight="1" x14ac:dyDescent="0.2">
      <c r="A503" s="2">
        <v>45322</v>
      </c>
      <c r="B503" s="3">
        <v>34.369999999999997</v>
      </c>
      <c r="C503" s="1">
        <v>995223</v>
      </c>
      <c r="D503" s="3">
        <v>-0.17999999999999899</v>
      </c>
      <c r="E503" s="3">
        <v>-0.52098408104196403</v>
      </c>
      <c r="F503" s="3">
        <v>-0.52097972176787799</v>
      </c>
      <c r="G503" s="3">
        <v>42.337704000000002</v>
      </c>
      <c r="H503" s="3">
        <v>1079.8207277486499</v>
      </c>
      <c r="I503" s="3">
        <v>34.64</v>
      </c>
      <c r="J503" s="3">
        <v>35.31</v>
      </c>
      <c r="K503" s="3">
        <v>34.311</v>
      </c>
      <c r="L503" s="3">
        <v>857.78548625880103</v>
      </c>
    </row>
    <row r="504" spans="1:12" ht="15" customHeight="1" x14ac:dyDescent="0.2">
      <c r="A504" s="2">
        <v>45321</v>
      </c>
      <c r="B504" s="3">
        <v>34.549999999999997</v>
      </c>
      <c r="C504" s="1">
        <v>594295</v>
      </c>
      <c r="D504" s="3">
        <v>-0.30000000000000399</v>
      </c>
      <c r="E504" s="3">
        <v>-0.86083213773315803</v>
      </c>
      <c r="F504" s="3">
        <v>-0.86083577391476895</v>
      </c>
      <c r="G504" s="3">
        <v>42.559429999999999</v>
      </c>
      <c r="H504" s="3">
        <v>1085.9995448777199</v>
      </c>
      <c r="I504" s="3">
        <v>34.5</v>
      </c>
      <c r="J504" s="3">
        <v>34.799999999999997</v>
      </c>
      <c r="K504" s="3">
        <v>34.200000000000003</v>
      </c>
      <c r="L504" s="3">
        <v>862.80152895669403</v>
      </c>
    </row>
    <row r="505" spans="1:12" ht="15" customHeight="1" x14ac:dyDescent="0.2">
      <c r="A505" s="2">
        <v>45320</v>
      </c>
      <c r="B505" s="3">
        <v>34.85</v>
      </c>
      <c r="C505" s="1">
        <v>664041</v>
      </c>
      <c r="D505" s="3">
        <v>1.28999999999999</v>
      </c>
      <c r="E505" s="3">
        <v>3.8438617401668602</v>
      </c>
      <c r="F505" s="3">
        <v>3.8438575004843898</v>
      </c>
      <c r="G505" s="3">
        <v>42.928978000000001</v>
      </c>
      <c r="H505" s="3">
        <v>1096.2977034717301</v>
      </c>
      <c r="I505" s="3">
        <v>33.64</v>
      </c>
      <c r="J505" s="3">
        <v>34.869999999999997</v>
      </c>
      <c r="K505" s="3">
        <v>33.590000000000003</v>
      </c>
      <c r="L505" s="3">
        <v>871.16160011985005</v>
      </c>
    </row>
    <row r="506" spans="1:12" ht="15" customHeight="1" x14ac:dyDescent="0.2">
      <c r="A506" s="2">
        <v>45317</v>
      </c>
      <c r="B506" s="3">
        <v>33.56</v>
      </c>
      <c r="C506" s="1">
        <v>667898</v>
      </c>
      <c r="D506" s="3">
        <v>-5.9999999999995099E-2</v>
      </c>
      <c r="E506" s="3">
        <v>-0.178465199286126</v>
      </c>
      <c r="F506" s="3">
        <v>-0.17845967761933501</v>
      </c>
      <c r="G506" s="3">
        <v>41.339930000000003</v>
      </c>
      <c r="H506" s="3">
        <v>1052.0158555994999</v>
      </c>
      <c r="I506" s="3">
        <v>33.950000000000003</v>
      </c>
      <c r="J506" s="3">
        <v>33.97</v>
      </c>
      <c r="K506" s="3">
        <v>33.409999999999997</v>
      </c>
      <c r="L506" s="3">
        <v>835.21329411828299</v>
      </c>
    </row>
    <row r="507" spans="1:12" ht="15" customHeight="1" x14ac:dyDescent="0.2">
      <c r="A507" s="2">
        <v>45316</v>
      </c>
      <c r="B507" s="3">
        <v>33.619999999999997</v>
      </c>
      <c r="C507" s="1">
        <v>509293</v>
      </c>
      <c r="D507" s="3">
        <v>0.25999999999999801</v>
      </c>
      <c r="E507" s="3">
        <v>0.77937649880095405</v>
      </c>
      <c r="F507" s="3">
        <v>0.77937753900774098</v>
      </c>
      <c r="G507" s="3">
        <v>41.413837000000001</v>
      </c>
      <c r="H507" s="3">
        <v>1054.07541486435</v>
      </c>
      <c r="I507" s="3">
        <v>33.799999999999997</v>
      </c>
      <c r="J507" s="3">
        <v>33.86</v>
      </c>
      <c r="K507" s="3">
        <v>33.119999999999997</v>
      </c>
      <c r="L507" s="3">
        <v>836.88530835091399</v>
      </c>
    </row>
    <row r="508" spans="1:12" ht="15" customHeight="1" x14ac:dyDescent="0.2">
      <c r="A508" s="2">
        <v>45315</v>
      </c>
      <c r="B508" s="3">
        <v>33.36</v>
      </c>
      <c r="C508" s="1">
        <v>563651</v>
      </c>
      <c r="D508" s="3">
        <v>-0.39</v>
      </c>
      <c r="E508" s="3">
        <v>-1.1555555555555499</v>
      </c>
      <c r="F508" s="3">
        <v>-1.15555945756929</v>
      </c>
      <c r="G508" s="3">
        <v>41.093563000000003</v>
      </c>
      <c r="H508" s="3">
        <v>1045.15037009199</v>
      </c>
      <c r="I508" s="3">
        <v>34.159999999999997</v>
      </c>
      <c r="J508" s="3">
        <v>34.159999999999997</v>
      </c>
      <c r="K508" s="3">
        <v>33.26</v>
      </c>
      <c r="L508" s="3">
        <v>829.63991334284594</v>
      </c>
    </row>
    <row r="509" spans="1:12" ht="15" customHeight="1" x14ac:dyDescent="0.2">
      <c r="A509" s="2">
        <v>45314</v>
      </c>
      <c r="B509" s="3">
        <v>33.75</v>
      </c>
      <c r="C509" s="1">
        <v>975339</v>
      </c>
      <c r="D509" s="3">
        <v>-0.310000000000002</v>
      </c>
      <c r="E509" s="3">
        <v>-0.91015854374633098</v>
      </c>
      <c r="F509" s="3">
        <v>-0.91015934849595304</v>
      </c>
      <c r="G509" s="3">
        <v>41.573974999999997</v>
      </c>
      <c r="H509" s="3">
        <v>1058.5379651174301</v>
      </c>
      <c r="I509" s="3">
        <v>33.46</v>
      </c>
      <c r="J509" s="3">
        <v>34.230800000000002</v>
      </c>
      <c r="K509" s="3">
        <v>33.46</v>
      </c>
      <c r="L509" s="3">
        <v>840.50800585494801</v>
      </c>
    </row>
    <row r="510" spans="1:12" ht="15" customHeight="1" x14ac:dyDescent="0.2">
      <c r="A510" s="2">
        <v>45313</v>
      </c>
      <c r="B510" s="3">
        <v>34.06</v>
      </c>
      <c r="C510" s="1">
        <v>1006191</v>
      </c>
      <c r="D510" s="3">
        <v>1.3599999999999901</v>
      </c>
      <c r="E510" s="3">
        <v>4.1590214067278302</v>
      </c>
      <c r="F510" s="3">
        <v>4.1590208160695301</v>
      </c>
      <c r="G510" s="3">
        <v>41.955840000000002</v>
      </c>
      <c r="H510" s="3">
        <v>1069.1793603664901</v>
      </c>
      <c r="I510" s="3">
        <v>33.130000000000003</v>
      </c>
      <c r="J510" s="3">
        <v>34.159999999999997</v>
      </c>
      <c r="K510" s="3">
        <v>32.76</v>
      </c>
      <c r="L510" s="3">
        <v>849.14674605687401</v>
      </c>
    </row>
    <row r="511" spans="1:12" ht="15" customHeight="1" x14ac:dyDescent="0.2">
      <c r="A511" s="2">
        <v>45310</v>
      </c>
      <c r="B511" s="3">
        <v>32.700000000000003</v>
      </c>
      <c r="C511" s="1">
        <v>587512</v>
      </c>
      <c r="D511" s="3">
        <v>4.0000000000006197E-2</v>
      </c>
      <c r="E511" s="3">
        <v>0.12247397428049001</v>
      </c>
      <c r="F511" s="3">
        <v>0.12247432284671</v>
      </c>
      <c r="G511" s="3">
        <v>40.280563000000001</v>
      </c>
      <c r="H511" s="3">
        <v>1022.4945772398401</v>
      </c>
      <c r="I511" s="3">
        <v>32.81</v>
      </c>
      <c r="J511" s="3">
        <v>32.82</v>
      </c>
      <c r="K511" s="3">
        <v>32.3001</v>
      </c>
      <c r="L511" s="3">
        <v>811.24775678390495</v>
      </c>
    </row>
    <row r="512" spans="1:12" ht="15" customHeight="1" x14ac:dyDescent="0.2">
      <c r="A512" s="2">
        <v>45309</v>
      </c>
      <c r="B512" s="3">
        <v>32.659999999999997</v>
      </c>
      <c r="C512" s="1">
        <v>654577</v>
      </c>
      <c r="D512" s="3">
        <v>0.51999999999999602</v>
      </c>
      <c r="E512" s="3">
        <v>1.61792159303046</v>
      </c>
      <c r="F512" s="3">
        <v>1.6179288389153801</v>
      </c>
      <c r="G512" s="3">
        <v>40.231290000000001</v>
      </c>
      <c r="H512" s="3">
        <v>1021.12149128509</v>
      </c>
      <c r="I512" s="3">
        <v>32.39</v>
      </c>
      <c r="J512" s="3">
        <v>32.659999999999997</v>
      </c>
      <c r="K512" s="3">
        <v>31.87</v>
      </c>
      <c r="L512" s="3">
        <v>810.13308062881697</v>
      </c>
    </row>
    <row r="513" spans="1:12" ht="15" customHeight="1" x14ac:dyDescent="0.2">
      <c r="A513" s="2">
        <v>45308</v>
      </c>
      <c r="B513" s="3">
        <v>32.14</v>
      </c>
      <c r="C513" s="1">
        <v>802773</v>
      </c>
      <c r="D513" s="3">
        <v>3.0000000000001099E-2</v>
      </c>
      <c r="E513" s="3">
        <v>9.3428838368114706E-2</v>
      </c>
      <c r="F513" s="3">
        <v>9.3424682698506303E-2</v>
      </c>
      <c r="G513" s="3">
        <v>39.590739999999997</v>
      </c>
      <c r="H513" s="3">
        <v>1003.27134600656</v>
      </c>
      <c r="I513" s="3">
        <v>31.56</v>
      </c>
      <c r="J513" s="3">
        <v>32.17</v>
      </c>
      <c r="K513" s="3">
        <v>31.24</v>
      </c>
      <c r="L513" s="3">
        <v>795.64229061268202</v>
      </c>
    </row>
    <row r="514" spans="1:12" ht="15" customHeight="1" x14ac:dyDescent="0.2">
      <c r="A514" s="2">
        <v>45307</v>
      </c>
      <c r="B514" s="3">
        <v>32.11</v>
      </c>
      <c r="C514" s="1">
        <v>1110983</v>
      </c>
      <c r="D514" s="3">
        <v>-0.28000000000000103</v>
      </c>
      <c r="E514" s="3">
        <v>-0.86446434084593804</v>
      </c>
      <c r="F514" s="3">
        <v>-0.86446432072706503</v>
      </c>
      <c r="G514" s="3">
        <v>39.553787</v>
      </c>
      <c r="H514" s="3">
        <v>1002.24158030759</v>
      </c>
      <c r="I514" s="3">
        <v>32.03</v>
      </c>
      <c r="J514" s="3">
        <v>32.28</v>
      </c>
      <c r="K514" s="3">
        <v>31.375</v>
      </c>
      <c r="L514" s="3">
        <v>794.80628349636595</v>
      </c>
    </row>
    <row r="515" spans="1:12" ht="15" customHeight="1" x14ac:dyDescent="0.2">
      <c r="A515" s="2">
        <v>45303</v>
      </c>
      <c r="B515" s="3">
        <v>32.39</v>
      </c>
      <c r="C515" s="1">
        <v>1214161</v>
      </c>
      <c r="D515" s="3">
        <v>-0.68999999999999695</v>
      </c>
      <c r="E515" s="3">
        <v>-2.0858524788391599</v>
      </c>
      <c r="F515" s="3">
        <v>-2.0858601548512401</v>
      </c>
      <c r="G515" s="3">
        <v>39.898696999999999</v>
      </c>
      <c r="H515" s="3">
        <v>1011.85315412387</v>
      </c>
      <c r="I515" s="3">
        <v>33.22</v>
      </c>
      <c r="J515" s="3">
        <v>33.31</v>
      </c>
      <c r="K515" s="3">
        <v>32.29</v>
      </c>
      <c r="L515" s="3">
        <v>802.60901658197804</v>
      </c>
    </row>
    <row r="516" spans="1:12" ht="15" customHeight="1" x14ac:dyDescent="0.2">
      <c r="A516" s="2">
        <v>45302</v>
      </c>
      <c r="B516" s="3">
        <v>33.08</v>
      </c>
      <c r="C516" s="1">
        <v>698360</v>
      </c>
      <c r="D516" s="3">
        <v>-1.1499999999999899</v>
      </c>
      <c r="E516" s="3">
        <v>-3.35962605901255</v>
      </c>
      <c r="F516" s="3">
        <v>-3.3596219635837499</v>
      </c>
      <c r="G516" s="3">
        <v>40.748657000000001</v>
      </c>
      <c r="H516" s="3">
        <v>1035.5389077433199</v>
      </c>
      <c r="I516" s="3">
        <v>34.25</v>
      </c>
      <c r="J516" s="3">
        <v>34.31</v>
      </c>
      <c r="K516" s="3">
        <v>32.880000000000003</v>
      </c>
      <c r="L516" s="3">
        <v>821.83718025723397</v>
      </c>
    </row>
    <row r="517" spans="1:12" ht="15" customHeight="1" x14ac:dyDescent="0.2">
      <c r="A517" s="2">
        <v>45301</v>
      </c>
      <c r="B517" s="3">
        <v>34.229999999999997</v>
      </c>
      <c r="C517" s="1">
        <v>553134</v>
      </c>
      <c r="D517" s="3">
        <v>0.13999999999999299</v>
      </c>
      <c r="E517" s="3">
        <v>0.41067761806978798</v>
      </c>
      <c r="F517" s="3">
        <v>0.410679984761186</v>
      </c>
      <c r="G517" s="3">
        <v>42.16525</v>
      </c>
      <c r="H517" s="3">
        <v>1075.0149687074099</v>
      </c>
      <c r="I517" s="3">
        <v>34.21</v>
      </c>
      <c r="J517" s="3">
        <v>34.435400000000001</v>
      </c>
      <c r="K517" s="3">
        <v>33.9</v>
      </c>
      <c r="L517" s="3">
        <v>853.88411971599601</v>
      </c>
    </row>
    <row r="518" spans="1:12" ht="15" customHeight="1" x14ac:dyDescent="0.2">
      <c r="A518" s="2">
        <v>45300</v>
      </c>
      <c r="B518" s="3">
        <v>34.090000000000003</v>
      </c>
      <c r="C518" s="1">
        <v>510843</v>
      </c>
      <c r="D518" s="3">
        <v>-0.28999999999999898</v>
      </c>
      <c r="E518" s="3">
        <v>-0.84351367073879302</v>
      </c>
      <c r="F518" s="3">
        <v>-0.84352016321123102</v>
      </c>
      <c r="G518" s="3">
        <v>41.992794000000004</v>
      </c>
      <c r="H518" s="3">
        <v>1070.2091539323701</v>
      </c>
      <c r="I518" s="3">
        <v>33.909999999999997</v>
      </c>
      <c r="J518" s="3">
        <v>34.35</v>
      </c>
      <c r="K518" s="3">
        <v>33.89</v>
      </c>
      <c r="L518" s="3">
        <v>849.98275317318996</v>
      </c>
    </row>
    <row r="519" spans="1:12" ht="15" customHeight="1" x14ac:dyDescent="0.2">
      <c r="A519" s="2">
        <v>45299</v>
      </c>
      <c r="B519" s="3">
        <v>34.380000000000003</v>
      </c>
      <c r="C519" s="1">
        <v>658868</v>
      </c>
      <c r="D519" s="3">
        <v>0.95000000000000195</v>
      </c>
      <c r="E519" s="3">
        <v>2.8417588991923499</v>
      </c>
      <c r="F519" s="3">
        <v>2.8417701984395798</v>
      </c>
      <c r="G519" s="3">
        <v>42.350025000000002</v>
      </c>
      <c r="H519" s="3">
        <v>1080.1640758713199</v>
      </c>
      <c r="I519" s="3">
        <v>33.479999999999997</v>
      </c>
      <c r="J519" s="3">
        <v>34.5</v>
      </c>
      <c r="K519" s="3">
        <v>33.479999999999997</v>
      </c>
      <c r="L519" s="3">
        <v>858.06415529757305</v>
      </c>
    </row>
    <row r="520" spans="1:12" ht="15" customHeight="1" x14ac:dyDescent="0.2">
      <c r="A520" s="2">
        <v>45296</v>
      </c>
      <c r="B520" s="3">
        <v>33.43</v>
      </c>
      <c r="C520" s="1">
        <v>1058901</v>
      </c>
      <c r="D520" s="3"/>
      <c r="E520" s="3"/>
      <c r="F520" s="3"/>
      <c r="G520" s="3">
        <v>41.179789999999997</v>
      </c>
      <c r="H520" s="3">
        <v>1047.5532496126</v>
      </c>
      <c r="I520" s="3">
        <v>33.1</v>
      </c>
      <c r="J520" s="3">
        <v>34.225000000000001</v>
      </c>
      <c r="K520" s="3">
        <v>33.1</v>
      </c>
      <c r="L520" s="3">
        <v>831.59059661424897</v>
      </c>
    </row>
    <row r="521" spans="1:12" ht="15" customHeight="1" x14ac:dyDescent="0.2">
      <c r="A521" s="2">
        <v>45295</v>
      </c>
      <c r="B521" s="3">
        <v>33.43</v>
      </c>
      <c r="C521" s="1">
        <v>749976</v>
      </c>
      <c r="D521" s="3">
        <v>0.24000000000000199</v>
      </c>
      <c r="E521" s="3">
        <v>0.72310937029225197</v>
      </c>
      <c r="F521" s="3">
        <v>0.72311641553022199</v>
      </c>
      <c r="G521" s="3">
        <v>41.179789999999997</v>
      </c>
      <c r="H521" s="3">
        <v>1047.5532496126</v>
      </c>
      <c r="I521" s="3">
        <v>33.17</v>
      </c>
      <c r="J521" s="3">
        <v>33.72</v>
      </c>
      <c r="K521" s="3">
        <v>32.65</v>
      </c>
      <c r="L521" s="3">
        <v>831.59059661424897</v>
      </c>
    </row>
    <row r="522" spans="1:12" ht="15" customHeight="1" x14ac:dyDescent="0.2">
      <c r="A522" s="2">
        <v>45294</v>
      </c>
      <c r="B522" s="3">
        <v>33.19</v>
      </c>
      <c r="C522" s="1">
        <v>871125</v>
      </c>
      <c r="D522" s="3">
        <v>-1.17</v>
      </c>
      <c r="E522" s="3">
        <v>-3.4051222351571599</v>
      </c>
      <c r="F522" s="3">
        <v>-3.4051337417218202</v>
      </c>
      <c r="G522" s="3">
        <v>40.884149999999998</v>
      </c>
      <c r="H522" s="3">
        <v>1039.3146781503499</v>
      </c>
      <c r="I522" s="3">
        <v>34.32</v>
      </c>
      <c r="J522" s="3">
        <v>34.32</v>
      </c>
      <c r="K522" s="3">
        <v>33.14</v>
      </c>
      <c r="L522" s="3">
        <v>824.90253968372497</v>
      </c>
    </row>
    <row r="523" spans="1:12" ht="15" customHeight="1" x14ac:dyDescent="0.2">
      <c r="A523" s="2">
        <v>45293</v>
      </c>
      <c r="B523" s="3">
        <v>34.36</v>
      </c>
      <c r="C523" s="1">
        <v>1096000</v>
      </c>
      <c r="D523" s="3">
        <v>-0.64999999999999802</v>
      </c>
      <c r="E523" s="3">
        <v>-1.85661239645814</v>
      </c>
      <c r="F523" s="3">
        <v>-1.85661248520905</v>
      </c>
      <c r="G523" s="3">
        <v>42.325386000000002</v>
      </c>
      <c r="H523" s="3">
        <v>1079.4774632266899</v>
      </c>
      <c r="I523" s="3">
        <v>35.01</v>
      </c>
      <c r="J523" s="3">
        <v>35.414999999999999</v>
      </c>
      <c r="K523" s="3">
        <v>34.22</v>
      </c>
      <c r="L523" s="3">
        <v>857.50681722003003</v>
      </c>
    </row>
    <row r="524" spans="1:12" ht="15" customHeight="1" x14ac:dyDescent="0.2">
      <c r="A524" s="2">
        <v>45289</v>
      </c>
      <c r="B524" s="3">
        <v>35.01</v>
      </c>
      <c r="C524" s="1">
        <v>736051</v>
      </c>
      <c r="D524" s="3">
        <v>-0.310000000000002</v>
      </c>
      <c r="E524" s="3">
        <v>-0.87768969422423704</v>
      </c>
      <c r="F524" s="3">
        <v>-0.87769047186451099</v>
      </c>
      <c r="G524" s="3">
        <v>43.126069999999999</v>
      </c>
      <c r="H524" s="3">
        <v>1101.7900472906899</v>
      </c>
      <c r="I524" s="3">
        <v>35.24</v>
      </c>
      <c r="J524" s="3">
        <v>35.49</v>
      </c>
      <c r="K524" s="3">
        <v>34.729999999999997</v>
      </c>
      <c r="L524" s="3">
        <v>875.620304740199</v>
      </c>
    </row>
    <row r="525" spans="1:12" ht="15" customHeight="1" x14ac:dyDescent="0.2">
      <c r="A525" s="2">
        <v>45288</v>
      </c>
      <c r="B525" s="3">
        <v>35.32</v>
      </c>
      <c r="C525" s="1">
        <v>778727</v>
      </c>
      <c r="D525" s="3">
        <v>-0.82999999999999796</v>
      </c>
      <c r="E525" s="3">
        <v>-2.29598893499307</v>
      </c>
      <c r="F525" s="3">
        <v>-2.2959958769692901</v>
      </c>
      <c r="G525" s="3">
        <v>43.507935000000003</v>
      </c>
      <c r="H525" s="3">
        <v>1112.4314425397499</v>
      </c>
      <c r="I525" s="3">
        <v>35.89</v>
      </c>
      <c r="J525" s="3">
        <v>36.18</v>
      </c>
      <c r="K525" s="3">
        <v>35.270000000000003</v>
      </c>
      <c r="L525" s="3">
        <v>884.25904494212602</v>
      </c>
    </row>
    <row r="526" spans="1:12" ht="15" customHeight="1" x14ac:dyDescent="0.2">
      <c r="A526" s="2">
        <v>45287</v>
      </c>
      <c r="B526" s="3">
        <v>36.15</v>
      </c>
      <c r="C526" s="1">
        <v>608808</v>
      </c>
      <c r="D526" s="3">
        <v>0.22999999999999601</v>
      </c>
      <c r="E526" s="3">
        <v>0.64031180400889698</v>
      </c>
      <c r="F526" s="3">
        <v>0.64032553601061004</v>
      </c>
      <c r="G526" s="3">
        <v>44.530349999999999</v>
      </c>
      <c r="H526" s="3">
        <v>1140.9229830673401</v>
      </c>
      <c r="I526" s="3">
        <v>35.99</v>
      </c>
      <c r="J526" s="3">
        <v>36.270000000000003</v>
      </c>
      <c r="K526" s="3">
        <v>35.738300000000002</v>
      </c>
      <c r="L526" s="3">
        <v>907.388575160188</v>
      </c>
    </row>
    <row r="527" spans="1:12" ht="15" customHeight="1" x14ac:dyDescent="0.2">
      <c r="A527" s="2">
        <v>45286</v>
      </c>
      <c r="B527" s="3">
        <v>35.92</v>
      </c>
      <c r="C527" s="1">
        <v>951562</v>
      </c>
      <c r="D527" s="3">
        <v>0.190000000000004</v>
      </c>
      <c r="E527" s="3">
        <v>0.53176602294990805</v>
      </c>
      <c r="F527" s="3">
        <v>0.531763584288103</v>
      </c>
      <c r="G527" s="3">
        <v>44.247025000000001</v>
      </c>
      <c r="H527" s="3">
        <v>1133.02759252634</v>
      </c>
      <c r="I527" s="3">
        <v>35.799999999999997</v>
      </c>
      <c r="J527" s="3">
        <v>36.049999999999997</v>
      </c>
      <c r="K527" s="3">
        <v>35.520000000000003</v>
      </c>
      <c r="L527" s="3">
        <v>900.97918726843602</v>
      </c>
    </row>
    <row r="528" spans="1:12" ht="15" customHeight="1" x14ac:dyDescent="0.2">
      <c r="A528" s="2">
        <v>45282</v>
      </c>
      <c r="B528" s="3">
        <v>35.729999999999997</v>
      </c>
      <c r="C528" s="1">
        <v>627387</v>
      </c>
      <c r="D528" s="3">
        <v>0.22999999999999601</v>
      </c>
      <c r="E528" s="3">
        <v>0.647887323943652</v>
      </c>
      <c r="F528" s="3">
        <v>0.64788057827289602</v>
      </c>
      <c r="G528" s="3">
        <v>44.012979999999999</v>
      </c>
      <c r="H528" s="3">
        <v>1126.5054830084</v>
      </c>
      <c r="I528" s="3">
        <v>35.53</v>
      </c>
      <c r="J528" s="3">
        <v>35.799999999999997</v>
      </c>
      <c r="K528" s="3">
        <v>35.24</v>
      </c>
      <c r="L528" s="3">
        <v>895.684475531771</v>
      </c>
    </row>
    <row r="529" spans="1:12" ht="15" customHeight="1" x14ac:dyDescent="0.2">
      <c r="A529" s="2">
        <v>45281</v>
      </c>
      <c r="B529" s="3">
        <v>35.5</v>
      </c>
      <c r="C529" s="1">
        <v>853414</v>
      </c>
      <c r="D529" s="3">
        <v>0.79999999999999705</v>
      </c>
      <c r="E529" s="3">
        <v>2.3054755043227599</v>
      </c>
      <c r="F529" s="3">
        <v>2.3054797720533</v>
      </c>
      <c r="G529" s="3">
        <v>43.729664</v>
      </c>
      <c r="H529" s="3">
        <v>1118.6103432695299</v>
      </c>
      <c r="I529" s="3">
        <v>35.979999999999997</v>
      </c>
      <c r="J529" s="3">
        <v>36.42</v>
      </c>
      <c r="K529" s="3">
        <v>35.04</v>
      </c>
      <c r="L529" s="3">
        <v>889.27508764001902</v>
      </c>
    </row>
    <row r="530" spans="1:12" ht="15" customHeight="1" x14ac:dyDescent="0.2">
      <c r="A530" s="2">
        <v>45280</v>
      </c>
      <c r="B530" s="3">
        <v>34.700000000000003</v>
      </c>
      <c r="C530" s="1">
        <v>801232</v>
      </c>
      <c r="D530" s="3">
        <v>-0.489999999999994</v>
      </c>
      <c r="E530" s="3">
        <v>-1.39244103438475</v>
      </c>
      <c r="F530" s="3">
        <v>-1.39243985109553</v>
      </c>
      <c r="G530" s="3">
        <v>42.744205000000001</v>
      </c>
      <c r="H530" s="3">
        <v>1091.1486520416299</v>
      </c>
      <c r="I530" s="3">
        <v>35.18</v>
      </c>
      <c r="J530" s="3">
        <v>35.93</v>
      </c>
      <c r="K530" s="3">
        <v>34.69</v>
      </c>
      <c r="L530" s="3">
        <v>866.98156453827198</v>
      </c>
    </row>
    <row r="531" spans="1:12" ht="15" customHeight="1" x14ac:dyDescent="0.2">
      <c r="A531" s="2">
        <v>45279</v>
      </c>
      <c r="B531" s="3">
        <v>35.19</v>
      </c>
      <c r="C531" s="1">
        <v>828305</v>
      </c>
      <c r="D531" s="3">
        <v>1.0599999999999901</v>
      </c>
      <c r="E531" s="3">
        <v>3.1057720480515498</v>
      </c>
      <c r="F531" s="3">
        <v>3.10576287038197</v>
      </c>
      <c r="G531" s="3">
        <v>43.347797</v>
      </c>
      <c r="H531" s="3">
        <v>1107.9688922866601</v>
      </c>
      <c r="I531" s="3">
        <v>34.549999999999997</v>
      </c>
      <c r="J531" s="3">
        <v>35.19</v>
      </c>
      <c r="K531" s="3">
        <v>34.53</v>
      </c>
      <c r="L531" s="3">
        <v>880.636347438092</v>
      </c>
    </row>
    <row r="532" spans="1:12" ht="15" customHeight="1" x14ac:dyDescent="0.2">
      <c r="A532" s="2">
        <v>45278</v>
      </c>
      <c r="B532" s="3">
        <v>34.130000000000003</v>
      </c>
      <c r="C532" s="1">
        <v>590593</v>
      </c>
      <c r="D532" s="3">
        <v>5.0000000000004201E-2</v>
      </c>
      <c r="E532" s="3">
        <v>0.146713615023497</v>
      </c>
      <c r="F532" s="3">
        <v>0.14672058506435201</v>
      </c>
      <c r="G532" s="3">
        <v>42.042070000000002</v>
      </c>
      <c r="H532" s="3">
        <v>1071.5823234878201</v>
      </c>
      <c r="I532" s="3">
        <v>34.130000000000003</v>
      </c>
      <c r="J532" s="3">
        <v>34.659999999999997</v>
      </c>
      <c r="K532" s="3">
        <v>33.53</v>
      </c>
      <c r="L532" s="3">
        <v>851.09742932827703</v>
      </c>
    </row>
    <row r="533" spans="1:12" ht="15" customHeight="1" x14ac:dyDescent="0.2">
      <c r="A533" s="2">
        <v>45275</v>
      </c>
      <c r="B533" s="3">
        <v>34.08</v>
      </c>
      <c r="C533" s="1">
        <v>1821814</v>
      </c>
      <c r="D533" s="3">
        <v>-0.28000000000000103</v>
      </c>
      <c r="E533" s="3">
        <v>-0.814901047729921</v>
      </c>
      <c r="F533" s="3">
        <v>-0.81490101472435605</v>
      </c>
      <c r="G533" s="3">
        <v>41.980476000000003</v>
      </c>
      <c r="H533" s="3">
        <v>1069.8658894104101</v>
      </c>
      <c r="I533" s="3">
        <v>34.43</v>
      </c>
      <c r="J533" s="3">
        <v>34.515000000000001</v>
      </c>
      <c r="K533" s="3">
        <v>33.57</v>
      </c>
      <c r="L533" s="3">
        <v>849.70408413441805</v>
      </c>
    </row>
    <row r="534" spans="1:12" ht="15" customHeight="1" x14ac:dyDescent="0.2">
      <c r="A534" s="2">
        <v>45274</v>
      </c>
      <c r="B534" s="3">
        <v>34.36</v>
      </c>
      <c r="C534" s="1">
        <v>1329423</v>
      </c>
      <c r="D534" s="3">
        <v>0.92999999999999905</v>
      </c>
      <c r="E534" s="3">
        <v>2.7819323960514399</v>
      </c>
      <c r="F534" s="3">
        <v>2.7819374503852599</v>
      </c>
      <c r="G534" s="3">
        <v>42.325386000000002</v>
      </c>
      <c r="H534" s="3">
        <v>1079.4774632266899</v>
      </c>
      <c r="I534" s="3">
        <v>33.86</v>
      </c>
      <c r="J534" s="3">
        <v>34.450000000000003</v>
      </c>
      <c r="K534" s="3">
        <v>33.630000000000003</v>
      </c>
      <c r="L534" s="3">
        <v>857.50681722003003</v>
      </c>
    </row>
    <row r="535" spans="1:12" ht="15" customHeight="1" x14ac:dyDescent="0.2">
      <c r="A535" s="2">
        <v>45273</v>
      </c>
      <c r="B535" s="3">
        <v>33.43</v>
      </c>
      <c r="C535" s="1">
        <v>848042</v>
      </c>
      <c r="D535" s="3">
        <v>0.60999999999999899</v>
      </c>
      <c r="E535" s="3">
        <v>1.8586227909810999</v>
      </c>
      <c r="F535" s="3">
        <v>1.85862010795387</v>
      </c>
      <c r="G535" s="3">
        <v>41.179789999999997</v>
      </c>
      <c r="H535" s="3">
        <v>1047.5532496126</v>
      </c>
      <c r="I535" s="3">
        <v>32.92</v>
      </c>
      <c r="J535" s="3">
        <v>33.44</v>
      </c>
      <c r="K535" s="3">
        <v>32.26</v>
      </c>
      <c r="L535" s="3">
        <v>831.59059661424897</v>
      </c>
    </row>
    <row r="536" spans="1:12" ht="15" customHeight="1" x14ac:dyDescent="0.2">
      <c r="A536" s="2">
        <v>45272</v>
      </c>
      <c r="B536" s="3">
        <v>32.82</v>
      </c>
      <c r="C536" s="1">
        <v>768919</v>
      </c>
      <c r="D536" s="3">
        <v>-0.53000000000000103</v>
      </c>
      <c r="E536" s="3">
        <v>-1.58920539730135</v>
      </c>
      <c r="F536" s="3">
        <v>-1.58920451412805</v>
      </c>
      <c r="G536" s="3">
        <v>40.428379999999997</v>
      </c>
      <c r="H536" s="3">
        <v>1026.6137793702501</v>
      </c>
      <c r="I536" s="3">
        <v>33.33</v>
      </c>
      <c r="J536" s="3">
        <v>33.33</v>
      </c>
      <c r="K536" s="3">
        <v>32.69</v>
      </c>
      <c r="L536" s="3">
        <v>814.59178524916695</v>
      </c>
    </row>
    <row r="537" spans="1:12" ht="15" customHeight="1" x14ac:dyDescent="0.2">
      <c r="A537" s="2">
        <v>45271</v>
      </c>
      <c r="B537" s="3">
        <v>33.35</v>
      </c>
      <c r="C537" s="1">
        <v>745465</v>
      </c>
      <c r="D537" s="3">
        <v>7.9999999999998295E-2</v>
      </c>
      <c r="E537" s="3">
        <v>0.240456868049299</v>
      </c>
      <c r="F537" s="3">
        <v>0.240455118867233</v>
      </c>
      <c r="G537" s="3">
        <v>41.081245000000003</v>
      </c>
      <c r="H537" s="3">
        <v>1044.80710557003</v>
      </c>
      <c r="I537" s="3">
        <v>33.270000000000003</v>
      </c>
      <c r="J537" s="3">
        <v>33.5</v>
      </c>
      <c r="K537" s="3">
        <v>32.93</v>
      </c>
      <c r="L537" s="3">
        <v>829.36124430407403</v>
      </c>
    </row>
    <row r="538" spans="1:12" ht="15" customHeight="1" x14ac:dyDescent="0.2">
      <c r="A538" s="2">
        <v>45268</v>
      </c>
      <c r="B538" s="3">
        <v>33.270000000000003</v>
      </c>
      <c r="C538" s="1">
        <v>661507</v>
      </c>
      <c r="D538" s="3">
        <v>-0.53999999999999904</v>
      </c>
      <c r="E538" s="3">
        <v>-1.59716060337178</v>
      </c>
      <c r="F538" s="3">
        <v>-1.5971615748833601</v>
      </c>
      <c r="G538" s="3">
        <v>40.982700000000001</v>
      </c>
      <c r="H538" s="3">
        <v>1042.06096152745</v>
      </c>
      <c r="I538" s="3">
        <v>33.68</v>
      </c>
      <c r="J538" s="3">
        <v>33.909999999999997</v>
      </c>
      <c r="K538" s="3">
        <v>33.159999999999997</v>
      </c>
      <c r="L538" s="3">
        <v>827.13189199389899</v>
      </c>
    </row>
    <row r="539" spans="1:12" ht="15" customHeight="1" x14ac:dyDescent="0.2">
      <c r="A539" s="2">
        <v>45267</v>
      </c>
      <c r="B539" s="3">
        <v>33.81</v>
      </c>
      <c r="C539" s="1">
        <v>604603</v>
      </c>
      <c r="D539" s="3">
        <v>0.60000000000000098</v>
      </c>
      <c r="E539" s="3">
        <v>1.8066847335139899</v>
      </c>
      <c r="F539" s="3">
        <v>1.80668751141257</v>
      </c>
      <c r="G539" s="3">
        <v>41.647883999999998</v>
      </c>
      <c r="H539" s="3">
        <v>1060.5975801160901</v>
      </c>
      <c r="I539" s="3">
        <v>33.33</v>
      </c>
      <c r="J539" s="3">
        <v>33.82</v>
      </c>
      <c r="K539" s="3">
        <v>33.020000000000003</v>
      </c>
      <c r="L539" s="3">
        <v>842.18002008757901</v>
      </c>
    </row>
    <row r="540" spans="1:12" ht="15" customHeight="1" x14ac:dyDescent="0.2">
      <c r="A540" s="2">
        <v>45266</v>
      </c>
      <c r="B540" s="3">
        <v>33.21</v>
      </c>
      <c r="C540" s="1">
        <v>712547</v>
      </c>
      <c r="D540" s="3">
        <v>0.96</v>
      </c>
      <c r="E540" s="3">
        <v>2.97674418604652</v>
      </c>
      <c r="F540" s="3">
        <v>2.9767426780514499</v>
      </c>
      <c r="G540" s="3">
        <v>40.908790000000003</v>
      </c>
      <c r="H540" s="3">
        <v>1040.0013186618901</v>
      </c>
      <c r="I540" s="3">
        <v>32.58</v>
      </c>
      <c r="J540" s="3">
        <v>33.590000000000003</v>
      </c>
      <c r="K540" s="3">
        <v>32.58</v>
      </c>
      <c r="L540" s="3">
        <v>825.45987776126799</v>
      </c>
    </row>
    <row r="541" spans="1:12" ht="15" customHeight="1" x14ac:dyDescent="0.2">
      <c r="A541" s="2">
        <v>45265</v>
      </c>
      <c r="B541" s="3">
        <v>32.25</v>
      </c>
      <c r="C541" s="1">
        <v>672936</v>
      </c>
      <c r="D541" s="3">
        <v>-0.75999999999999801</v>
      </c>
      <c r="E541" s="3">
        <v>-2.30233262647682</v>
      </c>
      <c r="F541" s="3">
        <v>-2.3023318874284602</v>
      </c>
      <c r="G541" s="3">
        <v>39.726241999999999</v>
      </c>
      <c r="H541" s="3">
        <v>1007.04736721573</v>
      </c>
      <c r="I541" s="3">
        <v>32.94</v>
      </c>
      <c r="J541" s="3">
        <v>33.15</v>
      </c>
      <c r="K541" s="3">
        <v>32.229999999999997</v>
      </c>
      <c r="L541" s="3">
        <v>798.70765003917199</v>
      </c>
    </row>
    <row r="542" spans="1:12" ht="15" customHeight="1" x14ac:dyDescent="0.2">
      <c r="A542" s="2">
        <v>45264</v>
      </c>
      <c r="B542" s="3">
        <v>33.01</v>
      </c>
      <c r="C542" s="1">
        <v>972533</v>
      </c>
      <c r="D542" s="3">
        <v>0.119999999999997</v>
      </c>
      <c r="E542" s="3">
        <v>0.364852538765569</v>
      </c>
      <c r="F542" s="3">
        <v>0.36485607190652702</v>
      </c>
      <c r="G542" s="3">
        <v>40.662426000000004</v>
      </c>
      <c r="H542" s="3">
        <v>1033.13591675509</v>
      </c>
      <c r="I542" s="3">
        <v>32.869999999999997</v>
      </c>
      <c r="J542" s="3">
        <v>33.97</v>
      </c>
      <c r="K542" s="3">
        <v>32.854999999999997</v>
      </c>
      <c r="L542" s="3">
        <v>819.88649698583197</v>
      </c>
    </row>
    <row r="543" spans="1:12" ht="15" customHeight="1" x14ac:dyDescent="0.2">
      <c r="A543" s="2">
        <v>45261</v>
      </c>
      <c r="B543" s="3">
        <v>32.89</v>
      </c>
      <c r="C543" s="1">
        <v>1209032</v>
      </c>
      <c r="D543" s="3">
        <v>1.53999999999999</v>
      </c>
      <c r="E543" s="3">
        <v>4.9122807017543701</v>
      </c>
      <c r="F543" s="3">
        <v>4.9122753683080704</v>
      </c>
      <c r="G543" s="3">
        <v>40.514606000000001</v>
      </c>
      <c r="H543" s="3">
        <v>1029.0166310239599</v>
      </c>
      <c r="I543" s="3">
        <v>31.28</v>
      </c>
      <c r="J543" s="3">
        <v>33.049999999999997</v>
      </c>
      <c r="K543" s="3">
        <v>30.96</v>
      </c>
      <c r="L543" s="3">
        <v>816.54246852056997</v>
      </c>
    </row>
    <row r="544" spans="1:12" ht="15" customHeight="1" x14ac:dyDescent="0.2">
      <c r="A544" s="2">
        <v>45260</v>
      </c>
      <c r="B544" s="3">
        <v>31.35</v>
      </c>
      <c r="C544" s="1">
        <v>889115</v>
      </c>
      <c r="D544" s="3">
        <v>-0.51999999999999902</v>
      </c>
      <c r="E544" s="3">
        <v>-1.63162849074364</v>
      </c>
      <c r="F544" s="3">
        <v>-1.63163309368205</v>
      </c>
      <c r="G544" s="3">
        <v>38.617603000000003</v>
      </c>
      <c r="H544" s="3">
        <v>976.15303076823795</v>
      </c>
      <c r="I544" s="3">
        <v>31.81</v>
      </c>
      <c r="J544" s="3">
        <v>31.87</v>
      </c>
      <c r="K544" s="3">
        <v>31.2</v>
      </c>
      <c r="L544" s="3">
        <v>773.627436549707</v>
      </c>
    </row>
    <row r="545" spans="1:12" ht="15" customHeight="1" x14ac:dyDescent="0.2">
      <c r="A545" s="2">
        <v>45259</v>
      </c>
      <c r="B545" s="3">
        <v>31.87</v>
      </c>
      <c r="C545" s="1">
        <v>907304</v>
      </c>
      <c r="D545" s="3">
        <v>-0.35999999999999499</v>
      </c>
      <c r="E545" s="3">
        <v>-1.1169717654359099</v>
      </c>
      <c r="F545" s="3">
        <v>-1.11696989998415</v>
      </c>
      <c r="G545" s="3">
        <v>39.258152000000003</v>
      </c>
      <c r="H545" s="3">
        <v>994.00314817986396</v>
      </c>
      <c r="I545" s="3">
        <v>32.46</v>
      </c>
      <c r="J545" s="3">
        <v>32.74</v>
      </c>
      <c r="K545" s="3">
        <v>31.669</v>
      </c>
      <c r="L545" s="3">
        <v>788.11822656584195</v>
      </c>
    </row>
    <row r="546" spans="1:12" ht="15" customHeight="1" x14ac:dyDescent="0.2">
      <c r="A546" s="2">
        <v>45258</v>
      </c>
      <c r="B546" s="3">
        <v>32.229999999999997</v>
      </c>
      <c r="C546" s="1">
        <v>548695</v>
      </c>
      <c r="D546" s="3">
        <v>-0.25</v>
      </c>
      <c r="E546" s="3">
        <v>-0.76970443349754203</v>
      </c>
      <c r="F546" s="3">
        <v>-0.76969854204844701</v>
      </c>
      <c r="G546" s="3">
        <v>39.701607000000003</v>
      </c>
      <c r="H546" s="3">
        <v>1006.36086603872</v>
      </c>
      <c r="I546" s="3">
        <v>32.51</v>
      </c>
      <c r="J546" s="3">
        <v>32.53</v>
      </c>
      <c r="K546" s="3">
        <v>32.020000000000003</v>
      </c>
      <c r="L546" s="3">
        <v>798.15031196162795</v>
      </c>
    </row>
    <row r="547" spans="1:12" ht="15" customHeight="1" x14ac:dyDescent="0.2">
      <c r="A547" s="2">
        <v>45257</v>
      </c>
      <c r="B547" s="3">
        <v>32.479999999999997</v>
      </c>
      <c r="C547" s="1">
        <v>734865</v>
      </c>
      <c r="D547" s="3">
        <v>-3.0000000000001099E-2</v>
      </c>
      <c r="E547" s="3">
        <v>-9.2279298677333504E-2</v>
      </c>
      <c r="F547" s="3">
        <v>-9.2275200090452494E-2</v>
      </c>
      <c r="G547" s="3">
        <v>40.00956</v>
      </c>
      <c r="H547" s="3">
        <v>1014.94256268841</v>
      </c>
      <c r="I547" s="3">
        <v>32.39</v>
      </c>
      <c r="J547" s="3">
        <v>32.51</v>
      </c>
      <c r="K547" s="3">
        <v>32</v>
      </c>
      <c r="L547" s="3">
        <v>805.11703793092397</v>
      </c>
    </row>
    <row r="548" spans="1:12" ht="15" customHeight="1" x14ac:dyDescent="0.2">
      <c r="A548" s="2">
        <v>45254</v>
      </c>
      <c r="B548" s="3">
        <v>32.51</v>
      </c>
      <c r="C548" s="1">
        <v>284524</v>
      </c>
      <c r="D548" s="3">
        <v>-0.130000000000002</v>
      </c>
      <c r="E548" s="3">
        <v>-0.398284313725494</v>
      </c>
      <c r="F548" s="3">
        <v>-0.39829476981596501</v>
      </c>
      <c r="G548" s="3">
        <v>40.046512999999997</v>
      </c>
      <c r="H548" s="3">
        <v>1015.97232838738</v>
      </c>
      <c r="I548" s="3">
        <v>32.58</v>
      </c>
      <c r="J548" s="3">
        <v>32.69</v>
      </c>
      <c r="K548" s="3">
        <v>32.21</v>
      </c>
      <c r="L548" s="3">
        <v>805.95304504724004</v>
      </c>
    </row>
    <row r="549" spans="1:12" ht="15" customHeight="1" x14ac:dyDescent="0.2">
      <c r="A549" s="2">
        <v>45252</v>
      </c>
      <c r="B549" s="3">
        <v>32.64</v>
      </c>
      <c r="C549" s="1">
        <v>600670</v>
      </c>
      <c r="D549" s="3">
        <v>0.439999999999997</v>
      </c>
      <c r="E549" s="3">
        <v>1.36645962732917</v>
      </c>
      <c r="F549" s="3">
        <v>1.36645588790462</v>
      </c>
      <c r="G549" s="3">
        <v>40.206654</v>
      </c>
      <c r="H549" s="3">
        <v>1020.43496224118</v>
      </c>
      <c r="I549" s="3">
        <v>32.54</v>
      </c>
      <c r="J549" s="3">
        <v>33.159999999999997</v>
      </c>
      <c r="K549" s="3">
        <v>32.229999999999997</v>
      </c>
      <c r="L549" s="3">
        <v>809.57574255127395</v>
      </c>
    </row>
    <row r="550" spans="1:12" ht="15" customHeight="1" x14ac:dyDescent="0.2">
      <c r="A550" s="2">
        <v>45251</v>
      </c>
      <c r="B550" s="3">
        <v>32.200000000000003</v>
      </c>
      <c r="C550" s="1">
        <v>661105</v>
      </c>
      <c r="D550" s="3">
        <v>-0.52999999999999403</v>
      </c>
      <c r="E550" s="3">
        <v>-1.61930950198593</v>
      </c>
      <c r="F550" s="3">
        <v>-1.61930114940612</v>
      </c>
      <c r="G550" s="3">
        <v>39.664653999999999</v>
      </c>
      <c r="H550" s="3">
        <v>1005.33110033974</v>
      </c>
      <c r="I550" s="3">
        <v>32.53</v>
      </c>
      <c r="J550" s="3">
        <v>32.71</v>
      </c>
      <c r="K550" s="3">
        <v>32.119999999999997</v>
      </c>
      <c r="L550" s="3">
        <v>797.31430484531302</v>
      </c>
    </row>
    <row r="551" spans="1:12" ht="15" customHeight="1" x14ac:dyDescent="0.2">
      <c r="A551" s="2">
        <v>45250</v>
      </c>
      <c r="B551" s="3">
        <v>32.729999999999997</v>
      </c>
      <c r="C551" s="1">
        <v>604389</v>
      </c>
      <c r="D551" s="3">
        <v>0.15999999999999601</v>
      </c>
      <c r="E551" s="3">
        <v>0.49124961621123098</v>
      </c>
      <c r="F551" s="3">
        <v>0.49124603013934698</v>
      </c>
      <c r="G551" s="3">
        <v>40.317515999999998</v>
      </c>
      <c r="H551" s="3">
        <v>1023.52434293881</v>
      </c>
      <c r="I551" s="3">
        <v>32.590000000000003</v>
      </c>
      <c r="J551" s="3">
        <v>32.96</v>
      </c>
      <c r="K551" s="3">
        <v>32.43</v>
      </c>
      <c r="L551" s="3">
        <v>812.08376390021999</v>
      </c>
    </row>
    <row r="552" spans="1:12" ht="15" customHeight="1" x14ac:dyDescent="0.2">
      <c r="A552" s="2">
        <v>45247</v>
      </c>
      <c r="B552" s="3">
        <v>32.57</v>
      </c>
      <c r="C552" s="1">
        <v>702569</v>
      </c>
      <c r="D552" s="3">
        <v>0.41000000000000297</v>
      </c>
      <c r="E552" s="3">
        <v>1.2748756218905699</v>
      </c>
      <c r="F552" s="3">
        <v>1.2748735465872101</v>
      </c>
      <c r="G552" s="3">
        <v>40.120426000000002</v>
      </c>
      <c r="H552" s="3">
        <v>1018.03205485365</v>
      </c>
      <c r="I552" s="3">
        <v>32.6</v>
      </c>
      <c r="J552" s="3">
        <v>32.97</v>
      </c>
      <c r="K552" s="3">
        <v>32.36</v>
      </c>
      <c r="L552" s="3">
        <v>807.62505927987104</v>
      </c>
    </row>
    <row r="553" spans="1:12" ht="15" customHeight="1" x14ac:dyDescent="0.2">
      <c r="A553" s="2">
        <v>45246</v>
      </c>
      <c r="B553" s="3">
        <v>32.159999999999997</v>
      </c>
      <c r="C553" s="1">
        <v>760674</v>
      </c>
      <c r="D553" s="3">
        <v>-0.93000000000000604</v>
      </c>
      <c r="E553" s="3">
        <v>-2.8105167724388198</v>
      </c>
      <c r="F553" s="3">
        <v>-2.8105072082435698</v>
      </c>
      <c r="G553" s="3">
        <v>39.615380000000002</v>
      </c>
      <c r="H553" s="3">
        <v>1003.9579865181</v>
      </c>
      <c r="I553" s="3">
        <v>32.78</v>
      </c>
      <c r="J553" s="3">
        <v>33.03</v>
      </c>
      <c r="K553" s="3">
        <v>31.98</v>
      </c>
      <c r="L553" s="3">
        <v>796.19962869022504</v>
      </c>
    </row>
    <row r="554" spans="1:12" ht="15" customHeight="1" x14ac:dyDescent="0.2">
      <c r="A554" s="2">
        <v>45245</v>
      </c>
      <c r="B554" s="3">
        <v>33.090000000000003</v>
      </c>
      <c r="C554" s="1">
        <v>875535</v>
      </c>
      <c r="D554" s="3">
        <v>0.52000000000000302</v>
      </c>
      <c r="E554" s="3">
        <v>1.59656125268652</v>
      </c>
      <c r="F554" s="3">
        <v>1.5965533366968501</v>
      </c>
      <c r="G554" s="3">
        <v>40.76097</v>
      </c>
      <c r="H554" s="3">
        <v>1035.88203293076</v>
      </c>
      <c r="I554" s="3">
        <v>32.56</v>
      </c>
      <c r="J554" s="3">
        <v>33.450000000000003</v>
      </c>
      <c r="K554" s="3">
        <v>32.549999999999997</v>
      </c>
      <c r="L554" s="3">
        <v>822.11584929600599</v>
      </c>
    </row>
    <row r="555" spans="1:12" ht="15" customHeight="1" x14ac:dyDescent="0.2">
      <c r="A555" s="2">
        <v>45244</v>
      </c>
      <c r="B555" s="3">
        <v>32.57</v>
      </c>
      <c r="C555" s="1">
        <v>1130989</v>
      </c>
      <c r="D555" s="3">
        <v>1.1799999999999899</v>
      </c>
      <c r="E555" s="3">
        <v>3.7591589678241499</v>
      </c>
      <c r="F555" s="3">
        <v>4.6193052903376497</v>
      </c>
      <c r="G555" s="3">
        <v>40.120426000000002</v>
      </c>
      <c r="H555" s="3">
        <v>1018.03205485365</v>
      </c>
      <c r="I555" s="3">
        <v>31.97</v>
      </c>
      <c r="J555" s="3">
        <v>33.03</v>
      </c>
      <c r="K555" s="3">
        <v>31.51</v>
      </c>
      <c r="L555" s="3">
        <v>807.62505927987104</v>
      </c>
    </row>
    <row r="556" spans="1:12" ht="15" customHeight="1" x14ac:dyDescent="0.2">
      <c r="A556" s="2">
        <v>45243</v>
      </c>
      <c r="B556" s="3">
        <v>31.39</v>
      </c>
      <c r="C556" s="1">
        <v>897739</v>
      </c>
      <c r="D556" s="3">
        <v>0.64</v>
      </c>
      <c r="E556" s="3">
        <v>2.0813008130081201</v>
      </c>
      <c r="F556" s="3">
        <v>2.08130335372043</v>
      </c>
      <c r="G556" s="3">
        <v>38.348970000000001</v>
      </c>
      <c r="H556" s="3">
        <v>968.66706077899903</v>
      </c>
      <c r="I556" s="3">
        <v>30.68</v>
      </c>
      <c r="J556" s="3">
        <v>31.46</v>
      </c>
      <c r="K556" s="3">
        <v>30.46</v>
      </c>
      <c r="L556" s="3">
        <v>774.74211270479395</v>
      </c>
    </row>
    <row r="557" spans="1:12" ht="15" customHeight="1" x14ac:dyDescent="0.2">
      <c r="A557" s="2">
        <v>45240</v>
      </c>
      <c r="B557" s="3">
        <v>30.75</v>
      </c>
      <c r="C557" s="1">
        <v>795337</v>
      </c>
      <c r="D557" s="3">
        <v>0.100000000000001</v>
      </c>
      <c r="E557" s="3">
        <v>0.32626427406199299</v>
      </c>
      <c r="F557" s="3">
        <v>0.32626325026339198</v>
      </c>
      <c r="G557" s="3">
        <v>37.567084999999999</v>
      </c>
      <c r="H557" s="3">
        <v>946.87834664098705</v>
      </c>
      <c r="I557" s="3">
        <v>30.67</v>
      </c>
      <c r="J557" s="3">
        <v>30.8</v>
      </c>
      <c r="K557" s="3">
        <v>30.265000000000001</v>
      </c>
      <c r="L557" s="3">
        <v>756.907294223397</v>
      </c>
    </row>
    <row r="558" spans="1:12" ht="15" customHeight="1" x14ac:dyDescent="0.2">
      <c r="A558" s="2">
        <v>45239</v>
      </c>
      <c r="B558" s="3">
        <v>30.65</v>
      </c>
      <c r="C558" s="1">
        <v>768822</v>
      </c>
      <c r="D558" s="3">
        <v>0.28999999999999898</v>
      </c>
      <c r="E558" s="3">
        <v>0.95520421607377903</v>
      </c>
      <c r="F558" s="3">
        <v>0.95520091788150396</v>
      </c>
      <c r="G558" s="3">
        <v>37.444915999999999</v>
      </c>
      <c r="H558" s="3">
        <v>943.47387486121499</v>
      </c>
      <c r="I558" s="3">
        <v>30.56</v>
      </c>
      <c r="J558" s="3">
        <v>30.88</v>
      </c>
      <c r="K558" s="3">
        <v>30.31</v>
      </c>
      <c r="L558" s="3">
        <v>754.12060383567803</v>
      </c>
    </row>
    <row r="559" spans="1:12" ht="15" customHeight="1" x14ac:dyDescent="0.2">
      <c r="A559" s="2">
        <v>45238</v>
      </c>
      <c r="B559" s="3">
        <v>30.36</v>
      </c>
      <c r="C559" s="1">
        <v>625865</v>
      </c>
      <c r="D559" s="3">
        <v>-0.39</v>
      </c>
      <c r="E559" s="3">
        <v>-1.26829268292683</v>
      </c>
      <c r="F559" s="3">
        <v>-1.2682884498491001</v>
      </c>
      <c r="G559" s="3">
        <v>37.090626</v>
      </c>
      <c r="H559" s="3">
        <v>933.60090948656796</v>
      </c>
      <c r="I559" s="3">
        <v>30.72</v>
      </c>
      <c r="J559" s="3">
        <v>30.97</v>
      </c>
      <c r="K559" s="3">
        <v>30.04</v>
      </c>
      <c r="L559" s="3">
        <v>746.03920171129505</v>
      </c>
    </row>
    <row r="560" spans="1:12" ht="15" customHeight="1" x14ac:dyDescent="0.2">
      <c r="A560" s="2">
        <v>45237</v>
      </c>
      <c r="B560" s="3">
        <v>30.75</v>
      </c>
      <c r="C560" s="1">
        <v>909526</v>
      </c>
      <c r="D560" s="3">
        <v>-5.99999999999987E-2</v>
      </c>
      <c r="E560" s="3">
        <v>-0.194741966893863</v>
      </c>
      <c r="F560" s="3">
        <v>-0.19475090454694699</v>
      </c>
      <c r="G560" s="3">
        <v>37.567084999999999</v>
      </c>
      <c r="H560" s="3">
        <v>946.87834664098705</v>
      </c>
      <c r="I560" s="3">
        <v>30.85</v>
      </c>
      <c r="J560" s="3">
        <v>31.08</v>
      </c>
      <c r="K560" s="3">
        <v>30.344999999999999</v>
      </c>
      <c r="L560" s="3">
        <v>756.907294223397</v>
      </c>
    </row>
    <row r="561" spans="1:12" ht="15" customHeight="1" x14ac:dyDescent="0.2">
      <c r="A561" s="2">
        <v>45236</v>
      </c>
      <c r="B561" s="3">
        <v>30.81</v>
      </c>
      <c r="C561" s="1">
        <v>1086020</v>
      </c>
      <c r="D561" s="3">
        <v>-0.28000000000000103</v>
      </c>
      <c r="E561" s="3">
        <v>-0.90061112898038798</v>
      </c>
      <c r="F561" s="3">
        <v>-0.90061034481597702</v>
      </c>
      <c r="G561" s="3">
        <v>37.640389999999996</v>
      </c>
      <c r="H561" s="3">
        <v>948.92113002970405</v>
      </c>
      <c r="I561" s="3">
        <v>31.2</v>
      </c>
      <c r="J561" s="3">
        <v>31.574999999999999</v>
      </c>
      <c r="K561" s="3">
        <v>30.68</v>
      </c>
      <c r="L561" s="3">
        <v>758.579308456028</v>
      </c>
    </row>
    <row r="562" spans="1:12" ht="15" customHeight="1" x14ac:dyDescent="0.2">
      <c r="A562" s="2">
        <v>45233</v>
      </c>
      <c r="B562" s="3">
        <v>31.09</v>
      </c>
      <c r="C562" s="1">
        <v>1136990</v>
      </c>
      <c r="D562" s="3">
        <v>0.85000000000000098</v>
      </c>
      <c r="E562" s="3">
        <v>2.8108465608465498</v>
      </c>
      <c r="F562" s="3">
        <v>2.8108498091829301</v>
      </c>
      <c r="G562" s="3">
        <v>37.982464</v>
      </c>
      <c r="H562" s="3">
        <v>958.45367330658803</v>
      </c>
      <c r="I562" s="3">
        <v>30.73</v>
      </c>
      <c r="J562" s="3">
        <v>32.01</v>
      </c>
      <c r="K562" s="3">
        <v>30.68</v>
      </c>
      <c r="L562" s="3">
        <v>766.38204154163896</v>
      </c>
    </row>
    <row r="563" spans="1:12" ht="15" customHeight="1" x14ac:dyDescent="0.2">
      <c r="A563" s="2">
        <v>45232</v>
      </c>
      <c r="B563" s="3">
        <v>30.24</v>
      </c>
      <c r="C563" s="1">
        <v>2124836</v>
      </c>
      <c r="D563" s="3">
        <v>-0.62000000000000099</v>
      </c>
      <c r="E563" s="3">
        <v>-2.0090732339598198</v>
      </c>
      <c r="F563" s="3">
        <v>-2.0090726959129599</v>
      </c>
      <c r="G563" s="3">
        <v>36.944023000000001</v>
      </c>
      <c r="H563" s="3">
        <v>929.51553777746096</v>
      </c>
      <c r="I563" s="3">
        <v>29.73</v>
      </c>
      <c r="J563" s="3">
        <v>31</v>
      </c>
      <c r="K563" s="3">
        <v>29.27</v>
      </c>
      <c r="L563" s="3">
        <v>742.69517324603305</v>
      </c>
    </row>
    <row r="564" spans="1:12" ht="15" customHeight="1" x14ac:dyDescent="0.2">
      <c r="A564" s="2">
        <v>45231</v>
      </c>
      <c r="B564" s="3">
        <v>30.86</v>
      </c>
      <c r="C564" s="1">
        <v>1912582</v>
      </c>
      <c r="D564" s="3">
        <v>-0.21</v>
      </c>
      <c r="E564" s="3">
        <v>-0.67589314451239602</v>
      </c>
      <c r="F564" s="3">
        <v>-0.67588865986106805</v>
      </c>
      <c r="G564" s="3">
        <v>37.701473</v>
      </c>
      <c r="H564" s="3">
        <v>950.62332411923398</v>
      </c>
      <c r="I564" s="3">
        <v>31.27</v>
      </c>
      <c r="J564" s="3">
        <v>31.27</v>
      </c>
      <c r="K564" s="3">
        <v>29.97</v>
      </c>
      <c r="L564" s="3">
        <v>759.97265364988698</v>
      </c>
    </row>
    <row r="565" spans="1:12" ht="15" customHeight="1" x14ac:dyDescent="0.2">
      <c r="A565" s="2">
        <v>45230</v>
      </c>
      <c r="B565" s="3">
        <v>31.07</v>
      </c>
      <c r="C565" s="1">
        <v>972847</v>
      </c>
      <c r="D565" s="3">
        <v>0.46999999999999797</v>
      </c>
      <c r="E565" s="3">
        <v>1.5359477124182901</v>
      </c>
      <c r="F565" s="3">
        <v>1.5359501688296799</v>
      </c>
      <c r="G565" s="3">
        <v>37.958027000000001</v>
      </c>
      <c r="H565" s="3">
        <v>957.77268977654103</v>
      </c>
      <c r="I565" s="3">
        <v>30.69</v>
      </c>
      <c r="J565" s="3">
        <v>31.25</v>
      </c>
      <c r="K565" s="3">
        <v>30.375</v>
      </c>
      <c r="L565" s="3">
        <v>765.82470346409502</v>
      </c>
    </row>
    <row r="566" spans="1:12" ht="15" customHeight="1" x14ac:dyDescent="0.2">
      <c r="A566" s="2">
        <v>45229</v>
      </c>
      <c r="B566" s="3">
        <v>30.6</v>
      </c>
      <c r="C566" s="1">
        <v>1050031</v>
      </c>
      <c r="D566" s="3">
        <v>0.67000000000000104</v>
      </c>
      <c r="E566" s="3">
        <v>2.2385566321416701</v>
      </c>
      <c r="F566" s="3">
        <v>2.23855428382149</v>
      </c>
      <c r="G566" s="3">
        <v>37.383830000000003</v>
      </c>
      <c r="H566" s="3">
        <v>941.77159717097402</v>
      </c>
      <c r="I566" s="3">
        <v>30.24</v>
      </c>
      <c r="J566" s="3">
        <v>30.94</v>
      </c>
      <c r="K566" s="3">
        <v>29.65</v>
      </c>
      <c r="L566" s="3">
        <v>752.72725864181905</v>
      </c>
    </row>
    <row r="567" spans="1:12" ht="15" customHeight="1" x14ac:dyDescent="0.2">
      <c r="A567" s="2">
        <v>45226</v>
      </c>
      <c r="B567" s="3">
        <v>29.93</v>
      </c>
      <c r="C567" s="1">
        <v>839985</v>
      </c>
      <c r="D567" s="3">
        <v>-0.14000000000000001</v>
      </c>
      <c r="E567" s="3">
        <v>-0.46558031260393001</v>
      </c>
      <c r="F567" s="3">
        <v>-0.46557723835901599</v>
      </c>
      <c r="G567" s="3">
        <v>36.565295999999996</v>
      </c>
      <c r="H567" s="3">
        <v>918.96158887276704</v>
      </c>
      <c r="I567" s="3">
        <v>30.12</v>
      </c>
      <c r="J567" s="3">
        <v>30.69</v>
      </c>
      <c r="K567" s="3">
        <v>29.77</v>
      </c>
      <c r="L567" s="3">
        <v>734.05643304410603</v>
      </c>
    </row>
    <row r="568" spans="1:12" ht="15" customHeight="1" x14ac:dyDescent="0.2">
      <c r="A568" s="2">
        <v>45225</v>
      </c>
      <c r="B568" s="3">
        <v>30.07</v>
      </c>
      <c r="C568" s="1">
        <v>827627</v>
      </c>
      <c r="D568" s="3">
        <v>-0.35000000000000098</v>
      </c>
      <c r="E568" s="3">
        <v>-1.1505588428665401</v>
      </c>
      <c r="F568" s="3">
        <v>-1.1505726116694399</v>
      </c>
      <c r="G568" s="3">
        <v>36.736331999999997</v>
      </c>
      <c r="H568" s="3">
        <v>923.72783264430495</v>
      </c>
      <c r="I568" s="3">
        <v>30</v>
      </c>
      <c r="J568" s="3">
        <v>30.42</v>
      </c>
      <c r="K568" s="3">
        <v>29.6</v>
      </c>
      <c r="L568" s="3">
        <v>737.95779958691196</v>
      </c>
    </row>
    <row r="569" spans="1:12" ht="15" customHeight="1" x14ac:dyDescent="0.2">
      <c r="A569" s="2">
        <v>45224</v>
      </c>
      <c r="B569" s="3">
        <v>30.42</v>
      </c>
      <c r="C569" s="1">
        <v>552770</v>
      </c>
      <c r="D569" s="3">
        <v>6.0000000000002197E-2</v>
      </c>
      <c r="E569" s="3">
        <v>0.19762845849802199</v>
      </c>
      <c r="F569" s="3">
        <v>0.19763484175219201</v>
      </c>
      <c r="G569" s="3">
        <v>37.163930000000001</v>
      </c>
      <c r="H569" s="3">
        <v>935.64366500838105</v>
      </c>
      <c r="I569" s="3">
        <v>30.16</v>
      </c>
      <c r="J569" s="3">
        <v>30.51</v>
      </c>
      <c r="K569" s="3">
        <v>29.888000000000002</v>
      </c>
      <c r="L569" s="3">
        <v>747.71121594392605</v>
      </c>
    </row>
    <row r="570" spans="1:12" ht="15" customHeight="1" x14ac:dyDescent="0.2">
      <c r="A570" s="2">
        <v>45223</v>
      </c>
      <c r="B570" s="3">
        <v>30.36</v>
      </c>
      <c r="C570" s="1">
        <v>695081</v>
      </c>
      <c r="D570" s="3">
        <v>-5.0000000000000697E-2</v>
      </c>
      <c r="E570" s="3">
        <v>-0.16441959881617799</v>
      </c>
      <c r="F570" s="3">
        <v>-0.16441773474222801</v>
      </c>
      <c r="G570" s="3">
        <v>37.090626</v>
      </c>
      <c r="H570" s="3">
        <v>933.60090948656796</v>
      </c>
      <c r="I570" s="3">
        <v>30.77</v>
      </c>
      <c r="J570" s="3">
        <v>30.99</v>
      </c>
      <c r="K570" s="3">
        <v>30.21</v>
      </c>
      <c r="L570" s="3">
        <v>746.03920171129505</v>
      </c>
    </row>
    <row r="571" spans="1:12" ht="15" customHeight="1" x14ac:dyDescent="0.2">
      <c r="A571" s="2">
        <v>45222</v>
      </c>
      <c r="B571" s="3">
        <v>30.41</v>
      </c>
      <c r="C571" s="1">
        <v>668989</v>
      </c>
      <c r="D571" s="3">
        <v>-0.39999999999999802</v>
      </c>
      <c r="E571" s="3">
        <v>-1.2982797792924301</v>
      </c>
      <c r="F571" s="3">
        <v>-1.29828622923405</v>
      </c>
      <c r="G571" s="3">
        <v>37.151710000000001</v>
      </c>
      <c r="H571" s="3">
        <v>935.30313144300203</v>
      </c>
      <c r="I571" s="3">
        <v>30.38</v>
      </c>
      <c r="J571" s="3">
        <v>31.01</v>
      </c>
      <c r="K571" s="3">
        <v>30.35</v>
      </c>
      <c r="L571" s="3">
        <v>747.43254690515403</v>
      </c>
    </row>
    <row r="572" spans="1:12" ht="15" customHeight="1" x14ac:dyDescent="0.2">
      <c r="A572" s="2">
        <v>45219</v>
      </c>
      <c r="B572" s="3">
        <v>30.81</v>
      </c>
      <c r="C572" s="1">
        <v>606406</v>
      </c>
      <c r="D572" s="3">
        <v>-0.21</v>
      </c>
      <c r="E572" s="3">
        <v>-0.67698259187620702</v>
      </c>
      <c r="F572" s="3">
        <v>-0.67697282804508596</v>
      </c>
      <c r="G572" s="3">
        <v>37.640389999999996</v>
      </c>
      <c r="H572" s="3">
        <v>948.92113002970405</v>
      </c>
      <c r="I572" s="3">
        <v>31.05</v>
      </c>
      <c r="J572" s="3">
        <v>31.21</v>
      </c>
      <c r="K572" s="3">
        <v>30.58</v>
      </c>
      <c r="L572" s="3">
        <v>758.579308456028</v>
      </c>
    </row>
    <row r="573" spans="1:12" ht="15" customHeight="1" x14ac:dyDescent="0.2">
      <c r="A573" s="2">
        <v>45218</v>
      </c>
      <c r="B573" s="3">
        <v>31.02</v>
      </c>
      <c r="C573" s="1">
        <v>914672</v>
      </c>
      <c r="D573" s="3">
        <v>7.9999999999998295E-2</v>
      </c>
      <c r="E573" s="3">
        <v>0.25856496444731603</v>
      </c>
      <c r="F573" s="3">
        <v>0.258555668226923</v>
      </c>
      <c r="G573" s="3">
        <v>37.896942000000003</v>
      </c>
      <c r="H573" s="3">
        <v>956.07043995320305</v>
      </c>
      <c r="I573" s="3">
        <v>30.72</v>
      </c>
      <c r="J573" s="3">
        <v>31.99</v>
      </c>
      <c r="K573" s="3">
        <v>30.72</v>
      </c>
      <c r="L573" s="3">
        <v>764.43135827023605</v>
      </c>
    </row>
    <row r="574" spans="1:12" ht="15" customHeight="1" x14ac:dyDescent="0.2">
      <c r="A574" s="2">
        <v>45217</v>
      </c>
      <c r="B574" s="3">
        <v>30.94</v>
      </c>
      <c r="C574" s="1">
        <v>852695</v>
      </c>
      <c r="D574" s="3">
        <v>-0.45999999999999702</v>
      </c>
      <c r="E574" s="3">
        <v>-1.4649681528662299</v>
      </c>
      <c r="F574" s="3">
        <v>-1.4649624892994</v>
      </c>
      <c r="G574" s="3">
        <v>37.799210000000002</v>
      </c>
      <c r="H574" s="3">
        <v>953.346951703478</v>
      </c>
      <c r="I574" s="3">
        <v>30.79</v>
      </c>
      <c r="J574" s="3">
        <v>31.23</v>
      </c>
      <c r="K574" s="3">
        <v>30.04</v>
      </c>
      <c r="L574" s="3">
        <v>762.202005960061</v>
      </c>
    </row>
    <row r="575" spans="1:12" ht="15" customHeight="1" x14ac:dyDescent="0.2">
      <c r="A575" s="2">
        <v>45216</v>
      </c>
      <c r="B575" s="3">
        <v>31.4</v>
      </c>
      <c r="C575" s="1">
        <v>1155095</v>
      </c>
      <c r="D575" s="3">
        <v>1.3299999999999901</v>
      </c>
      <c r="E575" s="3">
        <v>4.4230129697372798</v>
      </c>
      <c r="F575" s="3">
        <v>4.4230191517215101</v>
      </c>
      <c r="G575" s="3">
        <v>38.361187000000001</v>
      </c>
      <c r="H575" s="3">
        <v>969.00751074366599</v>
      </c>
      <c r="I575" s="3">
        <v>30.07</v>
      </c>
      <c r="J575" s="3">
        <v>31.48</v>
      </c>
      <c r="K575" s="3">
        <v>30.07</v>
      </c>
      <c r="L575" s="3">
        <v>775.02078174356598</v>
      </c>
    </row>
    <row r="576" spans="1:12" ht="15" customHeight="1" x14ac:dyDescent="0.2">
      <c r="A576" s="2">
        <v>45215</v>
      </c>
      <c r="B576" s="3">
        <v>30.07</v>
      </c>
      <c r="C576" s="1">
        <v>906157</v>
      </c>
      <c r="D576" s="3">
        <v>1.08</v>
      </c>
      <c r="E576" s="3">
        <v>3.7254225595032699</v>
      </c>
      <c r="F576" s="3">
        <v>3.7254188000170601</v>
      </c>
      <c r="G576" s="3">
        <v>36.736331999999997</v>
      </c>
      <c r="H576" s="3">
        <v>923.72783264430495</v>
      </c>
      <c r="I576" s="3">
        <v>29.33</v>
      </c>
      <c r="J576" s="3">
        <v>30.16</v>
      </c>
      <c r="K576" s="3">
        <v>29.19</v>
      </c>
      <c r="L576" s="3">
        <v>737.95779958691196</v>
      </c>
    </row>
    <row r="577" spans="1:12" ht="15" customHeight="1" x14ac:dyDescent="0.2">
      <c r="A577" s="2">
        <v>45212</v>
      </c>
      <c r="B577" s="3">
        <v>28.99</v>
      </c>
      <c r="C577" s="1">
        <v>729945</v>
      </c>
      <c r="D577" s="3">
        <v>-1.0000000000001501E-2</v>
      </c>
      <c r="E577" s="3">
        <v>-3.44827586206908E-2</v>
      </c>
      <c r="F577" s="3">
        <v>-3.4488575966151701E-2</v>
      </c>
      <c r="G577" s="3">
        <v>35.416904000000002</v>
      </c>
      <c r="H577" s="3">
        <v>886.95945939544094</v>
      </c>
      <c r="I577" s="3">
        <v>28.87</v>
      </c>
      <c r="J577" s="3">
        <v>29.32</v>
      </c>
      <c r="K577" s="3">
        <v>28.67</v>
      </c>
      <c r="L577" s="3">
        <v>707.86154339955306</v>
      </c>
    </row>
    <row r="578" spans="1:12" ht="15" customHeight="1" x14ac:dyDescent="0.2">
      <c r="A578" s="2">
        <v>45211</v>
      </c>
      <c r="B578" s="3">
        <v>29</v>
      </c>
      <c r="C578" s="1">
        <v>1147789</v>
      </c>
      <c r="D578" s="3">
        <v>-1.3799999999999899</v>
      </c>
      <c r="E578" s="3">
        <v>-4.54246214614877</v>
      </c>
      <c r="F578" s="3">
        <v>-4.54246066152123</v>
      </c>
      <c r="G578" s="3">
        <v>35.429122999999997</v>
      </c>
      <c r="H578" s="3">
        <v>887.29996509391594</v>
      </c>
      <c r="I578" s="3">
        <v>30.41</v>
      </c>
      <c r="J578" s="3">
        <v>30.74</v>
      </c>
      <c r="K578" s="3">
        <v>28.785</v>
      </c>
      <c r="L578" s="3">
        <v>708.14021243832497</v>
      </c>
    </row>
    <row r="579" spans="1:12" ht="15" customHeight="1" x14ac:dyDescent="0.2">
      <c r="A579" s="2">
        <v>45210</v>
      </c>
      <c r="B579" s="3">
        <v>30.38</v>
      </c>
      <c r="C579" s="1">
        <v>710858</v>
      </c>
      <c r="D579" s="3">
        <v>-4.00000000000027E-2</v>
      </c>
      <c r="E579" s="3">
        <v>-0.13149243918475401</v>
      </c>
      <c r="F579" s="3">
        <v>-0.131498471770885</v>
      </c>
      <c r="G579" s="3">
        <v>37.11506</v>
      </c>
      <c r="H579" s="3">
        <v>934.28180941590301</v>
      </c>
      <c r="I579" s="3">
        <v>30.13</v>
      </c>
      <c r="J579" s="3">
        <v>30.745000000000001</v>
      </c>
      <c r="K579" s="3">
        <v>29.550599999999999</v>
      </c>
      <c r="L579" s="3">
        <v>746.59653978883898</v>
      </c>
    </row>
    <row r="580" spans="1:12" ht="15" customHeight="1" x14ac:dyDescent="0.2">
      <c r="A580" s="2">
        <v>45209</v>
      </c>
      <c r="B580" s="3">
        <v>30.42</v>
      </c>
      <c r="C580" s="1">
        <v>868621</v>
      </c>
      <c r="D580" s="3">
        <v>0.84000000000000297</v>
      </c>
      <c r="E580" s="3">
        <v>2.83975659229209</v>
      </c>
      <c r="F580" s="3">
        <v>2.8397682055220699</v>
      </c>
      <c r="G580" s="3">
        <v>37.163930000000001</v>
      </c>
      <c r="H580" s="3">
        <v>935.64366500838105</v>
      </c>
      <c r="I580" s="3">
        <v>29.75</v>
      </c>
      <c r="J580" s="3">
        <v>30.69</v>
      </c>
      <c r="K580" s="3">
        <v>29.72</v>
      </c>
      <c r="L580" s="3">
        <v>747.71121594392605</v>
      </c>
    </row>
    <row r="581" spans="1:12" ht="15" customHeight="1" x14ac:dyDescent="0.2">
      <c r="A581" s="2">
        <v>45208</v>
      </c>
      <c r="B581" s="3">
        <v>29.58</v>
      </c>
      <c r="C581" s="1">
        <v>800411</v>
      </c>
      <c r="D581" s="3">
        <v>0.34999999999999698</v>
      </c>
      <c r="E581" s="3">
        <v>1.19739993157714</v>
      </c>
      <c r="F581" s="3">
        <v>1.19740040005478</v>
      </c>
      <c r="G581" s="3">
        <v>36.137703000000002</v>
      </c>
      <c r="H581" s="3">
        <v>907.04589584321104</v>
      </c>
      <c r="I581" s="3">
        <v>28.8</v>
      </c>
      <c r="J581" s="3">
        <v>29.675000000000001</v>
      </c>
      <c r="K581" s="3">
        <v>28.77</v>
      </c>
      <c r="L581" s="3">
        <v>724.30301668709205</v>
      </c>
    </row>
    <row r="582" spans="1:12" ht="15" customHeight="1" x14ac:dyDescent="0.2">
      <c r="A582" s="2">
        <v>45205</v>
      </c>
      <c r="B582" s="3">
        <v>29.23</v>
      </c>
      <c r="C582" s="1">
        <v>965185</v>
      </c>
      <c r="D582" s="3">
        <v>-0.46999999999999797</v>
      </c>
      <c r="E582" s="3">
        <v>-1.58249158249157</v>
      </c>
      <c r="F582" s="3">
        <v>-1.58250218896266</v>
      </c>
      <c r="G582" s="3">
        <v>35.71011</v>
      </c>
      <c r="H582" s="3">
        <v>895.13020281365402</v>
      </c>
      <c r="I582" s="3">
        <v>29.5</v>
      </c>
      <c r="J582" s="3">
        <v>29.59</v>
      </c>
      <c r="K582" s="3">
        <v>28.63</v>
      </c>
      <c r="L582" s="3">
        <v>714.54960033007706</v>
      </c>
    </row>
    <row r="583" spans="1:12" ht="15" customHeight="1" x14ac:dyDescent="0.2">
      <c r="A583" s="2">
        <v>45204</v>
      </c>
      <c r="B583" s="3">
        <v>29.7</v>
      </c>
      <c r="C583" s="1">
        <v>699688</v>
      </c>
      <c r="D583" s="3">
        <v>-1.0000000000001501E-2</v>
      </c>
      <c r="E583" s="3">
        <v>-3.3658700774152797E-2</v>
      </c>
      <c r="F583" s="3">
        <v>-3.3650605220492097E-2</v>
      </c>
      <c r="G583" s="3">
        <v>36.284309999999998</v>
      </c>
      <c r="H583" s="3">
        <v>911.13137901993298</v>
      </c>
      <c r="I583" s="3">
        <v>29.55</v>
      </c>
      <c r="J583" s="3">
        <v>30.08</v>
      </c>
      <c r="K583" s="3">
        <v>29.46</v>
      </c>
      <c r="L583" s="3">
        <v>727.64704515235405</v>
      </c>
    </row>
    <row r="584" spans="1:12" ht="15" customHeight="1" x14ac:dyDescent="0.2">
      <c r="A584" s="2">
        <v>45203</v>
      </c>
      <c r="B584" s="3">
        <v>29.71</v>
      </c>
      <c r="C584" s="1">
        <v>842405</v>
      </c>
      <c r="D584" s="3">
        <v>1.1200000000000001</v>
      </c>
      <c r="E584" s="3">
        <v>3.9174536551241701</v>
      </c>
      <c r="F584" s="3">
        <v>3.9174563288727899</v>
      </c>
      <c r="G584" s="3">
        <v>36.296523999999998</v>
      </c>
      <c r="H584" s="3">
        <v>911.47174538388902</v>
      </c>
      <c r="I584" s="3">
        <v>28.77</v>
      </c>
      <c r="J584" s="3">
        <v>29.72</v>
      </c>
      <c r="K584" s="3">
        <v>28.76</v>
      </c>
      <c r="L584" s="3">
        <v>727.92571419112596</v>
      </c>
    </row>
    <row r="585" spans="1:12" ht="15" customHeight="1" x14ac:dyDescent="0.2">
      <c r="A585" s="2">
        <v>45202</v>
      </c>
      <c r="B585" s="3">
        <v>28.59</v>
      </c>
      <c r="C585" s="1">
        <v>803004</v>
      </c>
      <c r="D585" s="3">
        <v>-1.01</v>
      </c>
      <c r="E585" s="3">
        <v>-3.4121621621621601</v>
      </c>
      <c r="F585" s="3">
        <v>-3.41217085050828</v>
      </c>
      <c r="G585" s="3">
        <v>34.928226000000002</v>
      </c>
      <c r="H585" s="3">
        <v>873.34151654254595</v>
      </c>
      <c r="I585" s="3">
        <v>29.52</v>
      </c>
      <c r="J585" s="3">
        <v>29.76</v>
      </c>
      <c r="K585" s="3">
        <v>28.58</v>
      </c>
      <c r="L585" s="3">
        <v>696.71478184867999</v>
      </c>
    </row>
    <row r="586" spans="1:12" ht="15" customHeight="1" x14ac:dyDescent="0.2">
      <c r="A586" s="2">
        <v>45201</v>
      </c>
      <c r="B586" s="3">
        <v>29.6</v>
      </c>
      <c r="C586" s="1">
        <v>1139418</v>
      </c>
      <c r="D586" s="3">
        <v>-0.69999999999999896</v>
      </c>
      <c r="E586" s="3">
        <v>-2.3102310231023</v>
      </c>
      <c r="F586" s="3">
        <v>-2.3102237836052999</v>
      </c>
      <c r="G586" s="3">
        <v>36.162140000000001</v>
      </c>
      <c r="H586" s="3">
        <v>907.72687937325702</v>
      </c>
      <c r="I586" s="3">
        <v>30.28</v>
      </c>
      <c r="J586" s="3">
        <v>30.52</v>
      </c>
      <c r="K586" s="3">
        <v>29.49</v>
      </c>
      <c r="L586" s="3">
        <v>724.86035476463496</v>
      </c>
    </row>
    <row r="587" spans="1:12" ht="15" customHeight="1" x14ac:dyDescent="0.2">
      <c r="A587" s="2">
        <v>45198</v>
      </c>
      <c r="B587" s="3">
        <v>30.3</v>
      </c>
      <c r="C587" s="1">
        <v>968494</v>
      </c>
      <c r="D587" s="3">
        <v>7.0000000000000201E-2</v>
      </c>
      <c r="E587" s="3">
        <v>0.231558054912328</v>
      </c>
      <c r="F587" s="3">
        <v>0.231556513417086</v>
      </c>
      <c r="G587" s="3">
        <v>37.017322999999998</v>
      </c>
      <c r="H587" s="3">
        <v>931.558181831659</v>
      </c>
      <c r="I587" s="3">
        <v>30.51</v>
      </c>
      <c r="J587" s="3">
        <v>30.75</v>
      </c>
      <c r="K587" s="3">
        <v>30.13</v>
      </c>
      <c r="L587" s="3">
        <v>744.36718747866405</v>
      </c>
    </row>
    <row r="588" spans="1:12" ht="15" customHeight="1" x14ac:dyDescent="0.2">
      <c r="A588" s="2">
        <v>45197</v>
      </c>
      <c r="B588" s="3">
        <v>30.23</v>
      </c>
      <c r="C588" s="1">
        <v>918906</v>
      </c>
      <c r="D588" s="3">
        <v>1.1000000000000001</v>
      </c>
      <c r="E588" s="3">
        <v>3.7761757638173599</v>
      </c>
      <c r="F588" s="3">
        <v>3.7761809197160501</v>
      </c>
      <c r="G588" s="3">
        <v>36.931804999999997</v>
      </c>
      <c r="H588" s="3">
        <v>929.17505994588998</v>
      </c>
      <c r="I588" s="3">
        <v>29.14</v>
      </c>
      <c r="J588" s="3">
        <v>30.445</v>
      </c>
      <c r="K588" s="3">
        <v>29.1</v>
      </c>
      <c r="L588" s="3">
        <v>742.41650420726103</v>
      </c>
    </row>
    <row r="589" spans="1:12" ht="15" customHeight="1" x14ac:dyDescent="0.2">
      <c r="A589" s="2">
        <v>45196</v>
      </c>
      <c r="B589" s="3">
        <v>29.13</v>
      </c>
      <c r="C589" s="1">
        <v>707438</v>
      </c>
      <c r="D589" s="3">
        <v>0.19999999999999901</v>
      </c>
      <c r="E589" s="3">
        <v>0.69132388524022403</v>
      </c>
      <c r="F589" s="3">
        <v>0.69131318098425398</v>
      </c>
      <c r="G589" s="3">
        <v>35.587940000000003</v>
      </c>
      <c r="H589" s="3">
        <v>891.72570316697897</v>
      </c>
      <c r="I589" s="3">
        <v>29.17</v>
      </c>
      <c r="J589" s="3">
        <v>29.61</v>
      </c>
      <c r="K589" s="3">
        <v>28.98</v>
      </c>
      <c r="L589" s="3">
        <v>711.76290994235899</v>
      </c>
    </row>
    <row r="590" spans="1:12" ht="15" customHeight="1" x14ac:dyDescent="0.2">
      <c r="A590" s="2">
        <v>45195</v>
      </c>
      <c r="B590" s="3">
        <v>28.93</v>
      </c>
      <c r="C590" s="1">
        <v>778151</v>
      </c>
      <c r="D590" s="3"/>
      <c r="E590" s="3"/>
      <c r="F590" s="3"/>
      <c r="G590" s="3">
        <v>35.343604999999997</v>
      </c>
      <c r="H590" s="3">
        <v>884.91684320814704</v>
      </c>
      <c r="I590" s="3">
        <v>28.76</v>
      </c>
      <c r="J590" s="3">
        <v>29.16</v>
      </c>
      <c r="K590" s="3">
        <v>28.76</v>
      </c>
      <c r="L590" s="3">
        <v>706.18952916692206</v>
      </c>
    </row>
    <row r="591" spans="1:12" ht="15" customHeight="1" x14ac:dyDescent="0.2">
      <c r="A591" s="2">
        <v>45194</v>
      </c>
      <c r="B591" s="3">
        <v>28.93</v>
      </c>
      <c r="C591" s="1">
        <v>853284</v>
      </c>
      <c r="D591" s="3">
        <v>-1.9999999999999501E-2</v>
      </c>
      <c r="E591" s="3">
        <v>-6.9084628670124104E-2</v>
      </c>
      <c r="F591" s="3">
        <v>-6.9087797910216603E-2</v>
      </c>
      <c r="G591" s="3">
        <v>35.343604999999997</v>
      </c>
      <c r="H591" s="3">
        <v>884.91684320814704</v>
      </c>
      <c r="I591" s="3">
        <v>28.7</v>
      </c>
      <c r="J591" s="3">
        <v>29.1</v>
      </c>
      <c r="K591" s="3">
        <v>28.6</v>
      </c>
      <c r="L591" s="3">
        <v>706.18952916692206</v>
      </c>
    </row>
    <row r="592" spans="1:12" ht="15" customHeight="1" x14ac:dyDescent="0.2">
      <c r="A592" s="2">
        <v>45191</v>
      </c>
      <c r="B592" s="3">
        <v>28.95</v>
      </c>
      <c r="C592" s="1">
        <v>1163360</v>
      </c>
      <c r="D592" s="3">
        <v>-0.21</v>
      </c>
      <c r="E592" s="3">
        <v>-0.720164609053497</v>
      </c>
      <c r="F592" s="3">
        <v>-0.72014863890362801</v>
      </c>
      <c r="G592" s="3">
        <v>35.368040000000001</v>
      </c>
      <c r="H592" s="3">
        <v>885.597771004386</v>
      </c>
      <c r="I592" s="3">
        <v>29.06</v>
      </c>
      <c r="J592" s="3">
        <v>29.145</v>
      </c>
      <c r="K592" s="3">
        <v>28.75</v>
      </c>
      <c r="L592" s="3">
        <v>706.74686724446599</v>
      </c>
    </row>
    <row r="593" spans="1:12" ht="15" customHeight="1" x14ac:dyDescent="0.2">
      <c r="A593" s="2">
        <v>45190</v>
      </c>
      <c r="B593" s="3">
        <v>29.16</v>
      </c>
      <c r="C593" s="1">
        <v>477570</v>
      </c>
      <c r="D593" s="3">
        <v>-0.46</v>
      </c>
      <c r="E593" s="3">
        <v>-1.55300472653612</v>
      </c>
      <c r="F593" s="3">
        <v>-1.5530152578969101</v>
      </c>
      <c r="G593" s="3">
        <v>35.624589999999998</v>
      </c>
      <c r="H593" s="3">
        <v>892.74702519407697</v>
      </c>
      <c r="I593" s="3">
        <v>29.4</v>
      </c>
      <c r="J593" s="3">
        <v>29.64</v>
      </c>
      <c r="K593" s="3">
        <v>29.07</v>
      </c>
      <c r="L593" s="3">
        <v>712.59891705867403</v>
      </c>
    </row>
    <row r="594" spans="1:12" ht="15" customHeight="1" x14ac:dyDescent="0.2">
      <c r="A594" s="2">
        <v>45189</v>
      </c>
      <c r="B594" s="3">
        <v>29.62</v>
      </c>
      <c r="C594" s="1">
        <v>863595</v>
      </c>
      <c r="D594" s="3">
        <v>3.0000000000001099E-2</v>
      </c>
      <c r="E594" s="3">
        <v>0.101385603244352</v>
      </c>
      <c r="F594" s="3">
        <v>0.101391648999493</v>
      </c>
      <c r="G594" s="3">
        <v>36.186573000000003</v>
      </c>
      <c r="H594" s="3">
        <v>908.40775143568897</v>
      </c>
      <c r="I594" s="3">
        <v>29.75</v>
      </c>
      <c r="J594" s="3">
        <v>30.33</v>
      </c>
      <c r="K594" s="3">
        <v>29.55</v>
      </c>
      <c r="L594" s="3">
        <v>725.41769284217901</v>
      </c>
    </row>
    <row r="595" spans="1:12" ht="15" customHeight="1" x14ac:dyDescent="0.2">
      <c r="A595" s="2">
        <v>45188</v>
      </c>
      <c r="B595" s="3">
        <v>29.59</v>
      </c>
      <c r="C595" s="1">
        <v>773650</v>
      </c>
      <c r="D595" s="3">
        <v>0.16999999999999801</v>
      </c>
      <c r="E595" s="3">
        <v>0.57783820530250496</v>
      </c>
      <c r="F595" s="3">
        <v>0.57783275241043397</v>
      </c>
      <c r="G595" s="3">
        <v>36.149920000000002</v>
      </c>
      <c r="H595" s="3">
        <v>907.386345807878</v>
      </c>
      <c r="I595" s="3">
        <v>29.34</v>
      </c>
      <c r="J595" s="3">
        <v>29.69</v>
      </c>
      <c r="K595" s="3">
        <v>29.26</v>
      </c>
      <c r="L595" s="3">
        <v>724.58168572586396</v>
      </c>
    </row>
    <row r="596" spans="1:12" ht="15" customHeight="1" x14ac:dyDescent="0.2">
      <c r="A596" s="2">
        <v>45187</v>
      </c>
      <c r="B596" s="3">
        <v>29.42</v>
      </c>
      <c r="C596" s="1">
        <v>846502</v>
      </c>
      <c r="D596" s="3">
        <v>-1.0599999999999901</v>
      </c>
      <c r="E596" s="3">
        <v>-3.4776902887138998</v>
      </c>
      <c r="F596" s="3">
        <v>-3.4776915468739098</v>
      </c>
      <c r="G596" s="3">
        <v>35.942233999999999</v>
      </c>
      <c r="H596" s="3">
        <v>901.59878000924095</v>
      </c>
      <c r="I596" s="3">
        <v>30.57</v>
      </c>
      <c r="J596" s="3">
        <v>30.7042</v>
      </c>
      <c r="K596" s="3">
        <v>29.42</v>
      </c>
      <c r="L596" s="3">
        <v>719.84431206674196</v>
      </c>
    </row>
    <row r="597" spans="1:12" ht="15" customHeight="1" x14ac:dyDescent="0.2">
      <c r="A597" s="2">
        <v>45184</v>
      </c>
      <c r="B597" s="3">
        <v>30.48</v>
      </c>
      <c r="C597" s="1">
        <v>1841800</v>
      </c>
      <c r="D597" s="3">
        <v>0.190000000000001</v>
      </c>
      <c r="E597" s="3">
        <v>0.62726972598217101</v>
      </c>
      <c r="F597" s="3">
        <v>0.62727015956822696</v>
      </c>
      <c r="G597" s="3">
        <v>37.237229999999997</v>
      </c>
      <c r="H597" s="3">
        <v>937.68630906257897</v>
      </c>
      <c r="I597" s="3">
        <v>30.25</v>
      </c>
      <c r="J597" s="3">
        <v>30.55</v>
      </c>
      <c r="K597" s="3">
        <v>29.925000000000001</v>
      </c>
      <c r="L597" s="3">
        <v>749.38323017655705</v>
      </c>
    </row>
    <row r="598" spans="1:12" ht="15" customHeight="1" x14ac:dyDescent="0.2">
      <c r="A598" s="2">
        <v>45183</v>
      </c>
      <c r="B598" s="3">
        <v>30.29</v>
      </c>
      <c r="C598" s="1">
        <v>1100912</v>
      </c>
      <c r="D598" s="3">
        <v>0.37999999999999901</v>
      </c>
      <c r="E598" s="3">
        <v>1.27047810096956</v>
      </c>
      <c r="F598" s="3">
        <v>1.27048176174711</v>
      </c>
      <c r="G598" s="3">
        <v>37.005108</v>
      </c>
      <c r="H598" s="3">
        <v>931.21778760079906</v>
      </c>
      <c r="I598" s="3">
        <v>30.25</v>
      </c>
      <c r="J598" s="3">
        <v>30.41</v>
      </c>
      <c r="K598" s="3">
        <v>29.51</v>
      </c>
      <c r="L598" s="3">
        <v>744.08851843989203</v>
      </c>
    </row>
    <row r="599" spans="1:12" ht="15" customHeight="1" x14ac:dyDescent="0.2">
      <c r="A599" s="2">
        <v>45182</v>
      </c>
      <c r="B599" s="3">
        <v>29.91</v>
      </c>
      <c r="C599" s="1">
        <v>741119</v>
      </c>
      <c r="D599" s="3">
        <v>-0.3</v>
      </c>
      <c r="E599" s="3">
        <v>-0.99304865938430997</v>
      </c>
      <c r="F599" s="3">
        <v>-0.99304556244457198</v>
      </c>
      <c r="G599" s="3">
        <v>36.540863000000002</v>
      </c>
      <c r="H599" s="3">
        <v>918.280716810336</v>
      </c>
      <c r="I599" s="3">
        <v>30.2</v>
      </c>
      <c r="J599" s="3">
        <v>30.45</v>
      </c>
      <c r="K599" s="3">
        <v>29.88</v>
      </c>
      <c r="L599" s="3">
        <v>733.49909496656198</v>
      </c>
    </row>
    <row r="600" spans="1:12" ht="15" customHeight="1" x14ac:dyDescent="0.2">
      <c r="A600" s="2">
        <v>45181</v>
      </c>
      <c r="B600" s="3">
        <v>30.21</v>
      </c>
      <c r="C600" s="1">
        <v>753188</v>
      </c>
      <c r="D600" s="3">
        <v>0.28000000000000103</v>
      </c>
      <c r="E600" s="3">
        <v>0.93551620447711503</v>
      </c>
      <c r="F600" s="3">
        <v>0.93551546800005803</v>
      </c>
      <c r="G600" s="3">
        <v>36.90737</v>
      </c>
      <c r="H600" s="3">
        <v>928.49413214965102</v>
      </c>
      <c r="I600" s="3">
        <v>29.75</v>
      </c>
      <c r="J600" s="3">
        <v>30.42</v>
      </c>
      <c r="K600" s="3">
        <v>29.43</v>
      </c>
      <c r="L600" s="3">
        <v>741.85916612971698</v>
      </c>
    </row>
    <row r="601" spans="1:12" ht="15" customHeight="1" x14ac:dyDescent="0.2">
      <c r="A601" s="2">
        <v>45180</v>
      </c>
      <c r="B601" s="3">
        <v>29.93</v>
      </c>
      <c r="C601" s="1">
        <v>940640</v>
      </c>
      <c r="D601" s="3">
        <v>-0.37999999999999901</v>
      </c>
      <c r="E601" s="3">
        <v>-1.25371164632134</v>
      </c>
      <c r="F601" s="3">
        <v>-1.2537125764997299</v>
      </c>
      <c r="G601" s="3">
        <v>36.565295999999996</v>
      </c>
      <c r="H601" s="3">
        <v>918.96158887276704</v>
      </c>
      <c r="I601" s="3">
        <v>30.434999999999999</v>
      </c>
      <c r="J601" s="3">
        <v>30.559899999999999</v>
      </c>
      <c r="K601" s="3">
        <v>29.46</v>
      </c>
      <c r="L601" s="3">
        <v>734.05643304410603</v>
      </c>
    </row>
    <row r="602" spans="1:12" ht="15" customHeight="1" x14ac:dyDescent="0.2">
      <c r="A602" s="2">
        <v>45177</v>
      </c>
      <c r="B602" s="3">
        <v>30.31</v>
      </c>
      <c r="C602" s="1">
        <v>820916</v>
      </c>
      <c r="D602" s="3">
        <v>-0.40000000000000202</v>
      </c>
      <c r="E602" s="3">
        <v>-1.3025073266037099</v>
      </c>
      <c r="F602" s="3">
        <v>-1.3025138186193299</v>
      </c>
      <c r="G602" s="3">
        <v>37.029539999999997</v>
      </c>
      <c r="H602" s="3">
        <v>931.89863179632596</v>
      </c>
      <c r="I602" s="3">
        <v>30.74</v>
      </c>
      <c r="J602" s="3">
        <v>30.79</v>
      </c>
      <c r="K602" s="3">
        <v>30.055</v>
      </c>
      <c r="L602" s="3">
        <v>744.64585651743596</v>
      </c>
    </row>
    <row r="603" spans="1:12" ht="15" customHeight="1" x14ac:dyDescent="0.2">
      <c r="A603" s="2">
        <v>45176</v>
      </c>
      <c r="B603" s="3">
        <v>30.71</v>
      </c>
      <c r="C603" s="1">
        <v>533930</v>
      </c>
      <c r="D603" s="3">
        <v>0.37000000000000099</v>
      </c>
      <c r="E603" s="3">
        <v>1.2195121951219501</v>
      </c>
      <c r="F603" s="3">
        <v>1.2195128860414699</v>
      </c>
      <c r="G603" s="3">
        <v>37.518219999999999</v>
      </c>
      <c r="H603" s="3">
        <v>945.51663038302797</v>
      </c>
      <c r="I603" s="3">
        <v>30.36</v>
      </c>
      <c r="J603" s="3">
        <v>30.72</v>
      </c>
      <c r="K603" s="3">
        <v>30.13</v>
      </c>
      <c r="L603" s="3">
        <v>755.79261806830903</v>
      </c>
    </row>
    <row r="604" spans="1:12" ht="15" customHeight="1" x14ac:dyDescent="0.2">
      <c r="A604" s="2">
        <v>45175</v>
      </c>
      <c r="B604" s="3">
        <v>30.34</v>
      </c>
      <c r="C604" s="1">
        <v>752404</v>
      </c>
      <c r="D604" s="3">
        <v>-0.12000000000000099</v>
      </c>
      <c r="E604" s="3">
        <v>-0.39395929087328002</v>
      </c>
      <c r="F604" s="3">
        <v>-0.39395589608359699</v>
      </c>
      <c r="G604" s="3">
        <v>37.066192999999998</v>
      </c>
      <c r="H604" s="3">
        <v>932.92003742413704</v>
      </c>
      <c r="I604" s="3">
        <v>30.38</v>
      </c>
      <c r="J604" s="3">
        <v>30.75</v>
      </c>
      <c r="K604" s="3">
        <v>30.204999999999998</v>
      </c>
      <c r="L604" s="3">
        <v>745.481863633751</v>
      </c>
    </row>
    <row r="605" spans="1:12" ht="15" customHeight="1" x14ac:dyDescent="0.2">
      <c r="A605" s="2">
        <v>45174</v>
      </c>
      <c r="B605" s="3">
        <v>30.46</v>
      </c>
      <c r="C605" s="1">
        <v>1076455</v>
      </c>
      <c r="D605" s="3">
        <v>-1.39</v>
      </c>
      <c r="E605" s="3">
        <v>-4.36420722135008</v>
      </c>
      <c r="F605" s="3">
        <v>-4.3642085325595996</v>
      </c>
      <c r="G605" s="3">
        <v>37.212795</v>
      </c>
      <c r="H605" s="3">
        <v>937.00538126634001</v>
      </c>
      <c r="I605" s="3">
        <v>31.68</v>
      </c>
      <c r="J605" s="3">
        <v>31.68</v>
      </c>
      <c r="K605" s="3">
        <v>30.39</v>
      </c>
      <c r="L605" s="3">
        <v>748.825892099013</v>
      </c>
    </row>
    <row r="606" spans="1:12" ht="15" customHeight="1" x14ac:dyDescent="0.2">
      <c r="A606" s="2">
        <v>45170</v>
      </c>
      <c r="B606" s="3">
        <v>31.85</v>
      </c>
      <c r="C606" s="1">
        <v>425481</v>
      </c>
      <c r="D606" s="3"/>
      <c r="E606" s="3"/>
      <c r="F606" s="3"/>
      <c r="G606" s="3">
        <v>38.91095</v>
      </c>
      <c r="H606" s="3">
        <v>984.32770341989794</v>
      </c>
      <c r="I606" s="3">
        <v>32.119999999999997</v>
      </c>
      <c r="J606" s="3">
        <v>32.340000000000003</v>
      </c>
      <c r="K606" s="3">
        <v>31.77</v>
      </c>
      <c r="L606" s="3">
        <v>787.56088848829904</v>
      </c>
    </row>
    <row r="607" spans="1:12" ht="15" customHeight="1" x14ac:dyDescent="0.2">
      <c r="A607" s="2">
        <v>45169</v>
      </c>
      <c r="B607" s="3">
        <v>31.85</v>
      </c>
      <c r="C607" s="1">
        <v>502994</v>
      </c>
      <c r="D607" s="3">
        <v>-0.5</v>
      </c>
      <c r="E607" s="3">
        <v>-1.5455950540958201</v>
      </c>
      <c r="F607" s="3">
        <v>-1.5455852420460801</v>
      </c>
      <c r="G607" s="3">
        <v>38.91095</v>
      </c>
      <c r="H607" s="3">
        <v>984.32770341989794</v>
      </c>
      <c r="I607" s="3">
        <v>32.46</v>
      </c>
      <c r="J607" s="3">
        <v>32.65</v>
      </c>
      <c r="K607" s="3">
        <v>31.79</v>
      </c>
      <c r="L607" s="3">
        <v>787.56088848829904</v>
      </c>
    </row>
    <row r="608" spans="1:12" ht="15" customHeight="1" x14ac:dyDescent="0.2">
      <c r="A608" s="2">
        <v>45168</v>
      </c>
      <c r="B608" s="3">
        <v>32.35</v>
      </c>
      <c r="C608" s="1">
        <v>645191</v>
      </c>
      <c r="D608" s="3">
        <v>-5.9999999999995099E-2</v>
      </c>
      <c r="E608" s="3">
        <v>-0.18512804689908499</v>
      </c>
      <c r="F608" s="3">
        <v>-0.18513403313547</v>
      </c>
      <c r="G608" s="3">
        <v>39.521793000000002</v>
      </c>
      <c r="H608" s="3">
        <v>1001.35000658494</v>
      </c>
      <c r="I608" s="3">
        <v>32.380000000000003</v>
      </c>
      <c r="J608" s="3">
        <v>32.630000000000003</v>
      </c>
      <c r="K608" s="3">
        <v>32.130000000000003</v>
      </c>
      <c r="L608" s="3">
        <v>801.49434042688995</v>
      </c>
    </row>
    <row r="609" spans="1:12" ht="15" customHeight="1" x14ac:dyDescent="0.2">
      <c r="A609" s="2">
        <v>45167</v>
      </c>
      <c r="B609" s="3">
        <v>32.409999999999997</v>
      </c>
      <c r="C609" s="1">
        <v>621080</v>
      </c>
      <c r="D609" s="3">
        <v>0.82999999999999796</v>
      </c>
      <c r="E609" s="3">
        <v>2.62824572514248</v>
      </c>
      <c r="F609" s="3">
        <v>2.62824072920899</v>
      </c>
      <c r="G609" s="3">
        <v>39.595097000000003</v>
      </c>
      <c r="H609" s="3">
        <v>1003.39276210676</v>
      </c>
      <c r="I609" s="3">
        <v>31.43</v>
      </c>
      <c r="J609" s="3">
        <v>32.539000000000001</v>
      </c>
      <c r="K609" s="3">
        <v>31.4</v>
      </c>
      <c r="L609" s="3">
        <v>803.16635465952095</v>
      </c>
    </row>
    <row r="610" spans="1:12" ht="15" customHeight="1" x14ac:dyDescent="0.2">
      <c r="A610" s="2">
        <v>45166</v>
      </c>
      <c r="B610" s="3">
        <v>31.58</v>
      </c>
      <c r="C610" s="1">
        <v>683294</v>
      </c>
      <c r="D610" s="3">
        <v>-3.0000000000001099E-2</v>
      </c>
      <c r="E610" s="3">
        <v>-9.4906675102823801E-2</v>
      </c>
      <c r="F610" s="3">
        <v>-9.4907149418155201E-2</v>
      </c>
      <c r="G610" s="3">
        <v>38.581093000000003</v>
      </c>
      <c r="H610" s="3">
        <v>975.13561010768206</v>
      </c>
      <c r="I610" s="3">
        <v>31.63</v>
      </c>
      <c r="J610" s="3">
        <v>31.96</v>
      </c>
      <c r="K610" s="3">
        <v>31.41</v>
      </c>
      <c r="L610" s="3">
        <v>780.03682444145898</v>
      </c>
    </row>
    <row r="611" spans="1:12" ht="15" customHeight="1" x14ac:dyDescent="0.2">
      <c r="A611" s="2">
        <v>45163</v>
      </c>
      <c r="B611" s="3">
        <v>31.61</v>
      </c>
      <c r="C611" s="1">
        <v>755706</v>
      </c>
      <c r="D611" s="3">
        <v>-0.56999999999999995</v>
      </c>
      <c r="E611" s="3">
        <v>-1.7712865133623299</v>
      </c>
      <c r="F611" s="3">
        <v>-1.77128771324086</v>
      </c>
      <c r="G611" s="3">
        <v>38.617744000000002</v>
      </c>
      <c r="H611" s="3">
        <v>976.15696000168498</v>
      </c>
      <c r="I611" s="3">
        <v>32.200000000000003</v>
      </c>
      <c r="J611" s="3">
        <v>32.4</v>
      </c>
      <c r="K611" s="3">
        <v>31.434999999999999</v>
      </c>
      <c r="L611" s="3">
        <v>780.87283155777504</v>
      </c>
    </row>
    <row r="612" spans="1:12" ht="15" customHeight="1" x14ac:dyDescent="0.2">
      <c r="A612" s="2">
        <v>45162</v>
      </c>
      <c r="B612" s="3">
        <v>32.18</v>
      </c>
      <c r="C612" s="1">
        <v>772074</v>
      </c>
      <c r="D612" s="3">
        <v>-0.27000000000000302</v>
      </c>
      <c r="E612" s="3">
        <v>-0.83204930662558096</v>
      </c>
      <c r="F612" s="3">
        <v>-0.83204841735441404</v>
      </c>
      <c r="G612" s="3">
        <v>39.314109999999999</v>
      </c>
      <c r="H612" s="3">
        <v>995.56252438702404</v>
      </c>
      <c r="I612" s="3">
        <v>32.31</v>
      </c>
      <c r="J612" s="3">
        <v>32.744999999999997</v>
      </c>
      <c r="K612" s="3">
        <v>32.17</v>
      </c>
      <c r="L612" s="3">
        <v>796.75696676776897</v>
      </c>
    </row>
    <row r="613" spans="1:12" ht="15" customHeight="1" x14ac:dyDescent="0.2">
      <c r="A613" s="2">
        <v>45161</v>
      </c>
      <c r="B613" s="3">
        <v>32.450000000000003</v>
      </c>
      <c r="C613" s="1">
        <v>764122</v>
      </c>
      <c r="D613" s="3">
        <v>0.17999999999999899</v>
      </c>
      <c r="E613" s="3">
        <v>0.55779361636194502</v>
      </c>
      <c r="F613" s="3">
        <v>0.557798968447209</v>
      </c>
      <c r="G613" s="3">
        <v>39.643967000000004</v>
      </c>
      <c r="H613" s="3">
        <v>1004.75461769924</v>
      </c>
      <c r="I613" s="3">
        <v>32.229999999999997</v>
      </c>
      <c r="J613" s="3">
        <v>32.619999999999997</v>
      </c>
      <c r="K613" s="3">
        <v>31.95</v>
      </c>
      <c r="L613" s="3">
        <v>804.28103081460904</v>
      </c>
    </row>
    <row r="614" spans="1:12" ht="15" customHeight="1" x14ac:dyDescent="0.2">
      <c r="A614" s="2">
        <v>45160</v>
      </c>
      <c r="B614" s="3">
        <v>32.270000000000003</v>
      </c>
      <c r="C614" s="1">
        <v>698841</v>
      </c>
      <c r="D614" s="3">
        <v>0.40000000000000202</v>
      </c>
      <c r="E614" s="3">
        <v>1.25509883903358</v>
      </c>
      <c r="F614" s="3">
        <v>1.25509745210414</v>
      </c>
      <c r="G614" s="3">
        <v>39.424059999999997</v>
      </c>
      <c r="H614" s="3">
        <v>998.62649046831996</v>
      </c>
      <c r="I614" s="3">
        <v>31.86</v>
      </c>
      <c r="J614" s="3">
        <v>32.39</v>
      </c>
      <c r="K614" s="3">
        <v>31.64</v>
      </c>
      <c r="L614" s="3">
        <v>799.26498811671604</v>
      </c>
    </row>
    <row r="615" spans="1:12" ht="15" customHeight="1" x14ac:dyDescent="0.2">
      <c r="A615" s="2">
        <v>45159</v>
      </c>
      <c r="B615" s="3">
        <v>31.87</v>
      </c>
      <c r="C615" s="1">
        <v>1323684</v>
      </c>
      <c r="D615" s="3">
        <v>-0.58000000000000096</v>
      </c>
      <c r="E615" s="3">
        <v>-1.78736517719568</v>
      </c>
      <c r="F615" s="3">
        <v>-1.78736905920641</v>
      </c>
      <c r="G615" s="3">
        <v>38.935383000000002</v>
      </c>
      <c r="H615" s="3">
        <v>985.00857548233</v>
      </c>
      <c r="I615" s="3">
        <v>32.5</v>
      </c>
      <c r="J615" s="3">
        <v>32.919899999999998</v>
      </c>
      <c r="K615" s="3">
        <v>31.67</v>
      </c>
      <c r="L615" s="3">
        <v>788.11822656584195</v>
      </c>
    </row>
    <row r="616" spans="1:12" ht="15" customHeight="1" x14ac:dyDescent="0.2">
      <c r="A616" s="2">
        <v>45156</v>
      </c>
      <c r="B616" s="3">
        <v>32.450000000000003</v>
      </c>
      <c r="C616" s="1">
        <v>1260492</v>
      </c>
      <c r="D616" s="3">
        <v>-7.9999999999998295E-2</v>
      </c>
      <c r="E616" s="3">
        <v>-0.24592683676605201</v>
      </c>
      <c r="F616" s="3">
        <v>-0.24592053183432</v>
      </c>
      <c r="G616" s="3">
        <v>39.643967000000004</v>
      </c>
      <c r="H616" s="3">
        <v>1004.75461769924</v>
      </c>
      <c r="I616" s="3">
        <v>32.33</v>
      </c>
      <c r="J616" s="3">
        <v>33.125</v>
      </c>
      <c r="K616" s="3">
        <v>32.33</v>
      </c>
      <c r="L616" s="3">
        <v>804.28103081460904</v>
      </c>
    </row>
    <row r="617" spans="1:12" ht="15" customHeight="1" x14ac:dyDescent="0.2">
      <c r="A617" s="2">
        <v>45155</v>
      </c>
      <c r="B617" s="3">
        <v>32.53</v>
      </c>
      <c r="C617" s="1">
        <v>1129537</v>
      </c>
      <c r="D617" s="3">
        <v>-1</v>
      </c>
      <c r="E617" s="3">
        <v>-2.9824038174768801</v>
      </c>
      <c r="F617" s="3">
        <v>-2.9824042412110598</v>
      </c>
      <c r="G617" s="3">
        <v>39.741700000000002</v>
      </c>
      <c r="H617" s="3">
        <v>1007.47813381586</v>
      </c>
      <c r="I617" s="3">
        <v>33.69</v>
      </c>
      <c r="J617" s="3">
        <v>33.863300000000002</v>
      </c>
      <c r="K617" s="3">
        <v>32.31</v>
      </c>
      <c r="L617" s="3">
        <v>806.51038312478397</v>
      </c>
    </row>
    <row r="618" spans="1:12" ht="15" customHeight="1" x14ac:dyDescent="0.2">
      <c r="A618" s="2">
        <v>45154</v>
      </c>
      <c r="B618" s="3">
        <v>33.53</v>
      </c>
      <c r="C618" s="1">
        <v>1110807</v>
      </c>
      <c r="D618" s="3">
        <v>-0.92999999999999905</v>
      </c>
      <c r="E618" s="3">
        <v>-2.6987811955890799</v>
      </c>
      <c r="F618" s="3">
        <v>-2.6987759755343799</v>
      </c>
      <c r="G618" s="3">
        <v>40.963394000000001</v>
      </c>
      <c r="H618" s="3">
        <v>1041.5229630812</v>
      </c>
      <c r="I618" s="3">
        <v>34.31</v>
      </c>
      <c r="J618" s="3">
        <v>34.31</v>
      </c>
      <c r="K618" s="3">
        <v>33.520000000000003</v>
      </c>
      <c r="L618" s="3">
        <v>834.37728700196703</v>
      </c>
    </row>
    <row r="619" spans="1:12" ht="15" customHeight="1" x14ac:dyDescent="0.2">
      <c r="A619" s="2">
        <v>45153</v>
      </c>
      <c r="B619" s="3">
        <v>34.46</v>
      </c>
      <c r="C619" s="1">
        <v>1118671</v>
      </c>
      <c r="D619" s="3">
        <v>0.310000000000002</v>
      </c>
      <c r="E619" s="3">
        <v>0.90775988286970699</v>
      </c>
      <c r="F619" s="3">
        <v>1.69837305086177</v>
      </c>
      <c r="G619" s="3">
        <v>42.099567</v>
      </c>
      <c r="H619" s="3">
        <v>1073.1845868600501</v>
      </c>
      <c r="I619" s="3">
        <v>33.659999999999997</v>
      </c>
      <c r="J619" s="3">
        <v>34.47</v>
      </c>
      <c r="K619" s="3">
        <v>33.61</v>
      </c>
      <c r="L619" s="3">
        <v>860.29350760774798</v>
      </c>
    </row>
    <row r="620" spans="1:12" ht="15" customHeight="1" x14ac:dyDescent="0.2">
      <c r="A620" s="2">
        <v>45152</v>
      </c>
      <c r="B620" s="3">
        <v>34.15</v>
      </c>
      <c r="C620" s="1">
        <v>1240237</v>
      </c>
      <c r="D620" s="3">
        <v>-0.50999999999999801</v>
      </c>
      <c r="E620" s="3">
        <v>-1.47143681477206</v>
      </c>
      <c r="F620" s="3">
        <v>-1.4714296421418001</v>
      </c>
      <c r="G620" s="3">
        <v>41.396500000000003</v>
      </c>
      <c r="H620" s="3">
        <v>1053.5922863518299</v>
      </c>
      <c r="I620" s="3">
        <v>34.43</v>
      </c>
      <c r="J620" s="3">
        <v>34.5</v>
      </c>
      <c r="K620" s="3">
        <v>33.880000000000003</v>
      </c>
      <c r="L620" s="3">
        <v>851.65476740582096</v>
      </c>
    </row>
    <row r="621" spans="1:12" ht="15" customHeight="1" x14ac:dyDescent="0.2">
      <c r="A621" s="2">
        <v>45149</v>
      </c>
      <c r="B621" s="3">
        <v>34.659999999999997</v>
      </c>
      <c r="C621" s="1">
        <v>1119976</v>
      </c>
      <c r="D621" s="3">
        <v>-0.77000000000000302</v>
      </c>
      <c r="E621" s="3">
        <v>-2.1732994637313099</v>
      </c>
      <c r="F621" s="3">
        <v>-2.1733040173362701</v>
      </c>
      <c r="G621" s="3">
        <v>42.014716999999997</v>
      </c>
      <c r="H621" s="3">
        <v>1070.82008006607</v>
      </c>
      <c r="I621" s="3">
        <v>35.299999999999997</v>
      </c>
      <c r="J621" s="3">
        <v>35.43</v>
      </c>
      <c r="K621" s="3">
        <v>34.24</v>
      </c>
      <c r="L621" s="3">
        <v>865.86688838318503</v>
      </c>
    </row>
    <row r="622" spans="1:12" ht="15" customHeight="1" x14ac:dyDescent="0.2">
      <c r="A622" s="2">
        <v>45148</v>
      </c>
      <c r="B622" s="3">
        <v>35.43</v>
      </c>
      <c r="C622" s="1">
        <v>673342</v>
      </c>
      <c r="D622" s="3">
        <v>-0.85999999999999899</v>
      </c>
      <c r="E622" s="3">
        <v>-2.3697988426563699</v>
      </c>
      <c r="F622" s="3">
        <v>-2.3697950723423902</v>
      </c>
      <c r="G622" s="3">
        <v>42.94811</v>
      </c>
      <c r="H622" s="3">
        <v>1096.8308530766999</v>
      </c>
      <c r="I622" s="3">
        <v>36.54</v>
      </c>
      <c r="J622" s="3">
        <v>37.070399999999999</v>
      </c>
      <c r="K622" s="3">
        <v>35.409999999999997</v>
      </c>
      <c r="L622" s="3">
        <v>887.324404368616</v>
      </c>
    </row>
    <row r="623" spans="1:12" ht="15" customHeight="1" x14ac:dyDescent="0.2">
      <c r="A623" s="2">
        <v>45147</v>
      </c>
      <c r="B623" s="3">
        <v>36.29</v>
      </c>
      <c r="C623" s="1">
        <v>673919</v>
      </c>
      <c r="D623" s="3">
        <v>0.439999999999997</v>
      </c>
      <c r="E623" s="3">
        <v>1.2273361227335999</v>
      </c>
      <c r="F623" s="3">
        <v>1.22733777555541</v>
      </c>
      <c r="G623" s="3">
        <v>43.990597000000001</v>
      </c>
      <c r="H623" s="3">
        <v>1125.8817380989201</v>
      </c>
      <c r="I623" s="3">
        <v>35.83</v>
      </c>
      <c r="J623" s="3">
        <v>36.524999999999999</v>
      </c>
      <c r="K623" s="3">
        <v>35.76</v>
      </c>
      <c r="L623" s="3">
        <v>911.28994170299404</v>
      </c>
    </row>
    <row r="624" spans="1:12" ht="15" customHeight="1" x14ac:dyDescent="0.2">
      <c r="A624" s="2">
        <v>45146</v>
      </c>
      <c r="B624" s="3">
        <v>35.85</v>
      </c>
      <c r="C624" s="1">
        <v>876653</v>
      </c>
      <c r="D624" s="3">
        <v>-0.28000000000000103</v>
      </c>
      <c r="E624" s="3">
        <v>-0.77497924162746001</v>
      </c>
      <c r="F624" s="3">
        <v>-0.77498171891975298</v>
      </c>
      <c r="G624" s="3">
        <v>43.457230000000003</v>
      </c>
      <c r="H624" s="3">
        <v>1111.0184511786599</v>
      </c>
      <c r="I624" s="3">
        <v>35.880000000000003</v>
      </c>
      <c r="J624" s="3">
        <v>35.979999999999997</v>
      </c>
      <c r="K624" s="3">
        <v>35.380000000000003</v>
      </c>
      <c r="L624" s="3">
        <v>899.028503997033</v>
      </c>
    </row>
    <row r="625" spans="1:12" ht="15" customHeight="1" x14ac:dyDescent="0.2">
      <c r="A625" s="2">
        <v>45145</v>
      </c>
      <c r="B625" s="3">
        <v>36.130000000000003</v>
      </c>
      <c r="C625" s="1">
        <v>905830</v>
      </c>
      <c r="D625" s="3">
        <v>-0.239999999999994</v>
      </c>
      <c r="E625" s="3">
        <v>-0.65988452020895305</v>
      </c>
      <c r="F625" s="3">
        <v>-0.65987760268936202</v>
      </c>
      <c r="G625" s="3">
        <v>43.796646000000003</v>
      </c>
      <c r="H625" s="3">
        <v>1120.47692422503</v>
      </c>
      <c r="I625" s="3">
        <v>36.450000000000003</v>
      </c>
      <c r="J625" s="3">
        <v>36.76</v>
      </c>
      <c r="K625" s="3">
        <v>35.9</v>
      </c>
      <c r="L625" s="3">
        <v>906.83123708264498</v>
      </c>
    </row>
    <row r="626" spans="1:12" ht="15" customHeight="1" x14ac:dyDescent="0.2">
      <c r="A626" s="2">
        <v>45142</v>
      </c>
      <c r="B626" s="3">
        <v>36.369999999999997</v>
      </c>
      <c r="C626" s="1">
        <v>991666</v>
      </c>
      <c r="D626" s="3">
        <v>0.25999999999999801</v>
      </c>
      <c r="E626" s="3">
        <v>0.72002215452782103</v>
      </c>
      <c r="F626" s="3">
        <v>0.72001071725464805</v>
      </c>
      <c r="G626" s="3">
        <v>44.087569999999999</v>
      </c>
      <c r="H626" s="3">
        <v>1128.5840753686</v>
      </c>
      <c r="I626" s="3">
        <v>36.26</v>
      </c>
      <c r="J626" s="3">
        <v>36.94</v>
      </c>
      <c r="K626" s="3">
        <v>35.369999999999997</v>
      </c>
      <c r="L626" s="3">
        <v>913.51929401316897</v>
      </c>
    </row>
    <row r="627" spans="1:12" ht="15" customHeight="1" x14ac:dyDescent="0.2">
      <c r="A627" s="2">
        <v>45141</v>
      </c>
      <c r="B627" s="3">
        <v>36.11</v>
      </c>
      <c r="C627" s="1">
        <v>2260673</v>
      </c>
      <c r="D627" s="3">
        <v>-0.39999999999999802</v>
      </c>
      <c r="E627" s="3">
        <v>-1.0955902492467799</v>
      </c>
      <c r="F627" s="3">
        <v>-1.09558472639981</v>
      </c>
      <c r="G627" s="3">
        <v>43.772404000000002</v>
      </c>
      <c r="H627" s="3">
        <v>1119.8013747412399</v>
      </c>
      <c r="I627" s="3">
        <v>37</v>
      </c>
      <c r="J627" s="3">
        <v>38.19</v>
      </c>
      <c r="K627" s="3">
        <v>35.869999999999997</v>
      </c>
      <c r="L627" s="3">
        <v>906.27389900510104</v>
      </c>
    </row>
    <row r="628" spans="1:12" ht="15" customHeight="1" x14ac:dyDescent="0.2">
      <c r="A628" s="2">
        <v>45140</v>
      </c>
      <c r="B628" s="3">
        <v>36.51</v>
      </c>
      <c r="C628" s="1">
        <v>1748822</v>
      </c>
      <c r="D628" s="3">
        <v>0.50999999999999801</v>
      </c>
      <c r="E628" s="3">
        <v>1.4166666666666601</v>
      </c>
      <c r="F628" s="3">
        <v>1.4166666284745899</v>
      </c>
      <c r="G628" s="3">
        <v>44.257280000000002</v>
      </c>
      <c r="H628" s="3">
        <v>1133.3133676256</v>
      </c>
      <c r="I628" s="3">
        <v>35.520000000000003</v>
      </c>
      <c r="J628" s="3">
        <v>36.575000000000003</v>
      </c>
      <c r="K628" s="3">
        <v>35.03</v>
      </c>
      <c r="L628" s="3">
        <v>917.420660555974</v>
      </c>
    </row>
    <row r="629" spans="1:12" ht="15" customHeight="1" x14ac:dyDescent="0.2">
      <c r="A629" s="2">
        <v>45139</v>
      </c>
      <c r="B629" s="3">
        <v>36</v>
      </c>
      <c r="C629" s="1">
        <v>1042036</v>
      </c>
      <c r="D629" s="3">
        <v>-0.78000000000000103</v>
      </c>
      <c r="E629" s="3">
        <v>-2.1207177814029299</v>
      </c>
      <c r="F629" s="3">
        <v>-2.1207112684949001</v>
      </c>
      <c r="G629" s="3">
        <v>43.639060000000001</v>
      </c>
      <c r="H629" s="3">
        <v>1116.0854903106399</v>
      </c>
      <c r="I629" s="3">
        <v>36.729999999999997</v>
      </c>
      <c r="J629" s="3">
        <v>36.729999999999997</v>
      </c>
      <c r="K629" s="3">
        <v>35.65</v>
      </c>
      <c r="L629" s="3">
        <v>903.20853957861095</v>
      </c>
    </row>
    <row r="630" spans="1:12" ht="15" customHeight="1" x14ac:dyDescent="0.2">
      <c r="A630" s="2">
        <v>45138</v>
      </c>
      <c r="B630" s="3">
        <v>36.78</v>
      </c>
      <c r="C630" s="1">
        <v>969789</v>
      </c>
      <c r="D630" s="3">
        <v>-0.26999999999999602</v>
      </c>
      <c r="E630" s="3">
        <v>-0.72874493927124195</v>
      </c>
      <c r="F630" s="3">
        <v>-0.72874951864055904</v>
      </c>
      <c r="G630" s="3">
        <v>44.584569999999999</v>
      </c>
      <c r="H630" s="3">
        <v>1142.43392659556</v>
      </c>
      <c r="I630" s="3">
        <v>37.07</v>
      </c>
      <c r="J630" s="3">
        <v>37.43</v>
      </c>
      <c r="K630" s="3">
        <v>36.659999999999997</v>
      </c>
      <c r="L630" s="3">
        <v>924.94472460281395</v>
      </c>
    </row>
    <row r="631" spans="1:12" ht="15" customHeight="1" x14ac:dyDescent="0.2">
      <c r="A631" s="2">
        <v>45135</v>
      </c>
      <c r="B631" s="3">
        <v>37.049999999999997</v>
      </c>
      <c r="C631" s="1">
        <v>779234</v>
      </c>
      <c r="D631" s="3">
        <v>0.239999999999994</v>
      </c>
      <c r="E631" s="3">
        <v>0.65199674001628005</v>
      </c>
      <c r="F631" s="3">
        <v>0.65199209160542404</v>
      </c>
      <c r="G631" s="3">
        <v>44.911864999999999</v>
      </c>
      <c r="H631" s="3">
        <v>1151.5546249000399</v>
      </c>
      <c r="I631" s="3">
        <v>37.409999999999997</v>
      </c>
      <c r="J631" s="3">
        <v>37.58</v>
      </c>
      <c r="K631" s="3">
        <v>36.619999999999997</v>
      </c>
      <c r="L631" s="3">
        <v>932.46878864965299</v>
      </c>
    </row>
    <row r="632" spans="1:12" ht="15" customHeight="1" x14ac:dyDescent="0.2">
      <c r="A632" s="2">
        <v>45134</v>
      </c>
      <c r="B632" s="3">
        <v>36.81</v>
      </c>
      <c r="C632" s="1">
        <v>676634</v>
      </c>
      <c r="D632" s="3">
        <v>-0.64</v>
      </c>
      <c r="E632" s="3">
        <v>-1.70894526034712</v>
      </c>
      <c r="F632" s="3">
        <v>-1.70894194526374</v>
      </c>
      <c r="G632" s="3">
        <v>44.620939999999997</v>
      </c>
      <c r="H632" s="3">
        <v>1143.44744588957</v>
      </c>
      <c r="I632" s="3">
        <v>37.549999999999997</v>
      </c>
      <c r="J632" s="3">
        <v>37.75</v>
      </c>
      <c r="K632" s="3">
        <v>36.58</v>
      </c>
      <c r="L632" s="3">
        <v>925.78073171912899</v>
      </c>
    </row>
    <row r="633" spans="1:12" ht="15" customHeight="1" x14ac:dyDescent="0.2">
      <c r="A633" s="2">
        <v>45133</v>
      </c>
      <c r="B633" s="3">
        <v>37.450000000000003</v>
      </c>
      <c r="C633" s="1">
        <v>754467</v>
      </c>
      <c r="D633" s="3">
        <v>0.85999999999999899</v>
      </c>
      <c r="E633" s="3">
        <v>2.35036895326592</v>
      </c>
      <c r="F633" s="3">
        <v>2.35036745966383</v>
      </c>
      <c r="G633" s="3">
        <v>45.396743999999998</v>
      </c>
      <c r="H633" s="3">
        <v>1165.06670138511</v>
      </c>
      <c r="I633" s="3">
        <v>36.159999999999997</v>
      </c>
      <c r="J633" s="3">
        <v>37.479999999999997</v>
      </c>
      <c r="K633" s="3">
        <v>36.159999999999997</v>
      </c>
      <c r="L633" s="3">
        <v>943.61555020052697</v>
      </c>
    </row>
    <row r="634" spans="1:12" ht="15" customHeight="1" x14ac:dyDescent="0.2">
      <c r="A634" s="2">
        <v>45132</v>
      </c>
      <c r="B634" s="3">
        <v>36.590000000000003</v>
      </c>
      <c r="C634" s="1">
        <v>731066</v>
      </c>
      <c r="D634" s="3">
        <v>-0.35999999999999899</v>
      </c>
      <c r="E634" s="3">
        <v>-0.974289580514209</v>
      </c>
      <c r="F634" s="3">
        <v>-0.97428824759527799</v>
      </c>
      <c r="G634" s="3">
        <v>44.354255999999999</v>
      </c>
      <c r="H634" s="3">
        <v>1136.0157884959899</v>
      </c>
      <c r="I634" s="3">
        <v>36.729999999999997</v>
      </c>
      <c r="J634" s="3">
        <v>36.869999999999997</v>
      </c>
      <c r="K634" s="3">
        <v>36.119999999999997</v>
      </c>
      <c r="L634" s="3">
        <v>919.65001286614904</v>
      </c>
    </row>
    <row r="635" spans="1:12" ht="15" customHeight="1" x14ac:dyDescent="0.2">
      <c r="A635" s="2">
        <v>45131</v>
      </c>
      <c r="B635" s="3">
        <v>36.950000000000003</v>
      </c>
      <c r="C635" s="1">
        <v>858531</v>
      </c>
      <c r="D635" s="3">
        <v>9.0000000000003397E-2</v>
      </c>
      <c r="E635" s="3">
        <v>0.24416711882799799</v>
      </c>
      <c r="F635" s="3">
        <v>0.244163418681764</v>
      </c>
      <c r="G635" s="3">
        <v>44.790646000000002</v>
      </c>
      <c r="H635" s="3">
        <v>1148.17662667896</v>
      </c>
      <c r="I635" s="3">
        <v>37.049999999999997</v>
      </c>
      <c r="J635" s="3">
        <v>37.54</v>
      </c>
      <c r="K635" s="3">
        <v>36.380000000000003</v>
      </c>
      <c r="L635" s="3">
        <v>929.68209826193504</v>
      </c>
    </row>
    <row r="636" spans="1:12" ht="15" customHeight="1" x14ac:dyDescent="0.2">
      <c r="A636" s="2">
        <v>45128</v>
      </c>
      <c r="B636" s="3">
        <v>36.86</v>
      </c>
      <c r="C636" s="1">
        <v>550698</v>
      </c>
      <c r="D636" s="3">
        <v>-0.17999999999999899</v>
      </c>
      <c r="E636" s="3">
        <v>-0.485961123110145</v>
      </c>
      <c r="F636" s="3">
        <v>-0.48596266001148503</v>
      </c>
      <c r="G636" s="3">
        <v>44.681550000000001</v>
      </c>
      <c r="H636" s="3">
        <v>1145.1364589335701</v>
      </c>
      <c r="I636" s="3">
        <v>37.39</v>
      </c>
      <c r="J636" s="3">
        <v>37.450000000000003</v>
      </c>
      <c r="K636" s="3">
        <v>36.76</v>
      </c>
      <c r="L636" s="3">
        <v>927.17407691298899</v>
      </c>
    </row>
    <row r="637" spans="1:12" ht="15" customHeight="1" x14ac:dyDescent="0.2">
      <c r="A637" s="2">
        <v>45127</v>
      </c>
      <c r="B637" s="3">
        <v>37.04</v>
      </c>
      <c r="C637" s="1">
        <v>727928</v>
      </c>
      <c r="D637" s="3">
        <v>-0.17999999999999899</v>
      </c>
      <c r="E637" s="3">
        <v>-0.48361096184846802</v>
      </c>
      <c r="F637" s="3">
        <v>-0.48361468961471898</v>
      </c>
      <c r="G637" s="3">
        <v>44.899746</v>
      </c>
      <c r="H637" s="3">
        <v>1151.2169058919601</v>
      </c>
      <c r="I637" s="3">
        <v>37.44</v>
      </c>
      <c r="J637" s="3">
        <v>37.549999999999997</v>
      </c>
      <c r="K637" s="3">
        <v>36.914999999999999</v>
      </c>
      <c r="L637" s="3">
        <v>932.19011961088199</v>
      </c>
    </row>
    <row r="638" spans="1:12" ht="15" customHeight="1" x14ac:dyDescent="0.2">
      <c r="A638" s="2">
        <v>45126</v>
      </c>
      <c r="B638" s="3">
        <v>37.22</v>
      </c>
      <c r="C638" s="1">
        <v>1373320</v>
      </c>
      <c r="D638" s="3">
        <v>1.1499999999999899</v>
      </c>
      <c r="E638" s="3">
        <v>3.1882450790130301</v>
      </c>
      <c r="F638" s="3">
        <v>3.1882506404103901</v>
      </c>
      <c r="G638" s="3">
        <v>45.117942999999997</v>
      </c>
      <c r="H638" s="3">
        <v>1157.29738071725</v>
      </c>
      <c r="I638" s="3">
        <v>36.22</v>
      </c>
      <c r="J638" s="3">
        <v>37.46</v>
      </c>
      <c r="K638" s="3">
        <v>35.950000000000003</v>
      </c>
      <c r="L638" s="3">
        <v>937.20616230877499</v>
      </c>
    </row>
    <row r="639" spans="1:12" ht="15" customHeight="1" x14ac:dyDescent="0.2">
      <c r="A639" s="2">
        <v>45125</v>
      </c>
      <c r="B639" s="3">
        <v>36.07</v>
      </c>
      <c r="C639" s="1">
        <v>1710547</v>
      </c>
      <c r="D639" s="3">
        <v>0.75999999999999801</v>
      </c>
      <c r="E639" s="3">
        <v>2.1523647691871801</v>
      </c>
      <c r="F639" s="3">
        <v>2.1523622125519499</v>
      </c>
      <c r="G639" s="3">
        <v>43.723914999999998</v>
      </c>
      <c r="H639" s="3">
        <v>1118.4501364391399</v>
      </c>
      <c r="I639" s="3">
        <v>34.950000000000003</v>
      </c>
      <c r="J639" s="3">
        <v>36.200000000000003</v>
      </c>
      <c r="K639" s="3">
        <v>34.42</v>
      </c>
      <c r="L639" s="3">
        <v>905.15922285001398</v>
      </c>
    </row>
    <row r="640" spans="1:12" ht="15" customHeight="1" x14ac:dyDescent="0.2">
      <c r="A640" s="2">
        <v>45124</v>
      </c>
      <c r="B640" s="3">
        <v>35.31</v>
      </c>
      <c r="C640" s="1">
        <v>773368</v>
      </c>
      <c r="D640" s="3">
        <v>-0.51999999999999602</v>
      </c>
      <c r="E640" s="3">
        <v>-1.45129779514372</v>
      </c>
      <c r="F640" s="3">
        <v>-1.45129323018929</v>
      </c>
      <c r="G640" s="3">
        <v>42.802647</v>
      </c>
      <c r="H640" s="3">
        <v>1092.7772496380201</v>
      </c>
      <c r="I640" s="3">
        <v>35.82</v>
      </c>
      <c r="J640" s="3">
        <v>36.200000000000003</v>
      </c>
      <c r="K640" s="3">
        <v>35.299999999999997</v>
      </c>
      <c r="L640" s="3">
        <v>883.980375903354</v>
      </c>
    </row>
    <row r="641" spans="1:12" ht="15" customHeight="1" x14ac:dyDescent="0.2">
      <c r="A641" s="2">
        <v>45121</v>
      </c>
      <c r="B641" s="3">
        <v>35.83</v>
      </c>
      <c r="C641" s="1">
        <v>746705</v>
      </c>
      <c r="D641" s="3">
        <v>-1.0900000000000001</v>
      </c>
      <c r="E641" s="3">
        <v>-2.95232936078007</v>
      </c>
      <c r="F641" s="3">
        <v>-2.9523276879887299</v>
      </c>
      <c r="G641" s="3">
        <v>43.432986999999997</v>
      </c>
      <c r="H641" s="3">
        <v>1110.3428738279599</v>
      </c>
      <c r="I641" s="3">
        <v>36.79</v>
      </c>
      <c r="J641" s="3">
        <v>36.96</v>
      </c>
      <c r="K641" s="3">
        <v>35.56</v>
      </c>
      <c r="L641" s="3">
        <v>898.47116591948895</v>
      </c>
    </row>
    <row r="642" spans="1:12" ht="15" customHeight="1" x14ac:dyDescent="0.2">
      <c r="A642" s="2">
        <v>45120</v>
      </c>
      <c r="B642" s="3">
        <v>36.92</v>
      </c>
      <c r="C642" s="1">
        <v>674779</v>
      </c>
      <c r="D642" s="3">
        <v>0.46999999999999797</v>
      </c>
      <c r="E642" s="3">
        <v>1.28943758573387</v>
      </c>
      <c r="F642" s="3">
        <v>1.28943261841525</v>
      </c>
      <c r="G642" s="3">
        <v>44.754280000000001</v>
      </c>
      <c r="H642" s="3">
        <v>1147.16321885256</v>
      </c>
      <c r="I642" s="3">
        <v>36.72</v>
      </c>
      <c r="J642" s="3">
        <v>37.33</v>
      </c>
      <c r="K642" s="3">
        <v>36.515000000000001</v>
      </c>
      <c r="L642" s="3">
        <v>928.84609114561999</v>
      </c>
    </row>
    <row r="643" spans="1:12" ht="15" customHeight="1" x14ac:dyDescent="0.2">
      <c r="A643" s="2">
        <v>45119</v>
      </c>
      <c r="B643" s="3">
        <v>36.450000000000003</v>
      </c>
      <c r="C643" s="1">
        <v>624826</v>
      </c>
      <c r="D643" s="3">
        <v>0.89</v>
      </c>
      <c r="E643" s="3">
        <v>2.5028121484814401</v>
      </c>
      <c r="F643" s="3">
        <v>2.5028155213090799</v>
      </c>
      <c r="G643" s="3">
        <v>44.184550000000002</v>
      </c>
      <c r="H643" s="3">
        <v>1131.2866077066101</v>
      </c>
      <c r="I643" s="3">
        <v>36.119999999999997</v>
      </c>
      <c r="J643" s="3">
        <v>36.619999999999997</v>
      </c>
      <c r="K643" s="3">
        <v>35.634999999999998</v>
      </c>
      <c r="L643" s="3">
        <v>915.748646323343</v>
      </c>
    </row>
    <row r="644" spans="1:12" ht="15" customHeight="1" x14ac:dyDescent="0.2">
      <c r="A644" s="2">
        <v>45118</v>
      </c>
      <c r="B644" s="3">
        <v>35.56</v>
      </c>
      <c r="C644" s="1">
        <v>664745</v>
      </c>
      <c r="D644" s="3">
        <v>0.39</v>
      </c>
      <c r="E644" s="3">
        <v>1.10889963036679</v>
      </c>
      <c r="F644" s="3">
        <v>1.10890559141658</v>
      </c>
      <c r="G644" s="3">
        <v>43.105694</v>
      </c>
      <c r="H644" s="3">
        <v>1101.2222312572901</v>
      </c>
      <c r="I644" s="3">
        <v>35.380000000000003</v>
      </c>
      <c r="J644" s="3">
        <v>36.07</v>
      </c>
      <c r="K644" s="3">
        <v>35.32</v>
      </c>
      <c r="L644" s="3">
        <v>890.94710187265002</v>
      </c>
    </row>
    <row r="645" spans="1:12" ht="15" customHeight="1" x14ac:dyDescent="0.2">
      <c r="A645" s="2">
        <v>45117</v>
      </c>
      <c r="B645" s="3">
        <v>35.17</v>
      </c>
      <c r="C645" s="1">
        <v>613973</v>
      </c>
      <c r="D645" s="3">
        <v>0.85000000000000098</v>
      </c>
      <c r="E645" s="3">
        <v>2.4766899766899702</v>
      </c>
      <c r="F645" s="3">
        <v>2.4766859355083102</v>
      </c>
      <c r="G645" s="3">
        <v>42.632935000000003</v>
      </c>
      <c r="H645" s="3">
        <v>1088.04790164721</v>
      </c>
      <c r="I645" s="3">
        <v>34.49</v>
      </c>
      <c r="J645" s="3">
        <v>35.700000000000003</v>
      </c>
      <c r="K645" s="3">
        <v>34.49</v>
      </c>
      <c r="L645" s="3">
        <v>880.07900936054796</v>
      </c>
    </row>
    <row r="646" spans="1:12" ht="15" customHeight="1" x14ac:dyDescent="0.2">
      <c r="A646" s="2">
        <v>45114</v>
      </c>
      <c r="B646" s="3">
        <v>34.32</v>
      </c>
      <c r="C646" s="1">
        <v>481734</v>
      </c>
      <c r="D646" s="3">
        <v>0.27000000000000302</v>
      </c>
      <c r="E646" s="3">
        <v>0.79295154185023897</v>
      </c>
      <c r="F646" s="3">
        <v>0.79295411616386802</v>
      </c>
      <c r="G646" s="3">
        <v>41.60257</v>
      </c>
      <c r="H646" s="3">
        <v>1059.3348192338001</v>
      </c>
      <c r="I646" s="3">
        <v>34.200000000000003</v>
      </c>
      <c r="J646" s="3">
        <v>34.840000000000003</v>
      </c>
      <c r="K646" s="3">
        <v>34.1</v>
      </c>
      <c r="L646" s="3">
        <v>856.39214106494205</v>
      </c>
    </row>
    <row r="647" spans="1:12" ht="15" customHeight="1" x14ac:dyDescent="0.2">
      <c r="A647" s="2">
        <v>45113</v>
      </c>
      <c r="B647" s="3">
        <v>34.049999999999997</v>
      </c>
      <c r="C647" s="1">
        <v>519094</v>
      </c>
      <c r="D647" s="3">
        <v>-7.0000000000000201E-2</v>
      </c>
      <c r="E647" s="3">
        <v>-0.20515826494724701</v>
      </c>
      <c r="F647" s="3">
        <v>-0.205158929626192</v>
      </c>
      <c r="G647" s="3">
        <v>41.275275999999998</v>
      </c>
      <c r="H647" s="3">
        <v>1050.2141487962199</v>
      </c>
      <c r="I647" s="3">
        <v>33.869999999999997</v>
      </c>
      <c r="J647" s="3">
        <v>34.11</v>
      </c>
      <c r="K647" s="3">
        <v>33.4</v>
      </c>
      <c r="L647" s="3">
        <v>848.86807701810301</v>
      </c>
    </row>
    <row r="648" spans="1:12" ht="15" customHeight="1" x14ac:dyDescent="0.2">
      <c r="A648" s="2">
        <v>45112</v>
      </c>
      <c r="B648" s="3">
        <v>34.119999999999997</v>
      </c>
      <c r="C648" s="1">
        <v>1049286</v>
      </c>
      <c r="D648" s="3">
        <v>-1.23</v>
      </c>
      <c r="E648" s="3">
        <v>-3.4794908062234899</v>
      </c>
      <c r="F648" s="3">
        <v>-3.4794881721905502</v>
      </c>
      <c r="G648" s="3">
        <v>41.360129999999998</v>
      </c>
      <c r="H648" s="3">
        <v>1052.57876705781</v>
      </c>
      <c r="I648" s="3">
        <v>35.19</v>
      </c>
      <c r="J648" s="3">
        <v>35.19</v>
      </c>
      <c r="K648" s="3">
        <v>33.9</v>
      </c>
      <c r="L648" s="3">
        <v>850.81876028950501</v>
      </c>
    </row>
    <row r="649" spans="1:12" ht="15" customHeight="1" x14ac:dyDescent="0.2">
      <c r="A649" s="2">
        <v>45110</v>
      </c>
      <c r="B649" s="3">
        <v>35.35</v>
      </c>
      <c r="C649" s="1">
        <v>457893</v>
      </c>
      <c r="D649" s="3">
        <v>0.77000000000000302</v>
      </c>
      <c r="E649" s="3">
        <v>2.2267206477732899</v>
      </c>
      <c r="F649" s="3">
        <v>2.22670857477444</v>
      </c>
      <c r="G649" s="3">
        <v>42.851129999999998</v>
      </c>
      <c r="H649" s="3">
        <v>1094.1283207387</v>
      </c>
      <c r="I649" s="3">
        <v>34.5</v>
      </c>
      <c r="J649" s="3">
        <v>35.58</v>
      </c>
      <c r="K649" s="3">
        <v>34.39</v>
      </c>
      <c r="L649" s="3">
        <v>885.09505205844096</v>
      </c>
    </row>
    <row r="650" spans="1:12" ht="15" customHeight="1" x14ac:dyDescent="0.2">
      <c r="A650" s="2">
        <v>45107</v>
      </c>
      <c r="B650" s="3">
        <v>34.58</v>
      </c>
      <c r="C650" s="1">
        <v>597845</v>
      </c>
      <c r="D650" s="3">
        <v>0.189999999999997</v>
      </c>
      <c r="E650" s="3">
        <v>0.55248618784529102</v>
      </c>
      <c r="F650" s="3">
        <v>0.55249276136610703</v>
      </c>
      <c r="G650" s="3">
        <v>41.917743999999999</v>
      </c>
      <c r="H650" s="3">
        <v>1068.1177427963901</v>
      </c>
      <c r="I650" s="3">
        <v>34.450000000000003</v>
      </c>
      <c r="J650" s="3">
        <v>34.99</v>
      </c>
      <c r="K650" s="3">
        <v>34.369999999999997</v>
      </c>
      <c r="L650" s="3">
        <v>863.63753607300998</v>
      </c>
    </row>
    <row r="651" spans="1:12" ht="15" customHeight="1" x14ac:dyDescent="0.2">
      <c r="A651" s="2">
        <v>45106</v>
      </c>
      <c r="B651" s="3">
        <v>34.39</v>
      </c>
      <c r="C651" s="1">
        <v>730834</v>
      </c>
      <c r="D651" s="3">
        <v>1.0499999999999901</v>
      </c>
      <c r="E651" s="3">
        <v>3.1493701259748001</v>
      </c>
      <c r="F651" s="3">
        <v>3.14936525445495</v>
      </c>
      <c r="G651" s="3">
        <v>41.687424</v>
      </c>
      <c r="H651" s="3">
        <v>1061.6994374953899</v>
      </c>
      <c r="I651" s="3">
        <v>33.32</v>
      </c>
      <c r="J651" s="3">
        <v>34.44</v>
      </c>
      <c r="K651" s="3">
        <v>33.284999999999997</v>
      </c>
      <c r="L651" s="3">
        <v>858.34282433634496</v>
      </c>
    </row>
    <row r="652" spans="1:12" ht="15" customHeight="1" x14ac:dyDescent="0.2">
      <c r="A652" s="2">
        <v>45105</v>
      </c>
      <c r="B652" s="3">
        <v>33.340000000000003</v>
      </c>
      <c r="C652" s="1">
        <v>585547</v>
      </c>
      <c r="D652" s="3">
        <v>-0.309999999999995</v>
      </c>
      <c r="E652" s="3">
        <v>-0.92124814264485899</v>
      </c>
      <c r="F652" s="3">
        <v>-0.92124617557072197</v>
      </c>
      <c r="G652" s="3">
        <v>40.414619999999999</v>
      </c>
      <c r="H652" s="3">
        <v>1026.2303307729001</v>
      </c>
      <c r="I652" s="3">
        <v>33.549999999999997</v>
      </c>
      <c r="J652" s="3">
        <v>33.6</v>
      </c>
      <c r="K652" s="3">
        <v>32.770000000000003</v>
      </c>
      <c r="L652" s="3">
        <v>829.08257526530201</v>
      </c>
    </row>
    <row r="653" spans="1:12" ht="15" customHeight="1" x14ac:dyDescent="0.2">
      <c r="A653" s="2">
        <v>45104</v>
      </c>
      <c r="B653" s="3">
        <v>33.65</v>
      </c>
      <c r="C653" s="1">
        <v>595289</v>
      </c>
      <c r="D653" s="3">
        <v>1.24</v>
      </c>
      <c r="E653" s="3">
        <v>3.8259796359148401</v>
      </c>
      <c r="F653" s="3">
        <v>3.8259790822356901</v>
      </c>
      <c r="G653" s="3">
        <v>40.790399999999998</v>
      </c>
      <c r="H653" s="3">
        <v>1036.70215591187</v>
      </c>
      <c r="I653" s="3">
        <v>32.67</v>
      </c>
      <c r="J653" s="3">
        <v>33.715000000000003</v>
      </c>
      <c r="K653" s="3">
        <v>32.54</v>
      </c>
      <c r="L653" s="3">
        <v>837.72131546722903</v>
      </c>
    </row>
    <row r="654" spans="1:12" ht="15" customHeight="1" x14ac:dyDescent="0.2">
      <c r="A654" s="2">
        <v>45103</v>
      </c>
      <c r="B654" s="3">
        <v>32.409999999999997</v>
      </c>
      <c r="C654" s="1">
        <v>892252</v>
      </c>
      <c r="D654" s="3">
        <v>5.9999999999995099E-2</v>
      </c>
      <c r="E654" s="3">
        <v>0.185471406491477</v>
      </c>
      <c r="F654" s="3">
        <v>0.18547966211106501</v>
      </c>
      <c r="G654" s="3">
        <v>39.287277000000003</v>
      </c>
      <c r="H654" s="3">
        <v>994.81477175528698</v>
      </c>
      <c r="I654" s="3">
        <v>32.06</v>
      </c>
      <c r="J654" s="3">
        <v>32.729999999999997</v>
      </c>
      <c r="K654" s="3">
        <v>31.85</v>
      </c>
      <c r="L654" s="3">
        <v>803.16635465952095</v>
      </c>
    </row>
    <row r="655" spans="1:12" ht="15" customHeight="1" x14ac:dyDescent="0.2">
      <c r="A655" s="2">
        <v>45100</v>
      </c>
      <c r="B655" s="3">
        <v>32.35</v>
      </c>
      <c r="C655" s="1">
        <v>774823</v>
      </c>
      <c r="D655" s="3">
        <v>-0.309999999999995</v>
      </c>
      <c r="E655" s="3">
        <v>-0.94917330067358896</v>
      </c>
      <c r="F655" s="3">
        <v>-0.94917636945835904</v>
      </c>
      <c r="G655" s="3">
        <v>39.214542000000002</v>
      </c>
      <c r="H655" s="3">
        <v>992.78787250178004</v>
      </c>
      <c r="I655" s="3">
        <v>32.520000000000003</v>
      </c>
      <c r="J655" s="3">
        <v>33.04</v>
      </c>
      <c r="K655" s="3">
        <v>32.17</v>
      </c>
      <c r="L655" s="3">
        <v>801.49434042688995</v>
      </c>
    </row>
    <row r="656" spans="1:12" ht="15" customHeight="1" x14ac:dyDescent="0.2">
      <c r="A656" s="2">
        <v>45099</v>
      </c>
      <c r="B656" s="3">
        <v>32.659999999999997</v>
      </c>
      <c r="C656" s="1">
        <v>1198888</v>
      </c>
      <c r="D656" s="3">
        <v>-1.22</v>
      </c>
      <c r="E656" s="3">
        <v>-3.60094451003543</v>
      </c>
      <c r="F656" s="3">
        <v>-3.60095103859567</v>
      </c>
      <c r="G656" s="3">
        <v>39.590324000000003</v>
      </c>
      <c r="H656" s="3">
        <v>1003.25975337455</v>
      </c>
      <c r="I656" s="3">
        <v>33.5</v>
      </c>
      <c r="J656" s="3">
        <v>33.5</v>
      </c>
      <c r="K656" s="3">
        <v>31.71</v>
      </c>
      <c r="L656" s="3">
        <v>810.13308062881697</v>
      </c>
    </row>
    <row r="657" spans="1:12" ht="15" customHeight="1" x14ac:dyDescent="0.2">
      <c r="A657" s="2">
        <v>45098</v>
      </c>
      <c r="B657" s="3">
        <v>33.880000000000003</v>
      </c>
      <c r="C657" s="1">
        <v>670337</v>
      </c>
      <c r="D657" s="3">
        <v>-3.9999999999999099E-2</v>
      </c>
      <c r="E657" s="3">
        <v>-0.11792452830188201</v>
      </c>
      <c r="F657" s="3">
        <v>-0.117915184437655</v>
      </c>
      <c r="G657" s="3">
        <v>41.069206000000001</v>
      </c>
      <c r="H657" s="3">
        <v>1044.4716159142499</v>
      </c>
      <c r="I657" s="3">
        <v>33.979999999999997</v>
      </c>
      <c r="J657" s="3">
        <v>34.450000000000003</v>
      </c>
      <c r="K657" s="3">
        <v>33.54</v>
      </c>
      <c r="L657" s="3">
        <v>844.13070335898101</v>
      </c>
    </row>
    <row r="658" spans="1:12" ht="15" customHeight="1" x14ac:dyDescent="0.2">
      <c r="A658" s="2">
        <v>45097</v>
      </c>
      <c r="B658" s="3">
        <v>33.92</v>
      </c>
      <c r="C658" s="1">
        <v>630411</v>
      </c>
      <c r="D658" s="3">
        <v>0.17000000000000101</v>
      </c>
      <c r="E658" s="3">
        <v>0.50370370370371698</v>
      </c>
      <c r="F658" s="3">
        <v>0.50370289690579995</v>
      </c>
      <c r="G658" s="3">
        <v>41.117690000000003</v>
      </c>
      <c r="H658" s="3">
        <v>1045.8227148818301</v>
      </c>
      <c r="I658" s="3">
        <v>33.51</v>
      </c>
      <c r="J658" s="3">
        <v>34.090000000000003</v>
      </c>
      <c r="K658" s="3">
        <v>33.51</v>
      </c>
      <c r="L658" s="3">
        <v>845.24537951406899</v>
      </c>
    </row>
    <row r="659" spans="1:12" ht="15" customHeight="1" x14ac:dyDescent="0.2">
      <c r="A659" s="2">
        <v>45093</v>
      </c>
      <c r="B659" s="3">
        <v>33.75</v>
      </c>
      <c r="C659" s="1">
        <v>1290691</v>
      </c>
      <c r="D659" s="3">
        <v>-0.25</v>
      </c>
      <c r="E659" s="3">
        <v>-0.73529411764705599</v>
      </c>
      <c r="F659" s="3">
        <v>-0.73530371588562604</v>
      </c>
      <c r="G659" s="3">
        <v>40.911617</v>
      </c>
      <c r="H659" s="3">
        <v>1040.0800983991501</v>
      </c>
      <c r="I659" s="3">
        <v>34.29</v>
      </c>
      <c r="J659" s="3">
        <v>34.325000000000003</v>
      </c>
      <c r="K659" s="3">
        <v>33.54</v>
      </c>
      <c r="L659" s="3">
        <v>840.50800585494801</v>
      </c>
    </row>
    <row r="660" spans="1:12" ht="15" customHeight="1" x14ac:dyDescent="0.2">
      <c r="A660" s="2">
        <v>45092</v>
      </c>
      <c r="B660" s="3">
        <v>34</v>
      </c>
      <c r="C660" s="1">
        <v>659362</v>
      </c>
      <c r="D660" s="3">
        <v>-2.0000000000003099E-2</v>
      </c>
      <c r="E660" s="3">
        <v>-5.8788947677845801E-2</v>
      </c>
      <c r="F660" s="3">
        <v>-5.8779439126788097E-2</v>
      </c>
      <c r="G660" s="3">
        <v>41.214669999999998</v>
      </c>
      <c r="H660" s="3">
        <v>1048.5252472198399</v>
      </c>
      <c r="I660" s="3">
        <v>34.090000000000003</v>
      </c>
      <c r="J660" s="3">
        <v>34.57</v>
      </c>
      <c r="K660" s="3">
        <v>33.840000000000003</v>
      </c>
      <c r="L660" s="3">
        <v>847.47473182424301</v>
      </c>
    </row>
    <row r="661" spans="1:12" ht="15" customHeight="1" x14ac:dyDescent="0.2">
      <c r="A661" s="2">
        <v>45091</v>
      </c>
      <c r="B661" s="3">
        <v>34.020000000000003</v>
      </c>
      <c r="C661" s="1">
        <v>1214192</v>
      </c>
      <c r="D661" s="3">
        <v>-0.29999999999999699</v>
      </c>
      <c r="E661" s="3">
        <v>-0.87412587412586396</v>
      </c>
      <c r="F661" s="3">
        <v>-0.87412868964585799</v>
      </c>
      <c r="G661" s="3">
        <v>41.238909999999997</v>
      </c>
      <c r="H661" s="3">
        <v>1049.2007409698199</v>
      </c>
      <c r="I661" s="3">
        <v>34.46</v>
      </c>
      <c r="J661" s="3">
        <v>34.520000000000003</v>
      </c>
      <c r="K661" s="3">
        <v>33.64</v>
      </c>
      <c r="L661" s="3">
        <v>848.03206990178705</v>
      </c>
    </row>
    <row r="662" spans="1:12" ht="15" customHeight="1" x14ac:dyDescent="0.2">
      <c r="A662" s="2">
        <v>45090</v>
      </c>
      <c r="B662" s="3">
        <v>34.32</v>
      </c>
      <c r="C662" s="1">
        <v>878849</v>
      </c>
      <c r="D662" s="3">
        <v>0.85999999999999899</v>
      </c>
      <c r="E662" s="3">
        <v>2.5702331141661698</v>
      </c>
      <c r="F662" s="3">
        <v>2.5702365478568998</v>
      </c>
      <c r="G662" s="3">
        <v>41.60257</v>
      </c>
      <c r="H662" s="3">
        <v>1059.3348192338001</v>
      </c>
      <c r="I662" s="3">
        <v>33.46</v>
      </c>
      <c r="J662" s="3">
        <v>34.32</v>
      </c>
      <c r="K662" s="3">
        <v>33.325000000000003</v>
      </c>
      <c r="L662" s="3">
        <v>856.39214106494205</v>
      </c>
    </row>
    <row r="663" spans="1:12" ht="15" customHeight="1" x14ac:dyDescent="0.2">
      <c r="A663" s="2">
        <v>45089</v>
      </c>
      <c r="B663" s="3">
        <v>33.46</v>
      </c>
      <c r="C663" s="1">
        <v>1073927</v>
      </c>
      <c r="D663" s="3">
        <v>0.630000000000002</v>
      </c>
      <c r="E663" s="3">
        <v>1.9189765458422301</v>
      </c>
      <c r="F663" s="3">
        <v>1.91896242278384</v>
      </c>
      <c r="G663" s="3">
        <v>40.560079999999999</v>
      </c>
      <c r="H663" s="3">
        <v>1030.2838506108701</v>
      </c>
      <c r="I663" s="3">
        <v>33.03</v>
      </c>
      <c r="J663" s="3">
        <v>33.75</v>
      </c>
      <c r="K663" s="3">
        <v>32.78</v>
      </c>
      <c r="L663" s="3">
        <v>832.42660373056401</v>
      </c>
    </row>
    <row r="664" spans="1:12" ht="15" customHeight="1" x14ac:dyDescent="0.2">
      <c r="A664" s="2">
        <v>45086</v>
      </c>
      <c r="B664" s="3">
        <v>32.83</v>
      </c>
      <c r="C664" s="1">
        <v>612626</v>
      </c>
      <c r="D664" s="3">
        <v>-0.74000000000000199</v>
      </c>
      <c r="E664" s="3">
        <v>-2.2043491212392099</v>
      </c>
      <c r="F664" s="3">
        <v>-2.20434141889853</v>
      </c>
      <c r="G664" s="3">
        <v>39.796402</v>
      </c>
      <c r="H664" s="3">
        <v>1009.0025091917501</v>
      </c>
      <c r="I664" s="3">
        <v>33.520000000000003</v>
      </c>
      <c r="J664" s="3">
        <v>33.69</v>
      </c>
      <c r="K664" s="3">
        <v>32.729999999999997</v>
      </c>
      <c r="L664" s="3">
        <v>814.87045428793897</v>
      </c>
    </row>
    <row r="665" spans="1:12" ht="15" customHeight="1" x14ac:dyDescent="0.2">
      <c r="A665" s="2">
        <v>45085</v>
      </c>
      <c r="B665" s="3">
        <v>33.57</v>
      </c>
      <c r="C665" s="1">
        <v>856006</v>
      </c>
      <c r="D665" s="3">
        <v>-0.54999999999999705</v>
      </c>
      <c r="E665" s="3">
        <v>-1.6119577960140601</v>
      </c>
      <c r="F665" s="3">
        <v>-1.61195334734198</v>
      </c>
      <c r="G665" s="3">
        <v>40.693424</v>
      </c>
      <c r="H665" s="3">
        <v>1033.9997350414701</v>
      </c>
      <c r="I665" s="3">
        <v>33.950000000000003</v>
      </c>
      <c r="J665" s="3">
        <v>34.07</v>
      </c>
      <c r="K665" s="3">
        <v>33.17</v>
      </c>
      <c r="L665" s="3">
        <v>835.49196315705399</v>
      </c>
    </row>
    <row r="666" spans="1:12" ht="15" customHeight="1" x14ac:dyDescent="0.2">
      <c r="A666" s="2">
        <v>45084</v>
      </c>
      <c r="B666" s="3">
        <v>34.119999999999997</v>
      </c>
      <c r="C666" s="1">
        <v>1321491</v>
      </c>
      <c r="D666" s="3">
        <v>1.3099999999999901</v>
      </c>
      <c r="E666" s="3">
        <v>3.9926851569643098</v>
      </c>
      <c r="F666" s="3">
        <v>3.99267769139795</v>
      </c>
      <c r="G666" s="3">
        <v>41.360129999999998</v>
      </c>
      <c r="H666" s="3">
        <v>1052.57876705781</v>
      </c>
      <c r="I666" s="3">
        <v>33.21</v>
      </c>
      <c r="J666" s="3">
        <v>34.340000000000003</v>
      </c>
      <c r="K666" s="3">
        <v>33</v>
      </c>
      <c r="L666" s="3">
        <v>850.81876028950501</v>
      </c>
    </row>
    <row r="667" spans="1:12" ht="15" customHeight="1" x14ac:dyDescent="0.2">
      <c r="A667" s="2">
        <v>45083</v>
      </c>
      <c r="B667" s="3">
        <v>32.81</v>
      </c>
      <c r="C667" s="1">
        <v>558130</v>
      </c>
      <c r="D667" s="3">
        <v>0.35999999999999899</v>
      </c>
      <c r="E667" s="3">
        <v>1.1093990755007599</v>
      </c>
      <c r="F667" s="3">
        <v>1.10939748828078</v>
      </c>
      <c r="G667" s="3">
        <v>39.772156000000003</v>
      </c>
      <c r="H667" s="3">
        <v>1008.32684824035</v>
      </c>
      <c r="I667" s="3">
        <v>32.229999999999997</v>
      </c>
      <c r="J667" s="3">
        <v>32.99</v>
      </c>
      <c r="K667" s="3">
        <v>31.89</v>
      </c>
      <c r="L667" s="3">
        <v>814.31311621039504</v>
      </c>
    </row>
    <row r="668" spans="1:12" ht="15" customHeight="1" x14ac:dyDescent="0.2">
      <c r="A668" s="2">
        <v>45082</v>
      </c>
      <c r="B668" s="3">
        <v>32.450000000000003</v>
      </c>
      <c r="C668" s="1">
        <v>500777</v>
      </c>
      <c r="D668" s="3">
        <v>-0.54999999999999705</v>
      </c>
      <c r="E668" s="3">
        <v>-1.6666666666666601</v>
      </c>
      <c r="F668" s="3">
        <v>-1.6666620002883701</v>
      </c>
      <c r="G668" s="3">
        <v>39.335766</v>
      </c>
      <c r="H668" s="3">
        <v>996.16601005738801</v>
      </c>
      <c r="I668" s="3">
        <v>32.9</v>
      </c>
      <c r="J668" s="3">
        <v>32.9</v>
      </c>
      <c r="K668" s="3">
        <v>32.32</v>
      </c>
      <c r="L668" s="3">
        <v>804.28103081460904</v>
      </c>
    </row>
    <row r="669" spans="1:12" ht="15" customHeight="1" x14ac:dyDescent="0.2">
      <c r="A669" s="2">
        <v>45079</v>
      </c>
      <c r="B669" s="3">
        <v>33</v>
      </c>
      <c r="C669" s="1">
        <v>839616</v>
      </c>
      <c r="D669" s="3">
        <v>1.51</v>
      </c>
      <c r="E669" s="3">
        <v>4.79517307081613</v>
      </c>
      <c r="F669" s="3">
        <v>4.7951781688247497</v>
      </c>
      <c r="G669" s="3">
        <v>40.002471999999997</v>
      </c>
      <c r="H669" s="3">
        <v>1014.74504207373</v>
      </c>
      <c r="I669" s="3">
        <v>31.97</v>
      </c>
      <c r="J669" s="3">
        <v>33.19</v>
      </c>
      <c r="K669" s="3">
        <v>31.8</v>
      </c>
      <c r="L669" s="3">
        <v>819.60782794705995</v>
      </c>
    </row>
    <row r="670" spans="1:12" ht="15" customHeight="1" x14ac:dyDescent="0.2">
      <c r="A670" s="2">
        <v>45078</v>
      </c>
      <c r="B670" s="3">
        <v>31.49</v>
      </c>
      <c r="C670" s="1">
        <v>754243</v>
      </c>
      <c r="D670" s="3">
        <v>0.16</v>
      </c>
      <c r="E670" s="3">
        <v>0.51069262687519701</v>
      </c>
      <c r="F670" s="3">
        <v>0.51068900122028804</v>
      </c>
      <c r="G670" s="3">
        <v>38.172054000000003</v>
      </c>
      <c r="H670" s="3">
        <v>963.73695961266299</v>
      </c>
      <c r="I670" s="3">
        <v>31.43</v>
      </c>
      <c r="J670" s="3">
        <v>31.8</v>
      </c>
      <c r="K670" s="3">
        <v>31.15</v>
      </c>
      <c r="L670" s="3">
        <v>777.52880309251202</v>
      </c>
    </row>
    <row r="671" spans="1:12" ht="15" customHeight="1" x14ac:dyDescent="0.2">
      <c r="A671" s="2">
        <v>45077</v>
      </c>
      <c r="B671" s="3">
        <v>31.33</v>
      </c>
      <c r="C671" s="1">
        <v>865698</v>
      </c>
      <c r="D671" s="3">
        <v>-0.80000000000000404</v>
      </c>
      <c r="E671" s="3">
        <v>-2.4898848428260201</v>
      </c>
      <c r="F671" s="3">
        <v>-2.48988262769763</v>
      </c>
      <c r="G671" s="3">
        <v>37.978104000000002</v>
      </c>
      <c r="H671" s="3">
        <v>958.33217360568301</v>
      </c>
      <c r="I671" s="3">
        <v>32.07</v>
      </c>
      <c r="J671" s="3">
        <v>32.090000000000003</v>
      </c>
      <c r="K671" s="3">
        <v>30.95</v>
      </c>
      <c r="L671" s="3">
        <v>773.07009847216295</v>
      </c>
    </row>
    <row r="672" spans="1:12" ht="15" customHeight="1" x14ac:dyDescent="0.2">
      <c r="A672" s="2">
        <v>45076</v>
      </c>
      <c r="B672" s="3">
        <v>32.130000000000003</v>
      </c>
      <c r="C672" s="1">
        <v>750442</v>
      </c>
      <c r="D672" s="3">
        <v>-0.489999999999994</v>
      </c>
      <c r="E672" s="3">
        <v>-1.50214592274676</v>
      </c>
      <c r="F672" s="3">
        <v>-1.50214572737594</v>
      </c>
      <c r="G672" s="3">
        <v>38.947859999999999</v>
      </c>
      <c r="H672" s="3">
        <v>985.35627084200496</v>
      </c>
      <c r="I672" s="3">
        <v>32.65</v>
      </c>
      <c r="J672" s="3">
        <v>32.905000000000001</v>
      </c>
      <c r="K672" s="3">
        <v>32.024999999999999</v>
      </c>
      <c r="L672" s="3">
        <v>795.36362157391</v>
      </c>
    </row>
    <row r="673" spans="1:12" ht="15" customHeight="1" x14ac:dyDescent="0.2">
      <c r="A673" s="2">
        <v>45072</v>
      </c>
      <c r="B673" s="3">
        <v>32.619999999999997</v>
      </c>
      <c r="C673" s="1">
        <v>564129</v>
      </c>
      <c r="D673" s="3">
        <v>7.9999999999998295E-2</v>
      </c>
      <c r="E673" s="3">
        <v>0.24585125998770599</v>
      </c>
      <c r="F673" s="3">
        <v>0.24584697494949201</v>
      </c>
      <c r="G673" s="3">
        <v>39.541836000000004</v>
      </c>
      <c r="H673" s="3">
        <v>1001.90854293935</v>
      </c>
      <c r="I673" s="3">
        <v>32.46</v>
      </c>
      <c r="J673" s="3">
        <v>32.909999999999997</v>
      </c>
      <c r="K673" s="3">
        <v>32.36</v>
      </c>
      <c r="L673" s="3">
        <v>809.01840447373002</v>
      </c>
    </row>
    <row r="674" spans="1:12" ht="15" customHeight="1" x14ac:dyDescent="0.2">
      <c r="A674" s="2">
        <v>45071</v>
      </c>
      <c r="B674" s="3">
        <v>32.54</v>
      </c>
      <c r="C674" s="1">
        <v>675927</v>
      </c>
      <c r="D674" s="3">
        <v>-0.880000000000002</v>
      </c>
      <c r="E674" s="3">
        <v>-2.6331538001196901</v>
      </c>
      <c r="F674" s="3">
        <v>-2.6331499726510201</v>
      </c>
      <c r="G674" s="3">
        <v>39.444862000000001</v>
      </c>
      <c r="H674" s="3">
        <v>999.20617780277303</v>
      </c>
      <c r="I674" s="3">
        <v>33.54</v>
      </c>
      <c r="J674" s="3">
        <v>33.54</v>
      </c>
      <c r="K674" s="3">
        <v>32.15</v>
      </c>
      <c r="L674" s="3">
        <v>806.78905216355497</v>
      </c>
    </row>
    <row r="675" spans="1:12" ht="15" customHeight="1" x14ac:dyDescent="0.2">
      <c r="A675" s="2">
        <v>45070</v>
      </c>
      <c r="B675" s="3">
        <v>33.42</v>
      </c>
      <c r="C675" s="1">
        <v>796308</v>
      </c>
      <c r="D675" s="3">
        <v>0.41000000000000297</v>
      </c>
      <c r="E675" s="3">
        <v>1.24204786428356</v>
      </c>
      <c r="F675" s="3">
        <v>1.24205446063547</v>
      </c>
      <c r="G675" s="3">
        <v>40.511592999999998</v>
      </c>
      <c r="H675" s="3">
        <v>1028.93266804258</v>
      </c>
      <c r="I675" s="3">
        <v>32.94</v>
      </c>
      <c r="J675" s="3">
        <v>33.57</v>
      </c>
      <c r="K675" s="3">
        <v>32.61</v>
      </c>
      <c r="L675" s="3">
        <v>831.31192757547706</v>
      </c>
    </row>
    <row r="676" spans="1:12" ht="15" customHeight="1" x14ac:dyDescent="0.2">
      <c r="A676" s="2">
        <v>45069</v>
      </c>
      <c r="B676" s="3">
        <v>33.01</v>
      </c>
      <c r="C676" s="1">
        <v>1017271</v>
      </c>
      <c r="D676" s="3">
        <v>-0.20000000000000201</v>
      </c>
      <c r="E676" s="3">
        <v>-0.60222824450467605</v>
      </c>
      <c r="F676" s="3">
        <v>0.21077159503524101</v>
      </c>
      <c r="G676" s="3">
        <v>40.014589999999998</v>
      </c>
      <c r="H676" s="3">
        <v>1015.08273321491</v>
      </c>
      <c r="I676" s="3">
        <v>33.15</v>
      </c>
      <c r="J676" s="3">
        <v>34.082500000000003</v>
      </c>
      <c r="K676" s="3">
        <v>32.99</v>
      </c>
      <c r="L676" s="3">
        <v>819.88649698583197</v>
      </c>
    </row>
    <row r="677" spans="1:12" ht="15" customHeight="1" x14ac:dyDescent="0.2">
      <c r="A677" s="2">
        <v>45068</v>
      </c>
      <c r="B677" s="3">
        <v>33.21</v>
      </c>
      <c r="C677" s="1">
        <v>1401731</v>
      </c>
      <c r="D677" s="3">
        <v>-1.28999999999999</v>
      </c>
      <c r="E677" s="3">
        <v>-3.7391304347826102</v>
      </c>
      <c r="F677" s="3">
        <v>-3.7391340655284302</v>
      </c>
      <c r="G677" s="3">
        <v>39.930427999999999</v>
      </c>
      <c r="H677" s="3">
        <v>1012.7373988508</v>
      </c>
      <c r="I677" s="3">
        <v>34.5</v>
      </c>
      <c r="J677" s="3">
        <v>34.659999999999997</v>
      </c>
      <c r="K677" s="3">
        <v>33.015000000000001</v>
      </c>
      <c r="L677" s="3">
        <v>825.45987776126799</v>
      </c>
    </row>
    <row r="678" spans="1:12" ht="15" customHeight="1" x14ac:dyDescent="0.2">
      <c r="A678" s="2">
        <v>45065</v>
      </c>
      <c r="B678" s="3">
        <v>34.5</v>
      </c>
      <c r="C678" s="1">
        <v>938436</v>
      </c>
      <c r="D678" s="3">
        <v>-0.53999999999999904</v>
      </c>
      <c r="E678" s="3">
        <v>-1.54109589041095</v>
      </c>
      <c r="F678" s="3">
        <v>-1.5410999181524201</v>
      </c>
      <c r="G678" s="3">
        <v>41.481476000000001</v>
      </c>
      <c r="H678" s="3">
        <v>1055.9603043756999</v>
      </c>
      <c r="I678" s="3">
        <v>35.450000000000003</v>
      </c>
      <c r="J678" s="3">
        <v>35.450000000000003</v>
      </c>
      <c r="K678" s="3">
        <v>34.1</v>
      </c>
      <c r="L678" s="3">
        <v>861.40818376283505</v>
      </c>
    </row>
    <row r="679" spans="1:12" ht="15" customHeight="1" x14ac:dyDescent="0.2">
      <c r="A679" s="2">
        <v>45064</v>
      </c>
      <c r="B679" s="3">
        <v>35.04</v>
      </c>
      <c r="C679" s="1">
        <v>1438578</v>
      </c>
      <c r="D679" s="3">
        <v>1.25999999999999</v>
      </c>
      <c r="E679" s="3">
        <v>3.73001776198933</v>
      </c>
      <c r="F679" s="3">
        <v>3.7300210637364102</v>
      </c>
      <c r="G679" s="3">
        <v>42.130752999999999</v>
      </c>
      <c r="H679" s="3">
        <v>1074.0536441243601</v>
      </c>
      <c r="I679" s="3">
        <v>33.840000000000003</v>
      </c>
      <c r="J679" s="3">
        <v>35.185000000000002</v>
      </c>
      <c r="K679" s="3">
        <v>33.79</v>
      </c>
      <c r="L679" s="3">
        <v>876.45631185651405</v>
      </c>
    </row>
    <row r="680" spans="1:12" ht="15" customHeight="1" x14ac:dyDescent="0.2">
      <c r="A680" s="2">
        <v>45063</v>
      </c>
      <c r="B680" s="3">
        <v>33.78</v>
      </c>
      <c r="C680" s="1">
        <v>1593183</v>
      </c>
      <c r="D680" s="3">
        <v>1.91</v>
      </c>
      <c r="E680" s="3">
        <v>5.9930969563853198</v>
      </c>
      <c r="F680" s="3">
        <v>5.99309219563097</v>
      </c>
      <c r="G680" s="3">
        <v>40.615775999999997</v>
      </c>
      <c r="H680" s="3">
        <v>1031.8359256892199</v>
      </c>
      <c r="I680" s="3">
        <v>32.17</v>
      </c>
      <c r="J680" s="3">
        <v>34.020000000000003</v>
      </c>
      <c r="K680" s="3">
        <v>32.07</v>
      </c>
      <c r="L680" s="3">
        <v>841.34401297126306</v>
      </c>
    </row>
    <row r="681" spans="1:12" ht="15" customHeight="1" x14ac:dyDescent="0.2">
      <c r="A681" s="2">
        <v>45062</v>
      </c>
      <c r="B681" s="3">
        <v>31.87</v>
      </c>
      <c r="C681" s="1">
        <v>926922</v>
      </c>
      <c r="D681" s="3">
        <v>0.41</v>
      </c>
      <c r="E681" s="3">
        <v>1.30324221233311</v>
      </c>
      <c r="F681" s="3">
        <v>1.30325482057536</v>
      </c>
      <c r="G681" s="3">
        <v>38.319267000000004</v>
      </c>
      <c r="H681" s="3">
        <v>967.83933013313504</v>
      </c>
      <c r="I681" s="3">
        <v>31.36</v>
      </c>
      <c r="J681" s="3">
        <v>31.96</v>
      </c>
      <c r="K681" s="3">
        <v>30.96</v>
      </c>
      <c r="L681" s="3">
        <v>788.11822656584195</v>
      </c>
    </row>
    <row r="682" spans="1:12" ht="15" customHeight="1" x14ac:dyDescent="0.2">
      <c r="A682" s="2">
        <v>45061</v>
      </c>
      <c r="B682" s="3">
        <v>31.46</v>
      </c>
      <c r="C682" s="1">
        <v>851665</v>
      </c>
      <c r="D682" s="3">
        <v>0.28000000000000103</v>
      </c>
      <c r="E682" s="3">
        <v>0.89801154586273102</v>
      </c>
      <c r="F682" s="3">
        <v>0.89800554206516103</v>
      </c>
      <c r="G682" s="3">
        <v>37.826293999999997</v>
      </c>
      <c r="H682" s="3">
        <v>954.10169892808801</v>
      </c>
      <c r="I682" s="3">
        <v>31.22</v>
      </c>
      <c r="J682" s="3">
        <v>31.66</v>
      </c>
      <c r="K682" s="3">
        <v>30.91</v>
      </c>
      <c r="L682" s="3">
        <v>776.69279597619698</v>
      </c>
    </row>
    <row r="683" spans="1:12" ht="15" customHeight="1" x14ac:dyDescent="0.2">
      <c r="A683" s="2">
        <v>45058</v>
      </c>
      <c r="B683" s="3">
        <v>31.18</v>
      </c>
      <c r="C683" s="1">
        <v>1389948</v>
      </c>
      <c r="D683" s="3">
        <v>-0.60000000000000098</v>
      </c>
      <c r="E683" s="3">
        <v>-1.88797986154815</v>
      </c>
      <c r="F683" s="3">
        <v>-1.8879799488378399</v>
      </c>
      <c r="G683" s="3">
        <v>37.489635</v>
      </c>
      <c r="H683" s="3">
        <v>944.72005493569895</v>
      </c>
      <c r="I683" s="3">
        <v>31.83</v>
      </c>
      <c r="J683" s="3">
        <v>31.92</v>
      </c>
      <c r="K683" s="3">
        <v>30.94</v>
      </c>
      <c r="L683" s="3">
        <v>768.89006289058602</v>
      </c>
    </row>
    <row r="684" spans="1:12" ht="15" customHeight="1" x14ac:dyDescent="0.2">
      <c r="A684" s="2">
        <v>45057</v>
      </c>
      <c r="B684" s="3">
        <v>31.78</v>
      </c>
      <c r="C684" s="1">
        <v>3019260</v>
      </c>
      <c r="D684" s="3">
        <v>-0.96999999999999797</v>
      </c>
      <c r="E684" s="3">
        <v>-2.9618320610687001</v>
      </c>
      <c r="F684" s="3">
        <v>-2.9618301814276702</v>
      </c>
      <c r="G684" s="3">
        <v>38.211052000000002</v>
      </c>
      <c r="H684" s="3">
        <v>964.82371313006502</v>
      </c>
      <c r="I684" s="3">
        <v>33.950000000000003</v>
      </c>
      <c r="J684" s="3">
        <v>35.07</v>
      </c>
      <c r="K684" s="3">
        <v>31.43</v>
      </c>
      <c r="L684" s="3">
        <v>785.61020521689602</v>
      </c>
    </row>
    <row r="685" spans="1:12" ht="15" customHeight="1" x14ac:dyDescent="0.2">
      <c r="A685" s="2">
        <v>45056</v>
      </c>
      <c r="B685" s="3">
        <v>32.75</v>
      </c>
      <c r="C685" s="1">
        <v>1844043</v>
      </c>
      <c r="D685" s="3">
        <v>-0.50999999999999801</v>
      </c>
      <c r="E685" s="3">
        <v>-1.53337342152735</v>
      </c>
      <c r="F685" s="3">
        <v>-1.53337487481729</v>
      </c>
      <c r="G685" s="3">
        <v>39.377341999999999</v>
      </c>
      <c r="H685" s="3">
        <v>997.32460445298602</v>
      </c>
      <c r="I685" s="3">
        <v>33.65</v>
      </c>
      <c r="J685" s="3">
        <v>33.69</v>
      </c>
      <c r="K685" s="3">
        <v>32.15</v>
      </c>
      <c r="L685" s="3">
        <v>812.64110197776404</v>
      </c>
    </row>
    <row r="686" spans="1:12" ht="15" customHeight="1" x14ac:dyDescent="0.2">
      <c r="A686" s="2">
        <v>45055</v>
      </c>
      <c r="B686" s="3">
        <v>33.26</v>
      </c>
      <c r="C686" s="1">
        <v>1900921</v>
      </c>
      <c r="D686" s="3">
        <v>-0.100000000000001</v>
      </c>
      <c r="E686" s="3">
        <v>-0.29976019184653202</v>
      </c>
      <c r="F686" s="3">
        <v>-0.29976724963703899</v>
      </c>
      <c r="G686" s="3">
        <v>39.990546999999999</v>
      </c>
      <c r="H686" s="3">
        <v>1014.41272924499</v>
      </c>
      <c r="I686" s="3">
        <v>33.42</v>
      </c>
      <c r="J686" s="3">
        <v>33.74</v>
      </c>
      <c r="K686" s="3">
        <v>32.92</v>
      </c>
      <c r="L686" s="3">
        <v>826.85322295512697</v>
      </c>
    </row>
    <row r="687" spans="1:12" ht="15" customHeight="1" x14ac:dyDescent="0.2">
      <c r="A687" s="2">
        <v>45054</v>
      </c>
      <c r="B687" s="3">
        <v>33.36</v>
      </c>
      <c r="C687" s="1">
        <v>1536868</v>
      </c>
      <c r="D687" s="3">
        <v>0.56999999999999995</v>
      </c>
      <c r="E687" s="3">
        <v>1.7383348581884801</v>
      </c>
      <c r="F687" s="3">
        <v>1.73833959688665</v>
      </c>
      <c r="G687" s="3">
        <v>40.110785999999997</v>
      </c>
      <c r="H687" s="3">
        <v>1017.76341790028</v>
      </c>
      <c r="I687" s="3">
        <v>32.92</v>
      </c>
      <c r="J687" s="3">
        <v>33.4</v>
      </c>
      <c r="K687" s="3">
        <v>32.92</v>
      </c>
      <c r="L687" s="3">
        <v>829.63991334284594</v>
      </c>
    </row>
    <row r="688" spans="1:12" ht="15" customHeight="1" x14ac:dyDescent="0.2">
      <c r="A688" s="2">
        <v>45051</v>
      </c>
      <c r="B688" s="3">
        <v>32.79</v>
      </c>
      <c r="C688" s="1">
        <v>1137966</v>
      </c>
      <c r="D688" s="3">
        <v>7.9999999999998295E-2</v>
      </c>
      <c r="E688" s="3">
        <v>0.244573524915914</v>
      </c>
      <c r="F688" s="3">
        <v>0.24457879908048499</v>
      </c>
      <c r="G688" s="3">
        <v>39.425438</v>
      </c>
      <c r="H688" s="3">
        <v>998.66489106186305</v>
      </c>
      <c r="I688" s="3">
        <v>33.08</v>
      </c>
      <c r="J688" s="3">
        <v>33.36</v>
      </c>
      <c r="K688" s="3">
        <v>32.33</v>
      </c>
      <c r="L688" s="3">
        <v>813.75577813285099</v>
      </c>
    </row>
    <row r="689" spans="1:12" ht="15" customHeight="1" x14ac:dyDescent="0.2">
      <c r="A689" s="2">
        <v>45050</v>
      </c>
      <c r="B689" s="3">
        <v>32.71</v>
      </c>
      <c r="C689" s="1">
        <v>771535</v>
      </c>
      <c r="D689" s="3">
        <v>0.130000000000002</v>
      </c>
      <c r="E689" s="3">
        <v>0.39901780233273498</v>
      </c>
      <c r="F689" s="3">
        <v>0.39901010245773</v>
      </c>
      <c r="G689" s="3">
        <v>39.329247000000002</v>
      </c>
      <c r="H689" s="3">
        <v>995.98434571101302</v>
      </c>
      <c r="I689" s="3">
        <v>32.53</v>
      </c>
      <c r="J689" s="3">
        <v>33.03</v>
      </c>
      <c r="K689" s="3">
        <v>32.28</v>
      </c>
      <c r="L689" s="3">
        <v>811.52642582267697</v>
      </c>
    </row>
    <row r="690" spans="1:12" ht="15" customHeight="1" x14ac:dyDescent="0.2">
      <c r="A690" s="2">
        <v>45049</v>
      </c>
      <c r="B690" s="3">
        <v>32.58</v>
      </c>
      <c r="C690" s="1">
        <v>875929</v>
      </c>
      <c r="D690" s="3">
        <v>-0.67999999999999905</v>
      </c>
      <c r="E690" s="3">
        <v>-2.0444978953698101</v>
      </c>
      <c r="F690" s="3">
        <v>-2.0444931648471898</v>
      </c>
      <c r="G690" s="3">
        <v>39.172942999999997</v>
      </c>
      <c r="H690" s="3">
        <v>991.62863716739298</v>
      </c>
      <c r="I690" s="3">
        <v>33.32</v>
      </c>
      <c r="J690" s="3">
        <v>33.6</v>
      </c>
      <c r="K690" s="3">
        <v>32.46</v>
      </c>
      <c r="L690" s="3">
        <v>807.90372831864295</v>
      </c>
    </row>
    <row r="691" spans="1:12" ht="15" customHeight="1" x14ac:dyDescent="0.2">
      <c r="A691" s="2">
        <v>45048</v>
      </c>
      <c r="B691" s="3">
        <v>33.26</v>
      </c>
      <c r="C691" s="1">
        <v>765809</v>
      </c>
      <c r="D691" s="3">
        <v>-0.12000000000000401</v>
      </c>
      <c r="E691" s="3">
        <v>-0.35949670461355998</v>
      </c>
      <c r="F691" s="3">
        <v>-0.359505660344827</v>
      </c>
      <c r="G691" s="3">
        <v>39.990546999999999</v>
      </c>
      <c r="H691" s="3">
        <v>1014.41272924499</v>
      </c>
      <c r="I691" s="3">
        <v>33.76</v>
      </c>
      <c r="J691" s="3">
        <v>33.76</v>
      </c>
      <c r="K691" s="3">
        <v>32.64</v>
      </c>
      <c r="L691" s="3">
        <v>826.85322295512697</v>
      </c>
    </row>
    <row r="692" spans="1:12" ht="15" customHeight="1" x14ac:dyDescent="0.2">
      <c r="A692" s="2">
        <v>45047</v>
      </c>
      <c r="B692" s="3">
        <v>33.380000000000003</v>
      </c>
      <c r="C692" s="1">
        <v>676488</v>
      </c>
      <c r="D692" s="3">
        <v>-0.309999999999995</v>
      </c>
      <c r="E692" s="3">
        <v>-0.92015434847134703</v>
      </c>
      <c r="F692" s="3">
        <v>-0.92013935176544703</v>
      </c>
      <c r="G692" s="3">
        <v>40.134833999999998</v>
      </c>
      <c r="H692" s="3">
        <v>1018.43356120472</v>
      </c>
      <c r="I692" s="3">
        <v>33.65</v>
      </c>
      <c r="J692" s="3">
        <v>34.28</v>
      </c>
      <c r="K692" s="3">
        <v>33.33</v>
      </c>
      <c r="L692" s="3">
        <v>830.19725142038999</v>
      </c>
    </row>
    <row r="693" spans="1:12" ht="15" customHeight="1" x14ac:dyDescent="0.2">
      <c r="A693" s="2">
        <v>45044</v>
      </c>
      <c r="B693" s="3">
        <v>33.69</v>
      </c>
      <c r="C693" s="1">
        <v>1088678</v>
      </c>
      <c r="D693" s="3">
        <v>0.66999999999999404</v>
      </c>
      <c r="E693" s="3">
        <v>2.0290732889157899</v>
      </c>
      <c r="F693" s="3">
        <v>2.0290675679147401</v>
      </c>
      <c r="G693" s="3">
        <v>40.507559999999998</v>
      </c>
      <c r="H693" s="3">
        <v>1028.82028081924</v>
      </c>
      <c r="I693" s="3">
        <v>33.18</v>
      </c>
      <c r="J693" s="3">
        <v>33.795000000000002</v>
      </c>
      <c r="K693" s="3">
        <v>33.034999999999997</v>
      </c>
      <c r="L693" s="3">
        <v>838.83599162231599</v>
      </c>
    </row>
    <row r="694" spans="1:12" ht="15" customHeight="1" x14ac:dyDescent="0.2">
      <c r="A694" s="2">
        <v>45043</v>
      </c>
      <c r="B694" s="3">
        <v>33.020000000000003</v>
      </c>
      <c r="C694" s="1">
        <v>702446</v>
      </c>
      <c r="D694" s="3">
        <v>0.86000000000000598</v>
      </c>
      <c r="E694" s="3">
        <v>2.6741293532338499</v>
      </c>
      <c r="F694" s="3">
        <v>2.6741267638961999</v>
      </c>
      <c r="G694" s="3">
        <v>39.701979999999999</v>
      </c>
      <c r="H694" s="3">
        <v>1006.37126039386</v>
      </c>
      <c r="I694" s="3">
        <v>32.549999999999997</v>
      </c>
      <c r="J694" s="3">
        <v>33.125</v>
      </c>
      <c r="K694" s="3">
        <v>32.25</v>
      </c>
      <c r="L694" s="3">
        <v>820.16516602460399</v>
      </c>
    </row>
    <row r="695" spans="1:12" ht="15" customHeight="1" x14ac:dyDescent="0.2">
      <c r="A695" s="2">
        <v>45042</v>
      </c>
      <c r="B695" s="3">
        <v>32.159999999999997</v>
      </c>
      <c r="C695" s="1">
        <v>796145</v>
      </c>
      <c r="D695" s="3">
        <v>0.119999999999997</v>
      </c>
      <c r="E695" s="3">
        <v>0.37453183520599298</v>
      </c>
      <c r="F695" s="3">
        <v>0.37453341018998099</v>
      </c>
      <c r="G695" s="3">
        <v>38.667949999999998</v>
      </c>
      <c r="H695" s="3">
        <v>977.55604577774295</v>
      </c>
      <c r="I695" s="3">
        <v>31.98</v>
      </c>
      <c r="J695" s="3">
        <v>32.7455</v>
      </c>
      <c r="K695" s="3">
        <v>31.98</v>
      </c>
      <c r="L695" s="3">
        <v>796.19962869022504</v>
      </c>
    </row>
    <row r="696" spans="1:12" ht="15" customHeight="1" x14ac:dyDescent="0.2">
      <c r="A696" s="2">
        <v>45041</v>
      </c>
      <c r="B696" s="3">
        <v>32.04</v>
      </c>
      <c r="C696" s="1">
        <v>993146</v>
      </c>
      <c r="D696" s="3">
        <v>-0.56999999999999995</v>
      </c>
      <c r="E696" s="3">
        <v>-1.7479300827966799</v>
      </c>
      <c r="F696" s="3">
        <v>-1.74793730472444</v>
      </c>
      <c r="G696" s="3">
        <v>38.523665999999999</v>
      </c>
      <c r="H696" s="3">
        <v>973.53529741872705</v>
      </c>
      <c r="I696" s="3">
        <v>32.340000000000003</v>
      </c>
      <c r="J696" s="3">
        <v>32.619999999999997</v>
      </c>
      <c r="K696" s="3">
        <v>31.62</v>
      </c>
      <c r="L696" s="3">
        <v>792.85560022496395</v>
      </c>
    </row>
    <row r="697" spans="1:12" ht="15" customHeight="1" x14ac:dyDescent="0.2">
      <c r="A697" s="2">
        <v>45040</v>
      </c>
      <c r="B697" s="3">
        <v>32.61</v>
      </c>
      <c r="C697" s="1">
        <v>1231505</v>
      </c>
      <c r="D697" s="3">
        <v>-0.60999999999999899</v>
      </c>
      <c r="E697" s="3">
        <v>-1.8362432269716999</v>
      </c>
      <c r="F697" s="3">
        <v>-1.8362416631626699</v>
      </c>
      <c r="G697" s="3">
        <v>39.209015000000001</v>
      </c>
      <c r="H697" s="3">
        <v>992.63385212405103</v>
      </c>
      <c r="I697" s="3">
        <v>33.1</v>
      </c>
      <c r="J697" s="3">
        <v>33.28</v>
      </c>
      <c r="K697" s="3">
        <v>32.229999999999997</v>
      </c>
      <c r="L697" s="3">
        <v>808.73973543495799</v>
      </c>
    </row>
    <row r="698" spans="1:12" ht="15" customHeight="1" x14ac:dyDescent="0.2">
      <c r="A698" s="2">
        <v>45037</v>
      </c>
      <c r="B698" s="3">
        <v>33.22</v>
      </c>
      <c r="C698" s="1">
        <v>886636</v>
      </c>
      <c r="D698" s="3">
        <v>0.35000000000000098</v>
      </c>
      <c r="E698" s="3">
        <v>1.0648007301490701</v>
      </c>
      <c r="F698" s="3">
        <v>1.06480689838015</v>
      </c>
      <c r="G698" s="3">
        <v>39.942455000000002</v>
      </c>
      <c r="H698" s="3">
        <v>1013.07255410373</v>
      </c>
      <c r="I698" s="3">
        <v>32.92</v>
      </c>
      <c r="J698" s="3">
        <v>33.585000000000001</v>
      </c>
      <c r="K698" s="3">
        <v>32.619999999999997</v>
      </c>
      <c r="L698" s="3">
        <v>825.73854680004001</v>
      </c>
    </row>
    <row r="699" spans="1:12" ht="15" customHeight="1" x14ac:dyDescent="0.2">
      <c r="A699" s="2">
        <v>45036</v>
      </c>
      <c r="B699" s="3">
        <v>32.869999999999997</v>
      </c>
      <c r="C699" s="1">
        <v>628790</v>
      </c>
      <c r="D699" s="3">
        <v>-5.0000000000004201E-2</v>
      </c>
      <c r="E699" s="3">
        <v>-0.15188335358445801</v>
      </c>
      <c r="F699" s="3">
        <v>-0.151873060658791</v>
      </c>
      <c r="G699" s="3">
        <v>39.521625999999998</v>
      </c>
      <c r="H699" s="3">
        <v>1001.345352812</v>
      </c>
      <c r="I699" s="3">
        <v>32.729999999999997</v>
      </c>
      <c r="J699" s="3">
        <v>33.115000000000002</v>
      </c>
      <c r="K699" s="3">
        <v>32.549999999999997</v>
      </c>
      <c r="L699" s="3">
        <v>815.98513044302604</v>
      </c>
    </row>
    <row r="700" spans="1:12" ht="15" customHeight="1" x14ac:dyDescent="0.2">
      <c r="A700" s="2">
        <v>45035</v>
      </c>
      <c r="B700" s="3">
        <v>32.92</v>
      </c>
      <c r="C700" s="1">
        <v>862878</v>
      </c>
      <c r="D700" s="3">
        <v>6.0000000000002197E-2</v>
      </c>
      <c r="E700" s="3">
        <v>0.182592818015825</v>
      </c>
      <c r="F700" s="3">
        <v>0.18257585718715</v>
      </c>
      <c r="G700" s="3">
        <v>39.581740000000003</v>
      </c>
      <c r="H700" s="3">
        <v>1003.02054387167</v>
      </c>
      <c r="I700" s="3">
        <v>32.6</v>
      </c>
      <c r="J700" s="3">
        <v>33.204999999999998</v>
      </c>
      <c r="K700" s="3">
        <v>32.53</v>
      </c>
      <c r="L700" s="3">
        <v>817.37847563688501</v>
      </c>
    </row>
    <row r="701" spans="1:12" ht="15" customHeight="1" x14ac:dyDescent="0.2">
      <c r="A701" s="2">
        <v>45034</v>
      </c>
      <c r="B701" s="3">
        <v>32.86</v>
      </c>
      <c r="C701" s="1">
        <v>819216</v>
      </c>
      <c r="D701" s="3">
        <v>0.119999999999997</v>
      </c>
      <c r="E701" s="3">
        <v>0.36652412950517399</v>
      </c>
      <c r="F701" s="3">
        <v>0.36652310376121799</v>
      </c>
      <c r="G701" s="3">
        <v>39.509605000000001</v>
      </c>
      <c r="H701" s="3">
        <v>1001.01036476049</v>
      </c>
      <c r="I701" s="3">
        <v>33.01</v>
      </c>
      <c r="J701" s="3">
        <v>33.31</v>
      </c>
      <c r="K701" s="3">
        <v>32.75</v>
      </c>
      <c r="L701" s="3">
        <v>815.70646140425401</v>
      </c>
    </row>
    <row r="702" spans="1:12" ht="15" customHeight="1" x14ac:dyDescent="0.2">
      <c r="A702" s="2">
        <v>45033</v>
      </c>
      <c r="B702" s="3">
        <v>32.74</v>
      </c>
      <c r="C702" s="1">
        <v>1369041</v>
      </c>
      <c r="D702" s="3">
        <v>7.0000000000000201E-2</v>
      </c>
      <c r="E702" s="3">
        <v>0.21426385062748299</v>
      </c>
      <c r="F702" s="3">
        <v>0.21428089554405</v>
      </c>
      <c r="G702" s="3">
        <v>39.365321999999999</v>
      </c>
      <c r="H702" s="3">
        <v>996.98964426838199</v>
      </c>
      <c r="I702" s="3">
        <v>32.58</v>
      </c>
      <c r="J702" s="3">
        <v>33.08</v>
      </c>
      <c r="K702" s="3">
        <v>32.034999999999997</v>
      </c>
      <c r="L702" s="3">
        <v>812.36243293899201</v>
      </c>
    </row>
    <row r="703" spans="1:12" ht="15" customHeight="1" x14ac:dyDescent="0.2">
      <c r="A703" s="2">
        <v>45030</v>
      </c>
      <c r="B703" s="3">
        <v>32.67</v>
      </c>
      <c r="C703" s="1">
        <v>1435069</v>
      </c>
      <c r="D703" s="3">
        <v>-0.119999999999997</v>
      </c>
      <c r="E703" s="3">
        <v>-0.36596523330282199</v>
      </c>
      <c r="F703" s="3">
        <v>-0.36597691064332799</v>
      </c>
      <c r="G703" s="3">
        <v>39.281149999999997</v>
      </c>
      <c r="H703" s="3">
        <v>994.64403123523198</v>
      </c>
      <c r="I703" s="3">
        <v>32.86</v>
      </c>
      <c r="J703" s="3">
        <v>33.270000000000003</v>
      </c>
      <c r="K703" s="3">
        <v>32.26</v>
      </c>
      <c r="L703" s="3">
        <v>810.41174966758899</v>
      </c>
    </row>
    <row r="704" spans="1:12" ht="15" customHeight="1" x14ac:dyDescent="0.2">
      <c r="A704" s="2">
        <v>45029</v>
      </c>
      <c r="B704" s="3">
        <v>32.79</v>
      </c>
      <c r="C704" s="1">
        <v>1144452</v>
      </c>
      <c r="D704" s="3">
        <v>-0.25999999999999801</v>
      </c>
      <c r="E704" s="3">
        <v>-0.78668683812405105</v>
      </c>
      <c r="F704" s="3">
        <v>-0.78668677568796097</v>
      </c>
      <c r="G704" s="3">
        <v>39.425438</v>
      </c>
      <c r="H704" s="3">
        <v>998.66489106186305</v>
      </c>
      <c r="I704" s="3">
        <v>33.25</v>
      </c>
      <c r="J704" s="3">
        <v>33.450000000000003</v>
      </c>
      <c r="K704" s="3">
        <v>32.652900000000002</v>
      </c>
      <c r="L704" s="3">
        <v>813.75577813285099</v>
      </c>
    </row>
    <row r="705" spans="1:12" ht="15" customHeight="1" x14ac:dyDescent="0.2">
      <c r="A705" s="2">
        <v>45028</v>
      </c>
      <c r="B705" s="3">
        <v>33.049999999999997</v>
      </c>
      <c r="C705" s="1">
        <v>1000682</v>
      </c>
      <c r="D705" s="3">
        <v>-1.58</v>
      </c>
      <c r="E705" s="3">
        <v>-4.5625180479353196</v>
      </c>
      <c r="F705" s="3">
        <v>-4.5625171734047303</v>
      </c>
      <c r="G705" s="3">
        <v>39.738052000000003</v>
      </c>
      <c r="H705" s="3">
        <v>1007.37647535052</v>
      </c>
      <c r="I705" s="3">
        <v>34.89</v>
      </c>
      <c r="J705" s="3">
        <v>34.89</v>
      </c>
      <c r="K705" s="3">
        <v>33.01</v>
      </c>
      <c r="L705" s="3">
        <v>821.00117314091904</v>
      </c>
    </row>
    <row r="706" spans="1:12" ht="15" customHeight="1" x14ac:dyDescent="0.2">
      <c r="A706" s="2">
        <v>45027</v>
      </c>
      <c r="B706" s="3">
        <v>34.630000000000003</v>
      </c>
      <c r="C706" s="1">
        <v>1213053</v>
      </c>
      <c r="D706" s="3">
        <v>0.21</v>
      </c>
      <c r="E706" s="3">
        <v>0.61011040092968605</v>
      </c>
      <c r="F706" s="3">
        <v>0.61011783802185005</v>
      </c>
      <c r="G706" s="3">
        <v>41.637782999999999</v>
      </c>
      <c r="H706" s="3">
        <v>1060.31609652003</v>
      </c>
      <c r="I706" s="3">
        <v>34.17</v>
      </c>
      <c r="J706" s="3">
        <v>35.22</v>
      </c>
      <c r="K706" s="3">
        <v>34.17</v>
      </c>
      <c r="L706" s="3">
        <v>865.03088126686896</v>
      </c>
    </row>
    <row r="707" spans="1:12" ht="15" customHeight="1" x14ac:dyDescent="0.2">
      <c r="A707" s="2">
        <v>45026</v>
      </c>
      <c r="B707" s="3">
        <v>34.42</v>
      </c>
      <c r="C707" s="1">
        <v>2039378</v>
      </c>
      <c r="D707" s="3">
        <v>0.880000000000002</v>
      </c>
      <c r="E707" s="3">
        <v>2.6237328562909998</v>
      </c>
      <c r="F707" s="3">
        <v>2.6237222956906701</v>
      </c>
      <c r="G707" s="3">
        <v>41.385283999999999</v>
      </c>
      <c r="H707" s="3">
        <v>1053.27973115794</v>
      </c>
      <c r="I707" s="3">
        <v>33.69</v>
      </c>
      <c r="J707" s="3">
        <v>34.53</v>
      </c>
      <c r="K707" s="3">
        <v>33.54</v>
      </c>
      <c r="L707" s="3">
        <v>859.17883145266103</v>
      </c>
    </row>
    <row r="708" spans="1:12" ht="15" customHeight="1" x14ac:dyDescent="0.2">
      <c r="A708" s="2">
        <v>45022</v>
      </c>
      <c r="B708" s="3">
        <v>33.54</v>
      </c>
      <c r="C708" s="1">
        <v>1269169</v>
      </c>
      <c r="D708" s="3">
        <v>-0.149999999999998</v>
      </c>
      <c r="E708" s="3">
        <v>-0.44523597506678197</v>
      </c>
      <c r="F708" s="3">
        <v>-0.44522553320910302</v>
      </c>
      <c r="G708" s="3">
        <v>40.327210000000001</v>
      </c>
      <c r="H708" s="3">
        <v>1023.7944847049901</v>
      </c>
      <c r="I708" s="3">
        <v>33.840000000000003</v>
      </c>
      <c r="J708" s="3">
        <v>33.89</v>
      </c>
      <c r="K708" s="3">
        <v>33.25</v>
      </c>
      <c r="L708" s="3">
        <v>834.65595604073906</v>
      </c>
    </row>
    <row r="709" spans="1:12" ht="15" customHeight="1" x14ac:dyDescent="0.2">
      <c r="A709" s="2">
        <v>45021</v>
      </c>
      <c r="B709" s="3">
        <v>33.69</v>
      </c>
      <c r="C709" s="1">
        <v>851755</v>
      </c>
      <c r="D709" s="3">
        <v>-0.80000000000000404</v>
      </c>
      <c r="E709" s="3">
        <v>-2.3195129022905299</v>
      </c>
      <c r="F709" s="3">
        <v>-2.3195288599879502</v>
      </c>
      <c r="G709" s="3">
        <v>40.507559999999998</v>
      </c>
      <c r="H709" s="3">
        <v>1028.82028081924</v>
      </c>
      <c r="I709" s="3">
        <v>34.200000000000003</v>
      </c>
      <c r="J709" s="3">
        <v>34.305</v>
      </c>
      <c r="K709" s="3">
        <v>33.229999999999997</v>
      </c>
      <c r="L709" s="3">
        <v>838.83599162231599</v>
      </c>
    </row>
    <row r="710" spans="1:12" ht="15" customHeight="1" x14ac:dyDescent="0.2">
      <c r="A710" s="2">
        <v>45020</v>
      </c>
      <c r="B710" s="3">
        <v>34.49</v>
      </c>
      <c r="C710" s="1">
        <v>477963</v>
      </c>
      <c r="D710" s="3">
        <v>-0.16999999999999399</v>
      </c>
      <c r="E710" s="3">
        <v>-0.49047893825734301</v>
      </c>
      <c r="F710" s="3">
        <v>-0.49047298360087499</v>
      </c>
      <c r="G710" s="3">
        <v>41.469456000000001</v>
      </c>
      <c r="H710" s="3">
        <v>1055.6253441910901</v>
      </c>
      <c r="I710" s="3">
        <v>34.979999999999997</v>
      </c>
      <c r="J710" s="3">
        <v>35.090000000000003</v>
      </c>
      <c r="K710" s="3">
        <v>34.011000000000003</v>
      </c>
      <c r="L710" s="3">
        <v>861.12951472406303</v>
      </c>
    </row>
    <row r="711" spans="1:12" ht="15" customHeight="1" x14ac:dyDescent="0.2">
      <c r="A711" s="2">
        <v>45019</v>
      </c>
      <c r="B711" s="3">
        <v>34.659999999999997</v>
      </c>
      <c r="C711" s="1">
        <v>944278</v>
      </c>
      <c r="D711" s="3">
        <v>-0.39</v>
      </c>
      <c r="E711" s="3">
        <v>-1.1126961483594899</v>
      </c>
      <c r="F711" s="3">
        <v>-1.11268900126717</v>
      </c>
      <c r="G711" s="3">
        <v>41.673855000000003</v>
      </c>
      <c r="H711" s="3">
        <v>1061.32131147668</v>
      </c>
      <c r="I711" s="3">
        <v>35.091999999999999</v>
      </c>
      <c r="J711" s="3">
        <v>35.22</v>
      </c>
      <c r="K711" s="3">
        <v>34.335000000000001</v>
      </c>
      <c r="L711" s="3">
        <v>865.86688838318503</v>
      </c>
    </row>
    <row r="712" spans="1:12" ht="15" customHeight="1" x14ac:dyDescent="0.2">
      <c r="A712" s="2">
        <v>45016</v>
      </c>
      <c r="B712" s="3">
        <v>35.049999999999997</v>
      </c>
      <c r="C712" s="1">
        <v>705603</v>
      </c>
      <c r="D712" s="3">
        <v>-0.15000000000000499</v>
      </c>
      <c r="E712" s="3">
        <v>-0.42613636363637503</v>
      </c>
      <c r="F712" s="3">
        <v>-0.42614286797786299</v>
      </c>
      <c r="G712" s="3">
        <v>42.142772999999998</v>
      </c>
      <c r="H712" s="3">
        <v>1074.3886043089699</v>
      </c>
      <c r="I712" s="3">
        <v>35.29</v>
      </c>
      <c r="J712" s="3">
        <v>35.53</v>
      </c>
      <c r="K712" s="3">
        <v>34.865000000000002</v>
      </c>
      <c r="L712" s="3">
        <v>876.73498089528596</v>
      </c>
    </row>
    <row r="713" spans="1:12" ht="15" customHeight="1" x14ac:dyDescent="0.2">
      <c r="A713" s="2">
        <v>45015</v>
      </c>
      <c r="B713" s="3">
        <v>35.200000000000003</v>
      </c>
      <c r="C713" s="1">
        <v>559163</v>
      </c>
      <c r="D713" s="3">
        <v>0.160000000000003</v>
      </c>
      <c r="E713" s="3">
        <v>0.45662100456622601</v>
      </c>
      <c r="F713" s="3">
        <v>0.45661894531057101</v>
      </c>
      <c r="G713" s="3">
        <v>42.323129999999999</v>
      </c>
      <c r="H713" s="3">
        <v>1079.41459549154</v>
      </c>
      <c r="I713" s="3">
        <v>35.29</v>
      </c>
      <c r="J713" s="3">
        <v>35.515000000000001</v>
      </c>
      <c r="K713" s="3">
        <v>35.020000000000003</v>
      </c>
      <c r="L713" s="3">
        <v>880.91501647686403</v>
      </c>
    </row>
    <row r="714" spans="1:12" ht="15" customHeight="1" x14ac:dyDescent="0.2">
      <c r="A714" s="2">
        <v>45014</v>
      </c>
      <c r="B714" s="3">
        <v>35.04</v>
      </c>
      <c r="C714" s="1">
        <v>490884</v>
      </c>
      <c r="D714" s="3">
        <v>0.47999999999999599</v>
      </c>
      <c r="E714" s="3">
        <v>1.38888888888888</v>
      </c>
      <c r="F714" s="3">
        <v>1.38888741823215</v>
      </c>
      <c r="G714" s="3">
        <v>42.130752999999999</v>
      </c>
      <c r="H714" s="3">
        <v>1074.0536441243601</v>
      </c>
      <c r="I714" s="3">
        <v>34.950000000000003</v>
      </c>
      <c r="J714" s="3">
        <v>35.04</v>
      </c>
      <c r="K714" s="3">
        <v>34.53</v>
      </c>
      <c r="L714" s="3">
        <v>876.45631185651405</v>
      </c>
    </row>
    <row r="715" spans="1:12" ht="15" customHeight="1" x14ac:dyDescent="0.2">
      <c r="A715" s="2">
        <v>45013</v>
      </c>
      <c r="B715" s="3">
        <v>34.56</v>
      </c>
      <c r="C715" s="1">
        <v>546189</v>
      </c>
      <c r="D715" s="3">
        <v>0.380000000000002</v>
      </c>
      <c r="E715" s="3">
        <v>1.11176126389702</v>
      </c>
      <c r="F715" s="3">
        <v>1.1117675571189201</v>
      </c>
      <c r="G715" s="3">
        <v>41.553620000000002</v>
      </c>
      <c r="H715" s="3">
        <v>1057.9707342890099</v>
      </c>
      <c r="I715" s="3">
        <v>34.200000000000003</v>
      </c>
      <c r="J715" s="3">
        <v>34.78</v>
      </c>
      <c r="K715" s="3">
        <v>34.03</v>
      </c>
      <c r="L715" s="3">
        <v>863.08019799546605</v>
      </c>
    </row>
    <row r="716" spans="1:12" ht="15" customHeight="1" x14ac:dyDescent="0.2">
      <c r="A716" s="2">
        <v>45012</v>
      </c>
      <c r="B716" s="3">
        <v>34.18</v>
      </c>
      <c r="C716" s="1">
        <v>716968</v>
      </c>
      <c r="D716" s="3">
        <v>0.32</v>
      </c>
      <c r="E716" s="3">
        <v>0.94506792675723705</v>
      </c>
      <c r="F716" s="3">
        <v>0.94506119048485204</v>
      </c>
      <c r="G716" s="3">
        <v>41.096719999999998</v>
      </c>
      <c r="H716" s="3">
        <v>1045.2383459075299</v>
      </c>
      <c r="I716" s="3">
        <v>34.33</v>
      </c>
      <c r="J716" s="3">
        <v>34.74</v>
      </c>
      <c r="K716" s="3">
        <v>34</v>
      </c>
      <c r="L716" s="3">
        <v>852.49077452213601</v>
      </c>
    </row>
    <row r="717" spans="1:12" ht="15" customHeight="1" x14ac:dyDescent="0.2">
      <c r="A717" s="2">
        <v>45009</v>
      </c>
      <c r="B717" s="3">
        <v>33.86</v>
      </c>
      <c r="C717" s="1">
        <v>1280773</v>
      </c>
      <c r="D717" s="3">
        <v>-0.35000000000000098</v>
      </c>
      <c r="E717" s="3">
        <v>-1.02309266296405</v>
      </c>
      <c r="F717" s="3">
        <v>-1.0230840164258199</v>
      </c>
      <c r="G717" s="3">
        <v>40.711967000000001</v>
      </c>
      <c r="H717" s="3">
        <v>1034.51647104007</v>
      </c>
      <c r="I717" s="3">
        <v>33.89</v>
      </c>
      <c r="J717" s="3">
        <v>34.29</v>
      </c>
      <c r="K717" s="3">
        <v>33.33</v>
      </c>
      <c r="L717" s="3">
        <v>843.57336528143799</v>
      </c>
    </row>
    <row r="718" spans="1:12" ht="15" customHeight="1" x14ac:dyDescent="0.2">
      <c r="A718" s="2">
        <v>45008</v>
      </c>
      <c r="B718" s="3">
        <v>34.21</v>
      </c>
      <c r="C718" s="1">
        <v>1342339</v>
      </c>
      <c r="D718" s="3">
        <v>-0.28999999999999898</v>
      </c>
      <c r="E718" s="3">
        <v>-0.84057971014492805</v>
      </c>
      <c r="F718" s="3">
        <v>-0.840582432505532</v>
      </c>
      <c r="G718" s="3">
        <v>41.13279</v>
      </c>
      <c r="H718" s="3">
        <v>1046.2435051303801</v>
      </c>
      <c r="I718" s="3">
        <v>34.6</v>
      </c>
      <c r="J718" s="3">
        <v>34.875</v>
      </c>
      <c r="K718" s="3">
        <v>33.17</v>
      </c>
      <c r="L718" s="3">
        <v>853.32678163845196</v>
      </c>
    </row>
    <row r="719" spans="1:12" ht="15" customHeight="1" x14ac:dyDescent="0.2">
      <c r="A719" s="2">
        <v>45007</v>
      </c>
      <c r="B719" s="3">
        <v>34.5</v>
      </c>
      <c r="C719" s="1">
        <v>821247</v>
      </c>
      <c r="D719" s="3">
        <v>9.9999999999980105E-3</v>
      </c>
      <c r="E719" s="3">
        <v>2.8993911278618601E-2</v>
      </c>
      <c r="F719" s="3">
        <v>2.8985188520436099E-2</v>
      </c>
      <c r="G719" s="3">
        <v>41.481476000000001</v>
      </c>
      <c r="H719" s="3">
        <v>1055.9603043756999</v>
      </c>
      <c r="I719" s="3">
        <v>34.46</v>
      </c>
      <c r="J719" s="3">
        <v>35.32</v>
      </c>
      <c r="K719" s="3">
        <v>34.32</v>
      </c>
      <c r="L719" s="3">
        <v>861.40818376283505</v>
      </c>
    </row>
    <row r="720" spans="1:12" ht="15" customHeight="1" x14ac:dyDescent="0.2">
      <c r="A720" s="2">
        <v>45006</v>
      </c>
      <c r="B720" s="3">
        <v>34.49</v>
      </c>
      <c r="C720" s="1">
        <v>1102544</v>
      </c>
      <c r="D720" s="3">
        <v>0.12000000000000401</v>
      </c>
      <c r="E720" s="3">
        <v>0.34914169333721801</v>
      </c>
      <c r="F720" s="3">
        <v>0.349147988985887</v>
      </c>
      <c r="G720" s="3">
        <v>41.469456000000001</v>
      </c>
      <c r="H720" s="3">
        <v>1055.6253441910901</v>
      </c>
      <c r="I720" s="3">
        <v>34.869999999999997</v>
      </c>
      <c r="J720" s="3">
        <v>35.409999999999997</v>
      </c>
      <c r="K720" s="3">
        <v>34.325000000000003</v>
      </c>
      <c r="L720" s="3">
        <v>861.12951472406303</v>
      </c>
    </row>
    <row r="721" spans="1:12" ht="15" customHeight="1" x14ac:dyDescent="0.2">
      <c r="A721" s="2">
        <v>45005</v>
      </c>
      <c r="B721" s="3">
        <v>34.369999999999997</v>
      </c>
      <c r="C721" s="1">
        <v>974422</v>
      </c>
      <c r="D721" s="3">
        <v>-1.07</v>
      </c>
      <c r="E721" s="3">
        <v>-3.0191873589164699</v>
      </c>
      <c r="F721" s="3">
        <v>-3.0191806033339099</v>
      </c>
      <c r="G721" s="3">
        <v>41.32517</v>
      </c>
      <c r="H721" s="3">
        <v>1051.60454009827</v>
      </c>
      <c r="I721" s="3">
        <v>35.42</v>
      </c>
      <c r="J721" s="3">
        <v>35.65</v>
      </c>
      <c r="K721" s="3">
        <v>34.14</v>
      </c>
      <c r="L721" s="3">
        <v>857.78548625880103</v>
      </c>
    </row>
    <row r="722" spans="1:12" ht="15" customHeight="1" x14ac:dyDescent="0.2">
      <c r="A722" s="2">
        <v>45002</v>
      </c>
      <c r="B722" s="3">
        <v>35.44</v>
      </c>
      <c r="C722" s="1">
        <v>1247585</v>
      </c>
      <c r="D722" s="3">
        <v>-0.60999999999999899</v>
      </c>
      <c r="E722" s="3">
        <v>-1.69209431345354</v>
      </c>
      <c r="F722" s="3">
        <v>-1.6920953181942899</v>
      </c>
      <c r="G722" s="3">
        <v>42.611694</v>
      </c>
      <c r="H722" s="3">
        <v>1087.45598074196</v>
      </c>
      <c r="I722" s="3">
        <v>35.78</v>
      </c>
      <c r="J722" s="3">
        <v>35.880000000000003</v>
      </c>
      <c r="K722" s="3">
        <v>34.869999999999997</v>
      </c>
      <c r="L722" s="3">
        <v>887.60307340738802</v>
      </c>
    </row>
    <row r="723" spans="1:12" ht="15" customHeight="1" x14ac:dyDescent="0.2">
      <c r="A723" s="2">
        <v>45001</v>
      </c>
      <c r="B723" s="3">
        <v>36.049999999999997</v>
      </c>
      <c r="C723" s="1">
        <v>1059633</v>
      </c>
      <c r="D723" s="3">
        <v>1.39</v>
      </c>
      <c r="E723" s="3">
        <v>4.0103866128101604</v>
      </c>
      <c r="F723" s="3">
        <v>4.0103801292201</v>
      </c>
      <c r="G723" s="3">
        <v>43.345134999999999</v>
      </c>
      <c r="H723" s="3">
        <v>1107.89471058854</v>
      </c>
      <c r="I723" s="3">
        <v>34.159999999999997</v>
      </c>
      <c r="J723" s="3">
        <v>36.07</v>
      </c>
      <c r="K723" s="3">
        <v>33.9</v>
      </c>
      <c r="L723" s="3">
        <v>904.60188477247004</v>
      </c>
    </row>
    <row r="724" spans="1:12" ht="15" customHeight="1" x14ac:dyDescent="0.2">
      <c r="A724" s="2">
        <v>45000</v>
      </c>
      <c r="B724" s="3">
        <v>34.659999999999997</v>
      </c>
      <c r="C724" s="1">
        <v>874790</v>
      </c>
      <c r="D724" s="3">
        <v>0.46999999999999797</v>
      </c>
      <c r="E724" s="3">
        <v>1.3746709564200099</v>
      </c>
      <c r="F724" s="3">
        <v>1.3746833398445399</v>
      </c>
      <c r="G724" s="3">
        <v>41.673855000000003</v>
      </c>
      <c r="H724" s="3">
        <v>1061.32131147668</v>
      </c>
      <c r="I724" s="3">
        <v>33.58</v>
      </c>
      <c r="J724" s="3">
        <v>34.82</v>
      </c>
      <c r="K724" s="3">
        <v>33.4</v>
      </c>
      <c r="L724" s="3">
        <v>865.86688838318503</v>
      </c>
    </row>
    <row r="725" spans="1:12" ht="15" customHeight="1" x14ac:dyDescent="0.2">
      <c r="A725" s="2">
        <v>44999</v>
      </c>
      <c r="B725" s="3">
        <v>34.19</v>
      </c>
      <c r="C725" s="1">
        <v>871002</v>
      </c>
      <c r="D725" s="3">
        <v>-0.160000000000003</v>
      </c>
      <c r="E725" s="3">
        <v>-0.46579330422126197</v>
      </c>
      <c r="F725" s="3">
        <v>-0.46579850619062801</v>
      </c>
      <c r="G725" s="3">
        <v>41.108739999999997</v>
      </c>
      <c r="H725" s="3">
        <v>1045.57330609213</v>
      </c>
      <c r="I725" s="3">
        <v>35.090000000000003</v>
      </c>
      <c r="J725" s="3">
        <v>35.47</v>
      </c>
      <c r="K725" s="3">
        <v>33.81</v>
      </c>
      <c r="L725" s="3">
        <v>852.76944356090803</v>
      </c>
    </row>
    <row r="726" spans="1:12" ht="15" customHeight="1" x14ac:dyDescent="0.2">
      <c r="A726" s="2">
        <v>44998</v>
      </c>
      <c r="B726" s="3">
        <v>34.35</v>
      </c>
      <c r="C726" s="1">
        <v>1087133</v>
      </c>
      <c r="D726" s="3">
        <v>-0.47999999999999599</v>
      </c>
      <c r="E726" s="3">
        <v>-1.3781223083548499</v>
      </c>
      <c r="F726" s="3">
        <v>-1.37813277715611</v>
      </c>
      <c r="G726" s="3">
        <v>41.301119999999997</v>
      </c>
      <c r="H726" s="3">
        <v>1050.93434106002</v>
      </c>
      <c r="I726" s="3">
        <v>34.17</v>
      </c>
      <c r="J726" s="3">
        <v>34.67</v>
      </c>
      <c r="K726" s="3">
        <v>33.29</v>
      </c>
      <c r="L726" s="3">
        <v>857.22814818125801</v>
      </c>
    </row>
    <row r="727" spans="1:12" ht="15" customHeight="1" x14ac:dyDescent="0.2">
      <c r="A727" s="2">
        <v>44995</v>
      </c>
      <c r="B727" s="3">
        <v>34.83</v>
      </c>
      <c r="C727" s="1">
        <v>889394</v>
      </c>
      <c r="D727" s="3">
        <v>-1.19</v>
      </c>
      <c r="E727" s="3">
        <v>-3.3037201554691902</v>
      </c>
      <c r="F727" s="3">
        <v>-3.30371697917204</v>
      </c>
      <c r="G727" s="3">
        <v>41.878258000000002</v>
      </c>
      <c r="H727" s="3">
        <v>1067.01739022989</v>
      </c>
      <c r="I727" s="3">
        <v>35.880000000000003</v>
      </c>
      <c r="J727" s="3">
        <v>35.979900000000001</v>
      </c>
      <c r="K727" s="3">
        <v>34.64</v>
      </c>
      <c r="L727" s="3">
        <v>870.604262042306</v>
      </c>
    </row>
    <row r="728" spans="1:12" ht="15" customHeight="1" x14ac:dyDescent="0.2">
      <c r="A728" s="2">
        <v>44994</v>
      </c>
      <c r="B728" s="3">
        <v>36.020000000000003</v>
      </c>
      <c r="C728" s="1">
        <v>969048</v>
      </c>
      <c r="D728" s="3">
        <v>-0.91999999999999404</v>
      </c>
      <c r="E728" s="3">
        <v>-2.4905251759609999</v>
      </c>
      <c r="F728" s="3">
        <v>-2.4905191882686499</v>
      </c>
      <c r="G728" s="3">
        <v>43.309066999999999</v>
      </c>
      <c r="H728" s="3">
        <v>1106.8896070994999</v>
      </c>
      <c r="I728" s="3">
        <v>36.979999999999997</v>
      </c>
      <c r="J728" s="3">
        <v>37.22</v>
      </c>
      <c r="K728" s="3">
        <v>35.979999999999997</v>
      </c>
      <c r="L728" s="3">
        <v>903.76587765615398</v>
      </c>
    </row>
    <row r="729" spans="1:12" ht="15" customHeight="1" x14ac:dyDescent="0.2">
      <c r="A729" s="2">
        <v>44993</v>
      </c>
      <c r="B729" s="3">
        <v>36.94</v>
      </c>
      <c r="C729" s="1">
        <v>700059</v>
      </c>
      <c r="D729" s="3">
        <v>0.32999999999999802</v>
      </c>
      <c r="E729" s="3">
        <v>0.90139306200491798</v>
      </c>
      <c r="F729" s="3">
        <v>0.90138773596350996</v>
      </c>
      <c r="G729" s="3">
        <v>44.415236999999998</v>
      </c>
      <c r="H729" s="3">
        <v>1137.7151401613301</v>
      </c>
      <c r="I729" s="3">
        <v>36.85</v>
      </c>
      <c r="J729" s="3">
        <v>36.950000000000003</v>
      </c>
      <c r="K729" s="3">
        <v>36.200000000000003</v>
      </c>
      <c r="L729" s="3">
        <v>929.40342922316302</v>
      </c>
    </row>
    <row r="730" spans="1:12" ht="15" customHeight="1" x14ac:dyDescent="0.2">
      <c r="A730" s="2">
        <v>44992</v>
      </c>
      <c r="B730" s="3">
        <v>36.61</v>
      </c>
      <c r="C730" s="1">
        <v>889158</v>
      </c>
      <c r="D730" s="3">
        <v>-0.28000000000000103</v>
      </c>
      <c r="E730" s="3">
        <v>-0.75901328273244495</v>
      </c>
      <c r="F730" s="3">
        <v>-2.7108545651066601E-2</v>
      </c>
      <c r="G730" s="3">
        <v>44.018459999999997</v>
      </c>
      <c r="H730" s="3">
        <v>1126.6581936416501</v>
      </c>
      <c r="I730" s="3">
        <v>36.61</v>
      </c>
      <c r="J730" s="3">
        <v>37.28</v>
      </c>
      <c r="K730" s="3">
        <v>36.229999999999997</v>
      </c>
      <c r="L730" s="3">
        <v>920.20735094369297</v>
      </c>
    </row>
    <row r="731" spans="1:12" ht="15" customHeight="1" x14ac:dyDescent="0.2">
      <c r="A731" s="2">
        <v>44991</v>
      </c>
      <c r="B731" s="3">
        <v>36.89</v>
      </c>
      <c r="C731" s="1">
        <v>1371060</v>
      </c>
      <c r="D731" s="3">
        <v>-0.64999999999999802</v>
      </c>
      <c r="E731" s="3">
        <v>-1.7314864144912001</v>
      </c>
      <c r="F731" s="3">
        <v>-1.7314876665533501</v>
      </c>
      <c r="G731" s="3">
        <v>44.030396000000003</v>
      </c>
      <c r="H731" s="3">
        <v>1126.99081300633</v>
      </c>
      <c r="I731" s="3">
        <v>37.85</v>
      </c>
      <c r="J731" s="3">
        <v>37.85</v>
      </c>
      <c r="K731" s="3">
        <v>36.26</v>
      </c>
      <c r="L731" s="3">
        <v>928.01008402930404</v>
      </c>
    </row>
    <row r="732" spans="1:12" ht="15" customHeight="1" x14ac:dyDescent="0.2">
      <c r="A732" s="2">
        <v>44988</v>
      </c>
      <c r="B732" s="3">
        <v>37.54</v>
      </c>
      <c r="C732" s="1">
        <v>1001561</v>
      </c>
      <c r="D732" s="3">
        <v>-1.17</v>
      </c>
      <c r="E732" s="3">
        <v>-3.0224748127098899</v>
      </c>
      <c r="F732" s="3">
        <v>-3.0224660176565501</v>
      </c>
      <c r="G732" s="3">
        <v>44.80621</v>
      </c>
      <c r="H732" s="3">
        <v>1148.6103471709</v>
      </c>
      <c r="I732" s="3">
        <v>38.93</v>
      </c>
      <c r="J732" s="3">
        <v>38.93</v>
      </c>
      <c r="K732" s="3">
        <v>37.42</v>
      </c>
      <c r="L732" s="3">
        <v>946.12357154947404</v>
      </c>
    </row>
    <row r="733" spans="1:12" ht="15" customHeight="1" x14ac:dyDescent="0.2">
      <c r="A733" s="2">
        <v>44987</v>
      </c>
      <c r="B733" s="3">
        <v>38.71</v>
      </c>
      <c r="C733" s="1">
        <v>580629</v>
      </c>
      <c r="D733" s="3">
        <v>0.53000000000000103</v>
      </c>
      <c r="E733" s="3">
        <v>1.3881613410162399</v>
      </c>
      <c r="F733" s="3">
        <v>1.38815403183232</v>
      </c>
      <c r="G733" s="3">
        <v>46.202669999999998</v>
      </c>
      <c r="H733" s="3">
        <v>1187.52536375923</v>
      </c>
      <c r="I733" s="3">
        <v>38.22</v>
      </c>
      <c r="J733" s="3">
        <v>38.950000000000003</v>
      </c>
      <c r="K733" s="3">
        <v>37.83</v>
      </c>
      <c r="L733" s="3">
        <v>978.72784908577796</v>
      </c>
    </row>
    <row r="734" spans="1:12" ht="15" customHeight="1" x14ac:dyDescent="0.2">
      <c r="A734" s="2">
        <v>44986</v>
      </c>
      <c r="B734" s="3">
        <v>38.18</v>
      </c>
      <c r="C734" s="1">
        <v>673250</v>
      </c>
      <c r="D734" s="3">
        <v>0.74000000000000199</v>
      </c>
      <c r="E734" s="3">
        <v>1.9764957264957399</v>
      </c>
      <c r="F734" s="3">
        <v>1.97650315473121</v>
      </c>
      <c r="G734" s="3">
        <v>45.570087000000001</v>
      </c>
      <c r="H734" s="3">
        <v>1169.89723410389</v>
      </c>
      <c r="I734" s="3">
        <v>37.270000000000003</v>
      </c>
      <c r="J734" s="3">
        <v>38.340000000000003</v>
      </c>
      <c r="K734" s="3">
        <v>37.020000000000003</v>
      </c>
      <c r="L734" s="3">
        <v>963.95839003087099</v>
      </c>
    </row>
    <row r="735" spans="1:12" ht="15" customHeight="1" x14ac:dyDescent="0.2">
      <c r="A735" s="2">
        <v>44985</v>
      </c>
      <c r="B735" s="3">
        <v>37.44</v>
      </c>
      <c r="C735" s="1">
        <v>788144</v>
      </c>
      <c r="D735" s="3">
        <v>-0.20000000000000201</v>
      </c>
      <c r="E735" s="3">
        <v>-0.53134962805526598</v>
      </c>
      <c r="F735" s="3">
        <v>-0.53135448672386698</v>
      </c>
      <c r="G735" s="3">
        <v>44.68685</v>
      </c>
      <c r="H735" s="3">
        <v>1145.28415352412</v>
      </c>
      <c r="I735" s="3">
        <v>37.67</v>
      </c>
      <c r="J735" s="3">
        <v>38.340000000000003</v>
      </c>
      <c r="K735" s="3">
        <v>37.409999999999997</v>
      </c>
      <c r="L735" s="3">
        <v>943.33688116175495</v>
      </c>
    </row>
    <row r="736" spans="1:12" ht="15" customHeight="1" x14ac:dyDescent="0.2">
      <c r="A736" s="2">
        <v>44984</v>
      </c>
      <c r="B736" s="3">
        <v>37.64</v>
      </c>
      <c r="C736" s="1">
        <v>683397</v>
      </c>
      <c r="D736" s="3">
        <v>-0.72999999999999599</v>
      </c>
      <c r="E736" s="3">
        <v>-1.9025280166796901</v>
      </c>
      <c r="F736" s="3">
        <v>-1.90253201616599</v>
      </c>
      <c r="G736" s="3">
        <v>44.925564000000001</v>
      </c>
      <c r="H736" s="3">
        <v>1151.93637361626</v>
      </c>
      <c r="I736" s="3">
        <v>38.64</v>
      </c>
      <c r="J736" s="3">
        <v>38.82</v>
      </c>
      <c r="K736" s="3">
        <v>37.53</v>
      </c>
      <c r="L736" s="3">
        <v>948.91026193719199</v>
      </c>
    </row>
    <row r="737" spans="1:12" ht="15" customHeight="1" x14ac:dyDescent="0.2">
      <c r="A737" s="2">
        <v>44981</v>
      </c>
      <c r="B737" s="3">
        <v>38.369999999999997</v>
      </c>
      <c r="C737" s="1">
        <v>1286398</v>
      </c>
      <c r="D737" s="3">
        <v>-0.23000000000000301</v>
      </c>
      <c r="E737" s="3">
        <v>-0.59585492227980297</v>
      </c>
      <c r="F737" s="3">
        <v>-0.59584931035275801</v>
      </c>
      <c r="G737" s="3">
        <v>45.796863999999999</v>
      </c>
      <c r="H737" s="3">
        <v>1176.2168069644499</v>
      </c>
      <c r="I737" s="3">
        <v>38.14</v>
      </c>
      <c r="J737" s="3">
        <v>39.340000000000003</v>
      </c>
      <c r="K737" s="3">
        <v>38</v>
      </c>
      <c r="L737" s="3">
        <v>969.25310176753601</v>
      </c>
    </row>
    <row r="738" spans="1:12" ht="15" customHeight="1" x14ac:dyDescent="0.2">
      <c r="A738" s="2">
        <v>44980</v>
      </c>
      <c r="B738" s="3">
        <v>38.6</v>
      </c>
      <c r="C738" s="1">
        <v>1747624</v>
      </c>
      <c r="D738" s="3">
        <v>-2.0799999999999899</v>
      </c>
      <c r="E738" s="3">
        <v>-5.1130776794493498</v>
      </c>
      <c r="F738" s="3">
        <v>-5.1130838156109402</v>
      </c>
      <c r="G738" s="3">
        <v>46.071379999999998</v>
      </c>
      <c r="H738" s="3">
        <v>1183.8667179491999</v>
      </c>
      <c r="I738" s="3">
        <v>40.25</v>
      </c>
      <c r="J738" s="3">
        <v>40.85</v>
      </c>
      <c r="K738" s="3">
        <v>37.981099999999998</v>
      </c>
      <c r="L738" s="3">
        <v>975.66248965928798</v>
      </c>
    </row>
    <row r="739" spans="1:12" ht="15" customHeight="1" x14ac:dyDescent="0.2">
      <c r="A739" s="2">
        <v>44979</v>
      </c>
      <c r="B739" s="3">
        <v>40.68</v>
      </c>
      <c r="C739" s="1">
        <v>1561517</v>
      </c>
      <c r="D739" s="3">
        <v>0.90999999999999603</v>
      </c>
      <c r="E739" s="3">
        <v>2.2881569021875698</v>
      </c>
      <c r="F739" s="3">
        <v>2.28815944165656</v>
      </c>
      <c r="G739" s="3">
        <v>48.553986000000002</v>
      </c>
      <c r="H739" s="3">
        <v>1253.04926071612</v>
      </c>
      <c r="I739" s="3">
        <v>39.89</v>
      </c>
      <c r="J739" s="3">
        <v>40.81</v>
      </c>
      <c r="K739" s="3">
        <v>39.69</v>
      </c>
      <c r="L739" s="3">
        <v>1033.6256497238301</v>
      </c>
    </row>
    <row r="740" spans="1:12" ht="15" customHeight="1" x14ac:dyDescent="0.2">
      <c r="A740" s="2">
        <v>44978</v>
      </c>
      <c r="B740" s="3">
        <v>39.770000000000003</v>
      </c>
      <c r="C740" s="1">
        <v>1456043</v>
      </c>
      <c r="D740" s="3">
        <v>-0.32999999999999802</v>
      </c>
      <c r="E740" s="3">
        <v>-0.82294264339152201</v>
      </c>
      <c r="F740" s="3">
        <v>-0.82294159089977204</v>
      </c>
      <c r="G740" s="3">
        <v>47.467846000000002</v>
      </c>
      <c r="H740" s="3">
        <v>1222.78190173895</v>
      </c>
      <c r="I740" s="3">
        <v>39.79</v>
      </c>
      <c r="J740" s="3">
        <v>40.64</v>
      </c>
      <c r="K740" s="3">
        <v>38.93</v>
      </c>
      <c r="L740" s="3">
        <v>1008.26676719559</v>
      </c>
    </row>
    <row r="741" spans="1:12" ht="15" customHeight="1" x14ac:dyDescent="0.2">
      <c r="A741" s="2">
        <v>44974</v>
      </c>
      <c r="B741" s="3">
        <v>40.1</v>
      </c>
      <c r="C741" s="1">
        <v>1749901</v>
      </c>
      <c r="D741" s="3">
        <v>-0.32</v>
      </c>
      <c r="E741" s="3">
        <v>-0.79168728352301199</v>
      </c>
      <c r="F741" s="3">
        <v>-0.79168129380576802</v>
      </c>
      <c r="G741" s="3">
        <v>47.861719999999998</v>
      </c>
      <c r="H741" s="3">
        <v>1233.7579506366701</v>
      </c>
      <c r="I741" s="3">
        <v>40.42</v>
      </c>
      <c r="J741" s="3">
        <v>40.42</v>
      </c>
      <c r="K741" s="3">
        <v>39.450000000000003</v>
      </c>
      <c r="L741" s="3">
        <v>1017.46284547506</v>
      </c>
    </row>
    <row r="742" spans="1:12" ht="15" customHeight="1" x14ac:dyDescent="0.2">
      <c r="A742" s="2">
        <v>44973</v>
      </c>
      <c r="B742" s="3">
        <v>40.42</v>
      </c>
      <c r="C742" s="1">
        <v>1485075</v>
      </c>
      <c r="D742" s="3">
        <v>1.7</v>
      </c>
      <c r="E742" s="3">
        <v>4.3904958677685997</v>
      </c>
      <c r="F742" s="3">
        <v>4.3904860389387599</v>
      </c>
      <c r="G742" s="3">
        <v>48.243656000000001</v>
      </c>
      <c r="H742" s="3">
        <v>1244.4013244359101</v>
      </c>
      <c r="I742" s="3">
        <v>38.5</v>
      </c>
      <c r="J742" s="3">
        <v>41.08</v>
      </c>
      <c r="K742" s="3">
        <v>38.299999999999997</v>
      </c>
      <c r="L742" s="3">
        <v>1026.38025471576</v>
      </c>
    </row>
    <row r="743" spans="1:12" ht="15" customHeight="1" x14ac:dyDescent="0.2">
      <c r="A743" s="2">
        <v>44972</v>
      </c>
      <c r="B743" s="3">
        <v>38.72</v>
      </c>
      <c r="C743" s="1">
        <v>818293</v>
      </c>
      <c r="D743" s="3">
        <v>0.17999999999999899</v>
      </c>
      <c r="E743" s="3">
        <v>0.46704722366373003</v>
      </c>
      <c r="F743" s="3">
        <v>0.467045813489952</v>
      </c>
      <c r="G743" s="3">
        <v>46.21461</v>
      </c>
      <c r="H743" s="3">
        <v>1187.8580945915301</v>
      </c>
      <c r="I743" s="3">
        <v>38.450000000000003</v>
      </c>
      <c r="J743" s="3">
        <v>39.075000000000003</v>
      </c>
      <c r="K743" s="3">
        <v>38.108400000000003</v>
      </c>
      <c r="L743" s="3">
        <v>979.00651812454998</v>
      </c>
    </row>
    <row r="744" spans="1:12" ht="15" customHeight="1" x14ac:dyDescent="0.2">
      <c r="A744" s="2">
        <v>44971</v>
      </c>
      <c r="B744" s="3">
        <v>38.54</v>
      </c>
      <c r="C744" s="1">
        <v>898590</v>
      </c>
      <c r="D744" s="3">
        <v>-2.0000000000003099E-2</v>
      </c>
      <c r="E744" s="3">
        <v>-5.1867219917023297E-2</v>
      </c>
      <c r="F744" s="3">
        <v>-5.18711654355574E-2</v>
      </c>
      <c r="G744" s="3">
        <v>45.999769999999998</v>
      </c>
      <c r="H744" s="3">
        <v>1181.87116896255</v>
      </c>
      <c r="I744" s="3">
        <v>38.42</v>
      </c>
      <c r="J744" s="3">
        <v>38.655000000000001</v>
      </c>
      <c r="K744" s="3">
        <v>37.54</v>
      </c>
      <c r="L744" s="3">
        <v>973.99047542665699</v>
      </c>
    </row>
    <row r="745" spans="1:12" ht="15" customHeight="1" x14ac:dyDescent="0.2">
      <c r="A745" s="2">
        <v>44970</v>
      </c>
      <c r="B745" s="3">
        <v>38.56</v>
      </c>
      <c r="C745" s="1">
        <v>645496</v>
      </c>
      <c r="D745" s="3">
        <v>0.82</v>
      </c>
      <c r="E745" s="3">
        <v>2.1727609962904002</v>
      </c>
      <c r="F745" s="3">
        <v>2.17277109161255</v>
      </c>
      <c r="G745" s="3">
        <v>46.023643</v>
      </c>
      <c r="H745" s="3">
        <v>1182.5364355588099</v>
      </c>
      <c r="I745" s="3">
        <v>37.729999999999997</v>
      </c>
      <c r="J745" s="3">
        <v>38.6</v>
      </c>
      <c r="K745" s="3">
        <v>37.44</v>
      </c>
      <c r="L745" s="3">
        <v>974.54781350420103</v>
      </c>
    </row>
    <row r="746" spans="1:12" ht="15" customHeight="1" x14ac:dyDescent="0.2">
      <c r="A746" s="2">
        <v>44967</v>
      </c>
      <c r="B746" s="3">
        <v>37.74</v>
      </c>
      <c r="C746" s="1">
        <v>612577</v>
      </c>
      <c r="D746" s="3">
        <v>-0.19999999999999499</v>
      </c>
      <c r="E746" s="3">
        <v>-0.52714812862413296</v>
      </c>
      <c r="F746" s="3">
        <v>-0.52714413575061203</v>
      </c>
      <c r="G746" s="3">
        <v>45.044919999999998</v>
      </c>
      <c r="H746" s="3">
        <v>1155.26245579542</v>
      </c>
      <c r="I746" s="3">
        <v>37.65</v>
      </c>
      <c r="J746" s="3">
        <v>37.869999999999997</v>
      </c>
      <c r="K746" s="3">
        <v>36.909999999999997</v>
      </c>
      <c r="L746" s="3">
        <v>951.69695232490994</v>
      </c>
    </row>
    <row r="747" spans="1:12" ht="15" customHeight="1" x14ac:dyDescent="0.2">
      <c r="A747" s="2">
        <v>44966</v>
      </c>
      <c r="B747" s="3">
        <v>37.94</v>
      </c>
      <c r="C747" s="1">
        <v>595460</v>
      </c>
      <c r="D747" s="3">
        <v>-0.219999999999998</v>
      </c>
      <c r="E747" s="3">
        <v>-0.57651991614255904</v>
      </c>
      <c r="F747" s="3">
        <v>-0.57652430613607197</v>
      </c>
      <c r="G747" s="3">
        <v>45.283630000000002</v>
      </c>
      <c r="H747" s="3">
        <v>1161.91456441994</v>
      </c>
      <c r="I747" s="3">
        <v>38.520000000000003</v>
      </c>
      <c r="J747" s="3">
        <v>38.96</v>
      </c>
      <c r="K747" s="3">
        <v>37.92</v>
      </c>
      <c r="L747" s="3">
        <v>957.27033310034699</v>
      </c>
    </row>
    <row r="748" spans="1:12" ht="15" customHeight="1" x14ac:dyDescent="0.2">
      <c r="A748" s="2">
        <v>44965</v>
      </c>
      <c r="B748" s="3">
        <v>38.159999999999997</v>
      </c>
      <c r="C748" s="1">
        <v>850213</v>
      </c>
      <c r="D748" s="3">
        <v>-1.32</v>
      </c>
      <c r="E748" s="3">
        <v>-3.3434650455927</v>
      </c>
      <c r="F748" s="3">
        <v>-3.3434711927723599</v>
      </c>
      <c r="G748" s="3">
        <v>45.546214999999997</v>
      </c>
      <c r="H748" s="3">
        <v>1169.23199537453</v>
      </c>
      <c r="I748" s="3">
        <v>39.39</v>
      </c>
      <c r="J748" s="3">
        <v>39.414999999999999</v>
      </c>
      <c r="K748" s="3">
        <v>37.89</v>
      </c>
      <c r="L748" s="3">
        <v>963.40105195332706</v>
      </c>
    </row>
    <row r="749" spans="1:12" ht="15" customHeight="1" x14ac:dyDescent="0.2">
      <c r="A749" s="2">
        <v>44964</v>
      </c>
      <c r="B749" s="3">
        <v>39.479999999999997</v>
      </c>
      <c r="C749" s="1">
        <v>640282</v>
      </c>
      <c r="D749" s="3">
        <v>0.13999999999999299</v>
      </c>
      <c r="E749" s="3">
        <v>0.35587188612098403</v>
      </c>
      <c r="F749" s="3">
        <v>0.355873417091223</v>
      </c>
      <c r="G749" s="3">
        <v>47.121715999999999</v>
      </c>
      <c r="H749" s="3">
        <v>1213.13633029994</v>
      </c>
      <c r="I749" s="3">
        <v>39.28</v>
      </c>
      <c r="J749" s="3">
        <v>39.619999999999997</v>
      </c>
      <c r="K749" s="3">
        <v>38.44</v>
      </c>
      <c r="L749" s="3">
        <v>1000.18536507121</v>
      </c>
    </row>
    <row r="750" spans="1:12" ht="15" customHeight="1" x14ac:dyDescent="0.2">
      <c r="A750" s="2">
        <v>44963</v>
      </c>
      <c r="B750" s="3">
        <v>39.340000000000003</v>
      </c>
      <c r="C750" s="1">
        <v>883156</v>
      </c>
      <c r="D750" s="3">
        <v>-0.109999999999999</v>
      </c>
      <c r="E750" s="3">
        <v>-0.278833967046898</v>
      </c>
      <c r="F750" s="3">
        <v>-0.27883077626602498</v>
      </c>
      <c r="G750" s="3">
        <v>46.954616999999999</v>
      </c>
      <c r="H750" s="3">
        <v>1208.4797985289699</v>
      </c>
      <c r="I750" s="3">
        <v>39.07</v>
      </c>
      <c r="J750" s="3">
        <v>39.68</v>
      </c>
      <c r="K750" s="3">
        <v>38.880000000000003</v>
      </c>
      <c r="L750" s="3">
        <v>996.28399852840403</v>
      </c>
    </row>
    <row r="751" spans="1:12" ht="15" customHeight="1" x14ac:dyDescent="0.2">
      <c r="A751" s="2">
        <v>44960</v>
      </c>
      <c r="B751" s="3">
        <v>39.450000000000003</v>
      </c>
      <c r="C751" s="1">
        <v>1070597</v>
      </c>
      <c r="D751" s="3">
        <v>-0.87999999999999501</v>
      </c>
      <c r="E751" s="3">
        <v>-2.1819985122737302</v>
      </c>
      <c r="F751" s="3">
        <v>-2.1820045694468702</v>
      </c>
      <c r="G751" s="3">
        <v>47.085906999999999</v>
      </c>
      <c r="H751" s="3">
        <v>1212.138444339</v>
      </c>
      <c r="I751" s="3">
        <v>39.85</v>
      </c>
      <c r="J751" s="3">
        <v>40.262500000000003</v>
      </c>
      <c r="K751" s="3">
        <v>39.015599999999999</v>
      </c>
      <c r="L751" s="3">
        <v>999.349357954894</v>
      </c>
    </row>
    <row r="752" spans="1:12" ht="15" customHeight="1" x14ac:dyDescent="0.2">
      <c r="A752" s="2">
        <v>44959</v>
      </c>
      <c r="B752" s="3">
        <v>40.33</v>
      </c>
      <c r="C752" s="1">
        <v>1215598</v>
      </c>
      <c r="D752" s="3">
        <v>1.68999999999999</v>
      </c>
      <c r="E752" s="3">
        <v>4.3737060041407698</v>
      </c>
      <c r="F752" s="3">
        <v>4.3737104726076304</v>
      </c>
      <c r="G752" s="3">
        <v>48.136242000000003</v>
      </c>
      <c r="H752" s="3">
        <v>1241.4080288228499</v>
      </c>
      <c r="I752" s="3">
        <v>38.96</v>
      </c>
      <c r="J752" s="3">
        <v>41.28</v>
      </c>
      <c r="K752" s="3">
        <v>38.96</v>
      </c>
      <c r="L752" s="3">
        <v>1023.87223336681</v>
      </c>
    </row>
    <row r="753" spans="1:12" ht="15" customHeight="1" x14ac:dyDescent="0.2">
      <c r="A753" s="2">
        <v>44958</v>
      </c>
      <c r="B753" s="3">
        <v>38.64</v>
      </c>
      <c r="C753" s="1">
        <v>1143551</v>
      </c>
      <c r="D753" s="3">
        <v>-0.60999999999999899</v>
      </c>
      <c r="E753" s="3">
        <v>-1.55414012738853</v>
      </c>
      <c r="F753" s="3">
        <v>-1.55413787314268</v>
      </c>
      <c r="G753" s="3">
        <v>46.119124999999997</v>
      </c>
      <c r="H753" s="3">
        <v>1185.1972232748101</v>
      </c>
      <c r="I753" s="3">
        <v>39.29</v>
      </c>
      <c r="J753" s="3">
        <v>39.494999999999997</v>
      </c>
      <c r="K753" s="3">
        <v>37.29</v>
      </c>
      <c r="L753" s="3">
        <v>976.77716581437596</v>
      </c>
    </row>
    <row r="754" spans="1:12" ht="15" customHeight="1" x14ac:dyDescent="0.2">
      <c r="A754" s="2">
        <v>44957</v>
      </c>
      <c r="B754" s="3">
        <v>39.25</v>
      </c>
      <c r="C754" s="1">
        <v>758871</v>
      </c>
      <c r="D754" s="3">
        <v>0.96</v>
      </c>
      <c r="E754" s="3">
        <v>2.5071820318620999</v>
      </c>
      <c r="F754" s="3">
        <v>2.5071781202230499</v>
      </c>
      <c r="G754" s="3">
        <v>46.847194999999999</v>
      </c>
      <c r="H754" s="3">
        <v>1205.4862799806699</v>
      </c>
      <c r="I754" s="3">
        <v>38</v>
      </c>
      <c r="J754" s="3">
        <v>39.270000000000003</v>
      </c>
      <c r="K754" s="3">
        <v>37.9</v>
      </c>
      <c r="L754" s="3">
        <v>993.77597717945798</v>
      </c>
    </row>
    <row r="755" spans="1:12" ht="15" customHeight="1" x14ac:dyDescent="0.2">
      <c r="A755" s="2">
        <v>44956</v>
      </c>
      <c r="B755" s="3">
        <v>38.29</v>
      </c>
      <c r="C755" s="1">
        <v>454878</v>
      </c>
      <c r="D755" s="3">
        <v>-0.439999999999997</v>
      </c>
      <c r="E755" s="3">
        <v>-1.1360702297960099</v>
      </c>
      <c r="F755" s="3">
        <v>-1.13606375454032</v>
      </c>
      <c r="G755" s="3">
        <v>45.70138</v>
      </c>
      <c r="H755" s="3">
        <v>1173.5559635146401</v>
      </c>
      <c r="I755" s="3">
        <v>38.520000000000003</v>
      </c>
      <c r="J755" s="3">
        <v>38.590000000000003</v>
      </c>
      <c r="K755" s="3">
        <v>37.83</v>
      </c>
      <c r="L755" s="3">
        <v>967.02374945736096</v>
      </c>
    </row>
    <row r="756" spans="1:12" ht="15" customHeight="1" x14ac:dyDescent="0.2">
      <c r="A756" s="2">
        <v>44953</v>
      </c>
      <c r="B756" s="3">
        <v>38.729999999999997</v>
      </c>
      <c r="C756" s="1">
        <v>558493</v>
      </c>
      <c r="D756" s="3">
        <v>-7.0000000000000201E-2</v>
      </c>
      <c r="E756" s="3">
        <v>-0.18041237113401901</v>
      </c>
      <c r="F756" s="3">
        <v>-0.18041423497033801</v>
      </c>
      <c r="G756" s="3">
        <v>46.226542999999999</v>
      </c>
      <c r="H756" s="3">
        <v>1188.1906303554899</v>
      </c>
      <c r="I756" s="3">
        <v>38.86</v>
      </c>
      <c r="J756" s="3">
        <v>38.984999999999999</v>
      </c>
      <c r="K756" s="3">
        <v>38.44</v>
      </c>
      <c r="L756" s="3">
        <v>979.28518716332201</v>
      </c>
    </row>
    <row r="757" spans="1:12" ht="15" customHeight="1" x14ac:dyDescent="0.2">
      <c r="A757" s="2">
        <v>44952</v>
      </c>
      <c r="B757" s="3">
        <v>38.799999999999997</v>
      </c>
      <c r="C757" s="1">
        <v>640549</v>
      </c>
      <c r="D757" s="3">
        <v>0.82999999999999796</v>
      </c>
      <c r="E757" s="3">
        <v>2.1859362654727401</v>
      </c>
      <c r="F757" s="3">
        <v>2.1859271306578099</v>
      </c>
      <c r="G757" s="3">
        <v>46.310093000000002</v>
      </c>
      <c r="H757" s="3">
        <v>1190.5189101744299</v>
      </c>
      <c r="I757" s="3">
        <v>38.44</v>
      </c>
      <c r="J757" s="3">
        <v>38.85</v>
      </c>
      <c r="K757" s="3">
        <v>37.870100000000001</v>
      </c>
      <c r="L757" s="3">
        <v>981.23587043472503</v>
      </c>
    </row>
    <row r="758" spans="1:12" ht="15" customHeight="1" x14ac:dyDescent="0.2">
      <c r="A758" s="2">
        <v>44951</v>
      </c>
      <c r="B758" s="3">
        <v>37.97</v>
      </c>
      <c r="C758" s="1">
        <v>1740310</v>
      </c>
      <c r="D758" s="3">
        <v>0.32</v>
      </c>
      <c r="E758" s="3">
        <v>0.84993359893759102</v>
      </c>
      <c r="F758" s="3">
        <v>0.84993372128545597</v>
      </c>
      <c r="G758" s="3">
        <v>45.319443</v>
      </c>
      <c r="H758" s="3">
        <v>1162.9125618485</v>
      </c>
      <c r="I758" s="3">
        <v>35.869999999999997</v>
      </c>
      <c r="J758" s="3">
        <v>38.19</v>
      </c>
      <c r="K758" s="3">
        <v>35.76</v>
      </c>
      <c r="L758" s="3">
        <v>958.10634021666203</v>
      </c>
    </row>
    <row r="759" spans="1:12" ht="15" customHeight="1" x14ac:dyDescent="0.2">
      <c r="A759" s="2">
        <v>44950</v>
      </c>
      <c r="B759" s="3">
        <v>37.65</v>
      </c>
      <c r="C759" s="1">
        <v>2716104</v>
      </c>
      <c r="D759" s="3">
        <v>-3.28</v>
      </c>
      <c r="E759" s="3">
        <v>-8.0136818959198592</v>
      </c>
      <c r="F759" s="3">
        <v>-8.0136758960030097</v>
      </c>
      <c r="G759" s="3">
        <v>44.937503999999997</v>
      </c>
      <c r="H759" s="3">
        <v>1152.26910444855</v>
      </c>
      <c r="I759" s="3">
        <v>39.659999999999997</v>
      </c>
      <c r="J759" s="3">
        <v>40.04</v>
      </c>
      <c r="K759" s="3">
        <v>36.94</v>
      </c>
      <c r="L759" s="3">
        <v>949.18893097596401</v>
      </c>
    </row>
    <row r="760" spans="1:12" ht="15" customHeight="1" x14ac:dyDescent="0.2">
      <c r="A760" s="2">
        <v>44949</v>
      </c>
      <c r="B760" s="3">
        <v>40.93</v>
      </c>
      <c r="C760" s="1">
        <v>1415565</v>
      </c>
      <c r="D760" s="3">
        <v>1.92</v>
      </c>
      <c r="E760" s="3">
        <v>4.92181491925147</v>
      </c>
      <c r="F760" s="3">
        <v>4.9218182528885901</v>
      </c>
      <c r="G760" s="3">
        <v>48.852375000000002</v>
      </c>
      <c r="H760" s="3">
        <v>1261.3644382971199</v>
      </c>
      <c r="I760" s="3">
        <v>39.229999999999997</v>
      </c>
      <c r="J760" s="3">
        <v>41.045000000000002</v>
      </c>
      <c r="K760" s="3">
        <v>39.01</v>
      </c>
      <c r="L760" s="3">
        <v>1040.5923756931199</v>
      </c>
    </row>
    <row r="761" spans="1:12" ht="15" customHeight="1" x14ac:dyDescent="0.2">
      <c r="A761" s="2">
        <v>44946</v>
      </c>
      <c r="B761" s="3">
        <v>39.01</v>
      </c>
      <c r="C761" s="1">
        <v>1081713</v>
      </c>
      <c r="D761" s="3">
        <v>1.5499999999999901</v>
      </c>
      <c r="E761" s="3">
        <v>4.1377469300587197</v>
      </c>
      <c r="F761" s="3">
        <v>4.1377455663656999</v>
      </c>
      <c r="G761" s="3">
        <v>46.560740000000003</v>
      </c>
      <c r="H761" s="3">
        <v>1197.50366603053</v>
      </c>
      <c r="I761" s="3">
        <v>37.799999999999997</v>
      </c>
      <c r="J761" s="3">
        <v>39.03</v>
      </c>
      <c r="K761" s="3">
        <v>37.14</v>
      </c>
      <c r="L761" s="3">
        <v>987.08792024893296</v>
      </c>
    </row>
    <row r="762" spans="1:12" ht="15" customHeight="1" x14ac:dyDescent="0.2">
      <c r="A762" s="2">
        <v>44945</v>
      </c>
      <c r="B762" s="3">
        <v>37.46</v>
      </c>
      <c r="C762" s="1">
        <v>802641</v>
      </c>
      <c r="D762" s="3">
        <v>-0.39</v>
      </c>
      <c r="E762" s="3">
        <v>-1.03038309114927</v>
      </c>
      <c r="F762" s="3">
        <v>-1.03038298120258</v>
      </c>
      <c r="G762" s="3">
        <v>44.710723999999999</v>
      </c>
      <c r="H762" s="3">
        <v>1145.9494479872801</v>
      </c>
      <c r="I762" s="3">
        <v>37.67</v>
      </c>
      <c r="J762" s="3">
        <v>37.82</v>
      </c>
      <c r="K762" s="3">
        <v>36.659999999999997</v>
      </c>
      <c r="L762" s="3">
        <v>943.89421923929899</v>
      </c>
    </row>
    <row r="763" spans="1:12" ht="15" customHeight="1" x14ac:dyDescent="0.2">
      <c r="A763" s="2">
        <v>44944</v>
      </c>
      <c r="B763" s="3">
        <v>37.85</v>
      </c>
      <c r="C763" s="1">
        <v>847611</v>
      </c>
      <c r="D763" s="3">
        <v>-3.0000000000001099E-2</v>
      </c>
      <c r="E763" s="3">
        <v>-7.9197465681102294E-2</v>
      </c>
      <c r="F763" s="3">
        <v>-7.9200177297988894E-2</v>
      </c>
      <c r="G763" s="3">
        <v>45.176212</v>
      </c>
      <c r="H763" s="3">
        <v>1158.9211573392699</v>
      </c>
      <c r="I763" s="3">
        <v>38</v>
      </c>
      <c r="J763" s="3">
        <v>38.24</v>
      </c>
      <c r="K763" s="3">
        <v>37.68</v>
      </c>
      <c r="L763" s="3">
        <v>954.76231175140094</v>
      </c>
    </row>
    <row r="764" spans="1:12" ht="15" customHeight="1" x14ac:dyDescent="0.2">
      <c r="A764" s="2">
        <v>44943</v>
      </c>
      <c r="B764" s="3">
        <v>37.880000000000003</v>
      </c>
      <c r="C764" s="1">
        <v>1502865</v>
      </c>
      <c r="D764" s="3">
        <v>-0.64</v>
      </c>
      <c r="E764" s="3">
        <v>-1.66147455867081</v>
      </c>
      <c r="F764" s="3">
        <v>-1.6614791662588499</v>
      </c>
      <c r="G764" s="3">
        <v>45.212020000000003</v>
      </c>
      <c r="H764" s="3">
        <v>1159.9190154333</v>
      </c>
      <c r="I764" s="3">
        <v>36.29</v>
      </c>
      <c r="J764" s="3">
        <v>38.51</v>
      </c>
      <c r="K764" s="3">
        <v>36.29</v>
      </c>
      <c r="L764" s="3">
        <v>955.59831886771599</v>
      </c>
    </row>
    <row r="765" spans="1:12" ht="15" customHeight="1" x14ac:dyDescent="0.2">
      <c r="A765" s="2">
        <v>44939</v>
      </c>
      <c r="B765" s="3">
        <v>38.520000000000003</v>
      </c>
      <c r="C765" s="1">
        <v>774488</v>
      </c>
      <c r="D765" s="3">
        <v>0.46</v>
      </c>
      <c r="E765" s="3">
        <v>1.20861797162374</v>
      </c>
      <c r="F765" s="3">
        <v>1.2086241487965601</v>
      </c>
      <c r="G765" s="3">
        <v>45.975900000000003</v>
      </c>
      <c r="H765" s="3">
        <v>1181.2059859670001</v>
      </c>
      <c r="I765" s="3">
        <v>37.74</v>
      </c>
      <c r="J765" s="3">
        <v>38.61</v>
      </c>
      <c r="K765" s="3">
        <v>37.6</v>
      </c>
      <c r="L765" s="3">
        <v>973.43313734911396</v>
      </c>
    </row>
    <row r="766" spans="1:12" ht="15" customHeight="1" x14ac:dyDescent="0.2">
      <c r="A766" s="2">
        <v>44938</v>
      </c>
      <c r="B766" s="3">
        <v>38.06</v>
      </c>
      <c r="C766" s="1">
        <v>1217699</v>
      </c>
      <c r="D766" s="3">
        <v>-0.32999999999999802</v>
      </c>
      <c r="E766" s="3">
        <v>-0.85959885386819301</v>
      </c>
      <c r="F766" s="3">
        <v>-0.859602080595123</v>
      </c>
      <c r="G766" s="3">
        <v>45.426859999999998</v>
      </c>
      <c r="H766" s="3">
        <v>1165.9059410622699</v>
      </c>
      <c r="I766" s="3">
        <v>38.700000000000003</v>
      </c>
      <c r="J766" s="3">
        <v>38.99</v>
      </c>
      <c r="K766" s="3">
        <v>37.611199999999997</v>
      </c>
      <c r="L766" s="3">
        <v>960.61436156560899</v>
      </c>
    </row>
    <row r="767" spans="1:12" ht="15" customHeight="1" x14ac:dyDescent="0.2">
      <c r="A767" s="2">
        <v>44937</v>
      </c>
      <c r="B767" s="3">
        <v>38.39</v>
      </c>
      <c r="C767" s="1">
        <v>1220368</v>
      </c>
      <c r="D767" s="3">
        <v>-0.130000000000002</v>
      </c>
      <c r="E767" s="3">
        <v>-0.33748701973001999</v>
      </c>
      <c r="F767" s="3">
        <v>-0.337489858817352</v>
      </c>
      <c r="G767" s="3">
        <v>45.820735999999997</v>
      </c>
      <c r="H767" s="3">
        <v>1176.8820456937999</v>
      </c>
      <c r="I767" s="3">
        <v>38.64</v>
      </c>
      <c r="J767" s="3">
        <v>39.700000000000003</v>
      </c>
      <c r="K767" s="3">
        <v>37.96</v>
      </c>
      <c r="L767" s="3">
        <v>969.81043984508005</v>
      </c>
    </row>
    <row r="768" spans="1:12" ht="15" customHeight="1" x14ac:dyDescent="0.2">
      <c r="A768" s="2">
        <v>44936</v>
      </c>
      <c r="B768" s="3">
        <v>38.520000000000003</v>
      </c>
      <c r="C768" s="1">
        <v>959244</v>
      </c>
      <c r="D768" s="3">
        <v>0.96</v>
      </c>
      <c r="E768" s="3">
        <v>2.5559105431310001</v>
      </c>
      <c r="F768" s="3">
        <v>2.5559132370090301</v>
      </c>
      <c r="G768" s="3">
        <v>45.975900000000003</v>
      </c>
      <c r="H768" s="3">
        <v>1181.2059859670001</v>
      </c>
      <c r="I768" s="3">
        <v>37.36</v>
      </c>
      <c r="J768" s="3">
        <v>38.53</v>
      </c>
      <c r="K768" s="3">
        <v>37.18</v>
      </c>
      <c r="L768" s="3">
        <v>973.43313734911396</v>
      </c>
    </row>
    <row r="769" spans="1:12" ht="15" customHeight="1" x14ac:dyDescent="0.2">
      <c r="A769" s="2">
        <v>44935</v>
      </c>
      <c r="B769" s="3">
        <v>37.56</v>
      </c>
      <c r="C769" s="1">
        <v>1306280</v>
      </c>
      <c r="D769" s="3">
        <v>2.14</v>
      </c>
      <c r="E769" s="3">
        <v>6.0417843026538698</v>
      </c>
      <c r="F769" s="3">
        <v>6.0417878153832696</v>
      </c>
      <c r="G769" s="3">
        <v>44.830081999999997</v>
      </c>
      <c r="H769" s="3">
        <v>1149.27558590026</v>
      </c>
      <c r="I769" s="3">
        <v>35.85</v>
      </c>
      <c r="J769" s="3">
        <v>37.799999999999997</v>
      </c>
      <c r="K769" s="3">
        <v>35.674999999999997</v>
      </c>
      <c r="L769" s="3">
        <v>946.68090962701694</v>
      </c>
    </row>
    <row r="770" spans="1:12" ht="15" customHeight="1" x14ac:dyDescent="0.2">
      <c r="A770" s="2">
        <v>44932</v>
      </c>
      <c r="B770" s="3">
        <v>35.42</v>
      </c>
      <c r="C770" s="1">
        <v>1398699</v>
      </c>
      <c r="D770" s="3">
        <v>1.46999999999999</v>
      </c>
      <c r="E770" s="3">
        <v>4.3298969072164999</v>
      </c>
      <c r="F770" s="3">
        <v>4.3299023008375999</v>
      </c>
      <c r="G770" s="3">
        <v>42.275863999999999</v>
      </c>
      <c r="H770" s="3">
        <v>1078.0974384128799</v>
      </c>
      <c r="I770" s="3">
        <v>34.44</v>
      </c>
      <c r="J770" s="3">
        <v>35.6</v>
      </c>
      <c r="K770" s="3">
        <v>34.06</v>
      </c>
      <c r="L770" s="3">
        <v>887.04573532984398</v>
      </c>
    </row>
    <row r="771" spans="1:12" ht="15" customHeight="1" x14ac:dyDescent="0.2">
      <c r="A771" s="2">
        <v>44931</v>
      </c>
      <c r="B771" s="3">
        <v>33.950000000000003</v>
      </c>
      <c r="C771" s="1">
        <v>1331623</v>
      </c>
      <c r="D771" s="3">
        <v>0.100000000000001</v>
      </c>
      <c r="E771" s="3">
        <v>0.29542097488921498</v>
      </c>
      <c r="F771" s="3">
        <v>0.29542120887458001</v>
      </c>
      <c r="G771" s="3">
        <v>40.521329999999999</v>
      </c>
      <c r="H771" s="3">
        <v>1029.20400808563</v>
      </c>
      <c r="I771" s="3">
        <v>33.44</v>
      </c>
      <c r="J771" s="3">
        <v>34.270000000000003</v>
      </c>
      <c r="K771" s="3">
        <v>32.840000000000003</v>
      </c>
      <c r="L771" s="3">
        <v>846.08138663038403</v>
      </c>
    </row>
    <row r="772" spans="1:12" ht="15" customHeight="1" x14ac:dyDescent="0.2">
      <c r="A772" s="2">
        <v>44930</v>
      </c>
      <c r="B772" s="3">
        <v>33.85</v>
      </c>
      <c r="C772" s="1">
        <v>1172481</v>
      </c>
      <c r="D772" s="3">
        <v>1.5</v>
      </c>
      <c r="E772" s="3">
        <v>4.6367851622874703</v>
      </c>
      <c r="F772" s="3">
        <v>4.6367808751542796</v>
      </c>
      <c r="G772" s="3">
        <v>40.401974000000003</v>
      </c>
      <c r="H772" s="3">
        <v>1025.87792590647</v>
      </c>
      <c r="I772" s="3">
        <v>32.549999999999997</v>
      </c>
      <c r="J772" s="3">
        <v>33.880000000000003</v>
      </c>
      <c r="K772" s="3">
        <v>32.130000000000003</v>
      </c>
      <c r="L772" s="3">
        <v>843.29469624266596</v>
      </c>
    </row>
    <row r="773" spans="1:12" ht="15" customHeight="1" x14ac:dyDescent="0.2">
      <c r="A773" s="2">
        <v>44929</v>
      </c>
      <c r="B773" s="3">
        <v>32.35</v>
      </c>
      <c r="C773" s="1">
        <v>1454672</v>
      </c>
      <c r="D773" s="3">
        <v>0.64</v>
      </c>
      <c r="E773" s="3">
        <v>2.0182907600125999</v>
      </c>
      <c r="F773" s="3">
        <v>2.01828853279559</v>
      </c>
      <c r="G773" s="3">
        <v>38.611637000000002</v>
      </c>
      <c r="H773" s="3">
        <v>975.98677681970696</v>
      </c>
      <c r="I773" s="3">
        <v>32.299999999999997</v>
      </c>
      <c r="J773" s="3">
        <v>32.589700000000001</v>
      </c>
      <c r="K773" s="3">
        <v>31.895</v>
      </c>
      <c r="L773" s="3">
        <v>801.49434042688995</v>
      </c>
    </row>
    <row r="774" spans="1:12" ht="15" customHeight="1" x14ac:dyDescent="0.2">
      <c r="A774" s="2">
        <v>44925</v>
      </c>
      <c r="B774" s="3">
        <v>31.71</v>
      </c>
      <c r="C774" s="1">
        <v>549724</v>
      </c>
      <c r="D774" s="3">
        <v>-7.9999999999998295E-2</v>
      </c>
      <c r="E774" s="3">
        <v>-0.25165146272412198</v>
      </c>
      <c r="F774" s="3">
        <v>-0.251652171552529</v>
      </c>
      <c r="G774" s="3">
        <v>37.847760000000001</v>
      </c>
      <c r="H774" s="3">
        <v>954.69988988671605</v>
      </c>
      <c r="I774" s="3">
        <v>31.6</v>
      </c>
      <c r="J774" s="3">
        <v>31.85</v>
      </c>
      <c r="K774" s="3">
        <v>31.34</v>
      </c>
      <c r="L774" s="3">
        <v>783.659521945493</v>
      </c>
    </row>
    <row r="775" spans="1:12" ht="15" customHeight="1" x14ac:dyDescent="0.2">
      <c r="A775" s="2">
        <v>44924</v>
      </c>
      <c r="B775" s="3">
        <v>31.79</v>
      </c>
      <c r="C775" s="1">
        <v>496456</v>
      </c>
      <c r="D775" s="3">
        <v>0.25</v>
      </c>
      <c r="E775" s="3">
        <v>0.79264426125555898</v>
      </c>
      <c r="F775" s="3">
        <v>0.79264483818570697</v>
      </c>
      <c r="G775" s="3">
        <v>37.943244999999997</v>
      </c>
      <c r="H775" s="3">
        <v>957.36076120342796</v>
      </c>
      <c r="I775" s="3">
        <v>31.75</v>
      </c>
      <c r="J775" s="3">
        <v>32.090000000000003</v>
      </c>
      <c r="K775" s="3">
        <v>31.6</v>
      </c>
      <c r="L775" s="3">
        <v>785.88887425566804</v>
      </c>
    </row>
    <row r="776" spans="1:12" ht="15" customHeight="1" x14ac:dyDescent="0.2">
      <c r="A776" s="2">
        <v>44923</v>
      </c>
      <c r="B776" s="3">
        <v>31.54</v>
      </c>
      <c r="C776" s="1">
        <v>774217</v>
      </c>
      <c r="D776" s="3">
        <v>-0.109999999999999</v>
      </c>
      <c r="E776" s="3">
        <v>-0.34755134281200201</v>
      </c>
      <c r="F776" s="3">
        <v>-0.34755001211610398</v>
      </c>
      <c r="G776" s="3">
        <v>37.644855</v>
      </c>
      <c r="H776" s="3">
        <v>949.04555575551603</v>
      </c>
      <c r="I776" s="3">
        <v>31.49</v>
      </c>
      <c r="J776" s="3">
        <v>31.94</v>
      </c>
      <c r="K776" s="3">
        <v>30.981999999999999</v>
      </c>
      <c r="L776" s="3">
        <v>778.92214828637202</v>
      </c>
    </row>
    <row r="777" spans="1:12" ht="15" customHeight="1" x14ac:dyDescent="0.2">
      <c r="A777" s="2">
        <v>44922</v>
      </c>
      <c r="B777" s="3">
        <v>31.65</v>
      </c>
      <c r="C777" s="1">
        <v>739510</v>
      </c>
      <c r="D777" s="3">
        <v>-0.41000000000000297</v>
      </c>
      <c r="E777" s="3">
        <v>-1.2788521522145999</v>
      </c>
      <c r="F777" s="3">
        <v>-1.2788566998472</v>
      </c>
      <c r="G777" s="3">
        <v>37.776145999999997</v>
      </c>
      <c r="H777" s="3">
        <v>952.70422943245501</v>
      </c>
      <c r="I777" s="3">
        <v>32.19</v>
      </c>
      <c r="J777" s="3">
        <v>32.71</v>
      </c>
      <c r="K777" s="3">
        <v>31.5</v>
      </c>
      <c r="L777" s="3">
        <v>781.987507712862</v>
      </c>
    </row>
    <row r="778" spans="1:12" ht="15" customHeight="1" x14ac:dyDescent="0.2">
      <c r="A778" s="2">
        <v>44918</v>
      </c>
      <c r="B778" s="3">
        <v>32.06</v>
      </c>
      <c r="C778" s="1">
        <v>676086</v>
      </c>
      <c r="D778" s="3">
        <v>0.28000000000000103</v>
      </c>
      <c r="E778" s="3">
        <v>0.88105726872247303</v>
      </c>
      <c r="F778" s="3">
        <v>0.88105841849384003</v>
      </c>
      <c r="G778" s="3">
        <v>38.265506999999999</v>
      </c>
      <c r="H778" s="3">
        <v>966.34120538069703</v>
      </c>
      <c r="I778" s="3">
        <v>31.96</v>
      </c>
      <c r="J778" s="3">
        <v>32.26</v>
      </c>
      <c r="K778" s="3">
        <v>31.52</v>
      </c>
      <c r="L778" s="3">
        <v>793.41293830250697</v>
      </c>
    </row>
    <row r="779" spans="1:12" ht="15" customHeight="1" x14ac:dyDescent="0.2">
      <c r="A779" s="2">
        <v>44917</v>
      </c>
      <c r="B779" s="3">
        <v>31.78</v>
      </c>
      <c r="C779" s="1">
        <v>714425</v>
      </c>
      <c r="D779" s="3">
        <v>0.56000000000000205</v>
      </c>
      <c r="E779" s="3">
        <v>1.79372197309417</v>
      </c>
      <c r="F779" s="3">
        <v>1.7937216241015099</v>
      </c>
      <c r="G779" s="3">
        <v>37.931310000000003</v>
      </c>
      <c r="H779" s="3">
        <v>957.02816970565402</v>
      </c>
      <c r="I779" s="3">
        <v>30.79</v>
      </c>
      <c r="J779" s="3">
        <v>31.87</v>
      </c>
      <c r="K779" s="3">
        <v>30.64</v>
      </c>
      <c r="L779" s="3">
        <v>785.61020521689602</v>
      </c>
    </row>
    <row r="780" spans="1:12" ht="15" customHeight="1" x14ac:dyDescent="0.2">
      <c r="A780" s="2">
        <v>44916</v>
      </c>
      <c r="B780" s="3">
        <v>31.22</v>
      </c>
      <c r="C780" s="1">
        <v>608570</v>
      </c>
      <c r="D780" s="3">
        <v>0.44999999999999901</v>
      </c>
      <c r="E780" s="3">
        <v>1.46246343841403</v>
      </c>
      <c r="F780" s="3">
        <v>1.46246448172764</v>
      </c>
      <c r="G780" s="3">
        <v>37.262917000000002</v>
      </c>
      <c r="H780" s="3">
        <v>938.40212622247202</v>
      </c>
      <c r="I780" s="3">
        <v>31.15</v>
      </c>
      <c r="J780" s="3">
        <v>31.48</v>
      </c>
      <c r="K780" s="3">
        <v>30.57</v>
      </c>
      <c r="L780" s="3">
        <v>770.00473904567298</v>
      </c>
    </row>
    <row r="781" spans="1:12" ht="15" customHeight="1" x14ac:dyDescent="0.2">
      <c r="A781" s="2">
        <v>44915</v>
      </c>
      <c r="B781" s="3">
        <v>30.77</v>
      </c>
      <c r="C781" s="1">
        <v>1062889</v>
      </c>
      <c r="D781" s="3"/>
      <c r="E781" s="3"/>
      <c r="F781" s="3"/>
      <c r="G781" s="3">
        <v>36.725814999999997</v>
      </c>
      <c r="H781" s="3">
        <v>923.43475641622899</v>
      </c>
      <c r="I781" s="3">
        <v>30.66</v>
      </c>
      <c r="J781" s="3">
        <v>31.574999999999999</v>
      </c>
      <c r="K781" s="3">
        <v>30.51</v>
      </c>
      <c r="L781" s="3">
        <v>757.46463230094002</v>
      </c>
    </row>
    <row r="782" spans="1:12" ht="15" customHeight="1" x14ac:dyDescent="0.2">
      <c r="A782" s="2">
        <v>44914</v>
      </c>
      <c r="B782" s="3">
        <v>30.77</v>
      </c>
      <c r="C782" s="1">
        <v>1406560</v>
      </c>
      <c r="D782" s="3">
        <v>-1.6699999999999899</v>
      </c>
      <c r="E782" s="3">
        <v>-5.1479654747225601</v>
      </c>
      <c r="F782" s="3">
        <v>-5.1479562194893402</v>
      </c>
      <c r="G782" s="3">
        <v>36.725814999999997</v>
      </c>
      <c r="H782" s="3">
        <v>923.43475641622899</v>
      </c>
      <c r="I782" s="3">
        <v>32.26</v>
      </c>
      <c r="J782" s="3">
        <v>32.35</v>
      </c>
      <c r="K782" s="3">
        <v>30.72</v>
      </c>
      <c r="L782" s="3">
        <v>757.46463230094002</v>
      </c>
    </row>
    <row r="783" spans="1:12" ht="15" customHeight="1" x14ac:dyDescent="0.2">
      <c r="A783" s="2">
        <v>44911</v>
      </c>
      <c r="B783" s="3">
        <v>32.44</v>
      </c>
      <c r="C783" s="1">
        <v>1569662</v>
      </c>
      <c r="D783" s="3">
        <v>-1.1499999999999999</v>
      </c>
      <c r="E783" s="3">
        <v>-3.4236379874962899</v>
      </c>
      <c r="F783" s="3">
        <v>-3.4236478955768699</v>
      </c>
      <c r="G783" s="3">
        <v>38.719054999999997</v>
      </c>
      <c r="H783" s="3">
        <v>978.98018390038601</v>
      </c>
      <c r="I783" s="3">
        <v>33.17</v>
      </c>
      <c r="J783" s="3">
        <v>33.479100000000003</v>
      </c>
      <c r="K783" s="3">
        <v>32.034999999999997</v>
      </c>
      <c r="L783" s="3">
        <v>804.00236177583702</v>
      </c>
    </row>
    <row r="784" spans="1:12" ht="15" customHeight="1" x14ac:dyDescent="0.2">
      <c r="A784" s="2">
        <v>44910</v>
      </c>
      <c r="B784" s="3">
        <v>33.590000000000003</v>
      </c>
      <c r="C784" s="1">
        <v>1027719</v>
      </c>
      <c r="D784" s="3">
        <v>-0.77999999999999403</v>
      </c>
      <c r="E784" s="3">
        <v>-2.2694210066918599</v>
      </c>
      <c r="F784" s="3">
        <v>-2.2694135248536398</v>
      </c>
      <c r="G784" s="3">
        <v>40.091652000000003</v>
      </c>
      <c r="H784" s="3">
        <v>1017.23021256149</v>
      </c>
      <c r="I784" s="3">
        <v>34.01</v>
      </c>
      <c r="J784" s="3">
        <v>34.15</v>
      </c>
      <c r="K784" s="3">
        <v>33.08</v>
      </c>
      <c r="L784" s="3">
        <v>836.04930123459803</v>
      </c>
    </row>
    <row r="785" spans="1:12" ht="15" customHeight="1" x14ac:dyDescent="0.2">
      <c r="A785" s="2">
        <v>44909</v>
      </c>
      <c r="B785" s="3">
        <v>34.369999999999997</v>
      </c>
      <c r="C785" s="1">
        <v>1139681</v>
      </c>
      <c r="D785" s="3">
        <v>0.50999999999999801</v>
      </c>
      <c r="E785" s="3">
        <v>1.5062020082693399</v>
      </c>
      <c r="F785" s="3">
        <v>1.5061916546860601</v>
      </c>
      <c r="G785" s="3">
        <v>41.022624999999998</v>
      </c>
      <c r="H785" s="3">
        <v>1043.17354766475</v>
      </c>
      <c r="I785" s="3">
        <v>34.200000000000003</v>
      </c>
      <c r="J785" s="3">
        <v>34.959699999999998</v>
      </c>
      <c r="K785" s="3">
        <v>33.6</v>
      </c>
      <c r="L785" s="3">
        <v>857.78548625880103</v>
      </c>
    </row>
    <row r="786" spans="1:12" ht="15" customHeight="1" x14ac:dyDescent="0.2">
      <c r="A786" s="2">
        <v>44908</v>
      </c>
      <c r="B786" s="3">
        <v>33.86</v>
      </c>
      <c r="C786" s="1">
        <v>1621915</v>
      </c>
      <c r="D786" s="3">
        <v>0.22999999999999601</v>
      </c>
      <c r="E786" s="3">
        <v>0.68391317276239505</v>
      </c>
      <c r="F786" s="3">
        <v>0.68390912798215098</v>
      </c>
      <c r="G786" s="3">
        <v>40.413913999999998</v>
      </c>
      <c r="H786" s="3">
        <v>1026.21065673876</v>
      </c>
      <c r="I786" s="3">
        <v>35.299999999999997</v>
      </c>
      <c r="J786" s="3">
        <v>35.299999999999997</v>
      </c>
      <c r="K786" s="3">
        <v>33.25</v>
      </c>
      <c r="L786" s="3">
        <v>843.57336528143799</v>
      </c>
    </row>
    <row r="787" spans="1:12" ht="15" customHeight="1" x14ac:dyDescent="0.2">
      <c r="A787" s="2">
        <v>44907</v>
      </c>
      <c r="B787" s="3">
        <v>33.630000000000003</v>
      </c>
      <c r="C787" s="1">
        <v>1570942</v>
      </c>
      <c r="D787" s="3">
        <v>0.60000000000000098</v>
      </c>
      <c r="E787" s="3">
        <v>1.8165304268846501</v>
      </c>
      <c r="F787" s="3">
        <v>1.8165445289450399</v>
      </c>
      <c r="G787" s="3">
        <v>40.139397000000002</v>
      </c>
      <c r="H787" s="3">
        <v>1018.5607178871099</v>
      </c>
      <c r="I787" s="3">
        <v>31.605</v>
      </c>
      <c r="J787" s="3">
        <v>33.634999999999998</v>
      </c>
      <c r="K787" s="3">
        <v>31</v>
      </c>
      <c r="L787" s="3">
        <v>837.16397738968601</v>
      </c>
    </row>
    <row r="788" spans="1:12" ht="15" customHeight="1" x14ac:dyDescent="0.2">
      <c r="A788" s="2">
        <v>44904</v>
      </c>
      <c r="B788" s="3">
        <v>33.03</v>
      </c>
      <c r="C788" s="1">
        <v>1094395</v>
      </c>
      <c r="D788" s="3">
        <v>0.35000000000000098</v>
      </c>
      <c r="E788" s="3">
        <v>1.0709914320685401</v>
      </c>
      <c r="F788" s="3">
        <v>1.0709870953623</v>
      </c>
      <c r="G788" s="3">
        <v>39.423256000000002</v>
      </c>
      <c r="H788" s="3">
        <v>998.60408547760301</v>
      </c>
      <c r="I788" s="3">
        <v>32.729999999999997</v>
      </c>
      <c r="J788" s="3">
        <v>34.19</v>
      </c>
      <c r="K788" s="3">
        <v>32.67</v>
      </c>
      <c r="L788" s="3">
        <v>820.44383506337499</v>
      </c>
    </row>
    <row r="789" spans="1:12" ht="15" customHeight="1" x14ac:dyDescent="0.2">
      <c r="A789" s="2">
        <v>44903</v>
      </c>
      <c r="B789" s="3">
        <v>32.68</v>
      </c>
      <c r="C789" s="1">
        <v>894561</v>
      </c>
      <c r="D789" s="3">
        <v>1.1699999999999899</v>
      </c>
      <c r="E789" s="3">
        <v>3.7131069501745402</v>
      </c>
      <c r="F789" s="3">
        <v>3.7131092420395801</v>
      </c>
      <c r="G789" s="3">
        <v>39.005512000000003</v>
      </c>
      <c r="H789" s="3">
        <v>986.96285358433295</v>
      </c>
      <c r="I789" s="3">
        <v>31.88</v>
      </c>
      <c r="J789" s="3">
        <v>32.840000000000003</v>
      </c>
      <c r="K789" s="3">
        <v>31.63</v>
      </c>
      <c r="L789" s="3">
        <v>810.69041870636102</v>
      </c>
    </row>
    <row r="790" spans="1:12" ht="15" customHeight="1" x14ac:dyDescent="0.2">
      <c r="A790" s="2">
        <v>44902</v>
      </c>
      <c r="B790" s="3">
        <v>31.51</v>
      </c>
      <c r="C790" s="1">
        <v>583827</v>
      </c>
      <c r="D790" s="3">
        <v>-0.26999999999999902</v>
      </c>
      <c r="E790" s="3">
        <v>-0.84959093769666405</v>
      </c>
      <c r="F790" s="3">
        <v>-0.84959628338700999</v>
      </c>
      <c r="G790" s="3">
        <v>37.609046999999997</v>
      </c>
      <c r="H790" s="3">
        <v>948.04769766148104</v>
      </c>
      <c r="I790" s="3">
        <v>31.73</v>
      </c>
      <c r="J790" s="3">
        <v>32.159999999999997</v>
      </c>
      <c r="K790" s="3">
        <v>31.24</v>
      </c>
      <c r="L790" s="3">
        <v>778.08614117005595</v>
      </c>
    </row>
    <row r="791" spans="1:12" ht="15" customHeight="1" x14ac:dyDescent="0.2">
      <c r="A791" s="2">
        <v>44901</v>
      </c>
      <c r="B791" s="3">
        <v>31.78</v>
      </c>
      <c r="C791" s="1">
        <v>952150</v>
      </c>
      <c r="D791" s="3">
        <v>-0.24000000000000199</v>
      </c>
      <c r="E791" s="3">
        <v>-0.74953154278576395</v>
      </c>
      <c r="F791" s="3">
        <v>-0.74953622354586502</v>
      </c>
      <c r="G791" s="3">
        <v>37.931310000000003</v>
      </c>
      <c r="H791" s="3">
        <v>957.02816970565402</v>
      </c>
      <c r="I791" s="3">
        <v>31.96</v>
      </c>
      <c r="J791" s="3">
        <v>32.17</v>
      </c>
      <c r="K791" s="3">
        <v>31.35</v>
      </c>
      <c r="L791" s="3">
        <v>785.61020521689602</v>
      </c>
    </row>
    <row r="792" spans="1:12" ht="15" customHeight="1" x14ac:dyDescent="0.2">
      <c r="A792" s="2">
        <v>44900</v>
      </c>
      <c r="B792" s="3">
        <v>32.020000000000003</v>
      </c>
      <c r="C792" s="1">
        <v>1195976</v>
      </c>
      <c r="D792" s="3">
        <v>-1.21999999999999</v>
      </c>
      <c r="E792" s="3">
        <v>-3.6702767749699099</v>
      </c>
      <c r="F792" s="3">
        <v>-3.6702810486791</v>
      </c>
      <c r="G792" s="3">
        <v>38.217765999999997</v>
      </c>
      <c r="H792" s="3">
        <v>965.01081152269705</v>
      </c>
      <c r="I792" s="3">
        <v>32.94</v>
      </c>
      <c r="J792" s="3">
        <v>32.950000000000003</v>
      </c>
      <c r="K792" s="3">
        <v>31.88</v>
      </c>
      <c r="L792" s="3">
        <v>792.29826214742002</v>
      </c>
    </row>
    <row r="793" spans="1:12" ht="15" customHeight="1" x14ac:dyDescent="0.2">
      <c r="A793" s="2">
        <v>44897</v>
      </c>
      <c r="B793" s="3">
        <v>33.24</v>
      </c>
      <c r="C793" s="1">
        <v>1318528</v>
      </c>
      <c r="D793" s="3">
        <v>-1.4099999999999899</v>
      </c>
      <c r="E793" s="3">
        <v>-4.06926406926405</v>
      </c>
      <c r="F793" s="3">
        <v>-4.0692604391531297</v>
      </c>
      <c r="G793" s="3">
        <v>39.673909999999999</v>
      </c>
      <c r="H793" s="3">
        <v>1005.58903640203</v>
      </c>
      <c r="I793" s="3">
        <v>33.54</v>
      </c>
      <c r="J793" s="3">
        <v>33.65</v>
      </c>
      <c r="K793" s="3">
        <v>32.65</v>
      </c>
      <c r="L793" s="3">
        <v>826.29588487758394</v>
      </c>
    </row>
    <row r="794" spans="1:12" ht="15" customHeight="1" x14ac:dyDescent="0.2">
      <c r="A794" s="2">
        <v>44896</v>
      </c>
      <c r="B794" s="3">
        <v>34.65</v>
      </c>
      <c r="C794" s="1">
        <v>600452</v>
      </c>
      <c r="D794" s="3">
        <v>-0.39</v>
      </c>
      <c r="E794" s="3">
        <v>-1.11301369863013</v>
      </c>
      <c r="F794" s="3">
        <v>-1.1130016491198</v>
      </c>
      <c r="G794" s="3">
        <v>41.356827000000003</v>
      </c>
      <c r="H794" s="3">
        <v>1052.4867226743099</v>
      </c>
      <c r="I794" s="3">
        <v>35.119999999999997</v>
      </c>
      <c r="J794" s="3">
        <v>35.51</v>
      </c>
      <c r="K794" s="3">
        <v>34.51</v>
      </c>
      <c r="L794" s="3">
        <v>865.58821934441301</v>
      </c>
    </row>
    <row r="795" spans="1:12" ht="15" customHeight="1" x14ac:dyDescent="0.2">
      <c r="A795" s="2">
        <v>44895</v>
      </c>
      <c r="B795" s="3">
        <v>35.04</v>
      </c>
      <c r="C795" s="1">
        <v>911032</v>
      </c>
      <c r="D795" s="3">
        <v>6.0000000000002197E-2</v>
      </c>
      <c r="E795" s="3">
        <v>0.17152658662094</v>
      </c>
      <c r="F795" s="3">
        <v>0.17152288088693099</v>
      </c>
      <c r="G795" s="3">
        <v>41.822310000000002</v>
      </c>
      <c r="H795" s="3">
        <v>1065.4582926917701</v>
      </c>
      <c r="I795" s="3">
        <v>34.840000000000003</v>
      </c>
      <c r="J795" s="3">
        <v>35.08</v>
      </c>
      <c r="K795" s="3">
        <v>33.967500000000001</v>
      </c>
      <c r="L795" s="3">
        <v>876.45631185651405</v>
      </c>
    </row>
    <row r="796" spans="1:12" ht="15" customHeight="1" x14ac:dyDescent="0.2">
      <c r="A796" s="2">
        <v>44894</v>
      </c>
      <c r="B796" s="3">
        <v>34.979999999999997</v>
      </c>
      <c r="C796" s="1">
        <v>944569</v>
      </c>
      <c r="D796" s="3">
        <v>-1.4</v>
      </c>
      <c r="E796" s="3">
        <v>-3.8482682792743401</v>
      </c>
      <c r="F796" s="3">
        <v>-3.8482754376822301</v>
      </c>
      <c r="G796" s="3">
        <v>41.750698</v>
      </c>
      <c r="H796" s="3">
        <v>1063.4626879713201</v>
      </c>
      <c r="I796" s="3">
        <v>36.21</v>
      </c>
      <c r="J796" s="3">
        <v>36.31</v>
      </c>
      <c r="K796" s="3">
        <v>34.65</v>
      </c>
      <c r="L796" s="3">
        <v>874.78429762388305</v>
      </c>
    </row>
    <row r="797" spans="1:12" ht="15" customHeight="1" x14ac:dyDescent="0.2">
      <c r="A797" s="2">
        <v>44893</v>
      </c>
      <c r="B797" s="3">
        <v>36.380000000000003</v>
      </c>
      <c r="C797" s="1">
        <v>913949</v>
      </c>
      <c r="D797" s="3">
        <v>-0.5</v>
      </c>
      <c r="E797" s="3">
        <v>-1.35574837310195</v>
      </c>
      <c r="F797" s="3">
        <v>-1.3557470191542</v>
      </c>
      <c r="G797" s="3">
        <v>43.421683999999999</v>
      </c>
      <c r="H797" s="3">
        <v>1110.02789421344</v>
      </c>
      <c r="I797" s="3">
        <v>36.71</v>
      </c>
      <c r="J797" s="3">
        <v>37.119999999999997</v>
      </c>
      <c r="K797" s="3">
        <v>36.2575</v>
      </c>
      <c r="L797" s="3">
        <v>913.797963051941</v>
      </c>
    </row>
    <row r="798" spans="1:12" ht="15" customHeight="1" x14ac:dyDescent="0.2">
      <c r="A798" s="2">
        <v>44890</v>
      </c>
      <c r="B798" s="3">
        <v>36.880000000000003</v>
      </c>
      <c r="C798" s="1">
        <v>379903</v>
      </c>
      <c r="D798" s="3">
        <v>0.440000000000004</v>
      </c>
      <c r="E798" s="3">
        <v>1.20746432491769</v>
      </c>
      <c r="F798" s="3">
        <v>1.2074712023421199</v>
      </c>
      <c r="G798" s="3">
        <v>44.018462999999997</v>
      </c>
      <c r="H798" s="3">
        <v>1126.6582772423601</v>
      </c>
      <c r="I798" s="3">
        <v>36.659999999999997</v>
      </c>
      <c r="J798" s="3">
        <v>37.145000000000003</v>
      </c>
      <c r="K798" s="3">
        <v>36.299999999999997</v>
      </c>
      <c r="L798" s="3">
        <v>927.73141499053202</v>
      </c>
    </row>
    <row r="799" spans="1:12" ht="15" customHeight="1" x14ac:dyDescent="0.2">
      <c r="A799" s="2">
        <v>44888</v>
      </c>
      <c r="B799" s="3">
        <v>36.44</v>
      </c>
      <c r="C799" s="1">
        <v>523631</v>
      </c>
      <c r="D799" s="3">
        <v>-2.0000000000003099E-2</v>
      </c>
      <c r="E799" s="3">
        <v>-5.4854635216683399E-2</v>
      </c>
      <c r="F799" s="3">
        <v>-5.4856513404399898E-2</v>
      </c>
      <c r="G799" s="3">
        <v>43.493293999999999</v>
      </c>
      <c r="H799" s="3">
        <v>1112.02344320008</v>
      </c>
      <c r="I799" s="3">
        <v>36.4</v>
      </c>
      <c r="J799" s="3">
        <v>36.96</v>
      </c>
      <c r="K799" s="3">
        <v>36.159999999999997</v>
      </c>
      <c r="L799" s="3">
        <v>915.46997728457097</v>
      </c>
    </row>
    <row r="800" spans="1:12" ht="15" customHeight="1" x14ac:dyDescent="0.2">
      <c r="A800" s="2">
        <v>44887</v>
      </c>
      <c r="B800" s="3">
        <v>36.46</v>
      </c>
      <c r="C800" s="1">
        <v>506203</v>
      </c>
      <c r="D800" s="3">
        <v>0.68999999999999695</v>
      </c>
      <c r="E800" s="3">
        <v>1.9289907743919401</v>
      </c>
      <c r="F800" s="3">
        <v>1.9289912471678901</v>
      </c>
      <c r="G800" s="3">
        <v>43.517166000000003</v>
      </c>
      <c r="H800" s="3">
        <v>1112.68868192944</v>
      </c>
      <c r="I800" s="3">
        <v>35.9</v>
      </c>
      <c r="J800" s="3">
        <v>36.499000000000002</v>
      </c>
      <c r="K800" s="3">
        <v>35.5</v>
      </c>
      <c r="L800" s="3">
        <v>916.02731536211502</v>
      </c>
    </row>
    <row r="801" spans="1:12" ht="15" customHeight="1" x14ac:dyDescent="0.2">
      <c r="A801" s="2">
        <v>44886</v>
      </c>
      <c r="B801" s="3">
        <v>35.770000000000003</v>
      </c>
      <c r="C801" s="1">
        <v>841114</v>
      </c>
      <c r="D801" s="3">
        <v>-0.75</v>
      </c>
      <c r="E801" s="3">
        <v>-2.0536692223439199</v>
      </c>
      <c r="F801" s="3">
        <v>-2.05367069232036</v>
      </c>
      <c r="G801" s="3">
        <v>42.69361</v>
      </c>
      <c r="H801" s="3">
        <v>1089.7387260399601</v>
      </c>
      <c r="I801" s="3">
        <v>36.47</v>
      </c>
      <c r="J801" s="3">
        <v>36.627099999999999</v>
      </c>
      <c r="K801" s="3">
        <v>35.647500000000001</v>
      </c>
      <c r="L801" s="3">
        <v>896.79915168685898</v>
      </c>
    </row>
    <row r="802" spans="1:12" ht="15" customHeight="1" x14ac:dyDescent="0.2">
      <c r="A802" s="2">
        <v>44883</v>
      </c>
      <c r="B802" s="3">
        <v>36.520000000000003</v>
      </c>
      <c r="C802" s="1">
        <v>1580633</v>
      </c>
      <c r="D802" s="3">
        <v>-0.95999999999999297</v>
      </c>
      <c r="E802" s="3">
        <v>-2.5613660618996601</v>
      </c>
      <c r="F802" s="3">
        <v>-2.5613643632771401</v>
      </c>
      <c r="G802" s="3">
        <v>43.58878</v>
      </c>
      <c r="H802" s="3">
        <v>1114.6843423836999</v>
      </c>
      <c r="I802" s="3">
        <v>38.08</v>
      </c>
      <c r="J802" s="3">
        <v>38.33</v>
      </c>
      <c r="K802" s="3">
        <v>36.24</v>
      </c>
      <c r="L802" s="3">
        <v>917.69932959474602</v>
      </c>
    </row>
    <row r="803" spans="1:12" ht="15" customHeight="1" x14ac:dyDescent="0.2">
      <c r="A803" s="2">
        <v>44882</v>
      </c>
      <c r="B803" s="3">
        <v>37.479999999999997</v>
      </c>
      <c r="C803" s="1">
        <v>1125099</v>
      </c>
      <c r="D803" s="3">
        <v>0.42999999999999899</v>
      </c>
      <c r="E803" s="3">
        <v>1.1605937921727401</v>
      </c>
      <c r="F803" s="3">
        <v>1.16059968572204</v>
      </c>
      <c r="G803" s="3">
        <v>44.734596000000003</v>
      </c>
      <c r="H803" s="3">
        <v>1146.6146867166401</v>
      </c>
      <c r="I803" s="3">
        <v>36.479999999999997</v>
      </c>
      <c r="J803" s="3">
        <v>37.81</v>
      </c>
      <c r="K803" s="3">
        <v>36.35</v>
      </c>
      <c r="L803" s="3">
        <v>944.45155731684201</v>
      </c>
    </row>
    <row r="804" spans="1:12" ht="15" customHeight="1" x14ac:dyDescent="0.2">
      <c r="A804" s="2">
        <v>44881</v>
      </c>
      <c r="B804" s="3">
        <v>37.049999999999997</v>
      </c>
      <c r="C804" s="1">
        <v>832269</v>
      </c>
      <c r="D804" s="3">
        <v>0.22999999999999601</v>
      </c>
      <c r="E804" s="3">
        <v>0.62466051059206695</v>
      </c>
      <c r="F804" s="3">
        <v>0.624656886639818</v>
      </c>
      <c r="G804" s="3">
        <v>44.221362999999997</v>
      </c>
      <c r="H804" s="3">
        <v>1132.3124720390399</v>
      </c>
      <c r="I804" s="3">
        <v>36.46</v>
      </c>
      <c r="J804" s="3">
        <v>37.33</v>
      </c>
      <c r="K804" s="3">
        <v>36.17</v>
      </c>
      <c r="L804" s="3">
        <v>932.46878864965299</v>
      </c>
    </row>
    <row r="805" spans="1:12" ht="15" customHeight="1" x14ac:dyDescent="0.2">
      <c r="A805" s="2">
        <v>44880</v>
      </c>
      <c r="B805" s="3">
        <v>36.82</v>
      </c>
      <c r="C805" s="1">
        <v>835497</v>
      </c>
      <c r="D805" s="3">
        <v>0.380000000000002</v>
      </c>
      <c r="E805" s="3">
        <v>1.0428100987925399</v>
      </c>
      <c r="F805" s="3">
        <v>1.0428090362620099</v>
      </c>
      <c r="G805" s="3">
        <v>43.946846000000001</v>
      </c>
      <c r="H805" s="3">
        <v>1124.66253318739</v>
      </c>
      <c r="I805" s="3">
        <v>37.06</v>
      </c>
      <c r="J805" s="3">
        <v>37.42</v>
      </c>
      <c r="K805" s="3">
        <v>36.659999999999997</v>
      </c>
      <c r="L805" s="3">
        <v>926.05940075790102</v>
      </c>
    </row>
    <row r="806" spans="1:12" ht="15" customHeight="1" x14ac:dyDescent="0.2">
      <c r="A806" s="2">
        <v>44879</v>
      </c>
      <c r="B806" s="3">
        <v>36.44</v>
      </c>
      <c r="C806" s="1">
        <v>683068</v>
      </c>
      <c r="D806" s="3">
        <v>-0.40000000000000502</v>
      </c>
      <c r="E806" s="3">
        <v>-1.0857763300760099</v>
      </c>
      <c r="F806" s="3">
        <v>-0.352878513767029</v>
      </c>
      <c r="G806" s="3">
        <v>43.493293999999999</v>
      </c>
      <c r="H806" s="3">
        <v>1112.02344320008</v>
      </c>
      <c r="I806" s="3">
        <v>36.19</v>
      </c>
      <c r="J806" s="3">
        <v>37.049999999999997</v>
      </c>
      <c r="K806" s="3">
        <v>36.045000000000002</v>
      </c>
      <c r="L806" s="3">
        <v>915.46997728457097</v>
      </c>
    </row>
    <row r="807" spans="1:12" ht="15" customHeight="1" x14ac:dyDescent="0.2">
      <c r="A807" s="2">
        <v>44876</v>
      </c>
      <c r="B807" s="3">
        <v>36.840000000000003</v>
      </c>
      <c r="C807" s="1">
        <v>1174686</v>
      </c>
      <c r="D807" s="3">
        <v>0.54000000000000603</v>
      </c>
      <c r="E807" s="3">
        <v>1.4876033057851401</v>
      </c>
      <c r="F807" s="3">
        <v>1.487604474137</v>
      </c>
      <c r="G807" s="3">
        <v>43.647316000000004</v>
      </c>
      <c r="H807" s="3">
        <v>1116.31555946905</v>
      </c>
      <c r="I807" s="3">
        <v>36.450000000000003</v>
      </c>
      <c r="J807" s="3">
        <v>37.090000000000003</v>
      </c>
      <c r="K807" s="3">
        <v>35.81</v>
      </c>
      <c r="L807" s="3">
        <v>926.61673883544495</v>
      </c>
    </row>
    <row r="808" spans="1:12" ht="15" customHeight="1" x14ac:dyDescent="0.2">
      <c r="A808" s="2">
        <v>44875</v>
      </c>
      <c r="B808" s="3">
        <v>36.299999999999997</v>
      </c>
      <c r="C808" s="1">
        <v>1422602</v>
      </c>
      <c r="D808" s="3">
        <v>3.25</v>
      </c>
      <c r="E808" s="3">
        <v>9.8335854765506792</v>
      </c>
      <c r="F808" s="3">
        <v>9.8335832588596297</v>
      </c>
      <c r="G808" s="3">
        <v>43.007534</v>
      </c>
      <c r="H808" s="3">
        <v>1098.4868159727</v>
      </c>
      <c r="I808" s="3">
        <v>34.11</v>
      </c>
      <c r="J808" s="3">
        <v>36.35</v>
      </c>
      <c r="K808" s="3">
        <v>33.590000000000003</v>
      </c>
      <c r="L808" s="3">
        <v>911.56861074176595</v>
      </c>
    </row>
    <row r="809" spans="1:12" ht="15" customHeight="1" x14ac:dyDescent="0.2">
      <c r="A809" s="2">
        <v>44874</v>
      </c>
      <c r="B809" s="3">
        <v>33.049999999999997</v>
      </c>
      <c r="C809" s="1">
        <v>1012281</v>
      </c>
      <c r="D809" s="3">
        <v>-0.77000000000000302</v>
      </c>
      <c r="E809" s="3">
        <v>-2.2767593140153801</v>
      </c>
      <c r="F809" s="3">
        <v>-2.2767616488242299</v>
      </c>
      <c r="G809" s="3">
        <v>39.156998000000002</v>
      </c>
      <c r="H809" s="3">
        <v>991.18429938507199</v>
      </c>
      <c r="I809" s="3">
        <v>33.17</v>
      </c>
      <c r="J809" s="3">
        <v>33.46</v>
      </c>
      <c r="K809" s="3">
        <v>32.83</v>
      </c>
      <c r="L809" s="3">
        <v>821.00117314091904</v>
      </c>
    </row>
    <row r="810" spans="1:12" ht="15" customHeight="1" x14ac:dyDescent="0.2">
      <c r="A810" s="2">
        <v>44873</v>
      </c>
      <c r="B810" s="3">
        <v>33.82</v>
      </c>
      <c r="C810" s="1">
        <v>865089</v>
      </c>
      <c r="D810" s="3">
        <v>0.32</v>
      </c>
      <c r="E810" s="3">
        <v>0.95522388059701102</v>
      </c>
      <c r="F810" s="3">
        <v>0.95523203781531196</v>
      </c>
      <c r="G810" s="3">
        <v>40.069279999999999</v>
      </c>
      <c r="H810" s="3">
        <v>1016.60677418795</v>
      </c>
      <c r="I810" s="3">
        <v>33.72</v>
      </c>
      <c r="J810" s="3">
        <v>34.42</v>
      </c>
      <c r="K810" s="3">
        <v>33.340000000000003</v>
      </c>
      <c r="L810" s="3">
        <v>842.45868912635001</v>
      </c>
    </row>
    <row r="811" spans="1:12" ht="15" customHeight="1" x14ac:dyDescent="0.2">
      <c r="A811" s="2">
        <v>44872</v>
      </c>
      <c r="B811" s="3">
        <v>33.5</v>
      </c>
      <c r="C811" s="1">
        <v>974153</v>
      </c>
      <c r="D811" s="3">
        <v>-0.27000000000000302</v>
      </c>
      <c r="E811" s="3">
        <v>-0.79952620669233498</v>
      </c>
      <c r="F811" s="3">
        <v>-0.79953181751378699</v>
      </c>
      <c r="G811" s="3">
        <v>39.690147000000003</v>
      </c>
      <c r="H811" s="3">
        <v>1006.0415113202801</v>
      </c>
      <c r="I811" s="3">
        <v>34.090000000000003</v>
      </c>
      <c r="J811" s="3">
        <v>34.35</v>
      </c>
      <c r="K811" s="3">
        <v>32.78</v>
      </c>
      <c r="L811" s="3">
        <v>833.54127988565199</v>
      </c>
    </row>
    <row r="812" spans="1:12" ht="15" customHeight="1" x14ac:dyDescent="0.2">
      <c r="A812" s="2">
        <v>44869</v>
      </c>
      <c r="B812" s="3">
        <v>33.770000000000003</v>
      </c>
      <c r="C812" s="1">
        <v>1072173</v>
      </c>
      <c r="D812" s="3">
        <v>0.49000000000000199</v>
      </c>
      <c r="E812" s="3">
        <v>1.4723557692307701</v>
      </c>
      <c r="F812" s="3">
        <v>1.4723571036171199</v>
      </c>
      <c r="G812" s="3">
        <v>40.010039999999996</v>
      </c>
      <c r="H812" s="3">
        <v>1014.95593880227</v>
      </c>
      <c r="I812" s="3">
        <v>33.99</v>
      </c>
      <c r="J812" s="3">
        <v>34.200000000000003</v>
      </c>
      <c r="K812" s="3">
        <v>32.93</v>
      </c>
      <c r="L812" s="3">
        <v>841.06534393249103</v>
      </c>
    </row>
    <row r="813" spans="1:12" ht="15" customHeight="1" x14ac:dyDescent="0.2">
      <c r="A813" s="2">
        <v>44868</v>
      </c>
      <c r="B813" s="3">
        <v>33.28</v>
      </c>
      <c r="C813" s="1">
        <v>1163315</v>
      </c>
      <c r="D813" s="3">
        <v>0.92000000000000104</v>
      </c>
      <c r="E813" s="3">
        <v>2.8430160692212598</v>
      </c>
      <c r="F813" s="3">
        <v>2.8430130805044298</v>
      </c>
      <c r="G813" s="3">
        <v>39.429496999999998</v>
      </c>
      <c r="H813" s="3">
        <v>998.77800282470002</v>
      </c>
      <c r="I813" s="3">
        <v>32.119999999999997</v>
      </c>
      <c r="J813" s="3">
        <v>33.92</v>
      </c>
      <c r="K813" s="3">
        <v>31.81</v>
      </c>
      <c r="L813" s="3">
        <v>827.41056103267101</v>
      </c>
    </row>
    <row r="814" spans="1:12" ht="15" customHeight="1" x14ac:dyDescent="0.2">
      <c r="A814" s="2">
        <v>44867</v>
      </c>
      <c r="B814" s="3">
        <v>32.36</v>
      </c>
      <c r="C814" s="1">
        <v>3947263</v>
      </c>
      <c r="D814" s="3">
        <v>-1.77</v>
      </c>
      <c r="E814" s="3">
        <v>-5.1860533255200796</v>
      </c>
      <c r="F814" s="3">
        <v>-5.1860494562346497</v>
      </c>
      <c r="G814" s="3">
        <v>38.339500000000001</v>
      </c>
      <c r="H814" s="3">
        <v>968.40316119928195</v>
      </c>
      <c r="I814" s="3">
        <v>33.35</v>
      </c>
      <c r="J814" s="3">
        <v>34.31</v>
      </c>
      <c r="K814" s="3">
        <v>32.200000000000003</v>
      </c>
      <c r="L814" s="3">
        <v>801.77300946566197</v>
      </c>
    </row>
    <row r="815" spans="1:12" ht="15" customHeight="1" x14ac:dyDescent="0.2">
      <c r="A815" s="2">
        <v>44866</v>
      </c>
      <c r="B815" s="3">
        <v>34.130000000000003</v>
      </c>
      <c r="C815" s="1">
        <v>1720898</v>
      </c>
      <c r="D815" s="3">
        <v>-1.6799999999999899</v>
      </c>
      <c r="E815" s="3">
        <v>-4.6914269757050997</v>
      </c>
      <c r="F815" s="3">
        <v>-4.6914330060715503</v>
      </c>
      <c r="G815" s="3">
        <v>40.43656</v>
      </c>
      <c r="H815" s="3">
        <v>1026.8417306439601</v>
      </c>
      <c r="I815" s="3">
        <v>35.97</v>
      </c>
      <c r="J815" s="3">
        <v>36.253</v>
      </c>
      <c r="K815" s="3">
        <v>34.021000000000001</v>
      </c>
      <c r="L815" s="3">
        <v>851.09742932827703</v>
      </c>
    </row>
    <row r="816" spans="1:12" ht="15" customHeight="1" x14ac:dyDescent="0.2">
      <c r="A816" s="2">
        <v>44865</v>
      </c>
      <c r="B816" s="3">
        <v>35.81</v>
      </c>
      <c r="C816" s="1">
        <v>1452336</v>
      </c>
      <c r="D816" s="3">
        <v>-0.39999999999999802</v>
      </c>
      <c r="E816" s="3">
        <v>-1.10466721900027</v>
      </c>
      <c r="F816" s="3">
        <v>-1.10465281614138</v>
      </c>
      <c r="G816" s="3">
        <v>42.426994000000001</v>
      </c>
      <c r="H816" s="3">
        <v>1082.3089635958399</v>
      </c>
      <c r="I816" s="3">
        <v>35.880000000000003</v>
      </c>
      <c r="J816" s="3">
        <v>36.435000000000002</v>
      </c>
      <c r="K816" s="3">
        <v>35.520000000000003</v>
      </c>
      <c r="L816" s="3">
        <v>897.91382784194604</v>
      </c>
    </row>
    <row r="817" spans="1:12" ht="15" customHeight="1" x14ac:dyDescent="0.2">
      <c r="A817" s="2">
        <v>44862</v>
      </c>
      <c r="B817" s="3">
        <v>36.21</v>
      </c>
      <c r="C817" s="1">
        <v>1292442</v>
      </c>
      <c r="D817" s="3">
        <v>1.5799999999999901</v>
      </c>
      <c r="E817" s="3">
        <v>4.5625180479353</v>
      </c>
      <c r="F817" s="3">
        <v>4.5624999360208003</v>
      </c>
      <c r="G817" s="3">
        <v>42.9009</v>
      </c>
      <c r="H817" s="3">
        <v>1095.5152565446599</v>
      </c>
      <c r="I817" s="3">
        <v>34.65</v>
      </c>
      <c r="J817" s="3">
        <v>36.43</v>
      </c>
      <c r="K817" s="3">
        <v>34.26</v>
      </c>
      <c r="L817" s="3">
        <v>909.060589392819</v>
      </c>
    </row>
    <row r="818" spans="1:12" ht="15" customHeight="1" x14ac:dyDescent="0.2">
      <c r="A818" s="2">
        <v>44861</v>
      </c>
      <c r="B818" s="3">
        <v>34.630000000000003</v>
      </c>
      <c r="C818" s="1">
        <v>1258243</v>
      </c>
      <c r="D818" s="3">
        <v>1.39</v>
      </c>
      <c r="E818" s="3">
        <v>4.1817087845968697</v>
      </c>
      <c r="F818" s="3">
        <v>4.18171379200205</v>
      </c>
      <c r="G818" s="3">
        <v>41.028953999999999</v>
      </c>
      <c r="H818" s="3">
        <v>1043.34991729938</v>
      </c>
      <c r="I818" s="3">
        <v>33.61</v>
      </c>
      <c r="J818" s="3">
        <v>34.92</v>
      </c>
      <c r="K818" s="3">
        <v>33.380000000000003</v>
      </c>
      <c r="L818" s="3">
        <v>865.03088126686896</v>
      </c>
    </row>
    <row r="819" spans="1:12" ht="15" customHeight="1" x14ac:dyDescent="0.2">
      <c r="A819" s="2">
        <v>44860</v>
      </c>
      <c r="B819" s="3">
        <v>33.24</v>
      </c>
      <c r="C819" s="1">
        <v>853730</v>
      </c>
      <c r="D819" s="3">
        <v>0.37000000000000399</v>
      </c>
      <c r="E819" s="3">
        <v>1.1256464861576001</v>
      </c>
      <c r="F819" s="3">
        <v>1.12564954924587</v>
      </c>
      <c r="G819" s="3">
        <v>39.382106999999998</v>
      </c>
      <c r="H819" s="3">
        <v>997.45739024996101</v>
      </c>
      <c r="I819" s="3">
        <v>32.950000000000003</v>
      </c>
      <c r="J819" s="3">
        <v>34.76</v>
      </c>
      <c r="K819" s="3">
        <v>32.950000000000003</v>
      </c>
      <c r="L819" s="3">
        <v>826.29588487758394</v>
      </c>
    </row>
    <row r="820" spans="1:12" ht="15" customHeight="1" x14ac:dyDescent="0.2">
      <c r="A820" s="2">
        <v>44859</v>
      </c>
      <c r="B820" s="3">
        <v>32.869999999999997</v>
      </c>
      <c r="C820" s="1">
        <v>1138226</v>
      </c>
      <c r="D820" s="3">
        <v>0.56999999999999995</v>
      </c>
      <c r="E820" s="3">
        <v>1.76470588235293</v>
      </c>
      <c r="F820" s="3">
        <v>1.7647114160217201</v>
      </c>
      <c r="G820" s="3">
        <v>38.943736999999999</v>
      </c>
      <c r="H820" s="3">
        <v>985.24137559732003</v>
      </c>
      <c r="I820" s="3">
        <v>32.06</v>
      </c>
      <c r="J820" s="3">
        <v>33.01</v>
      </c>
      <c r="K820" s="3">
        <v>32.01</v>
      </c>
      <c r="L820" s="3">
        <v>815.98513044302604</v>
      </c>
    </row>
    <row r="821" spans="1:12" ht="15" customHeight="1" x14ac:dyDescent="0.2">
      <c r="A821" s="2">
        <v>44858</v>
      </c>
      <c r="B821" s="3">
        <v>32.299999999999997</v>
      </c>
      <c r="C821" s="1">
        <v>1077675</v>
      </c>
      <c r="D821" s="3">
        <v>-0.90000000000000502</v>
      </c>
      <c r="E821" s="3">
        <v>-2.7108433734939799</v>
      </c>
      <c r="F821" s="3">
        <v>-2.7108546376474401</v>
      </c>
      <c r="G821" s="3">
        <v>38.268410000000003</v>
      </c>
      <c r="H821" s="3">
        <v>966.42210300265299</v>
      </c>
      <c r="I821" s="3">
        <v>33.19</v>
      </c>
      <c r="J821" s="3">
        <v>33.94</v>
      </c>
      <c r="K821" s="3">
        <v>32.185000000000002</v>
      </c>
      <c r="L821" s="3">
        <v>800.10099523303097</v>
      </c>
    </row>
    <row r="822" spans="1:12" ht="15" customHeight="1" x14ac:dyDescent="0.2">
      <c r="A822" s="2">
        <v>44855</v>
      </c>
      <c r="B822" s="3">
        <v>33.200000000000003</v>
      </c>
      <c r="C822" s="1">
        <v>759230</v>
      </c>
      <c r="D822" s="3">
        <v>0.67000000000000104</v>
      </c>
      <c r="E822" s="3">
        <v>2.0596372579157798</v>
      </c>
      <c r="F822" s="3">
        <v>2.0596477872473602</v>
      </c>
      <c r="G822" s="3">
        <v>39.334716999999998</v>
      </c>
      <c r="H822" s="3">
        <v>996.13677767522097</v>
      </c>
      <c r="I822" s="3">
        <v>32.51</v>
      </c>
      <c r="J822" s="3">
        <v>33.6</v>
      </c>
      <c r="K822" s="3">
        <v>32.229999999999997</v>
      </c>
      <c r="L822" s="3">
        <v>825.18120872249699</v>
      </c>
    </row>
    <row r="823" spans="1:12" ht="15" customHeight="1" x14ac:dyDescent="0.2">
      <c r="A823" s="2">
        <v>44854</v>
      </c>
      <c r="B823" s="3">
        <v>32.53</v>
      </c>
      <c r="C823" s="1">
        <v>745023</v>
      </c>
      <c r="D823" s="3">
        <v>-0.28999999999999898</v>
      </c>
      <c r="E823" s="3">
        <v>-0.88360755636805999</v>
      </c>
      <c r="F823" s="3">
        <v>-0.88361686533195904</v>
      </c>
      <c r="G823" s="3">
        <v>38.540909999999997</v>
      </c>
      <c r="H823" s="3">
        <v>974.01583430918504</v>
      </c>
      <c r="I823" s="3">
        <v>32.590000000000003</v>
      </c>
      <c r="J823" s="3">
        <v>33.44</v>
      </c>
      <c r="K823" s="3">
        <v>32.35</v>
      </c>
      <c r="L823" s="3">
        <v>806.51038312478397</v>
      </c>
    </row>
    <row r="824" spans="1:12" ht="15" customHeight="1" x14ac:dyDescent="0.2">
      <c r="A824" s="2">
        <v>44853</v>
      </c>
      <c r="B824" s="3">
        <v>32.82</v>
      </c>
      <c r="C824" s="1">
        <v>642985</v>
      </c>
      <c r="D824" s="3">
        <v>-0.20000000000000201</v>
      </c>
      <c r="E824" s="3">
        <v>-0.60569351907935298</v>
      </c>
      <c r="F824" s="3">
        <v>-0.60569320323865505</v>
      </c>
      <c r="G824" s="3">
        <v>38.884500000000003</v>
      </c>
      <c r="H824" s="3">
        <v>983.59062381234696</v>
      </c>
      <c r="I824" s="3">
        <v>32.85</v>
      </c>
      <c r="J824" s="3">
        <v>33.47</v>
      </c>
      <c r="K824" s="3">
        <v>32.619999999999997</v>
      </c>
      <c r="L824" s="3">
        <v>814.59178524916695</v>
      </c>
    </row>
    <row r="825" spans="1:12" ht="15" customHeight="1" x14ac:dyDescent="0.2">
      <c r="A825" s="2">
        <v>44852</v>
      </c>
      <c r="B825" s="3">
        <v>33.020000000000003</v>
      </c>
      <c r="C825" s="1">
        <v>563135</v>
      </c>
      <c r="D825" s="3">
        <v>0.56000000000000205</v>
      </c>
      <c r="E825" s="3">
        <v>1.7252002464571901</v>
      </c>
      <c r="F825" s="3">
        <v>1.72520515054652</v>
      </c>
      <c r="G825" s="3">
        <v>39.121456000000002</v>
      </c>
      <c r="H825" s="3">
        <v>990.193853887469</v>
      </c>
      <c r="I825" s="3">
        <v>33.14</v>
      </c>
      <c r="J825" s="3">
        <v>33.534999999999997</v>
      </c>
      <c r="K825" s="3">
        <v>32.64</v>
      </c>
      <c r="L825" s="3">
        <v>820.16516602460399</v>
      </c>
    </row>
    <row r="826" spans="1:12" ht="15" customHeight="1" x14ac:dyDescent="0.2">
      <c r="A826" s="2">
        <v>44851</v>
      </c>
      <c r="B826" s="3">
        <v>32.46</v>
      </c>
      <c r="C826" s="1">
        <v>720080</v>
      </c>
      <c r="D826" s="3">
        <v>0.39999999999999802</v>
      </c>
      <c r="E826" s="3">
        <v>1.24766063630692</v>
      </c>
      <c r="F826" s="3">
        <v>1.2476573729626601</v>
      </c>
      <c r="G826" s="3">
        <v>38.457977</v>
      </c>
      <c r="H826" s="3">
        <v>971.70474836993901</v>
      </c>
      <c r="I826" s="3">
        <v>32.69</v>
      </c>
      <c r="J826" s="3">
        <v>33.11</v>
      </c>
      <c r="K826" s="3">
        <v>31.98</v>
      </c>
      <c r="L826" s="3">
        <v>804.55969985338095</v>
      </c>
    </row>
    <row r="827" spans="1:12" ht="15" customHeight="1" x14ac:dyDescent="0.2">
      <c r="A827" s="2">
        <v>44848</v>
      </c>
      <c r="B827" s="3">
        <v>32.06</v>
      </c>
      <c r="C827" s="1">
        <v>550533</v>
      </c>
      <c r="D827" s="3">
        <v>-1.03999999999999</v>
      </c>
      <c r="E827" s="3">
        <v>-3.14199395770392</v>
      </c>
      <c r="F827" s="3">
        <v>-3.14198945559182</v>
      </c>
      <c r="G827" s="3">
        <v>37.984065999999999</v>
      </c>
      <c r="H827" s="3">
        <v>958.49831608659895</v>
      </c>
      <c r="I827" s="3">
        <v>33.61</v>
      </c>
      <c r="J827" s="3">
        <v>33.880000000000003</v>
      </c>
      <c r="K827" s="3">
        <v>32.020000000000003</v>
      </c>
      <c r="L827" s="3">
        <v>793.41293830250697</v>
      </c>
    </row>
    <row r="828" spans="1:12" ht="15" customHeight="1" x14ac:dyDescent="0.2">
      <c r="A828" s="2">
        <v>44847</v>
      </c>
      <c r="B828" s="3">
        <v>33.1</v>
      </c>
      <c r="C828" s="1">
        <v>937036</v>
      </c>
      <c r="D828" s="3">
        <v>0.78999999999999904</v>
      </c>
      <c r="E828" s="3">
        <v>2.4450634478489599</v>
      </c>
      <c r="F828" s="3">
        <v>2.44505641053345</v>
      </c>
      <c r="G828" s="3">
        <v>39.216236000000002</v>
      </c>
      <c r="H828" s="3">
        <v>992.83507903694795</v>
      </c>
      <c r="I828" s="3">
        <v>31.56</v>
      </c>
      <c r="J828" s="3">
        <v>33.42</v>
      </c>
      <c r="K828" s="3">
        <v>31.26</v>
      </c>
      <c r="L828" s="3">
        <v>822.39451833477801</v>
      </c>
    </row>
    <row r="829" spans="1:12" ht="15" customHeight="1" x14ac:dyDescent="0.2">
      <c r="A829" s="2">
        <v>44846</v>
      </c>
      <c r="B829" s="3">
        <v>32.31</v>
      </c>
      <c r="C829" s="1">
        <v>1288534</v>
      </c>
      <c r="D829" s="3">
        <v>1.66</v>
      </c>
      <c r="E829" s="3">
        <v>5.4159869494290396</v>
      </c>
      <c r="F829" s="3">
        <v>5.4159990319859297</v>
      </c>
      <c r="G829" s="3">
        <v>38.280262</v>
      </c>
      <c r="H829" s="3">
        <v>966.75238154740498</v>
      </c>
      <c r="I829" s="3">
        <v>30.77</v>
      </c>
      <c r="J829" s="3">
        <v>32.479999999999997</v>
      </c>
      <c r="K829" s="3">
        <v>30.26</v>
      </c>
      <c r="L829" s="3">
        <v>800.37966427180299</v>
      </c>
    </row>
    <row r="830" spans="1:12" ht="15" customHeight="1" x14ac:dyDescent="0.2">
      <c r="A830" s="2">
        <v>44845</v>
      </c>
      <c r="B830" s="3">
        <v>30.65</v>
      </c>
      <c r="C830" s="1">
        <v>918080</v>
      </c>
      <c r="D830" s="3">
        <v>0.32</v>
      </c>
      <c r="E830" s="3">
        <v>1.05506099571381</v>
      </c>
      <c r="F830" s="3">
        <v>1.0550532435567399</v>
      </c>
      <c r="G830" s="3">
        <v>36.313521999999999</v>
      </c>
      <c r="H830" s="3">
        <v>911.945427015993</v>
      </c>
      <c r="I830" s="3">
        <v>30.21</v>
      </c>
      <c r="J830" s="3">
        <v>30.91</v>
      </c>
      <c r="K830" s="3">
        <v>29.2</v>
      </c>
      <c r="L830" s="3">
        <v>754.12060383567803</v>
      </c>
    </row>
    <row r="831" spans="1:12" ht="15" customHeight="1" x14ac:dyDescent="0.2">
      <c r="A831" s="2">
        <v>44844</v>
      </c>
      <c r="B831" s="3">
        <v>30.33</v>
      </c>
      <c r="C831" s="1">
        <v>739202</v>
      </c>
      <c r="D831" s="3">
        <v>-0.56999999999999995</v>
      </c>
      <c r="E831" s="3">
        <v>-1.84466019417476</v>
      </c>
      <c r="F831" s="3">
        <v>-1.8446603798117001</v>
      </c>
      <c r="G831" s="3">
        <v>35.934395000000002</v>
      </c>
      <c r="H831" s="3">
        <v>901.38033134974796</v>
      </c>
      <c r="I831" s="3">
        <v>30.97</v>
      </c>
      <c r="J831" s="3">
        <v>31.25</v>
      </c>
      <c r="K831" s="3">
        <v>30.23</v>
      </c>
      <c r="L831" s="3">
        <v>745.20319459497898</v>
      </c>
    </row>
    <row r="832" spans="1:12" ht="15" customHeight="1" x14ac:dyDescent="0.2">
      <c r="A832" s="2">
        <v>44841</v>
      </c>
      <c r="B832" s="3">
        <v>30.9</v>
      </c>
      <c r="C832" s="1">
        <v>951090</v>
      </c>
      <c r="D832" s="3">
        <v>-0.310000000000002</v>
      </c>
      <c r="E832" s="3">
        <v>-0.99327138737584897</v>
      </c>
      <c r="F832" s="3">
        <v>-0.99326608432267405</v>
      </c>
      <c r="G832" s="3">
        <v>36.609720000000003</v>
      </c>
      <c r="H832" s="3">
        <v>920.19954821060696</v>
      </c>
      <c r="I832" s="3">
        <v>30.89</v>
      </c>
      <c r="J832" s="3">
        <v>31.04</v>
      </c>
      <c r="K832" s="3">
        <v>29.724900000000002</v>
      </c>
      <c r="L832" s="3">
        <v>761.08732980497405</v>
      </c>
    </row>
    <row r="833" spans="1:12" ht="15" customHeight="1" x14ac:dyDescent="0.2">
      <c r="A833" s="2">
        <v>44840</v>
      </c>
      <c r="B833" s="3">
        <v>31.21</v>
      </c>
      <c r="C833" s="1">
        <v>723569</v>
      </c>
      <c r="D833" s="3">
        <v>-0.41</v>
      </c>
      <c r="E833" s="3">
        <v>-1.2966476913345899</v>
      </c>
      <c r="F833" s="3">
        <v>-1.2966476575671599</v>
      </c>
      <c r="G833" s="3">
        <v>36.976999999999997</v>
      </c>
      <c r="H833" s="3">
        <v>930.43450466661898</v>
      </c>
      <c r="I833" s="3">
        <v>31.6</v>
      </c>
      <c r="J833" s="3">
        <v>32.445</v>
      </c>
      <c r="K833" s="3">
        <v>31.08</v>
      </c>
      <c r="L833" s="3">
        <v>769.72607000690095</v>
      </c>
    </row>
    <row r="834" spans="1:12" ht="15" customHeight="1" x14ac:dyDescent="0.2">
      <c r="A834" s="2">
        <v>44839</v>
      </c>
      <c r="B834" s="3">
        <v>31.62</v>
      </c>
      <c r="C834" s="1">
        <v>881858</v>
      </c>
      <c r="D834" s="3">
        <v>0.19999999999999901</v>
      </c>
      <c r="E834" s="3">
        <v>0.63653723742837998</v>
      </c>
      <c r="F834" s="3">
        <v>0.636539660407065</v>
      </c>
      <c r="G834" s="3">
        <v>37.462760000000003</v>
      </c>
      <c r="H834" s="3">
        <v>943.971131894</v>
      </c>
      <c r="I834" s="3">
        <v>30.81</v>
      </c>
      <c r="J834" s="3">
        <v>31.93</v>
      </c>
      <c r="K834" s="3">
        <v>30.754999999999999</v>
      </c>
      <c r="L834" s="3">
        <v>781.15150059654604</v>
      </c>
    </row>
    <row r="835" spans="1:12" ht="15" customHeight="1" x14ac:dyDescent="0.2">
      <c r="A835" s="2">
        <v>44838</v>
      </c>
      <c r="B835" s="3">
        <v>31.42</v>
      </c>
      <c r="C835" s="1">
        <v>1168995</v>
      </c>
      <c r="D835" s="3">
        <v>2.3199999999999998</v>
      </c>
      <c r="E835" s="3">
        <v>7.9725085910652798</v>
      </c>
      <c r="F835" s="3">
        <v>7.9724968875006796</v>
      </c>
      <c r="G835" s="3">
        <v>37.225802999999999</v>
      </c>
      <c r="H835" s="3">
        <v>937.36787395197405</v>
      </c>
      <c r="I835" s="3">
        <v>29.87</v>
      </c>
      <c r="J835" s="3">
        <v>31.45</v>
      </c>
      <c r="K835" s="3">
        <v>29.87</v>
      </c>
      <c r="L835" s="3">
        <v>775.57811982111002</v>
      </c>
    </row>
    <row r="836" spans="1:12" ht="15" customHeight="1" x14ac:dyDescent="0.2">
      <c r="A836" s="2">
        <v>44837</v>
      </c>
      <c r="B836" s="3">
        <v>29.1</v>
      </c>
      <c r="C836" s="1">
        <v>861369</v>
      </c>
      <c r="D836" s="3">
        <v>-0.17999999999999899</v>
      </c>
      <c r="E836" s="3">
        <v>-0.61475409836065897</v>
      </c>
      <c r="F836" s="3">
        <v>-0.61475263341048603</v>
      </c>
      <c r="G836" s="3">
        <v>34.477116000000002</v>
      </c>
      <c r="H836" s="3">
        <v>860.77047753450995</v>
      </c>
      <c r="I836" s="3">
        <v>29.6</v>
      </c>
      <c r="J836" s="3">
        <v>29.79</v>
      </c>
      <c r="K836" s="3">
        <v>28.48</v>
      </c>
      <c r="L836" s="3">
        <v>710.92690282604406</v>
      </c>
    </row>
    <row r="837" spans="1:12" ht="15" customHeight="1" x14ac:dyDescent="0.2">
      <c r="A837" s="2">
        <v>44834</v>
      </c>
      <c r="B837" s="3">
        <v>29.28</v>
      </c>
      <c r="C837" s="1">
        <v>845392</v>
      </c>
      <c r="D837" s="3">
        <v>-0.69999999999999896</v>
      </c>
      <c r="E837" s="3">
        <v>-2.3348899266177399</v>
      </c>
      <c r="F837" s="3">
        <v>-2.3348887696812501</v>
      </c>
      <c r="G837" s="3">
        <v>34.690376000000001</v>
      </c>
      <c r="H837" s="3">
        <v>866.71337345535801</v>
      </c>
      <c r="I837" s="3">
        <v>29.74</v>
      </c>
      <c r="J837" s="3">
        <v>30.34</v>
      </c>
      <c r="K837" s="3">
        <v>29.23</v>
      </c>
      <c r="L837" s="3">
        <v>715.94294552393706</v>
      </c>
    </row>
    <row r="838" spans="1:12" ht="15" customHeight="1" x14ac:dyDescent="0.2">
      <c r="A838" s="2">
        <v>44833</v>
      </c>
      <c r="B838" s="3">
        <v>29.98</v>
      </c>
      <c r="C838" s="1">
        <v>822382</v>
      </c>
      <c r="D838" s="3">
        <v>-0.46999999999999797</v>
      </c>
      <c r="E838" s="3">
        <v>-1.54351395730705</v>
      </c>
      <c r="F838" s="3">
        <v>-1.5435170250386701</v>
      </c>
      <c r="G838" s="3">
        <v>35.519722000000002</v>
      </c>
      <c r="H838" s="3">
        <v>889.82467871828499</v>
      </c>
      <c r="I838" s="3">
        <v>30.05</v>
      </c>
      <c r="J838" s="3">
        <v>30.22</v>
      </c>
      <c r="K838" s="3">
        <v>29.02</v>
      </c>
      <c r="L838" s="3">
        <v>735.44977823796501</v>
      </c>
    </row>
    <row r="839" spans="1:12" ht="15" customHeight="1" x14ac:dyDescent="0.2">
      <c r="A839" s="2">
        <v>44832</v>
      </c>
      <c r="B839" s="3">
        <v>30.45</v>
      </c>
      <c r="C839" s="1">
        <v>1053489</v>
      </c>
      <c r="D839" s="3">
        <v>1.26999999999999</v>
      </c>
      <c r="E839" s="3">
        <v>4.3522960932145196</v>
      </c>
      <c r="F839" s="3">
        <v>4.3523039638901899</v>
      </c>
      <c r="G839" s="3">
        <v>36.076569999999997</v>
      </c>
      <c r="H839" s="3">
        <v>905.34230840848704</v>
      </c>
      <c r="I839" s="3">
        <v>29.29</v>
      </c>
      <c r="J839" s="3">
        <v>30.48</v>
      </c>
      <c r="K839" s="3">
        <v>28.84</v>
      </c>
      <c r="L839" s="3">
        <v>748.54722306024098</v>
      </c>
    </row>
    <row r="840" spans="1:12" ht="15" customHeight="1" x14ac:dyDescent="0.2">
      <c r="A840" s="2">
        <v>44831</v>
      </c>
      <c r="B840" s="3">
        <v>29.18</v>
      </c>
      <c r="C840" s="1">
        <v>1027676.99999999</v>
      </c>
      <c r="D840" s="3">
        <v>0.62000000000000099</v>
      </c>
      <c r="E840" s="3">
        <v>2.1708683473389501</v>
      </c>
      <c r="F840" s="3">
        <v>2.1708625153506498</v>
      </c>
      <c r="G840" s="3">
        <v>34.571896000000002</v>
      </c>
      <c r="H840" s="3">
        <v>863.41170268398901</v>
      </c>
      <c r="I840" s="3">
        <v>29.19</v>
      </c>
      <c r="J840" s="3">
        <v>30.346399999999999</v>
      </c>
      <c r="K840" s="3">
        <v>28.89</v>
      </c>
      <c r="L840" s="3">
        <v>713.15625513621796</v>
      </c>
    </row>
    <row r="841" spans="1:12" ht="15" customHeight="1" x14ac:dyDescent="0.2">
      <c r="A841" s="2">
        <v>44830</v>
      </c>
      <c r="B841" s="3">
        <v>28.56</v>
      </c>
      <c r="C841" s="1">
        <v>987694</v>
      </c>
      <c r="D841" s="3">
        <v>0.12999999999999901</v>
      </c>
      <c r="E841" s="3">
        <v>0.45726345409777802</v>
      </c>
      <c r="F841" s="3">
        <v>0.45727097485370699</v>
      </c>
      <c r="G841" s="3">
        <v>33.837333999999998</v>
      </c>
      <c r="H841" s="3">
        <v>842.94173403815705</v>
      </c>
      <c r="I841" s="3">
        <v>28.67</v>
      </c>
      <c r="J841" s="3">
        <v>29.44</v>
      </c>
      <c r="K841" s="3">
        <v>28.28</v>
      </c>
      <c r="L841" s="3">
        <v>695.87877473236404</v>
      </c>
    </row>
    <row r="842" spans="1:12" ht="15" customHeight="1" x14ac:dyDescent="0.2">
      <c r="A842" s="2">
        <v>44827</v>
      </c>
      <c r="B842" s="3">
        <v>28.43</v>
      </c>
      <c r="C842" s="1">
        <v>1374762</v>
      </c>
      <c r="D842" s="3">
        <v>-0.71</v>
      </c>
      <c r="E842" s="3">
        <v>-2.4365133836650701</v>
      </c>
      <c r="F842" s="3">
        <v>-2.4365185703164101</v>
      </c>
      <c r="G842" s="3">
        <v>33.683309999999999</v>
      </c>
      <c r="H842" s="3">
        <v>838.64956203537804</v>
      </c>
      <c r="I842" s="3">
        <v>28.87</v>
      </c>
      <c r="J842" s="3">
        <v>29.37</v>
      </c>
      <c r="K842" s="3">
        <v>27.905000000000001</v>
      </c>
      <c r="L842" s="3">
        <v>692.25607722833104</v>
      </c>
    </row>
    <row r="843" spans="1:12" ht="15" customHeight="1" x14ac:dyDescent="0.2">
      <c r="A843" s="2">
        <v>44826</v>
      </c>
      <c r="B843" s="3">
        <v>29.14</v>
      </c>
      <c r="C843" s="1">
        <v>1497278</v>
      </c>
      <c r="D843" s="3">
        <v>-2.21999999999999</v>
      </c>
      <c r="E843" s="3">
        <v>-7.0790816326530601</v>
      </c>
      <c r="F843" s="3">
        <v>-7.0790844339561598</v>
      </c>
      <c r="G843" s="3">
        <v>34.524506000000002</v>
      </c>
      <c r="H843" s="3">
        <v>862.09109010924999</v>
      </c>
      <c r="I843" s="3">
        <v>31.14</v>
      </c>
      <c r="J843" s="3">
        <v>31.14</v>
      </c>
      <c r="K843" s="3">
        <v>28.569900000000001</v>
      </c>
      <c r="L843" s="3">
        <v>712.04157898113101</v>
      </c>
    </row>
    <row r="844" spans="1:12" ht="15" customHeight="1" x14ac:dyDescent="0.2">
      <c r="A844" s="2">
        <v>44825</v>
      </c>
      <c r="B844" s="3">
        <v>31.36</v>
      </c>
      <c r="C844" s="1">
        <v>632930</v>
      </c>
      <c r="D844" s="3">
        <v>-0.39</v>
      </c>
      <c r="E844" s="3">
        <v>-1.2283464566929101</v>
      </c>
      <c r="F844" s="3">
        <v>-1.2283426788516201</v>
      </c>
      <c r="G844" s="3">
        <v>37.154719999999998</v>
      </c>
      <c r="H844" s="3">
        <v>935.38701082367197</v>
      </c>
      <c r="I844" s="3">
        <v>32.01</v>
      </c>
      <c r="J844" s="3">
        <v>32.549999999999997</v>
      </c>
      <c r="K844" s="3">
        <v>31.33</v>
      </c>
      <c r="L844" s="3">
        <v>773.90610558847902</v>
      </c>
    </row>
    <row r="845" spans="1:12" ht="15" customHeight="1" x14ac:dyDescent="0.2">
      <c r="A845" s="2">
        <v>44824</v>
      </c>
      <c r="B845" s="3">
        <v>31.75</v>
      </c>
      <c r="C845" s="1">
        <v>836436</v>
      </c>
      <c r="D845" s="3">
        <v>-0.78999999999999904</v>
      </c>
      <c r="E845" s="3">
        <v>-2.4277811923786001</v>
      </c>
      <c r="F845" s="3">
        <v>-2.42778208356548</v>
      </c>
      <c r="G845" s="3">
        <v>37.616782999999998</v>
      </c>
      <c r="H845" s="3">
        <v>948.26327602987499</v>
      </c>
      <c r="I845" s="3">
        <v>32.22</v>
      </c>
      <c r="J845" s="3">
        <v>32.335000000000001</v>
      </c>
      <c r="K845" s="3">
        <v>31.25</v>
      </c>
      <c r="L845" s="3">
        <v>784.77419810057995</v>
      </c>
    </row>
    <row r="846" spans="1:12" ht="15" customHeight="1" x14ac:dyDescent="0.2">
      <c r="A846" s="2">
        <v>44823</v>
      </c>
      <c r="B846" s="3">
        <v>32.54</v>
      </c>
      <c r="C846" s="1">
        <v>553803</v>
      </c>
      <c r="D846" s="3">
        <v>-7.9999999999998295E-2</v>
      </c>
      <c r="E846" s="3">
        <v>-0.245248313917834</v>
      </c>
      <c r="F846" s="3">
        <v>-0.24524199987890899</v>
      </c>
      <c r="G846" s="3">
        <v>38.552759999999999</v>
      </c>
      <c r="H846" s="3">
        <v>974.34605712013001</v>
      </c>
      <c r="I846" s="3">
        <v>31.98</v>
      </c>
      <c r="J846" s="3">
        <v>33.28</v>
      </c>
      <c r="K846" s="3">
        <v>31.98</v>
      </c>
      <c r="L846" s="3">
        <v>806.78905216355497</v>
      </c>
    </row>
    <row r="847" spans="1:12" ht="15" customHeight="1" x14ac:dyDescent="0.2">
      <c r="A847" s="2">
        <v>44820</v>
      </c>
      <c r="B847" s="3">
        <v>32.619999999999997</v>
      </c>
      <c r="C847" s="1">
        <v>1225757</v>
      </c>
      <c r="D847" s="3">
        <v>-0.5</v>
      </c>
      <c r="E847" s="3">
        <v>-1.5096618357487801</v>
      </c>
      <c r="F847" s="3">
        <v>-1.50966120479828</v>
      </c>
      <c r="G847" s="3">
        <v>38.647539999999999</v>
      </c>
      <c r="H847" s="3">
        <v>976.98728226960998</v>
      </c>
      <c r="I847" s="3">
        <v>32.450000000000003</v>
      </c>
      <c r="J847" s="3">
        <v>32.74</v>
      </c>
      <c r="K847" s="3">
        <v>31.65</v>
      </c>
      <c r="L847" s="3">
        <v>809.01840447373002</v>
      </c>
    </row>
    <row r="848" spans="1:12" ht="15" customHeight="1" x14ac:dyDescent="0.2">
      <c r="A848" s="2">
        <v>44819</v>
      </c>
      <c r="B848" s="3">
        <v>33.119999999999997</v>
      </c>
      <c r="C848" s="1">
        <v>932150</v>
      </c>
      <c r="D848" s="3">
        <v>0.32999999999999802</v>
      </c>
      <c r="E848" s="3">
        <v>1.00640439158279</v>
      </c>
      <c r="F848" s="3">
        <v>1.0063925268315399</v>
      </c>
      <c r="G848" s="3">
        <v>39.239930000000001</v>
      </c>
      <c r="H848" s="3">
        <v>993.495357457414</v>
      </c>
      <c r="I848" s="3">
        <v>32.590000000000003</v>
      </c>
      <c r="J848" s="3">
        <v>34.174500000000002</v>
      </c>
      <c r="K848" s="3">
        <v>32.590000000000003</v>
      </c>
      <c r="L848" s="3">
        <v>822.95185641232194</v>
      </c>
    </row>
    <row r="849" spans="1:12" ht="15" customHeight="1" x14ac:dyDescent="0.2">
      <c r="A849" s="2">
        <v>44818</v>
      </c>
      <c r="B849" s="3">
        <v>32.79</v>
      </c>
      <c r="C849" s="1">
        <v>800564</v>
      </c>
      <c r="D849" s="3">
        <v>-0.109999999999999</v>
      </c>
      <c r="E849" s="3">
        <v>-0.33434650455926801</v>
      </c>
      <c r="F849" s="3">
        <v>-0.33434428063605598</v>
      </c>
      <c r="G849" s="3">
        <v>38.848956999999999</v>
      </c>
      <c r="H849" s="3">
        <v>982.60015044783995</v>
      </c>
      <c r="I849" s="3">
        <v>33.01</v>
      </c>
      <c r="J849" s="3">
        <v>33.299999999999997</v>
      </c>
      <c r="K849" s="3">
        <v>32.17</v>
      </c>
      <c r="L849" s="3">
        <v>813.75577813285099</v>
      </c>
    </row>
    <row r="850" spans="1:12" ht="15" customHeight="1" x14ac:dyDescent="0.2">
      <c r="A850" s="2">
        <v>44817</v>
      </c>
      <c r="B850" s="3">
        <v>32.9</v>
      </c>
      <c r="C850" s="1">
        <v>832228</v>
      </c>
      <c r="D850" s="3">
        <v>-1.3299999999999901</v>
      </c>
      <c r="E850" s="3">
        <v>-3.88548057259713</v>
      </c>
      <c r="F850" s="3">
        <v>-3.8854800784316801</v>
      </c>
      <c r="G850" s="3">
        <v>38.979281999999998</v>
      </c>
      <c r="H850" s="3">
        <v>986.23190469563394</v>
      </c>
      <c r="I850" s="3">
        <v>32.94</v>
      </c>
      <c r="J850" s="3">
        <v>33.534999999999997</v>
      </c>
      <c r="K850" s="3">
        <v>32.64</v>
      </c>
      <c r="L850" s="3">
        <v>816.82113755934097</v>
      </c>
    </row>
    <row r="851" spans="1:12" ht="15" customHeight="1" x14ac:dyDescent="0.2">
      <c r="A851" s="2">
        <v>44816</v>
      </c>
      <c r="B851" s="3">
        <v>34.229999999999997</v>
      </c>
      <c r="C851" s="1">
        <v>887304</v>
      </c>
      <c r="D851" s="3">
        <v>0.739999999999994</v>
      </c>
      <c r="E851" s="3">
        <v>2.2096148103911402</v>
      </c>
      <c r="F851" s="3">
        <v>2.2096131480219698</v>
      </c>
      <c r="G851" s="3">
        <v>40.555039999999998</v>
      </c>
      <c r="H851" s="3">
        <v>1030.1434014153299</v>
      </c>
      <c r="I851" s="3">
        <v>34.119999999999997</v>
      </c>
      <c r="J851" s="3">
        <v>34.33</v>
      </c>
      <c r="K851" s="3">
        <v>33.594999999999999</v>
      </c>
      <c r="L851" s="3">
        <v>853.88411971599601</v>
      </c>
    </row>
    <row r="852" spans="1:12" ht="15" customHeight="1" x14ac:dyDescent="0.2">
      <c r="A852" s="2">
        <v>44813</v>
      </c>
      <c r="B852" s="3">
        <v>33.49</v>
      </c>
      <c r="C852" s="1">
        <v>1132111</v>
      </c>
      <c r="D852" s="3">
        <v>0.95000000000000195</v>
      </c>
      <c r="E852" s="3">
        <v>2.9194837123540398</v>
      </c>
      <c r="F852" s="3">
        <v>2.9194874763830199</v>
      </c>
      <c r="G852" s="3">
        <v>39.678303</v>
      </c>
      <c r="H852" s="3">
        <v>1005.71145571076</v>
      </c>
      <c r="I852" s="3">
        <v>32.99</v>
      </c>
      <c r="J852" s="3">
        <v>34.19</v>
      </c>
      <c r="K852" s="3">
        <v>32.840000000000003</v>
      </c>
      <c r="L852" s="3">
        <v>833.26261084687997</v>
      </c>
    </row>
    <row r="853" spans="1:12" ht="15" customHeight="1" x14ac:dyDescent="0.2">
      <c r="A853" s="2">
        <v>44812</v>
      </c>
      <c r="B853" s="3">
        <v>32.54</v>
      </c>
      <c r="C853" s="1">
        <v>872592</v>
      </c>
      <c r="D853" s="3">
        <v>1.25999999999999</v>
      </c>
      <c r="E853" s="3">
        <v>4.0281329923273601</v>
      </c>
      <c r="F853" s="3">
        <v>4.0281315103153101</v>
      </c>
      <c r="G853" s="3">
        <v>38.552759999999999</v>
      </c>
      <c r="H853" s="3">
        <v>974.34605712013001</v>
      </c>
      <c r="I853" s="3">
        <v>30.92</v>
      </c>
      <c r="J853" s="3">
        <v>32.54</v>
      </c>
      <c r="K853" s="3">
        <v>30.69</v>
      </c>
      <c r="L853" s="3">
        <v>806.78905216355497</v>
      </c>
    </row>
    <row r="854" spans="1:12" ht="15" customHeight="1" x14ac:dyDescent="0.2">
      <c r="A854" s="2">
        <v>44811</v>
      </c>
      <c r="B854" s="3">
        <v>31.28</v>
      </c>
      <c r="C854" s="1">
        <v>742164</v>
      </c>
      <c r="D854" s="3">
        <v>1.8</v>
      </c>
      <c r="E854" s="3">
        <v>6.1058344640434203</v>
      </c>
      <c r="F854" s="3">
        <v>6.1058403261858096</v>
      </c>
      <c r="G854" s="3">
        <v>37.059936999999998</v>
      </c>
      <c r="H854" s="3">
        <v>932.74570207348097</v>
      </c>
      <c r="I854" s="3">
        <v>29.54</v>
      </c>
      <c r="J854" s="3">
        <v>31.28</v>
      </c>
      <c r="K854" s="3">
        <v>29.51</v>
      </c>
      <c r="L854" s="3">
        <v>771.67675327830398</v>
      </c>
    </row>
    <row r="855" spans="1:12" ht="15" customHeight="1" x14ac:dyDescent="0.2">
      <c r="A855" s="2">
        <v>44810</v>
      </c>
      <c r="B855" s="3">
        <v>29.48</v>
      </c>
      <c r="C855" s="1">
        <v>925887</v>
      </c>
      <c r="D855" s="3">
        <v>-1.4199999999999899</v>
      </c>
      <c r="E855" s="3">
        <v>-4.5954692556634198</v>
      </c>
      <c r="F855" s="3">
        <v>-4.5954735518326899</v>
      </c>
      <c r="G855" s="3">
        <v>34.927329999999998</v>
      </c>
      <c r="H855" s="3">
        <v>873.31654779667201</v>
      </c>
      <c r="I855" s="3">
        <v>30.92</v>
      </c>
      <c r="J855" s="3">
        <v>30.92</v>
      </c>
      <c r="K855" s="3">
        <v>29.31</v>
      </c>
      <c r="L855" s="3">
        <v>721.51632629937296</v>
      </c>
    </row>
    <row r="856" spans="1:12" ht="15" customHeight="1" x14ac:dyDescent="0.2">
      <c r="A856" s="2">
        <v>44806</v>
      </c>
      <c r="B856" s="3">
        <v>30.9</v>
      </c>
      <c r="C856" s="1">
        <v>986086</v>
      </c>
      <c r="D856" s="3">
        <v>-0.15000000000000199</v>
      </c>
      <c r="E856" s="3">
        <v>-0.48309178743961501</v>
      </c>
      <c r="F856" s="3">
        <v>-0.48308343550135202</v>
      </c>
      <c r="G856" s="3">
        <v>36.609720000000003</v>
      </c>
      <c r="H856" s="3">
        <v>920.19954821060696</v>
      </c>
      <c r="I856" s="3">
        <v>31.36</v>
      </c>
      <c r="J856" s="3">
        <v>31.49</v>
      </c>
      <c r="K856" s="3">
        <v>30.55</v>
      </c>
      <c r="L856" s="3">
        <v>761.08732980497405</v>
      </c>
    </row>
    <row r="857" spans="1:12" ht="15" customHeight="1" x14ac:dyDescent="0.2">
      <c r="A857" s="2">
        <v>44805</v>
      </c>
      <c r="B857" s="3">
        <v>31.05</v>
      </c>
      <c r="C857" s="1">
        <v>1014445</v>
      </c>
      <c r="D857" s="3">
        <v>0.42999999999999899</v>
      </c>
      <c r="E857" s="3">
        <v>1.40431090790333</v>
      </c>
      <c r="F857" s="3">
        <v>1.40430641397342</v>
      </c>
      <c r="G857" s="3">
        <v>36.787433999999998</v>
      </c>
      <c r="H857" s="3">
        <v>925.15188716623697</v>
      </c>
      <c r="I857" s="3">
        <v>30.44</v>
      </c>
      <c r="J857" s="3">
        <v>31.08</v>
      </c>
      <c r="K857" s="3">
        <v>29.91</v>
      </c>
      <c r="L857" s="3">
        <v>765.267365386552</v>
      </c>
    </row>
    <row r="858" spans="1:12" ht="15" customHeight="1" x14ac:dyDescent="0.2">
      <c r="A858" s="2">
        <v>44804</v>
      </c>
      <c r="B858" s="3">
        <v>30.62</v>
      </c>
      <c r="C858" s="1">
        <v>779121</v>
      </c>
      <c r="D858" s="3">
        <v>0.100000000000001</v>
      </c>
      <c r="E858" s="3">
        <v>0.32765399737877399</v>
      </c>
      <c r="F858" s="3">
        <v>0.32764829960056902</v>
      </c>
      <c r="G858" s="3">
        <v>36.277979999999999</v>
      </c>
      <c r="H858" s="3">
        <v>910.95498151839001</v>
      </c>
      <c r="I858" s="3">
        <v>30.86</v>
      </c>
      <c r="J858" s="3">
        <v>30.86</v>
      </c>
      <c r="K858" s="3">
        <v>30.19</v>
      </c>
      <c r="L858" s="3">
        <v>753.28459671936298</v>
      </c>
    </row>
    <row r="859" spans="1:12" ht="15" customHeight="1" x14ac:dyDescent="0.2">
      <c r="A859" s="2">
        <v>44803</v>
      </c>
      <c r="B859" s="3">
        <v>30.52</v>
      </c>
      <c r="C859" s="1">
        <v>953424</v>
      </c>
      <c r="D859" s="3">
        <v>-0.99000000000000199</v>
      </c>
      <c r="E859" s="3">
        <v>-3.14185972707077</v>
      </c>
      <c r="F859" s="3">
        <v>-3.1418576596501802</v>
      </c>
      <c r="G859" s="3">
        <v>36.159503999999998</v>
      </c>
      <c r="H859" s="3">
        <v>907.65342221463698</v>
      </c>
      <c r="I859" s="3">
        <v>31.77</v>
      </c>
      <c r="J859" s="3">
        <v>31.92</v>
      </c>
      <c r="K859" s="3">
        <v>30.49</v>
      </c>
      <c r="L859" s="3">
        <v>750.497906331644</v>
      </c>
    </row>
    <row r="860" spans="1:12" ht="15" customHeight="1" x14ac:dyDescent="0.2">
      <c r="A860" s="2">
        <v>44802</v>
      </c>
      <c r="B860" s="3">
        <v>31.51</v>
      </c>
      <c r="C860" s="1">
        <v>778591</v>
      </c>
      <c r="D860" s="3">
        <v>-0.219999999999998</v>
      </c>
      <c r="E860" s="3">
        <v>-0.69335014182161303</v>
      </c>
      <c r="F860" s="3">
        <v>-0.69334557955683596</v>
      </c>
      <c r="G860" s="3">
        <v>37.332436000000001</v>
      </c>
      <c r="H860" s="3">
        <v>940.33940551311002</v>
      </c>
      <c r="I860" s="3">
        <v>31.48</v>
      </c>
      <c r="J860" s="3">
        <v>31.7</v>
      </c>
      <c r="K860" s="3">
        <v>30.914999999999999</v>
      </c>
      <c r="L860" s="3">
        <v>778.08614117005595</v>
      </c>
    </row>
    <row r="861" spans="1:12" ht="15" customHeight="1" x14ac:dyDescent="0.2">
      <c r="A861" s="2">
        <v>44799</v>
      </c>
      <c r="B861" s="3">
        <v>31.73</v>
      </c>
      <c r="C861" s="1">
        <v>794647</v>
      </c>
      <c r="D861" s="3">
        <v>-1.73</v>
      </c>
      <c r="E861" s="3">
        <v>-5.1703526598923997</v>
      </c>
      <c r="F861" s="3">
        <v>-5.1703543222284098</v>
      </c>
      <c r="G861" s="3">
        <v>37.593086</v>
      </c>
      <c r="H861" s="3">
        <v>947.60291400869801</v>
      </c>
      <c r="I861" s="3">
        <v>33.26</v>
      </c>
      <c r="J861" s="3">
        <v>33.64</v>
      </c>
      <c r="K861" s="3">
        <v>31.610199999999999</v>
      </c>
      <c r="L861" s="3">
        <v>784.21686002303602</v>
      </c>
    </row>
    <row r="862" spans="1:12" ht="15" customHeight="1" x14ac:dyDescent="0.2">
      <c r="A862" s="2">
        <v>44798</v>
      </c>
      <c r="B862" s="3">
        <v>33.46</v>
      </c>
      <c r="C862" s="1">
        <v>1231222</v>
      </c>
      <c r="D862" s="3">
        <v>-0.149999999999998</v>
      </c>
      <c r="E862" s="3">
        <v>-0.446295745313884</v>
      </c>
      <c r="F862" s="3">
        <v>-0.44630304152306599</v>
      </c>
      <c r="G862" s="3">
        <v>39.642757000000003</v>
      </c>
      <c r="H862" s="3">
        <v>1004.72089874554</v>
      </c>
      <c r="I862" s="3">
        <v>33.68</v>
      </c>
      <c r="J862" s="3">
        <v>34.32</v>
      </c>
      <c r="K862" s="3">
        <v>33.340000000000003</v>
      </c>
      <c r="L862" s="3">
        <v>832.42660373056401</v>
      </c>
    </row>
    <row r="863" spans="1:12" ht="15" customHeight="1" x14ac:dyDescent="0.2">
      <c r="A863" s="2">
        <v>44797</v>
      </c>
      <c r="B863" s="3">
        <v>33.61</v>
      </c>
      <c r="C863" s="1">
        <v>2327036</v>
      </c>
      <c r="D863" s="3">
        <v>1.49</v>
      </c>
      <c r="E863" s="3">
        <v>4.6388542963885504</v>
      </c>
      <c r="F863" s="3">
        <v>4.6388649105311597</v>
      </c>
      <c r="G863" s="3">
        <v>39.820476999999997</v>
      </c>
      <c r="H863" s="3">
        <v>1009.6734049026001</v>
      </c>
      <c r="I863" s="3">
        <v>31.95</v>
      </c>
      <c r="J863" s="3">
        <v>33.76</v>
      </c>
      <c r="K863" s="3">
        <v>31.74</v>
      </c>
      <c r="L863" s="3">
        <v>836.60663931214197</v>
      </c>
    </row>
    <row r="864" spans="1:12" ht="15" customHeight="1" x14ac:dyDescent="0.2">
      <c r="A864" s="2">
        <v>44796</v>
      </c>
      <c r="B864" s="3">
        <v>32.119999999999997</v>
      </c>
      <c r="C864" s="1">
        <v>865353</v>
      </c>
      <c r="D864" s="3">
        <v>0.79999999999999705</v>
      </c>
      <c r="E864" s="3">
        <v>2.5542784163473602</v>
      </c>
      <c r="F864" s="3">
        <v>2.5542745237348798</v>
      </c>
      <c r="G864" s="3">
        <v>38.055149999999998</v>
      </c>
      <c r="H864" s="3">
        <v>960.47920708180504</v>
      </c>
      <c r="I864" s="3">
        <v>31.75</v>
      </c>
      <c r="J864" s="3">
        <v>32.5</v>
      </c>
      <c r="K864" s="3">
        <v>31.69</v>
      </c>
      <c r="L864" s="3">
        <v>795.08495253513797</v>
      </c>
    </row>
    <row r="865" spans="1:12" ht="15" customHeight="1" x14ac:dyDescent="0.2">
      <c r="A865" s="2">
        <v>44795</v>
      </c>
      <c r="B865" s="3">
        <v>31.32</v>
      </c>
      <c r="C865" s="1">
        <v>1067538</v>
      </c>
      <c r="D865" s="3">
        <v>-1.46</v>
      </c>
      <c r="E865" s="3">
        <v>-4.4539353264185397</v>
      </c>
      <c r="F865" s="3">
        <v>-4.4539313628036901</v>
      </c>
      <c r="G865" s="3">
        <v>37.107326999999998</v>
      </c>
      <c r="H865" s="3">
        <v>934.06631464822101</v>
      </c>
      <c r="I865" s="3">
        <v>31.98</v>
      </c>
      <c r="J865" s="3">
        <v>31.98</v>
      </c>
      <c r="K865" s="3">
        <v>30.975000000000001</v>
      </c>
      <c r="L865" s="3">
        <v>772.79142943339104</v>
      </c>
    </row>
    <row r="866" spans="1:12" ht="15" customHeight="1" x14ac:dyDescent="0.2">
      <c r="A866" s="2">
        <v>44792</v>
      </c>
      <c r="B866" s="3">
        <v>32.78</v>
      </c>
      <c r="C866" s="1">
        <v>906913</v>
      </c>
      <c r="D866" s="3">
        <v>-1.0799999999999901</v>
      </c>
      <c r="E866" s="3">
        <v>-3.1896042528056601</v>
      </c>
      <c r="F866" s="3">
        <v>-3.1896092073444602</v>
      </c>
      <c r="G866" s="3">
        <v>38.837105000000001</v>
      </c>
      <c r="H866" s="3">
        <v>982.26987190308796</v>
      </c>
      <c r="I866" s="3">
        <v>33.380000000000003</v>
      </c>
      <c r="J866" s="3">
        <v>33.554000000000002</v>
      </c>
      <c r="K866" s="3">
        <v>32.51</v>
      </c>
      <c r="L866" s="3">
        <v>813.47710909407897</v>
      </c>
    </row>
    <row r="867" spans="1:12" ht="15" customHeight="1" x14ac:dyDescent="0.2">
      <c r="A867" s="2">
        <v>44791</v>
      </c>
      <c r="B867" s="3">
        <v>33.86</v>
      </c>
      <c r="C867" s="1">
        <v>855597</v>
      </c>
      <c r="D867" s="3">
        <v>0.46999999999999797</v>
      </c>
      <c r="E867" s="3">
        <v>1.4076070679844099</v>
      </c>
      <c r="F867" s="3">
        <v>1.40760997357369</v>
      </c>
      <c r="G867" s="3">
        <v>40.116669999999999</v>
      </c>
      <c r="H867" s="3">
        <v>1017.92738676269</v>
      </c>
      <c r="I867" s="3">
        <v>33.270000000000003</v>
      </c>
      <c r="J867" s="3">
        <v>33.93</v>
      </c>
      <c r="K867" s="3">
        <v>33.03</v>
      </c>
      <c r="L867" s="3">
        <v>843.57336528143799</v>
      </c>
    </row>
    <row r="868" spans="1:12" ht="15" customHeight="1" x14ac:dyDescent="0.2">
      <c r="A868" s="2">
        <v>44790</v>
      </c>
      <c r="B868" s="3">
        <v>33.39</v>
      </c>
      <c r="C868" s="1">
        <v>746623</v>
      </c>
      <c r="D868" s="3">
        <v>-0.5</v>
      </c>
      <c r="E868" s="3">
        <v>-1.4753614635585599</v>
      </c>
      <c r="F868" s="3">
        <v>-1.4753657170685599</v>
      </c>
      <c r="G868" s="3">
        <v>39.559821999999997</v>
      </c>
      <c r="H868" s="3">
        <v>1002.40975707249</v>
      </c>
      <c r="I868" s="3">
        <v>33.36</v>
      </c>
      <c r="J868" s="3">
        <v>33.619999999999997</v>
      </c>
      <c r="K868" s="3">
        <v>33.11</v>
      </c>
      <c r="L868" s="3">
        <v>830.47592045916099</v>
      </c>
    </row>
    <row r="869" spans="1:12" ht="15" customHeight="1" x14ac:dyDescent="0.2">
      <c r="A869" s="2">
        <v>44789</v>
      </c>
      <c r="B869" s="3">
        <v>33.89</v>
      </c>
      <c r="C869" s="1">
        <v>754393</v>
      </c>
      <c r="D869" s="3">
        <v>0.68999999999999695</v>
      </c>
      <c r="E869" s="3">
        <v>2.0783132530120398</v>
      </c>
      <c r="F869" s="3">
        <v>2.0783090927030301</v>
      </c>
      <c r="G869" s="3">
        <v>40.152214000000001</v>
      </c>
      <c r="H869" s="3">
        <v>1018.9178879941001</v>
      </c>
      <c r="I869" s="3">
        <v>33.29</v>
      </c>
      <c r="J869" s="3">
        <v>34.32</v>
      </c>
      <c r="K869" s="3">
        <v>32.869999999999997</v>
      </c>
      <c r="L869" s="3">
        <v>844.40937239775303</v>
      </c>
    </row>
    <row r="870" spans="1:12" ht="15" customHeight="1" x14ac:dyDescent="0.2">
      <c r="A870" s="2">
        <v>44788</v>
      </c>
      <c r="B870" s="3">
        <v>33.200000000000003</v>
      </c>
      <c r="C870" s="1">
        <v>1188188</v>
      </c>
      <c r="D870" s="3">
        <v>-0.46999999999999797</v>
      </c>
      <c r="E870" s="3">
        <v>-1.39590139590138</v>
      </c>
      <c r="F870" s="3">
        <v>-1.39589176256832</v>
      </c>
      <c r="G870" s="3">
        <v>39.334716999999998</v>
      </c>
      <c r="H870" s="3">
        <v>996.13677767522097</v>
      </c>
      <c r="I870" s="3">
        <v>33.21</v>
      </c>
      <c r="J870" s="3">
        <v>34.130000000000003</v>
      </c>
      <c r="K870" s="3">
        <v>33.14</v>
      </c>
      <c r="L870" s="3">
        <v>825.18120872249699</v>
      </c>
    </row>
    <row r="871" spans="1:12" ht="15" customHeight="1" x14ac:dyDescent="0.2">
      <c r="A871" s="2">
        <v>44785</v>
      </c>
      <c r="B871" s="3">
        <v>33.67</v>
      </c>
      <c r="C871" s="1">
        <v>1133464</v>
      </c>
      <c r="D871" s="3">
        <v>1.3599999999999901</v>
      </c>
      <c r="E871" s="3">
        <v>4.2092231507273299</v>
      </c>
      <c r="F871" s="3">
        <v>4.2092136151001096</v>
      </c>
      <c r="G871" s="3">
        <v>39.891559999999998</v>
      </c>
      <c r="H871" s="3">
        <v>1011.6542680309</v>
      </c>
      <c r="I871" s="3">
        <v>32.64</v>
      </c>
      <c r="J871" s="3">
        <v>33.71</v>
      </c>
      <c r="K871" s="3">
        <v>32.57</v>
      </c>
      <c r="L871" s="3">
        <v>838.27865354477296</v>
      </c>
    </row>
    <row r="872" spans="1:12" ht="15" customHeight="1" x14ac:dyDescent="0.2">
      <c r="A872" s="2">
        <v>44784</v>
      </c>
      <c r="B872" s="3">
        <v>32.31</v>
      </c>
      <c r="C872" s="1">
        <v>1207015</v>
      </c>
      <c r="D872" s="3">
        <v>-0.17999999999999899</v>
      </c>
      <c r="E872" s="3">
        <v>-0.554016620498609</v>
      </c>
      <c r="F872" s="3">
        <v>-0.55401787983916295</v>
      </c>
      <c r="G872" s="3">
        <v>38.280262</v>
      </c>
      <c r="H872" s="3">
        <v>966.75238154740498</v>
      </c>
      <c r="I872" s="3">
        <v>32.729999999999997</v>
      </c>
      <c r="J872" s="3">
        <v>33.380000000000003</v>
      </c>
      <c r="K872" s="3">
        <v>32.159999999999997</v>
      </c>
      <c r="L872" s="3">
        <v>800.37966427180299</v>
      </c>
    </row>
    <row r="873" spans="1:12" ht="15" customHeight="1" x14ac:dyDescent="0.2">
      <c r="A873" s="2">
        <v>44783</v>
      </c>
      <c r="B873" s="3">
        <v>32.49</v>
      </c>
      <c r="C873" s="1">
        <v>1998454</v>
      </c>
      <c r="D873" s="3">
        <v>2.5299999999999998</v>
      </c>
      <c r="E873" s="3">
        <v>8.4445927903871798</v>
      </c>
      <c r="F873" s="3">
        <v>8.4446018955643503</v>
      </c>
      <c r="G873" s="3">
        <v>38.493523000000003</v>
      </c>
      <c r="H873" s="3">
        <v>972.69530533515695</v>
      </c>
      <c r="I873" s="3">
        <v>30.91</v>
      </c>
      <c r="J873" s="3">
        <v>32.51</v>
      </c>
      <c r="K873" s="3">
        <v>30.728899999999999</v>
      </c>
      <c r="L873" s="3">
        <v>805.39570696969599</v>
      </c>
    </row>
    <row r="874" spans="1:12" ht="15" customHeight="1" x14ac:dyDescent="0.2">
      <c r="A874" s="2">
        <v>44782</v>
      </c>
      <c r="B874" s="3">
        <v>29.96</v>
      </c>
      <c r="C874" s="1">
        <v>777199</v>
      </c>
      <c r="D874" s="3">
        <v>-1.01999999999999</v>
      </c>
      <c r="E874" s="3">
        <v>-3.29244673983214</v>
      </c>
      <c r="F874" s="3">
        <v>-2.4209194490700301</v>
      </c>
      <c r="G874" s="3">
        <v>35.496025000000003</v>
      </c>
      <c r="H874" s="3">
        <v>889.16431669710698</v>
      </c>
      <c r="I874" s="3">
        <v>30.4</v>
      </c>
      <c r="J874" s="3">
        <v>30.52</v>
      </c>
      <c r="K874" s="3">
        <v>29.695</v>
      </c>
      <c r="L874" s="3">
        <v>734.89244016042198</v>
      </c>
    </row>
    <row r="875" spans="1:12" ht="15" customHeight="1" x14ac:dyDescent="0.2">
      <c r="A875" s="2">
        <v>44781</v>
      </c>
      <c r="B875" s="3">
        <v>30.98</v>
      </c>
      <c r="C875" s="1">
        <v>1178905</v>
      </c>
      <c r="D875" s="3">
        <v>1.5899999999999901</v>
      </c>
      <c r="E875" s="3">
        <v>5.4100034025178703</v>
      </c>
      <c r="F875" s="3">
        <v>5.4100006664792701</v>
      </c>
      <c r="G875" s="3">
        <v>36.376674999999999</v>
      </c>
      <c r="H875" s="3">
        <v>913.70530559654901</v>
      </c>
      <c r="I875" s="3">
        <v>29.76</v>
      </c>
      <c r="J875" s="3">
        <v>31.44</v>
      </c>
      <c r="K875" s="3">
        <v>29.76</v>
      </c>
      <c r="L875" s="3">
        <v>763.31668211514898</v>
      </c>
    </row>
    <row r="876" spans="1:12" ht="15" customHeight="1" x14ac:dyDescent="0.2">
      <c r="A876" s="2">
        <v>44778</v>
      </c>
      <c r="B876" s="3">
        <v>29.39</v>
      </c>
      <c r="C876" s="1">
        <v>912172</v>
      </c>
      <c r="D876" s="3">
        <v>-0.56999999999999995</v>
      </c>
      <c r="E876" s="3">
        <v>-1.9025367156208199</v>
      </c>
      <c r="F876" s="3">
        <v>-1.90253598219822</v>
      </c>
      <c r="G876" s="3">
        <v>34.509700000000002</v>
      </c>
      <c r="H876" s="3">
        <v>861.67849273044396</v>
      </c>
      <c r="I876" s="3">
        <v>29.51</v>
      </c>
      <c r="J876" s="3">
        <v>30.26</v>
      </c>
      <c r="K876" s="3">
        <v>29.35</v>
      </c>
      <c r="L876" s="3">
        <v>719.00830495042703</v>
      </c>
    </row>
    <row r="877" spans="1:12" ht="15" customHeight="1" x14ac:dyDescent="0.2">
      <c r="A877" s="2">
        <v>44777</v>
      </c>
      <c r="B877" s="3">
        <v>29.96</v>
      </c>
      <c r="C877" s="1">
        <v>1048614</v>
      </c>
      <c r="D877" s="3">
        <v>-1.02999999999999</v>
      </c>
      <c r="E877" s="3">
        <v>-3.3236527912229601</v>
      </c>
      <c r="F877" s="3">
        <v>-3.3236483830458599</v>
      </c>
      <c r="G877" s="3">
        <v>35.178992999999998</v>
      </c>
      <c r="H877" s="3">
        <v>880.32961642711598</v>
      </c>
      <c r="I877" s="3">
        <v>30.74</v>
      </c>
      <c r="J877" s="3">
        <v>30.84</v>
      </c>
      <c r="K877" s="3">
        <v>29.87</v>
      </c>
      <c r="L877" s="3">
        <v>734.89244016042198</v>
      </c>
    </row>
    <row r="878" spans="1:12" ht="15" customHeight="1" x14ac:dyDescent="0.2">
      <c r="A878" s="2">
        <v>44776</v>
      </c>
      <c r="B878" s="3">
        <v>30.99</v>
      </c>
      <c r="C878" s="1">
        <v>1368300</v>
      </c>
      <c r="D878" s="3">
        <v>1.8699999999999899</v>
      </c>
      <c r="E878" s="3">
        <v>6.4217032967032797</v>
      </c>
      <c r="F878" s="3">
        <v>6.4217018474576202</v>
      </c>
      <c r="G878" s="3">
        <v>36.388415999999999</v>
      </c>
      <c r="H878" s="3">
        <v>914.03249091497105</v>
      </c>
      <c r="I878" s="3">
        <v>29.08</v>
      </c>
      <c r="J878" s="3">
        <v>31.175000000000001</v>
      </c>
      <c r="K878" s="3">
        <v>29.08</v>
      </c>
      <c r="L878" s="3">
        <v>763.595351153921</v>
      </c>
    </row>
    <row r="879" spans="1:12" ht="15" customHeight="1" x14ac:dyDescent="0.2">
      <c r="A879" s="2">
        <v>44775</v>
      </c>
      <c r="B879" s="3">
        <v>29.12</v>
      </c>
      <c r="C879" s="1">
        <v>782645</v>
      </c>
      <c r="D879" s="3">
        <v>0.26000000000000101</v>
      </c>
      <c r="E879" s="3">
        <v>0.90090090090091302</v>
      </c>
      <c r="F879" s="3">
        <v>0.90089598264839699</v>
      </c>
      <c r="G879" s="3">
        <v>34.192664999999998</v>
      </c>
      <c r="H879" s="3">
        <v>852.84370885974101</v>
      </c>
      <c r="I879" s="3">
        <v>28.64</v>
      </c>
      <c r="J879" s="3">
        <v>29.38</v>
      </c>
      <c r="K879" s="3">
        <v>28.34</v>
      </c>
      <c r="L879" s="3">
        <v>711.48424090358697</v>
      </c>
    </row>
    <row r="880" spans="1:12" ht="15" customHeight="1" x14ac:dyDescent="0.2">
      <c r="A880" s="2">
        <v>44774</v>
      </c>
      <c r="B880" s="3">
        <v>28.86</v>
      </c>
      <c r="C880" s="1">
        <v>1482260</v>
      </c>
      <c r="D880" s="3">
        <v>-0.37000000000000099</v>
      </c>
      <c r="E880" s="3">
        <v>-1.26582278481013</v>
      </c>
      <c r="F880" s="3">
        <v>-1.2658183959729099</v>
      </c>
      <c r="G880" s="3">
        <v>33.887374999999999</v>
      </c>
      <c r="H880" s="3">
        <v>844.33622177507596</v>
      </c>
      <c r="I880" s="3">
        <v>28.83</v>
      </c>
      <c r="J880" s="3">
        <v>29.41</v>
      </c>
      <c r="K880" s="3">
        <v>28.51</v>
      </c>
      <c r="L880" s="3">
        <v>704.23884589551994</v>
      </c>
    </row>
    <row r="881" spans="1:12" ht="15" customHeight="1" x14ac:dyDescent="0.2">
      <c r="A881" s="2">
        <v>44771</v>
      </c>
      <c r="B881" s="3">
        <v>29.23</v>
      </c>
      <c r="C881" s="1">
        <v>1550923</v>
      </c>
      <c r="D881" s="3">
        <v>-0.34999999999999698</v>
      </c>
      <c r="E881" s="3">
        <v>-1.18323191345502</v>
      </c>
      <c r="F881" s="3">
        <v>-1.183230397</v>
      </c>
      <c r="G881" s="3">
        <v>34.321826999999999</v>
      </c>
      <c r="H881" s="3">
        <v>856.44305389832596</v>
      </c>
      <c r="I881" s="3">
        <v>29.4</v>
      </c>
      <c r="J881" s="3">
        <v>30.2</v>
      </c>
      <c r="K881" s="3">
        <v>28.92</v>
      </c>
      <c r="L881" s="3">
        <v>714.54960033007706</v>
      </c>
    </row>
    <row r="882" spans="1:12" ht="15" customHeight="1" x14ac:dyDescent="0.2">
      <c r="A882" s="2">
        <v>44770</v>
      </c>
      <c r="B882" s="3">
        <v>29.58</v>
      </c>
      <c r="C882" s="1">
        <v>2338267</v>
      </c>
      <c r="D882" s="3">
        <v>1.3899999999999899</v>
      </c>
      <c r="E882" s="3">
        <v>4.9308265342319801</v>
      </c>
      <c r="F882" s="3">
        <v>4.9308198126067602</v>
      </c>
      <c r="G882" s="3">
        <v>34.732796</v>
      </c>
      <c r="H882" s="3">
        <v>867.89548751782797</v>
      </c>
      <c r="I882" s="3">
        <v>28.02</v>
      </c>
      <c r="J882" s="3">
        <v>29.91</v>
      </c>
      <c r="K882" s="3">
        <v>27.760999999999999</v>
      </c>
      <c r="L882" s="3">
        <v>724.30301668709205</v>
      </c>
    </row>
    <row r="883" spans="1:12" ht="15" customHeight="1" x14ac:dyDescent="0.2">
      <c r="A883" s="2">
        <v>44769</v>
      </c>
      <c r="B883" s="3">
        <v>28.19</v>
      </c>
      <c r="C883" s="1">
        <v>1266213</v>
      </c>
      <c r="D883" s="3">
        <v>1.32</v>
      </c>
      <c r="E883" s="3">
        <v>4.9125418682545599</v>
      </c>
      <c r="F883" s="3">
        <v>4.9125408231571299</v>
      </c>
      <c r="G883" s="3">
        <v>33.100662</v>
      </c>
      <c r="H883" s="3">
        <v>822.41296622514506</v>
      </c>
      <c r="I883" s="3">
        <v>27.35</v>
      </c>
      <c r="J883" s="3">
        <v>28.42</v>
      </c>
      <c r="K883" s="3">
        <v>27.28</v>
      </c>
      <c r="L883" s="3">
        <v>685.56802029780602</v>
      </c>
    </row>
    <row r="884" spans="1:12" ht="15" customHeight="1" x14ac:dyDescent="0.2">
      <c r="A884" s="2">
        <v>44768</v>
      </c>
      <c r="B884" s="3">
        <v>26.87</v>
      </c>
      <c r="C884" s="1">
        <v>1533295</v>
      </c>
      <c r="D884" s="3">
        <v>-1.1499999999999899</v>
      </c>
      <c r="E884" s="3">
        <v>-4.1042112776588002</v>
      </c>
      <c r="F884" s="3">
        <v>-4.10420677493941</v>
      </c>
      <c r="G884" s="3">
        <v>31.550719999999998</v>
      </c>
      <c r="H884" s="3">
        <v>779.22088149593503</v>
      </c>
      <c r="I884" s="3">
        <v>27.7</v>
      </c>
      <c r="J884" s="3">
        <v>27.72</v>
      </c>
      <c r="K884" s="3">
        <v>26.86</v>
      </c>
      <c r="L884" s="3">
        <v>648.78370717992402</v>
      </c>
    </row>
    <row r="885" spans="1:12" ht="15" customHeight="1" x14ac:dyDescent="0.2">
      <c r="A885" s="2">
        <v>44767</v>
      </c>
      <c r="B885" s="3">
        <v>28.02</v>
      </c>
      <c r="C885" s="1">
        <v>864369</v>
      </c>
      <c r="D885" s="3">
        <v>-0.55000000000000004</v>
      </c>
      <c r="E885" s="3">
        <v>-1.9250962548127399</v>
      </c>
      <c r="F885" s="3">
        <v>-1.9250954545487</v>
      </c>
      <c r="G885" s="3">
        <v>32.901046999999998</v>
      </c>
      <c r="H885" s="3">
        <v>816.85031420770099</v>
      </c>
      <c r="I885" s="3">
        <v>28.57</v>
      </c>
      <c r="J885" s="3">
        <v>28.76</v>
      </c>
      <c r="K885" s="3">
        <v>27.611899999999999</v>
      </c>
      <c r="L885" s="3">
        <v>680.83064663868504</v>
      </c>
    </row>
    <row r="886" spans="1:12" ht="15" customHeight="1" x14ac:dyDescent="0.2">
      <c r="A886" s="2">
        <v>44764</v>
      </c>
      <c r="B886" s="3">
        <v>28.57</v>
      </c>
      <c r="C886" s="1">
        <v>949346</v>
      </c>
      <c r="D886" s="3">
        <v>-1.9999999999999501E-2</v>
      </c>
      <c r="E886" s="3">
        <v>-6.9954529555782394E-2</v>
      </c>
      <c r="F886" s="3">
        <v>-6.9954608740940796E-2</v>
      </c>
      <c r="G886" s="3">
        <v>33.546855999999998</v>
      </c>
      <c r="H886" s="3">
        <v>834.847011533721</v>
      </c>
      <c r="I886" s="3">
        <v>28.5</v>
      </c>
      <c r="J886" s="3">
        <v>29.43</v>
      </c>
      <c r="K886" s="3">
        <v>28.33</v>
      </c>
      <c r="L886" s="3">
        <v>696.15744377113595</v>
      </c>
    </row>
    <row r="887" spans="1:12" ht="15" customHeight="1" x14ac:dyDescent="0.2">
      <c r="A887" s="2">
        <v>44763</v>
      </c>
      <c r="B887" s="3">
        <v>28.59</v>
      </c>
      <c r="C887" s="1">
        <v>806450</v>
      </c>
      <c r="D887" s="3">
        <v>-0.35000000000000098</v>
      </c>
      <c r="E887" s="3">
        <v>-1.2093987560469901</v>
      </c>
      <c r="F887" s="3">
        <v>-1.2094001084713899</v>
      </c>
      <c r="G887" s="3">
        <v>33.570340000000002</v>
      </c>
      <c r="H887" s="3">
        <v>835.50143790437301</v>
      </c>
      <c r="I887" s="3">
        <v>28.52</v>
      </c>
      <c r="J887" s="3">
        <v>28.734999999999999</v>
      </c>
      <c r="K887" s="3">
        <v>27.81</v>
      </c>
      <c r="L887" s="3">
        <v>696.71478184867999</v>
      </c>
    </row>
    <row r="888" spans="1:12" ht="15" customHeight="1" x14ac:dyDescent="0.2">
      <c r="A888" s="2">
        <v>44762</v>
      </c>
      <c r="B888" s="3">
        <v>28.94</v>
      </c>
      <c r="C888" s="1">
        <v>677972</v>
      </c>
      <c r="D888" s="3">
        <v>0.46</v>
      </c>
      <c r="E888" s="3">
        <v>1.6151685393258299</v>
      </c>
      <c r="F888" s="3">
        <v>1.61517341330419</v>
      </c>
      <c r="G888" s="3">
        <v>33.981310000000001</v>
      </c>
      <c r="H888" s="3">
        <v>846.95389939077904</v>
      </c>
      <c r="I888" s="3">
        <v>28.39</v>
      </c>
      <c r="J888" s="3">
        <v>29.26</v>
      </c>
      <c r="K888" s="3">
        <v>28.324999999999999</v>
      </c>
      <c r="L888" s="3">
        <v>706.46819820569397</v>
      </c>
    </row>
    <row r="889" spans="1:12" ht="15" customHeight="1" x14ac:dyDescent="0.2">
      <c r="A889" s="2">
        <v>44761</v>
      </c>
      <c r="B889" s="3">
        <v>28.48</v>
      </c>
      <c r="C889" s="1">
        <v>1112837</v>
      </c>
      <c r="D889" s="3">
        <v>1.41</v>
      </c>
      <c r="E889" s="3">
        <v>5.2087181381603198</v>
      </c>
      <c r="F889" s="3">
        <v>5.2087112892996501</v>
      </c>
      <c r="G889" s="3">
        <v>33.441177000000003</v>
      </c>
      <c r="H889" s="3">
        <v>831.90206499888404</v>
      </c>
      <c r="I889" s="3">
        <v>27.26</v>
      </c>
      <c r="J889" s="3">
        <v>28.65</v>
      </c>
      <c r="K889" s="3">
        <v>27.26</v>
      </c>
      <c r="L889" s="3">
        <v>693.64942242219001</v>
      </c>
    </row>
    <row r="890" spans="1:12" ht="15" customHeight="1" x14ac:dyDescent="0.2">
      <c r="A890" s="2">
        <v>44760</v>
      </c>
      <c r="B890" s="3">
        <v>27.07</v>
      </c>
      <c r="C890" s="1">
        <v>1005077</v>
      </c>
      <c r="D890" s="3">
        <v>-0.35000000000000098</v>
      </c>
      <c r="E890" s="3">
        <v>-1.2764405543399</v>
      </c>
      <c r="F890" s="3">
        <v>-1.2764450082043</v>
      </c>
      <c r="G890" s="3">
        <v>31.785558999999999</v>
      </c>
      <c r="H890" s="3">
        <v>785.76511733554901</v>
      </c>
      <c r="I890" s="3">
        <v>27.42</v>
      </c>
      <c r="J890" s="3">
        <v>27.95</v>
      </c>
      <c r="K890" s="3">
        <v>26.89</v>
      </c>
      <c r="L890" s="3">
        <v>654.35708795536095</v>
      </c>
    </row>
    <row r="891" spans="1:12" ht="15" customHeight="1" x14ac:dyDescent="0.2">
      <c r="A891" s="2">
        <v>44757</v>
      </c>
      <c r="B891" s="3">
        <v>27.42</v>
      </c>
      <c r="C891" s="1">
        <v>853923</v>
      </c>
      <c r="D891" s="3">
        <v>0.62000000000000099</v>
      </c>
      <c r="E891" s="3">
        <v>2.3134328358209002</v>
      </c>
      <c r="F891" s="3">
        <v>2.3134385866512699</v>
      </c>
      <c r="G891" s="3">
        <v>32.196530000000003</v>
      </c>
      <c r="H891" s="3">
        <v>797.21760668885895</v>
      </c>
      <c r="I891" s="3">
        <v>27.53</v>
      </c>
      <c r="J891" s="3">
        <v>27.92</v>
      </c>
      <c r="K891" s="3">
        <v>27.06</v>
      </c>
      <c r="L891" s="3">
        <v>664.11050431237504</v>
      </c>
    </row>
    <row r="892" spans="1:12" ht="15" customHeight="1" x14ac:dyDescent="0.2">
      <c r="A892" s="2">
        <v>44756</v>
      </c>
      <c r="B892" s="3">
        <v>26.8</v>
      </c>
      <c r="C892" s="1">
        <v>786994</v>
      </c>
      <c r="D892" s="3">
        <v>-0.12999999999999901</v>
      </c>
      <c r="E892" s="3">
        <v>-0.48273301151132703</v>
      </c>
      <c r="F892" s="3">
        <v>-0.482736692997975</v>
      </c>
      <c r="G892" s="3">
        <v>31.468525</v>
      </c>
      <c r="H892" s="3">
        <v>776.93036133174996</v>
      </c>
      <c r="I892" s="3">
        <v>26.66</v>
      </c>
      <c r="J892" s="3">
        <v>27</v>
      </c>
      <c r="K892" s="3">
        <v>26.2</v>
      </c>
      <c r="L892" s="3">
        <v>646.833023908521</v>
      </c>
    </row>
    <row r="893" spans="1:12" ht="15" customHeight="1" x14ac:dyDescent="0.2">
      <c r="A893" s="2">
        <v>44755</v>
      </c>
      <c r="B893" s="3">
        <v>26.93</v>
      </c>
      <c r="C893" s="1">
        <v>825981</v>
      </c>
      <c r="D893" s="3">
        <v>-0.17999999999999899</v>
      </c>
      <c r="E893" s="3">
        <v>-0.66396163777203698</v>
      </c>
      <c r="F893" s="3">
        <v>-0.66395922635986704</v>
      </c>
      <c r="G893" s="3">
        <v>31.621172000000001</v>
      </c>
      <c r="H893" s="3">
        <v>781.18416060789002</v>
      </c>
      <c r="I893" s="3">
        <v>26.53</v>
      </c>
      <c r="J893" s="3">
        <v>27.03</v>
      </c>
      <c r="K893" s="3">
        <v>26.05</v>
      </c>
      <c r="L893" s="3">
        <v>650.45572141255502</v>
      </c>
    </row>
    <row r="894" spans="1:12" ht="15" customHeight="1" x14ac:dyDescent="0.2">
      <c r="A894" s="2">
        <v>44754</v>
      </c>
      <c r="B894" s="3">
        <v>27.11</v>
      </c>
      <c r="C894" s="1">
        <v>689106</v>
      </c>
      <c r="D894" s="3">
        <v>0.3</v>
      </c>
      <c r="E894" s="3">
        <v>1.1189854531891099</v>
      </c>
      <c r="F894" s="3">
        <v>1.1189866972856199</v>
      </c>
      <c r="G894" s="3">
        <v>31.832526999999999</v>
      </c>
      <c r="H894" s="3">
        <v>787.07397007685302</v>
      </c>
      <c r="I894" s="3">
        <v>26.77</v>
      </c>
      <c r="J894" s="3">
        <v>27.57</v>
      </c>
      <c r="K894" s="3">
        <v>26.76</v>
      </c>
      <c r="L894" s="3">
        <v>655.47176411044802</v>
      </c>
    </row>
    <row r="895" spans="1:12" ht="15" customHeight="1" x14ac:dyDescent="0.2">
      <c r="A895" s="2">
        <v>44753</v>
      </c>
      <c r="B895" s="3">
        <v>26.81</v>
      </c>
      <c r="C895" s="1">
        <v>746504</v>
      </c>
      <c r="D895" s="3">
        <v>-0.36000000000000298</v>
      </c>
      <c r="E895" s="3">
        <v>-1.32499079867501</v>
      </c>
      <c r="F895" s="3">
        <v>-1.3249922522909101</v>
      </c>
      <c r="G895" s="3">
        <v>31.480267000000001</v>
      </c>
      <c r="H895" s="3">
        <v>777.25757451707602</v>
      </c>
      <c r="I895" s="3">
        <v>26.76</v>
      </c>
      <c r="J895" s="3">
        <v>27.28</v>
      </c>
      <c r="K895" s="3">
        <v>26.69</v>
      </c>
      <c r="L895" s="3">
        <v>647.11169294729302</v>
      </c>
    </row>
    <row r="896" spans="1:12" ht="15" customHeight="1" x14ac:dyDescent="0.2">
      <c r="A896" s="2">
        <v>44750</v>
      </c>
      <c r="B896" s="3">
        <v>27.17</v>
      </c>
      <c r="C896" s="1">
        <v>880106</v>
      </c>
      <c r="D896" s="3">
        <v>-0.65999999999999603</v>
      </c>
      <c r="E896" s="3">
        <v>-2.37154150197627</v>
      </c>
      <c r="F896" s="3">
        <v>-2.37153507925284</v>
      </c>
      <c r="G896" s="3">
        <v>31.902978999999998</v>
      </c>
      <c r="H896" s="3">
        <v>789.037249188808</v>
      </c>
      <c r="I896" s="3">
        <v>27.55</v>
      </c>
      <c r="J896" s="3">
        <v>28.18</v>
      </c>
      <c r="K896" s="3">
        <v>27</v>
      </c>
      <c r="L896" s="3">
        <v>657.14377834307902</v>
      </c>
    </row>
    <row r="897" spans="1:12" ht="15" customHeight="1" x14ac:dyDescent="0.2">
      <c r="A897" s="2">
        <v>44749</v>
      </c>
      <c r="B897" s="3">
        <v>27.83</v>
      </c>
      <c r="C897" s="1">
        <v>653103</v>
      </c>
      <c r="D897" s="3">
        <v>0.33999999999999903</v>
      </c>
      <c r="E897" s="3">
        <v>1.23681338668606</v>
      </c>
      <c r="F897" s="3">
        <v>1.2368148427199099</v>
      </c>
      <c r="G897" s="3">
        <v>32.677948000000001</v>
      </c>
      <c r="H897" s="3">
        <v>810.63323581960503</v>
      </c>
      <c r="I897" s="3">
        <v>28.14</v>
      </c>
      <c r="J897" s="3">
        <v>28.4099</v>
      </c>
      <c r="K897" s="3">
        <v>27.5</v>
      </c>
      <c r="L897" s="3">
        <v>675.53593490202002</v>
      </c>
    </row>
    <row r="898" spans="1:12" ht="15" customHeight="1" x14ac:dyDescent="0.2">
      <c r="A898" s="2">
        <v>44748</v>
      </c>
      <c r="B898" s="3">
        <v>27.49</v>
      </c>
      <c r="C898" s="1">
        <v>949339</v>
      </c>
      <c r="D898" s="3">
        <v>-1.07</v>
      </c>
      <c r="E898" s="3">
        <v>-3.7464985994397701</v>
      </c>
      <c r="F898" s="3">
        <v>-3.7465028447495299</v>
      </c>
      <c r="G898" s="3">
        <v>32.27872</v>
      </c>
      <c r="H898" s="3">
        <v>799.50798751852506</v>
      </c>
      <c r="I898" s="3">
        <v>28.58</v>
      </c>
      <c r="J898" s="3">
        <v>29.17</v>
      </c>
      <c r="K898" s="3">
        <v>27.26</v>
      </c>
      <c r="L898" s="3">
        <v>666.06118758377795</v>
      </c>
    </row>
    <row r="899" spans="1:12" ht="15" customHeight="1" x14ac:dyDescent="0.2">
      <c r="A899" s="2">
        <v>44747</v>
      </c>
      <c r="B899" s="3">
        <v>28.56</v>
      </c>
      <c r="C899" s="1">
        <v>1336027</v>
      </c>
      <c r="D899" s="3">
        <v>0.84999999999999698</v>
      </c>
      <c r="E899" s="3">
        <v>3.0674846625766601</v>
      </c>
      <c r="F899" s="3">
        <v>3.0674850773940898</v>
      </c>
      <c r="G899" s="3">
        <v>33.535114</v>
      </c>
      <c r="H899" s="3">
        <v>834.51979834839506</v>
      </c>
      <c r="I899" s="3">
        <v>26.84</v>
      </c>
      <c r="J899" s="3">
        <v>28.64</v>
      </c>
      <c r="K899" s="3">
        <v>26.27</v>
      </c>
      <c r="L899" s="3">
        <v>695.87877473236404</v>
      </c>
    </row>
    <row r="900" spans="1:12" ht="15" customHeight="1" x14ac:dyDescent="0.2">
      <c r="A900" s="2">
        <v>44743</v>
      </c>
      <c r="B900" s="3">
        <v>27.71</v>
      </c>
      <c r="C900" s="1">
        <v>932376</v>
      </c>
      <c r="D900" s="3">
        <v>1.28999999999999</v>
      </c>
      <c r="E900" s="3">
        <v>4.8826646479939297</v>
      </c>
      <c r="F900" s="3">
        <v>4.8826603288663204</v>
      </c>
      <c r="G900" s="3">
        <v>32.537044999999999</v>
      </c>
      <c r="H900" s="3">
        <v>806.70670546259805</v>
      </c>
      <c r="I900" s="3">
        <v>26.49</v>
      </c>
      <c r="J900" s="3">
        <v>27.78</v>
      </c>
      <c r="K900" s="3">
        <v>26.22</v>
      </c>
      <c r="L900" s="3">
        <v>672.19190643675802</v>
      </c>
    </row>
    <row r="901" spans="1:12" ht="15" customHeight="1" x14ac:dyDescent="0.2">
      <c r="A901" s="2">
        <v>44742</v>
      </c>
      <c r="B901" s="3">
        <v>26.42</v>
      </c>
      <c r="C901" s="1">
        <v>1006788</v>
      </c>
      <c r="D901" s="3">
        <v>-1.03999999999999</v>
      </c>
      <c r="E901" s="3">
        <v>-3.7873270211216301</v>
      </c>
      <c r="F901" s="3">
        <v>-3.7873250468869801</v>
      </c>
      <c r="G901" s="3">
        <v>31.02233</v>
      </c>
      <c r="H901" s="3">
        <v>764.49628815627</v>
      </c>
      <c r="I901" s="3">
        <v>27.13</v>
      </c>
      <c r="J901" s="3">
        <v>27.24</v>
      </c>
      <c r="K901" s="3">
        <v>26.19</v>
      </c>
      <c r="L901" s="3">
        <v>636.24360043519096</v>
      </c>
    </row>
    <row r="902" spans="1:12" ht="15" customHeight="1" x14ac:dyDescent="0.2">
      <c r="A902" s="2">
        <v>44741</v>
      </c>
      <c r="B902" s="3">
        <v>27.46</v>
      </c>
      <c r="C902" s="1">
        <v>933085</v>
      </c>
      <c r="D902" s="3">
        <v>-0.51999999999999902</v>
      </c>
      <c r="E902" s="3">
        <v>-1.85847033595425</v>
      </c>
      <c r="F902" s="3">
        <v>-1.85847237238115</v>
      </c>
      <c r="G902" s="3">
        <v>32.243496</v>
      </c>
      <c r="H902" s="3">
        <v>798.52640369635503</v>
      </c>
      <c r="I902" s="3">
        <v>27.93</v>
      </c>
      <c r="J902" s="3">
        <v>27.93</v>
      </c>
      <c r="K902" s="3">
        <v>26.82</v>
      </c>
      <c r="L902" s="3">
        <v>665.225180467462</v>
      </c>
    </row>
    <row r="903" spans="1:12" ht="15" customHeight="1" x14ac:dyDescent="0.2">
      <c r="A903" s="2">
        <v>44740</v>
      </c>
      <c r="B903" s="3">
        <v>27.98</v>
      </c>
      <c r="C903" s="1">
        <v>750075</v>
      </c>
      <c r="D903" s="3">
        <v>-0.55999999999999805</v>
      </c>
      <c r="E903" s="3">
        <v>-1.96215837421163</v>
      </c>
      <c r="F903" s="3">
        <v>-1.9621546310937199</v>
      </c>
      <c r="G903" s="3">
        <v>32.854080000000003</v>
      </c>
      <c r="H903" s="3">
        <v>815.541489333301</v>
      </c>
      <c r="I903" s="3">
        <v>28.85</v>
      </c>
      <c r="J903" s="3">
        <v>29.39</v>
      </c>
      <c r="K903" s="3">
        <v>27.97</v>
      </c>
      <c r="L903" s="3">
        <v>679.71597048359797</v>
      </c>
    </row>
    <row r="904" spans="1:12" ht="15" customHeight="1" x14ac:dyDescent="0.2">
      <c r="A904" s="2">
        <v>44739</v>
      </c>
      <c r="B904" s="3">
        <v>28.54</v>
      </c>
      <c r="C904" s="1">
        <v>949401</v>
      </c>
      <c r="D904" s="3">
        <v>-0.220000000000002</v>
      </c>
      <c r="E904" s="3">
        <v>-0.764951321279561</v>
      </c>
      <c r="F904" s="3">
        <v>-0.76495512060944504</v>
      </c>
      <c r="G904" s="3">
        <v>33.511629999999997</v>
      </c>
      <c r="H904" s="3">
        <v>833.86537197774305</v>
      </c>
      <c r="I904" s="3">
        <v>29.01</v>
      </c>
      <c r="J904" s="3">
        <v>29.26</v>
      </c>
      <c r="K904" s="3">
        <v>28.2</v>
      </c>
      <c r="L904" s="3">
        <v>695.32143665482101</v>
      </c>
    </row>
    <row r="905" spans="1:12" ht="15" customHeight="1" x14ac:dyDescent="0.2">
      <c r="A905" s="2">
        <v>44736</v>
      </c>
      <c r="B905" s="3">
        <v>28.76</v>
      </c>
      <c r="C905" s="1">
        <v>1079813</v>
      </c>
      <c r="D905" s="3">
        <v>1.23</v>
      </c>
      <c r="E905" s="3">
        <v>4.4678532509989202</v>
      </c>
      <c r="F905" s="3">
        <v>4.4678551331773502</v>
      </c>
      <c r="G905" s="3">
        <v>33.769955000000003</v>
      </c>
      <c r="H905" s="3">
        <v>841.06408992181696</v>
      </c>
      <c r="I905" s="3">
        <v>27.6</v>
      </c>
      <c r="J905" s="3">
        <v>28.86</v>
      </c>
      <c r="K905" s="3">
        <v>27.38</v>
      </c>
      <c r="L905" s="3">
        <v>701.45215550780097</v>
      </c>
    </row>
    <row r="906" spans="1:12" ht="15" customHeight="1" x14ac:dyDescent="0.2">
      <c r="A906" s="2">
        <v>44735</v>
      </c>
      <c r="B906" s="3">
        <v>27.53</v>
      </c>
      <c r="C906" s="1">
        <v>944280</v>
      </c>
      <c r="D906" s="3">
        <v>0.69000000000000095</v>
      </c>
      <c r="E906" s="3">
        <v>2.57078986587184</v>
      </c>
      <c r="F906" s="3">
        <v>2.5707895478582499</v>
      </c>
      <c r="G906" s="3">
        <v>32.325690000000002</v>
      </c>
      <c r="H906" s="3">
        <v>800.81689599363597</v>
      </c>
      <c r="I906" s="3">
        <v>27.1</v>
      </c>
      <c r="J906" s="3">
        <v>27.54</v>
      </c>
      <c r="K906" s="3">
        <v>26.64</v>
      </c>
      <c r="L906" s="3">
        <v>667.17586373886502</v>
      </c>
    </row>
    <row r="907" spans="1:12" ht="15" customHeight="1" x14ac:dyDescent="0.2">
      <c r="A907" s="2">
        <v>44734</v>
      </c>
      <c r="B907" s="3">
        <v>26.84</v>
      </c>
      <c r="C907" s="1">
        <v>1427383</v>
      </c>
      <c r="D907" s="3">
        <v>-0.23</v>
      </c>
      <c r="E907" s="3">
        <v>-0.84964905799778101</v>
      </c>
      <c r="F907" s="3">
        <v>-0.84964999357097704</v>
      </c>
      <c r="G907" s="3">
        <v>31.515492999999999</v>
      </c>
      <c r="H907" s="3">
        <v>778.23921407305397</v>
      </c>
      <c r="I907" s="3">
        <v>26.7</v>
      </c>
      <c r="J907" s="3">
        <v>27.27</v>
      </c>
      <c r="K907" s="3">
        <v>26.12</v>
      </c>
      <c r="L907" s="3">
        <v>647.94770006360795</v>
      </c>
    </row>
    <row r="908" spans="1:12" ht="15" customHeight="1" x14ac:dyDescent="0.2">
      <c r="A908" s="2">
        <v>44733</v>
      </c>
      <c r="B908" s="3">
        <v>27.07</v>
      </c>
      <c r="C908" s="1">
        <v>890842</v>
      </c>
      <c r="D908" s="3">
        <v>-0.96999999999999797</v>
      </c>
      <c r="E908" s="3">
        <v>-3.4593437945791701</v>
      </c>
      <c r="F908" s="3">
        <v>-3.4593504041697298</v>
      </c>
      <c r="G908" s="3">
        <v>31.785558999999999</v>
      </c>
      <c r="H908" s="3">
        <v>785.76511733554901</v>
      </c>
      <c r="I908" s="3">
        <v>28.35</v>
      </c>
      <c r="J908" s="3">
        <v>28.91</v>
      </c>
      <c r="K908" s="3">
        <v>27.06</v>
      </c>
      <c r="L908" s="3">
        <v>654.35708795536095</v>
      </c>
    </row>
    <row r="909" spans="1:12" ht="15" customHeight="1" x14ac:dyDescent="0.2">
      <c r="A909" s="2">
        <v>44729</v>
      </c>
      <c r="B909" s="3">
        <v>28.04</v>
      </c>
      <c r="C909" s="1">
        <v>1205353</v>
      </c>
      <c r="D909" s="3">
        <v>1.1299999999999899</v>
      </c>
      <c r="E909" s="3">
        <v>4.19918246005202</v>
      </c>
      <c r="F909" s="3">
        <v>4.1991902761743196</v>
      </c>
      <c r="G909" s="3">
        <v>32.924534000000001</v>
      </c>
      <c r="H909" s="3">
        <v>817.50482417906403</v>
      </c>
      <c r="I909" s="3">
        <v>27.414999999999999</v>
      </c>
      <c r="J909" s="3">
        <v>28.42</v>
      </c>
      <c r="K909" s="3">
        <v>27.01</v>
      </c>
      <c r="L909" s="3">
        <v>681.38798471622897</v>
      </c>
    </row>
    <row r="910" spans="1:12" ht="15" customHeight="1" x14ac:dyDescent="0.2">
      <c r="A910" s="2">
        <v>44728</v>
      </c>
      <c r="B910" s="3">
        <v>26.91</v>
      </c>
      <c r="C910" s="1">
        <v>895190</v>
      </c>
      <c r="D910" s="3">
        <v>-2.23999999999999</v>
      </c>
      <c r="E910" s="3">
        <v>-7.6843910806174902</v>
      </c>
      <c r="F910" s="3">
        <v>-7.6843854529157403</v>
      </c>
      <c r="G910" s="3">
        <v>31.597687000000001</v>
      </c>
      <c r="H910" s="3">
        <v>780.52970637033502</v>
      </c>
      <c r="I910" s="3">
        <v>28.15</v>
      </c>
      <c r="J910" s="3">
        <v>28.21</v>
      </c>
      <c r="K910" s="3">
        <v>26.72</v>
      </c>
      <c r="L910" s="3">
        <v>649.89838333501098</v>
      </c>
    </row>
    <row r="911" spans="1:12" ht="15" customHeight="1" x14ac:dyDescent="0.2">
      <c r="A911" s="2">
        <v>44727</v>
      </c>
      <c r="B911" s="3">
        <v>29.15</v>
      </c>
      <c r="C911" s="1">
        <v>753772</v>
      </c>
      <c r="D911" s="3">
        <v>0.5</v>
      </c>
      <c r="E911" s="3">
        <v>1.7452006980802801</v>
      </c>
      <c r="F911" s="3">
        <v>1.7451936998036801</v>
      </c>
      <c r="G911" s="3">
        <v>34.227890000000002</v>
      </c>
      <c r="H911" s="3">
        <v>853.82532054881494</v>
      </c>
      <c r="I911" s="3">
        <v>28.98</v>
      </c>
      <c r="J911" s="3">
        <v>29.96</v>
      </c>
      <c r="K911" s="3">
        <v>28.92</v>
      </c>
      <c r="L911" s="3">
        <v>712.32024801990303</v>
      </c>
    </row>
    <row r="912" spans="1:12" ht="15" customHeight="1" x14ac:dyDescent="0.2">
      <c r="A912" s="2">
        <v>44726</v>
      </c>
      <c r="B912" s="3">
        <v>28.65</v>
      </c>
      <c r="C912" s="1">
        <v>911070</v>
      </c>
      <c r="D912" s="3"/>
      <c r="E912" s="3"/>
      <c r="F912" s="3"/>
      <c r="G912" s="3">
        <v>33.640793000000002</v>
      </c>
      <c r="H912" s="3">
        <v>837.46474488323202</v>
      </c>
      <c r="I912" s="3">
        <v>28.6</v>
      </c>
      <c r="J912" s="3">
        <v>29.305</v>
      </c>
      <c r="K912" s="3">
        <v>28.414999999999999</v>
      </c>
      <c r="L912" s="3">
        <v>698.38679608131099</v>
      </c>
    </row>
    <row r="913" spans="1:12" ht="15" customHeight="1" x14ac:dyDescent="0.2">
      <c r="A913" s="2">
        <v>44725</v>
      </c>
      <c r="B913" s="3">
        <v>28.65</v>
      </c>
      <c r="C913" s="1">
        <v>1047465.99999999</v>
      </c>
      <c r="D913" s="3">
        <v>-1.83</v>
      </c>
      <c r="E913" s="3">
        <v>-6.0039370078740104</v>
      </c>
      <c r="F913" s="3">
        <v>-6.0039379621614399</v>
      </c>
      <c r="G913" s="3">
        <v>33.640793000000002</v>
      </c>
      <c r="H913" s="3">
        <v>837.46474488323202</v>
      </c>
      <c r="I913" s="3">
        <v>29.164999999999999</v>
      </c>
      <c r="J913" s="3">
        <v>29.555</v>
      </c>
      <c r="K913" s="3">
        <v>28.11</v>
      </c>
      <c r="L913" s="3">
        <v>698.38679608131099</v>
      </c>
    </row>
    <row r="914" spans="1:12" ht="15" customHeight="1" x14ac:dyDescent="0.2">
      <c r="A914" s="2">
        <v>44722</v>
      </c>
      <c r="B914" s="3">
        <v>30.48</v>
      </c>
      <c r="C914" s="1">
        <v>969627</v>
      </c>
      <c r="D914" s="3">
        <v>-1.5699999999999901</v>
      </c>
      <c r="E914" s="3">
        <v>-4.8985959438377398</v>
      </c>
      <c r="F914" s="3">
        <v>-4.8985934391530304</v>
      </c>
      <c r="G914" s="3">
        <v>35.789577000000001</v>
      </c>
      <c r="H914" s="3">
        <v>897.34470206406195</v>
      </c>
      <c r="I914" s="3">
        <v>31.34</v>
      </c>
      <c r="J914" s="3">
        <v>31.9</v>
      </c>
      <c r="K914" s="3">
        <v>30.39</v>
      </c>
      <c r="L914" s="3">
        <v>749.38323017655705</v>
      </c>
    </row>
    <row r="915" spans="1:12" ht="15" customHeight="1" x14ac:dyDescent="0.2">
      <c r="A915" s="2">
        <v>44721</v>
      </c>
      <c r="B915" s="3">
        <v>32.049999999999997</v>
      </c>
      <c r="C915" s="1">
        <v>1246867</v>
      </c>
      <c r="D915" s="3">
        <v>-0.109999999999999</v>
      </c>
      <c r="E915" s="3">
        <v>-0.34203980099501902</v>
      </c>
      <c r="F915" s="3">
        <v>-0.34204018141936698</v>
      </c>
      <c r="G915" s="3">
        <v>37.633068000000002</v>
      </c>
      <c r="H915" s="3">
        <v>948.71708855951499</v>
      </c>
      <c r="I915" s="3">
        <v>31.69</v>
      </c>
      <c r="J915" s="3">
        <v>32.56</v>
      </c>
      <c r="K915" s="3">
        <v>31.35</v>
      </c>
      <c r="L915" s="3">
        <v>793.13426926373495</v>
      </c>
    </row>
    <row r="916" spans="1:12" ht="15" customHeight="1" x14ac:dyDescent="0.2">
      <c r="A916" s="2">
        <v>44720</v>
      </c>
      <c r="B916" s="3">
        <v>32.159999999999997</v>
      </c>
      <c r="C916" s="1">
        <v>841450</v>
      </c>
      <c r="D916" s="3">
        <v>0.35999999999999499</v>
      </c>
      <c r="E916" s="3">
        <v>1.1320754716980901</v>
      </c>
      <c r="F916" s="3">
        <v>1.1320821619648</v>
      </c>
      <c r="G916" s="3">
        <v>37.762230000000002</v>
      </c>
      <c r="H916" s="3">
        <v>952.31643359810005</v>
      </c>
      <c r="I916" s="3">
        <v>31.45</v>
      </c>
      <c r="J916" s="3">
        <v>32.58</v>
      </c>
      <c r="K916" s="3">
        <v>31.45</v>
      </c>
      <c r="L916" s="3">
        <v>796.19962869022504</v>
      </c>
    </row>
    <row r="917" spans="1:12" ht="15" customHeight="1" x14ac:dyDescent="0.2">
      <c r="A917" s="2">
        <v>44719</v>
      </c>
      <c r="B917" s="3">
        <v>31.8</v>
      </c>
      <c r="C917" s="1">
        <v>707509</v>
      </c>
      <c r="D917" s="3">
        <v>8.0000000000001806E-2</v>
      </c>
      <c r="E917" s="3">
        <v>0.25220680958386499</v>
      </c>
      <c r="F917" s="3">
        <v>0.25219903256716802</v>
      </c>
      <c r="G917" s="3">
        <v>37.339516000000003</v>
      </c>
      <c r="H917" s="3">
        <v>940.53670319256003</v>
      </c>
      <c r="I917" s="3">
        <v>31.31</v>
      </c>
      <c r="J917" s="3">
        <v>32.07</v>
      </c>
      <c r="K917" s="3">
        <v>30.89</v>
      </c>
      <c r="L917" s="3">
        <v>786.16754329443904</v>
      </c>
    </row>
    <row r="918" spans="1:12" ht="15" customHeight="1" x14ac:dyDescent="0.2">
      <c r="A918" s="2">
        <v>44718</v>
      </c>
      <c r="B918" s="3">
        <v>31.72</v>
      </c>
      <c r="C918" s="1">
        <v>659024</v>
      </c>
      <c r="D918" s="3">
        <v>-0.24000000000000199</v>
      </c>
      <c r="E918" s="3">
        <v>-0.75093867334168296</v>
      </c>
      <c r="F918" s="3">
        <v>-0.75093684905875802</v>
      </c>
      <c r="G918" s="3">
        <v>37.245583000000003</v>
      </c>
      <c r="H918" s="3">
        <v>937.91908131066498</v>
      </c>
      <c r="I918" s="3">
        <v>32</v>
      </c>
      <c r="J918" s="3">
        <v>32.07</v>
      </c>
      <c r="K918" s="3">
        <v>31.15</v>
      </c>
      <c r="L918" s="3">
        <v>783.93819098426502</v>
      </c>
    </row>
    <row r="919" spans="1:12" ht="15" customHeight="1" x14ac:dyDescent="0.2">
      <c r="A919" s="2">
        <v>44715</v>
      </c>
      <c r="B919" s="3">
        <v>31.96</v>
      </c>
      <c r="C919" s="1">
        <v>493530</v>
      </c>
      <c r="D919" s="3">
        <v>-0.64</v>
      </c>
      <c r="E919" s="3">
        <v>-1.96319018404907</v>
      </c>
      <c r="F919" s="3">
        <v>-1.9631897769623801</v>
      </c>
      <c r="G919" s="3">
        <v>37.527389999999997</v>
      </c>
      <c r="H919" s="3">
        <v>945.77216989158205</v>
      </c>
      <c r="I919" s="3">
        <v>32.14</v>
      </c>
      <c r="J919" s="3">
        <v>32.549999999999997</v>
      </c>
      <c r="K919" s="3">
        <v>31.76</v>
      </c>
      <c r="L919" s="3">
        <v>790.62624791478902</v>
      </c>
    </row>
    <row r="920" spans="1:12" ht="15" customHeight="1" x14ac:dyDescent="0.2">
      <c r="A920" s="2">
        <v>44714</v>
      </c>
      <c r="B920" s="3">
        <v>32.6</v>
      </c>
      <c r="C920" s="1">
        <v>855031</v>
      </c>
      <c r="D920" s="3">
        <v>1.0899999999999901</v>
      </c>
      <c r="E920" s="3">
        <v>3.4592192954617502</v>
      </c>
      <c r="F920" s="3">
        <v>3.4592205194734902</v>
      </c>
      <c r="G920" s="3">
        <v>38.278877000000001</v>
      </c>
      <c r="H920" s="3">
        <v>966.713785885535</v>
      </c>
      <c r="I920" s="3">
        <v>31.53</v>
      </c>
      <c r="J920" s="3">
        <v>32.700600000000001</v>
      </c>
      <c r="K920" s="3">
        <v>31.53</v>
      </c>
      <c r="L920" s="3">
        <v>808.46106639618597</v>
      </c>
    </row>
    <row r="921" spans="1:12" ht="15" customHeight="1" x14ac:dyDescent="0.2">
      <c r="A921" s="2">
        <v>44713</v>
      </c>
      <c r="B921" s="3">
        <v>31.51</v>
      </c>
      <c r="C921" s="1">
        <v>1234936</v>
      </c>
      <c r="D921" s="3">
        <v>-1.1499999999999899</v>
      </c>
      <c r="E921" s="3">
        <v>-3.52112676056336</v>
      </c>
      <c r="F921" s="3">
        <v>-3.5211306168843</v>
      </c>
      <c r="G921" s="3">
        <v>36.999000000000002</v>
      </c>
      <c r="H921" s="3">
        <v>931.04757655191702</v>
      </c>
      <c r="I921" s="3">
        <v>32.869999999999997</v>
      </c>
      <c r="J921" s="3">
        <v>33.18</v>
      </c>
      <c r="K921" s="3">
        <v>30.96</v>
      </c>
      <c r="L921" s="3">
        <v>778.08614117005595</v>
      </c>
    </row>
    <row r="922" spans="1:12" ht="15" customHeight="1" x14ac:dyDescent="0.2">
      <c r="A922" s="2">
        <v>44712</v>
      </c>
      <c r="B922" s="3">
        <v>32.659999999999997</v>
      </c>
      <c r="C922" s="1">
        <v>1070640</v>
      </c>
      <c r="D922" s="3">
        <v>-1.85</v>
      </c>
      <c r="E922" s="3">
        <v>-5.3607649956534296</v>
      </c>
      <c r="F922" s="3">
        <v>-5.3607588743730199</v>
      </c>
      <c r="G922" s="3">
        <v>38.349330000000002</v>
      </c>
      <c r="H922" s="3">
        <v>968.67709286439504</v>
      </c>
      <c r="I922" s="3">
        <v>34.049999999999997</v>
      </c>
      <c r="J922" s="3">
        <v>34.244999999999997</v>
      </c>
      <c r="K922" s="3">
        <v>32.64</v>
      </c>
      <c r="L922" s="3">
        <v>810.13308062881697</v>
      </c>
    </row>
    <row r="923" spans="1:12" ht="15" customHeight="1" x14ac:dyDescent="0.2">
      <c r="A923" s="2">
        <v>44708</v>
      </c>
      <c r="B923" s="3">
        <v>34.51</v>
      </c>
      <c r="C923" s="1">
        <v>2094911</v>
      </c>
      <c r="D923" s="3">
        <v>1.3699999999999899</v>
      </c>
      <c r="E923" s="3">
        <v>4.1339770669885203</v>
      </c>
      <c r="F923" s="3">
        <v>4.1339713558045998</v>
      </c>
      <c r="G923" s="3">
        <v>40.521594999999998</v>
      </c>
      <c r="H923" s="3">
        <v>1029.21139281516</v>
      </c>
      <c r="I923" s="3">
        <v>33.5</v>
      </c>
      <c r="J923" s="3">
        <v>34.67</v>
      </c>
      <c r="K923" s="3">
        <v>33.5</v>
      </c>
      <c r="L923" s="3">
        <v>861.68685280160696</v>
      </c>
    </row>
    <row r="924" spans="1:12" ht="15" customHeight="1" x14ac:dyDescent="0.2">
      <c r="A924" s="2">
        <v>44707</v>
      </c>
      <c r="B924" s="3">
        <v>33.14</v>
      </c>
      <c r="C924" s="1">
        <v>1605250</v>
      </c>
      <c r="D924" s="3">
        <v>2.23</v>
      </c>
      <c r="E924" s="3">
        <v>7.2144936913620201</v>
      </c>
      <c r="F924" s="3">
        <v>7.2144904226904201</v>
      </c>
      <c r="G924" s="3">
        <v>38.912945000000001</v>
      </c>
      <c r="H924" s="3">
        <v>984.38329789313298</v>
      </c>
      <c r="I924" s="3">
        <v>31.26</v>
      </c>
      <c r="J924" s="3">
        <v>33.299999999999997</v>
      </c>
      <c r="K924" s="3">
        <v>31.1</v>
      </c>
      <c r="L924" s="3">
        <v>823.50919448986599</v>
      </c>
    </row>
    <row r="925" spans="1:12" ht="15" customHeight="1" x14ac:dyDescent="0.2">
      <c r="A925" s="2">
        <v>44706</v>
      </c>
      <c r="B925" s="3">
        <v>30.91</v>
      </c>
      <c r="C925" s="1">
        <v>1298429</v>
      </c>
      <c r="D925" s="3">
        <v>2.9299999999999899</v>
      </c>
      <c r="E925" s="3">
        <v>10.4717655468191</v>
      </c>
      <c r="F925" s="3">
        <v>10.4717678900154</v>
      </c>
      <c r="G925" s="3">
        <v>36.294483</v>
      </c>
      <c r="H925" s="3">
        <v>911.41486903307498</v>
      </c>
      <c r="I925" s="3">
        <v>28.38</v>
      </c>
      <c r="J925" s="3">
        <v>31.01</v>
      </c>
      <c r="K925" s="3">
        <v>28</v>
      </c>
      <c r="L925" s="3">
        <v>761.36599884374596</v>
      </c>
    </row>
    <row r="926" spans="1:12" ht="15" customHeight="1" x14ac:dyDescent="0.2">
      <c r="A926" s="2">
        <v>44705</v>
      </c>
      <c r="B926" s="3">
        <v>27.98</v>
      </c>
      <c r="C926" s="1">
        <v>935074</v>
      </c>
      <c r="D926" s="3">
        <v>-1.0999999999999901</v>
      </c>
      <c r="E926" s="3">
        <v>-3.7826685006877399</v>
      </c>
      <c r="F926" s="3">
        <v>-3.7826724887760199</v>
      </c>
      <c r="G926" s="3">
        <v>32.854080000000003</v>
      </c>
      <c r="H926" s="3">
        <v>815.541489333301</v>
      </c>
      <c r="I926" s="3">
        <v>28.88</v>
      </c>
      <c r="J926" s="3">
        <v>28.88</v>
      </c>
      <c r="K926" s="3">
        <v>27.42</v>
      </c>
      <c r="L926" s="3">
        <v>679.71597048359797</v>
      </c>
    </row>
    <row r="927" spans="1:12" ht="15" customHeight="1" x14ac:dyDescent="0.2">
      <c r="A927" s="2">
        <v>44704</v>
      </c>
      <c r="B927" s="3">
        <v>29.08</v>
      </c>
      <c r="C927" s="1">
        <v>1337211</v>
      </c>
      <c r="D927" s="3">
        <v>-0.32</v>
      </c>
      <c r="E927" s="3">
        <v>-1.08843537414966</v>
      </c>
      <c r="F927" s="3">
        <v>-1.08843077876064</v>
      </c>
      <c r="G927" s="3">
        <v>34.145699999999998</v>
      </c>
      <c r="H927" s="3">
        <v>851.53493971914895</v>
      </c>
      <c r="I927" s="3">
        <v>29.53</v>
      </c>
      <c r="J927" s="3">
        <v>29.53</v>
      </c>
      <c r="K927" s="3">
        <v>28.19</v>
      </c>
      <c r="L927" s="3">
        <v>710.36956474850001</v>
      </c>
    </row>
    <row r="928" spans="1:12" ht="15" customHeight="1" x14ac:dyDescent="0.2">
      <c r="A928" s="2">
        <v>44701</v>
      </c>
      <c r="B928" s="3">
        <v>29.4</v>
      </c>
      <c r="C928" s="1">
        <v>1400531</v>
      </c>
      <c r="D928" s="3">
        <v>-1.0899999999999901</v>
      </c>
      <c r="E928" s="3">
        <v>-3.5749426041325001</v>
      </c>
      <c r="F928" s="3">
        <v>-3.5749463986243999</v>
      </c>
      <c r="G928" s="3">
        <v>34.521442</v>
      </c>
      <c r="H928" s="3">
        <v>862.00570591577002</v>
      </c>
      <c r="I928" s="3">
        <v>30.99</v>
      </c>
      <c r="J928" s="3">
        <v>31.05</v>
      </c>
      <c r="K928" s="3">
        <v>29.16</v>
      </c>
      <c r="L928" s="3">
        <v>719.28697398919905</v>
      </c>
    </row>
    <row r="929" spans="1:12" ht="15" customHeight="1" x14ac:dyDescent="0.2">
      <c r="A929" s="2">
        <v>44700</v>
      </c>
      <c r="B929" s="3">
        <v>30.49</v>
      </c>
      <c r="C929" s="1">
        <v>1485624</v>
      </c>
      <c r="D929" s="3">
        <v>-1.08</v>
      </c>
      <c r="E929" s="3">
        <v>-3.4209692746278102</v>
      </c>
      <c r="F929" s="3">
        <v>-3.4209675707659501</v>
      </c>
      <c r="G929" s="3">
        <v>35.801319999999997</v>
      </c>
      <c r="H929" s="3">
        <v>897.67194311629203</v>
      </c>
      <c r="I929" s="3">
        <v>31.11</v>
      </c>
      <c r="J929" s="3">
        <v>31.54</v>
      </c>
      <c r="K929" s="3">
        <v>30.05</v>
      </c>
      <c r="L929" s="3">
        <v>749.66189921532896</v>
      </c>
    </row>
    <row r="930" spans="1:12" ht="15" customHeight="1" x14ac:dyDescent="0.2">
      <c r="A930" s="2">
        <v>44699</v>
      </c>
      <c r="B930" s="3">
        <v>31.57</v>
      </c>
      <c r="C930" s="1">
        <v>991200</v>
      </c>
      <c r="D930" s="3">
        <v>-1.67</v>
      </c>
      <c r="E930" s="3">
        <v>-5.02406738868833</v>
      </c>
      <c r="F930" s="3">
        <v>-5.0240652374119499</v>
      </c>
      <c r="G930" s="3">
        <v>37.069454</v>
      </c>
      <c r="H930" s="3">
        <v>933.01091139768005</v>
      </c>
      <c r="I930" s="3">
        <v>32.96</v>
      </c>
      <c r="J930" s="3">
        <v>33</v>
      </c>
      <c r="K930" s="3">
        <v>31.105</v>
      </c>
      <c r="L930" s="3">
        <v>779.75815540268695</v>
      </c>
    </row>
    <row r="931" spans="1:12" ht="15" customHeight="1" x14ac:dyDescent="0.2">
      <c r="A931" s="2">
        <v>44698</v>
      </c>
      <c r="B931" s="3">
        <v>33.24</v>
      </c>
      <c r="C931" s="1">
        <v>1178897</v>
      </c>
      <c r="D931" s="3">
        <v>1.49</v>
      </c>
      <c r="E931" s="3">
        <v>4.6929133858267802</v>
      </c>
      <c r="F931" s="3">
        <v>4.6929187986729897</v>
      </c>
      <c r="G931" s="3">
        <v>39.030365000000003</v>
      </c>
      <c r="H931" s="3">
        <v>987.65542974639197</v>
      </c>
      <c r="I931" s="3">
        <v>32.450000000000003</v>
      </c>
      <c r="J931" s="3">
        <v>33.67</v>
      </c>
      <c r="K931" s="3">
        <v>32.119999999999997</v>
      </c>
      <c r="L931" s="3">
        <v>826.29588487758394</v>
      </c>
    </row>
    <row r="932" spans="1:12" ht="15" customHeight="1" x14ac:dyDescent="0.2">
      <c r="A932" s="2">
        <v>44697</v>
      </c>
      <c r="B932" s="3">
        <v>31.75</v>
      </c>
      <c r="C932" s="1">
        <v>1188896</v>
      </c>
      <c r="D932" s="3">
        <v>-1.7999999999999901</v>
      </c>
      <c r="E932" s="3">
        <v>-5.3651266766020802</v>
      </c>
      <c r="F932" s="3">
        <v>-5.3651229238050897</v>
      </c>
      <c r="G932" s="3">
        <v>37.280807000000003</v>
      </c>
      <c r="H932" s="3">
        <v>938.900665132835</v>
      </c>
      <c r="I932" s="3">
        <v>33.380000000000003</v>
      </c>
      <c r="J932" s="3">
        <v>33.380000000000003</v>
      </c>
      <c r="K932" s="3">
        <v>31.44</v>
      </c>
      <c r="L932" s="3">
        <v>784.77419810057995</v>
      </c>
    </row>
    <row r="933" spans="1:12" ht="15" customHeight="1" x14ac:dyDescent="0.2">
      <c r="A933" s="2">
        <v>44694</v>
      </c>
      <c r="B933" s="3">
        <v>33.549999999999997</v>
      </c>
      <c r="C933" s="1">
        <v>919640</v>
      </c>
      <c r="D933" s="3">
        <v>-4.0000000000006197E-2</v>
      </c>
      <c r="E933" s="3">
        <v>-0.11908306043467699</v>
      </c>
      <c r="F933" s="3">
        <v>-0.11909079951504201</v>
      </c>
      <c r="G933" s="3">
        <v>39.394362999999998</v>
      </c>
      <c r="H933" s="3">
        <v>997.79892702387895</v>
      </c>
      <c r="I933" s="3">
        <v>33.81</v>
      </c>
      <c r="J933" s="3">
        <v>34.75</v>
      </c>
      <c r="K933" s="3">
        <v>33.44</v>
      </c>
      <c r="L933" s="3">
        <v>834.93462507951097</v>
      </c>
    </row>
    <row r="934" spans="1:12" ht="15" customHeight="1" x14ac:dyDescent="0.2">
      <c r="A934" s="2">
        <v>44693</v>
      </c>
      <c r="B934" s="3">
        <v>33.590000000000003</v>
      </c>
      <c r="C934" s="1">
        <v>645385</v>
      </c>
      <c r="D934" s="3">
        <v>1.07</v>
      </c>
      <c r="E934" s="3">
        <v>3.2902829028290199</v>
      </c>
      <c r="F934" s="3">
        <v>3.2902866941783899</v>
      </c>
      <c r="G934" s="3">
        <v>39.441333999999998</v>
      </c>
      <c r="H934" s="3">
        <v>999.10786336589501</v>
      </c>
      <c r="I934" s="3">
        <v>32.119999999999997</v>
      </c>
      <c r="J934" s="3">
        <v>33.674999999999997</v>
      </c>
      <c r="K934" s="3">
        <v>31.86</v>
      </c>
      <c r="L934" s="3">
        <v>836.04930123459803</v>
      </c>
    </row>
    <row r="935" spans="1:12" ht="15" customHeight="1" x14ac:dyDescent="0.2">
      <c r="A935" s="2">
        <v>44692</v>
      </c>
      <c r="B935" s="3">
        <v>32.520000000000003</v>
      </c>
      <c r="C935" s="1">
        <v>989835</v>
      </c>
      <c r="D935" s="3">
        <v>-1.7999999999999901</v>
      </c>
      <c r="E935" s="3">
        <v>-5.2447552447552397</v>
      </c>
      <c r="F935" s="3">
        <v>-5.2447609712520196</v>
      </c>
      <c r="G935" s="3">
        <v>38.184939999999997</v>
      </c>
      <c r="H935" s="3">
        <v>964.09605253602399</v>
      </c>
      <c r="I935" s="3">
        <v>34.119999999999997</v>
      </c>
      <c r="J935" s="3">
        <v>34.725000000000001</v>
      </c>
      <c r="K935" s="3">
        <v>32.35</v>
      </c>
      <c r="L935" s="3">
        <v>806.23171408601195</v>
      </c>
    </row>
    <row r="936" spans="1:12" ht="15" customHeight="1" x14ac:dyDescent="0.2">
      <c r="A936" s="2">
        <v>44691</v>
      </c>
      <c r="B936" s="3">
        <v>34.32</v>
      </c>
      <c r="C936" s="1">
        <v>819357</v>
      </c>
      <c r="D936" s="3">
        <v>0.75999999999999801</v>
      </c>
      <c r="E936" s="3">
        <v>2.2646007151370502</v>
      </c>
      <c r="F936" s="3">
        <v>3.0691187287907402</v>
      </c>
      <c r="G936" s="3">
        <v>40.298499999999997</v>
      </c>
      <c r="H936" s="3">
        <v>1022.99442589468</v>
      </c>
      <c r="I936" s="3">
        <v>33.89</v>
      </c>
      <c r="J936" s="3">
        <v>34.83</v>
      </c>
      <c r="K936" s="3">
        <v>33.049999999999997</v>
      </c>
      <c r="L936" s="3">
        <v>856.39214106494205</v>
      </c>
    </row>
    <row r="937" spans="1:12" ht="15" customHeight="1" x14ac:dyDescent="0.2">
      <c r="A937" s="2">
        <v>44690</v>
      </c>
      <c r="B937" s="3">
        <v>33.56</v>
      </c>
      <c r="C937" s="1">
        <v>974409</v>
      </c>
      <c r="D937" s="3">
        <v>-2.4799999999999902</v>
      </c>
      <c r="E937" s="3">
        <v>-6.8812430632630299</v>
      </c>
      <c r="F937" s="3">
        <v>-6.8812369307274901</v>
      </c>
      <c r="G937" s="3">
        <v>39.098520000000001</v>
      </c>
      <c r="H937" s="3">
        <v>989.55469858014203</v>
      </c>
      <c r="I937" s="3">
        <v>35.22</v>
      </c>
      <c r="J937" s="3">
        <v>35.704999999999998</v>
      </c>
      <c r="K937" s="3">
        <v>33.5</v>
      </c>
      <c r="L937" s="3">
        <v>835.21329411828299</v>
      </c>
    </row>
    <row r="938" spans="1:12" ht="15" customHeight="1" x14ac:dyDescent="0.2">
      <c r="A938" s="2">
        <v>44687</v>
      </c>
      <c r="B938" s="3">
        <v>36.04</v>
      </c>
      <c r="C938" s="1">
        <v>1055769</v>
      </c>
      <c r="D938" s="3">
        <v>0.5</v>
      </c>
      <c r="E938" s="3">
        <v>1.4068655036578499</v>
      </c>
      <c r="F938" s="3">
        <v>1.4068614670808399</v>
      </c>
      <c r="G938" s="3">
        <v>41.9878</v>
      </c>
      <c r="H938" s="3">
        <v>1070.06998661441</v>
      </c>
      <c r="I938" s="3">
        <v>35.58</v>
      </c>
      <c r="J938" s="3">
        <v>36.67</v>
      </c>
      <c r="K938" s="3">
        <v>34.81</v>
      </c>
      <c r="L938" s="3">
        <v>904.32321573369802</v>
      </c>
    </row>
    <row r="939" spans="1:12" ht="15" customHeight="1" x14ac:dyDescent="0.2">
      <c r="A939" s="2">
        <v>44686</v>
      </c>
      <c r="B939" s="3">
        <v>35.54</v>
      </c>
      <c r="C939" s="1">
        <v>825835</v>
      </c>
      <c r="D939" s="3">
        <v>-1.42</v>
      </c>
      <c r="E939" s="3">
        <v>-3.8419913419913398</v>
      </c>
      <c r="F939" s="3">
        <v>-3.8419816353266998</v>
      </c>
      <c r="G939" s="3">
        <v>41.405284999999999</v>
      </c>
      <c r="H939" s="3">
        <v>1053.8370971023901</v>
      </c>
      <c r="I939" s="3">
        <v>36.78</v>
      </c>
      <c r="J939" s="3">
        <v>36.78</v>
      </c>
      <c r="K939" s="3">
        <v>35.231000000000002</v>
      </c>
      <c r="L939" s="3">
        <v>890.38976379510598</v>
      </c>
    </row>
    <row r="940" spans="1:12" ht="15" customHeight="1" x14ac:dyDescent="0.2">
      <c r="A940" s="2">
        <v>44685</v>
      </c>
      <c r="B940" s="3">
        <v>36.96</v>
      </c>
      <c r="C940" s="1">
        <v>1404503</v>
      </c>
      <c r="D940" s="3">
        <v>-0.96</v>
      </c>
      <c r="E940" s="3">
        <v>-2.5316455696202498</v>
      </c>
      <c r="F940" s="3">
        <v>-2.5316457988422401</v>
      </c>
      <c r="G940" s="3">
        <v>43.059627999999996</v>
      </c>
      <c r="H940" s="3">
        <v>1099.9385144632799</v>
      </c>
      <c r="I940" s="3">
        <v>37.409999999999997</v>
      </c>
      <c r="J940" s="3">
        <v>37.71</v>
      </c>
      <c r="K940" s="3">
        <v>35.69</v>
      </c>
      <c r="L940" s="3">
        <v>929.96076730070695</v>
      </c>
    </row>
    <row r="941" spans="1:12" ht="15" customHeight="1" x14ac:dyDescent="0.2">
      <c r="A941" s="2">
        <v>44684</v>
      </c>
      <c r="B941" s="3">
        <v>37.92</v>
      </c>
      <c r="C941" s="1">
        <v>1109109</v>
      </c>
      <c r="D941" s="3">
        <v>-1.44999999999999</v>
      </c>
      <c r="E941" s="3">
        <v>-3.6830073660147198</v>
      </c>
      <c r="F941" s="3">
        <v>-3.6830111870401798</v>
      </c>
      <c r="G941" s="3">
        <v>44.178060000000002</v>
      </c>
      <c r="H941" s="3">
        <v>1131.10575150045</v>
      </c>
      <c r="I941" s="3">
        <v>39.44</v>
      </c>
      <c r="J941" s="3">
        <v>39.44</v>
      </c>
      <c r="K941" s="3">
        <v>36.92</v>
      </c>
      <c r="L941" s="3">
        <v>956.71299502280306</v>
      </c>
    </row>
    <row r="942" spans="1:12" ht="15" customHeight="1" x14ac:dyDescent="0.2">
      <c r="A942" s="2">
        <v>44683</v>
      </c>
      <c r="B942" s="3">
        <v>39.369999999999997</v>
      </c>
      <c r="C942" s="1">
        <v>1065298</v>
      </c>
      <c r="D942" s="3">
        <v>2.46</v>
      </c>
      <c r="E942" s="3">
        <v>6.6648604714169597</v>
      </c>
      <c r="F942" s="3">
        <v>6.6648633135631901</v>
      </c>
      <c r="G942" s="3">
        <v>45.867359999999998</v>
      </c>
      <c r="H942" s="3">
        <v>1178.18131222017</v>
      </c>
      <c r="I942" s="3">
        <v>37.1</v>
      </c>
      <c r="J942" s="3">
        <v>39.4</v>
      </c>
      <c r="K942" s="3">
        <v>36.85</v>
      </c>
      <c r="L942" s="3">
        <v>997.12000564471998</v>
      </c>
    </row>
    <row r="943" spans="1:12" ht="15" customHeight="1" x14ac:dyDescent="0.2">
      <c r="A943" s="2">
        <v>44680</v>
      </c>
      <c r="B943" s="3">
        <v>36.909999999999997</v>
      </c>
      <c r="C943" s="1">
        <v>1060955</v>
      </c>
      <c r="D943" s="3">
        <v>-0.70000000000000195</v>
      </c>
      <c r="E943" s="3">
        <v>-1.86120712576443</v>
      </c>
      <c r="F943" s="3">
        <v>-1.8612110002665101</v>
      </c>
      <c r="G943" s="3">
        <v>43.001376999999998</v>
      </c>
      <c r="H943" s="3">
        <v>1098.3152394455301</v>
      </c>
      <c r="I943" s="3">
        <v>37.71</v>
      </c>
      <c r="J943" s="3">
        <v>38.97</v>
      </c>
      <c r="K943" s="3">
        <v>36.729999999999997</v>
      </c>
      <c r="L943" s="3">
        <v>928.56742210684797</v>
      </c>
    </row>
    <row r="944" spans="1:12" ht="15" customHeight="1" x14ac:dyDescent="0.2">
      <c r="A944" s="2">
        <v>44679</v>
      </c>
      <c r="B944" s="3">
        <v>37.61</v>
      </c>
      <c r="C944" s="1">
        <v>1558563</v>
      </c>
      <c r="D944" s="3">
        <v>0.75</v>
      </c>
      <c r="E944" s="3">
        <v>2.0347259902333099</v>
      </c>
      <c r="F944" s="3">
        <v>2.0347260692031099</v>
      </c>
      <c r="G944" s="3">
        <v>43.816901999999999</v>
      </c>
      <c r="H944" s="3">
        <v>1121.0413962299699</v>
      </c>
      <c r="I944" s="3">
        <v>37.36</v>
      </c>
      <c r="J944" s="3">
        <v>38.354999999999997</v>
      </c>
      <c r="K944" s="3">
        <v>36.159999999999997</v>
      </c>
      <c r="L944" s="3">
        <v>948.07425482087604</v>
      </c>
    </row>
    <row r="945" spans="1:12" ht="15" customHeight="1" x14ac:dyDescent="0.2">
      <c r="A945" s="2">
        <v>44678</v>
      </c>
      <c r="B945" s="3">
        <v>36.86</v>
      </c>
      <c r="C945" s="1">
        <v>1233704</v>
      </c>
      <c r="D945" s="3">
        <v>-0.68999999999999695</v>
      </c>
      <c r="E945" s="3">
        <v>-1.8375499334220999</v>
      </c>
      <c r="F945" s="3">
        <v>-1.8375455156945799</v>
      </c>
      <c r="G945" s="3">
        <v>42.943126999999997</v>
      </c>
      <c r="H945" s="3">
        <v>1096.6919922946799</v>
      </c>
      <c r="I945" s="3">
        <v>37.17</v>
      </c>
      <c r="J945" s="3">
        <v>38.01</v>
      </c>
      <c r="K945" s="3">
        <v>36.57</v>
      </c>
      <c r="L945" s="3">
        <v>927.17407691298899</v>
      </c>
    </row>
    <row r="946" spans="1:12" ht="15" customHeight="1" x14ac:dyDescent="0.2">
      <c r="A946" s="2">
        <v>44677</v>
      </c>
      <c r="B946" s="3">
        <v>37.549999999999997</v>
      </c>
      <c r="C946" s="1">
        <v>1457128</v>
      </c>
      <c r="D946" s="3">
        <v>-1.38</v>
      </c>
      <c r="E946" s="3">
        <v>-3.5448240431543798</v>
      </c>
      <c r="F946" s="3">
        <v>-3.5448243297327302</v>
      </c>
      <c r="G946" s="3">
        <v>43.746997999999998</v>
      </c>
      <c r="H946" s="3">
        <v>1119.0933881813401</v>
      </c>
      <c r="I946" s="3">
        <v>38.46</v>
      </c>
      <c r="J946" s="3">
        <v>38.715000000000003</v>
      </c>
      <c r="K946" s="3">
        <v>36.92</v>
      </c>
      <c r="L946" s="3">
        <v>946.40224058824504</v>
      </c>
    </row>
    <row r="947" spans="1:12" ht="15" customHeight="1" x14ac:dyDescent="0.2">
      <c r="A947" s="2">
        <v>44676</v>
      </c>
      <c r="B947" s="3">
        <v>38.93</v>
      </c>
      <c r="C947" s="1">
        <v>971878</v>
      </c>
      <c r="D947" s="3">
        <v>1.21999999999999</v>
      </c>
      <c r="E947" s="3">
        <v>3.2352161230442902</v>
      </c>
      <c r="F947" s="3">
        <v>3.2352171763248001</v>
      </c>
      <c r="G947" s="3">
        <v>45.354743999999997</v>
      </c>
      <c r="H947" s="3">
        <v>1163.89629142227</v>
      </c>
      <c r="I947" s="3">
        <v>37.46</v>
      </c>
      <c r="J947" s="3">
        <v>39.17</v>
      </c>
      <c r="K947" s="3">
        <v>37.14</v>
      </c>
      <c r="L947" s="3">
        <v>984.85856793875905</v>
      </c>
    </row>
    <row r="948" spans="1:12" ht="15" customHeight="1" x14ac:dyDescent="0.2">
      <c r="A948" s="2">
        <v>44673</v>
      </c>
      <c r="B948" s="3">
        <v>37.71</v>
      </c>
      <c r="C948" s="1">
        <v>1130614</v>
      </c>
      <c r="D948" s="3">
        <v>-0.57999999999999796</v>
      </c>
      <c r="E948" s="3">
        <v>-1.5147558109166701</v>
      </c>
      <c r="F948" s="3">
        <v>-1.51475741856659</v>
      </c>
      <c r="G948" s="3">
        <v>43.933402999999998</v>
      </c>
      <c r="H948" s="3">
        <v>1124.2879183985699</v>
      </c>
      <c r="I948" s="3">
        <v>38.049999999999997</v>
      </c>
      <c r="J948" s="3">
        <v>38.47</v>
      </c>
      <c r="K948" s="3">
        <v>37.225000000000001</v>
      </c>
      <c r="L948" s="3">
        <v>950.86094520859501</v>
      </c>
    </row>
    <row r="949" spans="1:12" ht="15" customHeight="1" x14ac:dyDescent="0.2">
      <c r="A949" s="2">
        <v>44672</v>
      </c>
      <c r="B949" s="3">
        <v>38.29</v>
      </c>
      <c r="C949" s="1">
        <v>1152661</v>
      </c>
      <c r="D949" s="3">
        <v>0.75999999999999801</v>
      </c>
      <c r="E949" s="3">
        <v>2.0250466293631799</v>
      </c>
      <c r="F949" s="3">
        <v>2.0250460059439499</v>
      </c>
      <c r="G949" s="3">
        <v>44.609122999999997</v>
      </c>
      <c r="H949" s="3">
        <v>1143.11814268646</v>
      </c>
      <c r="I949" s="3">
        <v>38.43</v>
      </c>
      <c r="J949" s="3">
        <v>39.090000000000003</v>
      </c>
      <c r="K949" s="3">
        <v>37.85</v>
      </c>
      <c r="L949" s="3">
        <v>967.02374945736096</v>
      </c>
    </row>
    <row r="950" spans="1:12" ht="15" customHeight="1" x14ac:dyDescent="0.2">
      <c r="A950" s="2">
        <v>44671</v>
      </c>
      <c r="B950" s="3">
        <v>37.53</v>
      </c>
      <c r="C950" s="1">
        <v>641294</v>
      </c>
      <c r="D950" s="3">
        <v>-0.100000000000001</v>
      </c>
      <c r="E950" s="3">
        <v>-0.26574541589158202</v>
      </c>
      <c r="F950" s="3">
        <v>-0.26574695070975501</v>
      </c>
      <c r="G950" s="3">
        <v>43.723697999999999</v>
      </c>
      <c r="H950" s="3">
        <v>1118.4440893210001</v>
      </c>
      <c r="I950" s="3">
        <v>38.020000000000003</v>
      </c>
      <c r="J950" s="3">
        <v>38.369999999999997</v>
      </c>
      <c r="K950" s="3">
        <v>37.46</v>
      </c>
      <c r="L950" s="3">
        <v>945.84490251070201</v>
      </c>
    </row>
    <row r="951" spans="1:12" ht="15" customHeight="1" x14ac:dyDescent="0.2">
      <c r="A951" s="2">
        <v>44670</v>
      </c>
      <c r="B951" s="3">
        <v>37.630000000000003</v>
      </c>
      <c r="C951" s="1">
        <v>901570</v>
      </c>
      <c r="D951" s="3">
        <v>0.85999999999999899</v>
      </c>
      <c r="E951" s="3">
        <v>2.3388632036986698</v>
      </c>
      <c r="F951" s="3">
        <v>2.33886651637114</v>
      </c>
      <c r="G951" s="3">
        <v>43.840201999999998</v>
      </c>
      <c r="H951" s="3">
        <v>1121.6906950903101</v>
      </c>
      <c r="I951" s="3">
        <v>36.85</v>
      </c>
      <c r="J951" s="3">
        <v>38.335000000000001</v>
      </c>
      <c r="K951" s="3">
        <v>36.64</v>
      </c>
      <c r="L951" s="3">
        <v>948.63159289841997</v>
      </c>
    </row>
    <row r="952" spans="1:12" ht="15" customHeight="1" x14ac:dyDescent="0.2">
      <c r="A952" s="2">
        <v>44669</v>
      </c>
      <c r="B952" s="3">
        <v>36.770000000000003</v>
      </c>
      <c r="C952" s="1">
        <v>635634</v>
      </c>
      <c r="D952" s="3"/>
      <c r="E952" s="3"/>
      <c r="F952" s="3"/>
      <c r="G952" s="3">
        <v>42.838272000000003</v>
      </c>
      <c r="H952" s="3">
        <v>1093.77000808864</v>
      </c>
      <c r="I952" s="3">
        <v>36.51</v>
      </c>
      <c r="J952" s="3">
        <v>37.06</v>
      </c>
      <c r="K952" s="3">
        <v>36.25</v>
      </c>
      <c r="L952" s="3">
        <v>924.66605556404204</v>
      </c>
    </row>
    <row r="953" spans="1:12" ht="15" customHeight="1" x14ac:dyDescent="0.2">
      <c r="A953" s="2">
        <v>44665</v>
      </c>
      <c r="B953" s="3">
        <v>36.770000000000003</v>
      </c>
      <c r="C953" s="1">
        <v>959149</v>
      </c>
      <c r="D953" s="3">
        <v>-1.28999999999999</v>
      </c>
      <c r="E953" s="3">
        <v>-3.3893851812926901</v>
      </c>
      <c r="F953" s="3">
        <v>-3.3893898191718601</v>
      </c>
      <c r="G953" s="3">
        <v>42.838272000000003</v>
      </c>
      <c r="H953" s="3">
        <v>1093.77000808864</v>
      </c>
      <c r="I953" s="3">
        <v>37.869999999999997</v>
      </c>
      <c r="J953" s="3">
        <v>38.22</v>
      </c>
      <c r="K953" s="3">
        <v>36.659999999999997</v>
      </c>
      <c r="L953" s="3">
        <v>924.66605556404204</v>
      </c>
    </row>
    <row r="954" spans="1:12" ht="15" customHeight="1" x14ac:dyDescent="0.2">
      <c r="A954" s="2">
        <v>44664</v>
      </c>
      <c r="B954" s="3">
        <v>38.06</v>
      </c>
      <c r="C954" s="1">
        <v>1002540</v>
      </c>
      <c r="D954" s="3">
        <v>1.44</v>
      </c>
      <c r="E954" s="3">
        <v>3.9322774440196699</v>
      </c>
      <c r="F954" s="3">
        <v>3.9322824698207501</v>
      </c>
      <c r="G954" s="3">
        <v>44.341166999999999</v>
      </c>
      <c r="H954" s="3">
        <v>1135.6510385911399</v>
      </c>
      <c r="I954" s="3">
        <v>36.96</v>
      </c>
      <c r="J954" s="3">
        <v>38.340000000000003</v>
      </c>
      <c r="K954" s="3">
        <v>36.700000000000003</v>
      </c>
      <c r="L954" s="3">
        <v>960.61436156560899</v>
      </c>
    </row>
    <row r="955" spans="1:12" ht="15" customHeight="1" x14ac:dyDescent="0.2">
      <c r="A955" s="2">
        <v>44663</v>
      </c>
      <c r="B955" s="3">
        <v>36.619999999999997</v>
      </c>
      <c r="C955" s="1">
        <v>1626078</v>
      </c>
      <c r="D955" s="3">
        <v>1.0899999999999901</v>
      </c>
      <c r="E955" s="3">
        <v>3.06783000281452</v>
      </c>
      <c r="F955" s="3">
        <v>3.0678319345271099</v>
      </c>
      <c r="G955" s="3">
        <v>42.663516999999999</v>
      </c>
      <c r="H955" s="3">
        <v>1088.9001273015899</v>
      </c>
      <c r="I955" s="3">
        <v>36.61</v>
      </c>
      <c r="J955" s="3">
        <v>37.85</v>
      </c>
      <c r="K955" s="3">
        <v>36.11</v>
      </c>
      <c r="L955" s="3">
        <v>920.48601998246397</v>
      </c>
    </row>
    <row r="956" spans="1:12" ht="15" customHeight="1" x14ac:dyDescent="0.2">
      <c r="A956" s="2">
        <v>44662</v>
      </c>
      <c r="B956" s="3">
        <v>35.53</v>
      </c>
      <c r="C956" s="1">
        <v>1485430</v>
      </c>
      <c r="D956" s="3">
        <v>0.30000000000000399</v>
      </c>
      <c r="E956" s="3">
        <v>0.851546977008244</v>
      </c>
      <c r="F956" s="3">
        <v>0.85154706691239401</v>
      </c>
      <c r="G956" s="3">
        <v>41.393630000000002</v>
      </c>
      <c r="H956" s="3">
        <v>1053.5123083377</v>
      </c>
      <c r="I956" s="3">
        <v>35.229999999999997</v>
      </c>
      <c r="J956" s="3">
        <v>36.03</v>
      </c>
      <c r="K956" s="3">
        <v>34.9</v>
      </c>
      <c r="L956" s="3">
        <v>890.11109475633396</v>
      </c>
    </row>
    <row r="957" spans="1:12" ht="15" customHeight="1" x14ac:dyDescent="0.2">
      <c r="A957" s="2">
        <v>44659</v>
      </c>
      <c r="B957" s="3">
        <v>35.229999999999997</v>
      </c>
      <c r="C957" s="1">
        <v>881264</v>
      </c>
      <c r="D957" s="3">
        <v>-6.0000000000002197E-2</v>
      </c>
      <c r="E957" s="3">
        <v>-0.17001983564749401</v>
      </c>
      <c r="F957" s="3">
        <v>-0.17002713794136401</v>
      </c>
      <c r="G957" s="3">
        <v>41.044119999999999</v>
      </c>
      <c r="H957" s="3">
        <v>1043.7725467635901</v>
      </c>
      <c r="I957" s="3">
        <v>35.35</v>
      </c>
      <c r="J957" s="3">
        <v>36.090000000000003</v>
      </c>
      <c r="K957" s="3">
        <v>34.61</v>
      </c>
      <c r="L957" s="3">
        <v>881.75102359317896</v>
      </c>
    </row>
    <row r="958" spans="1:12" ht="15" customHeight="1" x14ac:dyDescent="0.2">
      <c r="A958" s="2">
        <v>44658</v>
      </c>
      <c r="B958" s="3">
        <v>35.29</v>
      </c>
      <c r="C958" s="1">
        <v>1529064</v>
      </c>
      <c r="D958" s="3">
        <v>-1.21</v>
      </c>
      <c r="E958" s="3">
        <v>-3.31506849315068</v>
      </c>
      <c r="F958" s="3">
        <v>-3.3150701128753699</v>
      </c>
      <c r="G958" s="3">
        <v>41.114024999999998</v>
      </c>
      <c r="H958" s="3">
        <v>1045.7205826791201</v>
      </c>
      <c r="I958" s="3">
        <v>36.75</v>
      </c>
      <c r="J958" s="3">
        <v>36.75</v>
      </c>
      <c r="K958" s="3">
        <v>34.86</v>
      </c>
      <c r="L958" s="3">
        <v>883.42303782580996</v>
      </c>
    </row>
    <row r="959" spans="1:12" ht="15" customHeight="1" x14ac:dyDescent="0.2">
      <c r="A959" s="2">
        <v>44657</v>
      </c>
      <c r="B959" s="3">
        <v>36.5</v>
      </c>
      <c r="C959" s="1">
        <v>911400</v>
      </c>
      <c r="D959" s="3">
        <v>-1.78999999999999</v>
      </c>
      <c r="E959" s="3">
        <v>-4.67484983024287</v>
      </c>
      <c r="F959" s="3">
        <v>-4.6748442017118199</v>
      </c>
      <c r="G959" s="3">
        <v>42.523716</v>
      </c>
      <c r="H959" s="3">
        <v>1085.00430627265</v>
      </c>
      <c r="I959" s="3">
        <v>37.57</v>
      </c>
      <c r="J959" s="3">
        <v>37.57</v>
      </c>
      <c r="K959" s="3">
        <v>35.880000000000003</v>
      </c>
      <c r="L959" s="3">
        <v>917.141991517203</v>
      </c>
    </row>
    <row r="960" spans="1:12" ht="15" customHeight="1" x14ac:dyDescent="0.2">
      <c r="A960" s="2">
        <v>44656</v>
      </c>
      <c r="B960" s="3">
        <v>38.29</v>
      </c>
      <c r="C960" s="1">
        <v>648671</v>
      </c>
      <c r="D960" s="3">
        <v>-0.630000000000002</v>
      </c>
      <c r="E960" s="3">
        <v>-1.6187050359712201</v>
      </c>
      <c r="F960" s="3">
        <v>-1.61870515496803</v>
      </c>
      <c r="G960" s="3">
        <v>44.609122999999997</v>
      </c>
      <c r="H960" s="3">
        <v>1143.11814268646</v>
      </c>
      <c r="I960" s="3">
        <v>38.75</v>
      </c>
      <c r="J960" s="3">
        <v>39.44</v>
      </c>
      <c r="K960" s="3">
        <v>37.445</v>
      </c>
      <c r="L960" s="3">
        <v>967.02374945736096</v>
      </c>
    </row>
    <row r="961" spans="1:12" ht="15" customHeight="1" x14ac:dyDescent="0.2">
      <c r="A961" s="2">
        <v>44655</v>
      </c>
      <c r="B961" s="3">
        <v>38.92</v>
      </c>
      <c r="C961" s="1">
        <v>742193</v>
      </c>
      <c r="D961" s="3">
        <v>-1.9999999999996E-2</v>
      </c>
      <c r="E961" s="3">
        <v>-5.1361068310207203E-2</v>
      </c>
      <c r="F961" s="3">
        <v>-5.13596033222318E-2</v>
      </c>
      <c r="G961" s="3">
        <v>45.343094000000001</v>
      </c>
      <c r="H961" s="3">
        <v>1163.5716419921</v>
      </c>
      <c r="I961" s="3">
        <v>38.72</v>
      </c>
      <c r="J961" s="3">
        <v>39.04</v>
      </c>
      <c r="K961" s="3">
        <v>37.844999999999999</v>
      </c>
      <c r="L961" s="3">
        <v>984.57989889998703</v>
      </c>
    </row>
    <row r="962" spans="1:12" ht="15" customHeight="1" x14ac:dyDescent="0.2">
      <c r="A962" s="2">
        <v>44652</v>
      </c>
      <c r="B962" s="3">
        <v>38.94</v>
      </c>
      <c r="C962" s="1">
        <v>893767</v>
      </c>
      <c r="D962" s="3">
        <v>-0.85000000000000098</v>
      </c>
      <c r="E962" s="3">
        <v>-2.1362151294295</v>
      </c>
      <c r="F962" s="3">
        <v>-2.1362188322656501</v>
      </c>
      <c r="G962" s="3">
        <v>45.366394</v>
      </c>
      <c r="H962" s="3">
        <v>1164.22094085244</v>
      </c>
      <c r="I962" s="3">
        <v>40.39</v>
      </c>
      <c r="J962" s="3">
        <v>40.94</v>
      </c>
      <c r="K962" s="3">
        <v>38.479999999999997</v>
      </c>
      <c r="L962" s="3">
        <v>985.13723697753096</v>
      </c>
    </row>
    <row r="963" spans="1:12" ht="15" customHeight="1" x14ac:dyDescent="0.2">
      <c r="A963" s="2">
        <v>44651</v>
      </c>
      <c r="B963" s="3">
        <v>39.79</v>
      </c>
      <c r="C963" s="1">
        <v>1249447</v>
      </c>
      <c r="D963" s="3">
        <v>0.97999999999999599</v>
      </c>
      <c r="E963" s="3">
        <v>2.5251223911362901</v>
      </c>
      <c r="F963" s="3">
        <v>2.52511874227066</v>
      </c>
      <c r="G963" s="3">
        <v>46.356673999999998</v>
      </c>
      <c r="H963" s="3">
        <v>1191.8169784239301</v>
      </c>
      <c r="I963" s="3">
        <v>39</v>
      </c>
      <c r="J963" s="3">
        <v>40.5899</v>
      </c>
      <c r="K963" s="3">
        <v>38.44</v>
      </c>
      <c r="L963" s="3">
        <v>1008.82410527313</v>
      </c>
    </row>
    <row r="964" spans="1:12" ht="15" customHeight="1" x14ac:dyDescent="0.2">
      <c r="A964" s="2">
        <v>44650</v>
      </c>
      <c r="B964" s="3">
        <v>38.81</v>
      </c>
      <c r="C964" s="1">
        <v>677162</v>
      </c>
      <c r="D964" s="3">
        <v>-1.18999999999999</v>
      </c>
      <c r="E964" s="3">
        <v>-2.9749999999999899</v>
      </c>
      <c r="F964" s="3">
        <v>-2.9749944905005901</v>
      </c>
      <c r="G964" s="3">
        <v>45.214942999999998</v>
      </c>
      <c r="H964" s="3">
        <v>1160.00047039333</v>
      </c>
      <c r="I964" s="3">
        <v>39.64</v>
      </c>
      <c r="J964" s="3">
        <v>39.97</v>
      </c>
      <c r="K964" s="3">
        <v>38.72</v>
      </c>
      <c r="L964" s="3">
        <v>981.51453947349705</v>
      </c>
    </row>
    <row r="965" spans="1:12" ht="15" customHeight="1" x14ac:dyDescent="0.2">
      <c r="A965" s="2">
        <v>44649</v>
      </c>
      <c r="B965" s="3">
        <v>40</v>
      </c>
      <c r="C965" s="1">
        <v>1052170</v>
      </c>
      <c r="D965" s="3">
        <v>1.17</v>
      </c>
      <c r="E965" s="3">
        <v>3.0131341746072602</v>
      </c>
      <c r="F965" s="3">
        <v>3.0131298423769302</v>
      </c>
      <c r="G965" s="3">
        <v>46.601329999999997</v>
      </c>
      <c r="H965" s="3">
        <v>1198.63478365891</v>
      </c>
      <c r="I965" s="3">
        <v>39.590000000000003</v>
      </c>
      <c r="J965" s="3">
        <v>41</v>
      </c>
      <c r="K965" s="3">
        <v>39.53</v>
      </c>
      <c r="L965" s="3">
        <v>1014.67615508734</v>
      </c>
    </row>
    <row r="966" spans="1:12" ht="15" customHeight="1" x14ac:dyDescent="0.2">
      <c r="A966" s="2">
        <v>44648</v>
      </c>
      <c r="B966" s="3">
        <v>38.83</v>
      </c>
      <c r="C966" s="1">
        <v>946735</v>
      </c>
      <c r="D966" s="3">
        <v>1.28</v>
      </c>
      <c r="E966" s="3">
        <v>3.4087882822902702</v>
      </c>
      <c r="F966" s="3">
        <v>3.4087939016981199</v>
      </c>
      <c r="G966" s="3">
        <v>45.238242999999997</v>
      </c>
      <c r="H966" s="3">
        <v>1160.64976925367</v>
      </c>
      <c r="I966" s="3">
        <v>37.65</v>
      </c>
      <c r="J966" s="3">
        <v>38.880000000000003</v>
      </c>
      <c r="K966" s="3">
        <v>37.53</v>
      </c>
      <c r="L966" s="3">
        <v>982.07187755103996</v>
      </c>
    </row>
    <row r="967" spans="1:12" ht="15" customHeight="1" x14ac:dyDescent="0.2">
      <c r="A967" s="2">
        <v>44645</v>
      </c>
      <c r="B967" s="3">
        <v>37.549999999999997</v>
      </c>
      <c r="C967" s="1">
        <v>610284</v>
      </c>
      <c r="D967" s="3">
        <v>-0.80000000000000404</v>
      </c>
      <c r="E967" s="3">
        <v>-2.0860495436766699</v>
      </c>
      <c r="F967" s="3">
        <v>-2.0860482538741199</v>
      </c>
      <c r="G967" s="3">
        <v>43.746997999999998</v>
      </c>
      <c r="H967" s="3">
        <v>1119.0933881813401</v>
      </c>
      <c r="I967" s="3">
        <v>38.42</v>
      </c>
      <c r="J967" s="3">
        <v>38.5</v>
      </c>
      <c r="K967" s="3">
        <v>37.25</v>
      </c>
      <c r="L967" s="3">
        <v>946.40224058824504</v>
      </c>
    </row>
    <row r="968" spans="1:12" ht="15" customHeight="1" x14ac:dyDescent="0.2">
      <c r="A968" s="2">
        <v>44644</v>
      </c>
      <c r="B968" s="3">
        <v>38.35</v>
      </c>
      <c r="C968" s="1">
        <v>428232</v>
      </c>
      <c r="D968" s="3">
        <v>0.59000000000000297</v>
      </c>
      <c r="E968" s="3">
        <v>1.5625</v>
      </c>
      <c r="F968" s="3">
        <v>1.5625032321472301</v>
      </c>
      <c r="G968" s="3">
        <v>44.679023999999998</v>
      </c>
      <c r="H968" s="3">
        <v>1145.0660671343801</v>
      </c>
      <c r="I968" s="3">
        <v>38.01</v>
      </c>
      <c r="J968" s="3">
        <v>38.42</v>
      </c>
      <c r="K968" s="3">
        <v>37.4</v>
      </c>
      <c r="L968" s="3">
        <v>968.69576368999196</v>
      </c>
    </row>
    <row r="969" spans="1:12" ht="15" customHeight="1" x14ac:dyDescent="0.2">
      <c r="A969" s="2">
        <v>44643</v>
      </c>
      <c r="B969" s="3">
        <v>37.76</v>
      </c>
      <c r="C969" s="1">
        <v>718146</v>
      </c>
      <c r="D969" s="3">
        <v>-0.52000000000000302</v>
      </c>
      <c r="E969" s="3">
        <v>-1.3584117032392899</v>
      </c>
      <c r="F969" s="3">
        <v>-1.3584177740294801</v>
      </c>
      <c r="G969" s="3">
        <v>43.991652999999999</v>
      </c>
      <c r="H969" s="3">
        <v>1125.91116554941</v>
      </c>
      <c r="I969" s="3">
        <v>38.07</v>
      </c>
      <c r="J969" s="3">
        <v>38.704999999999998</v>
      </c>
      <c r="K969" s="3">
        <v>37.69</v>
      </c>
      <c r="L969" s="3">
        <v>952.25429040245399</v>
      </c>
    </row>
    <row r="970" spans="1:12" ht="15" customHeight="1" x14ac:dyDescent="0.2">
      <c r="A970" s="2">
        <v>44642</v>
      </c>
      <c r="B970" s="3">
        <v>38.28</v>
      </c>
      <c r="C970" s="1">
        <v>658029</v>
      </c>
      <c r="D970" s="3">
        <v>0.92000000000000104</v>
      </c>
      <c r="E970" s="3">
        <v>2.4625267665952801</v>
      </c>
      <c r="F970" s="3">
        <v>2.4625277210155798</v>
      </c>
      <c r="G970" s="3">
        <v>44.597473000000001</v>
      </c>
      <c r="H970" s="3">
        <v>1142.79349325629</v>
      </c>
      <c r="I970" s="3">
        <v>37.78</v>
      </c>
      <c r="J970" s="3">
        <v>38.81</v>
      </c>
      <c r="K970" s="3">
        <v>37.704999999999998</v>
      </c>
      <c r="L970" s="3">
        <v>966.74508041858905</v>
      </c>
    </row>
    <row r="971" spans="1:12" ht="15" customHeight="1" x14ac:dyDescent="0.2">
      <c r="A971" s="2">
        <v>44641</v>
      </c>
      <c r="B971" s="3">
        <v>37.36</v>
      </c>
      <c r="C971" s="1">
        <v>721027</v>
      </c>
      <c r="D971" s="3">
        <v>-0.75</v>
      </c>
      <c r="E971" s="3">
        <v>-1.9679874048806101</v>
      </c>
      <c r="F971" s="3">
        <v>-1.96798976058649</v>
      </c>
      <c r="G971" s="3">
        <v>43.525641999999998</v>
      </c>
      <c r="H971" s="3">
        <v>1112.9248818066999</v>
      </c>
      <c r="I971" s="3">
        <v>38.46</v>
      </c>
      <c r="J971" s="3">
        <v>38.595799999999997</v>
      </c>
      <c r="K971" s="3">
        <v>37.1</v>
      </c>
      <c r="L971" s="3">
        <v>941.10752885158001</v>
      </c>
    </row>
    <row r="972" spans="1:12" ht="15" customHeight="1" x14ac:dyDescent="0.2">
      <c r="A972" s="2">
        <v>44638</v>
      </c>
      <c r="B972" s="3">
        <v>38.11</v>
      </c>
      <c r="C972" s="1">
        <v>1227171</v>
      </c>
      <c r="D972" s="3">
        <v>-9.0000000000003397E-2</v>
      </c>
      <c r="E972" s="3">
        <v>-0.23560209424084899</v>
      </c>
      <c r="F972" s="3">
        <v>-0.235604348274709</v>
      </c>
      <c r="G972" s="3">
        <v>44.399417999999997</v>
      </c>
      <c r="H972" s="3">
        <v>1137.27431360889</v>
      </c>
      <c r="I972" s="3">
        <v>37.61</v>
      </c>
      <c r="J972" s="3">
        <v>38.880000000000003</v>
      </c>
      <c r="K972" s="3">
        <v>37.26</v>
      </c>
      <c r="L972" s="3">
        <v>962.00770675946796</v>
      </c>
    </row>
    <row r="973" spans="1:12" ht="15" customHeight="1" x14ac:dyDescent="0.2">
      <c r="A973" s="2">
        <v>44637</v>
      </c>
      <c r="B973" s="3">
        <v>38.200000000000003</v>
      </c>
      <c r="C973" s="1">
        <v>711709</v>
      </c>
      <c r="D973" s="3">
        <v>0.190000000000004</v>
      </c>
      <c r="E973" s="3">
        <v>0.49986845566958299</v>
      </c>
      <c r="F973" s="3">
        <v>0.49987452270812099</v>
      </c>
      <c r="G973" s="3">
        <v>44.504272</v>
      </c>
      <c r="H973" s="3">
        <v>1140.19626994803</v>
      </c>
      <c r="I973" s="3">
        <v>37.42</v>
      </c>
      <c r="J973" s="3">
        <v>38.46</v>
      </c>
      <c r="K973" s="3">
        <v>36.85</v>
      </c>
      <c r="L973" s="3">
        <v>964.51572810841503</v>
      </c>
    </row>
    <row r="974" spans="1:12" ht="15" customHeight="1" x14ac:dyDescent="0.2">
      <c r="A974" s="2">
        <v>44636</v>
      </c>
      <c r="B974" s="3">
        <v>38.01</v>
      </c>
      <c r="C974" s="1">
        <v>804483</v>
      </c>
      <c r="D974" s="3">
        <v>2.1499999999999901</v>
      </c>
      <c r="E974" s="3">
        <v>5.9955382041271399</v>
      </c>
      <c r="F974" s="3">
        <v>5.9955294754344202</v>
      </c>
      <c r="G974" s="3">
        <v>44.282913000000001</v>
      </c>
      <c r="H974" s="3">
        <v>1134.0276799726801</v>
      </c>
      <c r="I974" s="3">
        <v>36.6</v>
      </c>
      <c r="J974" s="3">
        <v>38.049999999999997</v>
      </c>
      <c r="K974" s="3">
        <v>36.555</v>
      </c>
      <c r="L974" s="3">
        <v>959.22101637175001</v>
      </c>
    </row>
    <row r="975" spans="1:12" ht="15" customHeight="1" x14ac:dyDescent="0.2">
      <c r="A975" s="2">
        <v>44635</v>
      </c>
      <c r="B975" s="3">
        <v>35.86</v>
      </c>
      <c r="C975" s="1">
        <v>918887</v>
      </c>
      <c r="D975" s="3">
        <v>0.619999999999997</v>
      </c>
      <c r="E975" s="3">
        <v>1.7593643586833101</v>
      </c>
      <c r="F975" s="3">
        <v>1.75936272059169</v>
      </c>
      <c r="G975" s="3">
        <v>41.778095</v>
      </c>
      <c r="H975" s="3">
        <v>1064.22615753684</v>
      </c>
      <c r="I975" s="3">
        <v>35.76</v>
      </c>
      <c r="J975" s="3">
        <v>36.68</v>
      </c>
      <c r="K975" s="3">
        <v>35.1</v>
      </c>
      <c r="L975" s="3">
        <v>899.30717303580502</v>
      </c>
    </row>
    <row r="976" spans="1:12" ht="15" customHeight="1" x14ac:dyDescent="0.2">
      <c r="A976" s="2">
        <v>44634</v>
      </c>
      <c r="B976" s="3">
        <v>35.24</v>
      </c>
      <c r="C976" s="1">
        <v>795003</v>
      </c>
      <c r="D976" s="3">
        <v>0.96</v>
      </c>
      <c r="E976" s="3">
        <v>2.8004667444574101</v>
      </c>
      <c r="F976" s="3">
        <v>2.8004744432152902</v>
      </c>
      <c r="G976" s="3">
        <v>41.055774999999997</v>
      </c>
      <c r="H976" s="3">
        <v>1044.0973355282699</v>
      </c>
      <c r="I976" s="3">
        <v>34.840000000000003</v>
      </c>
      <c r="J976" s="3">
        <v>35.445</v>
      </c>
      <c r="K976" s="3">
        <v>34.04</v>
      </c>
      <c r="L976" s="3">
        <v>882.02969263195098</v>
      </c>
    </row>
    <row r="977" spans="1:12" ht="15" customHeight="1" x14ac:dyDescent="0.2">
      <c r="A977" s="2">
        <v>44631</v>
      </c>
      <c r="B977" s="3">
        <v>34.28</v>
      </c>
      <c r="C977" s="1">
        <v>649813</v>
      </c>
      <c r="D977" s="3">
        <v>-0.75</v>
      </c>
      <c r="E977" s="3">
        <v>-2.1410219811590001</v>
      </c>
      <c r="F977" s="3">
        <v>-2.1410221210569702</v>
      </c>
      <c r="G977" s="3">
        <v>39.937339999999999</v>
      </c>
      <c r="H977" s="3">
        <v>1012.9300148904</v>
      </c>
      <c r="I977" s="3">
        <v>35.54</v>
      </c>
      <c r="J977" s="3">
        <v>35.94</v>
      </c>
      <c r="K977" s="3">
        <v>34.24</v>
      </c>
      <c r="L977" s="3">
        <v>855.27746490985498</v>
      </c>
    </row>
    <row r="978" spans="1:12" ht="15" customHeight="1" x14ac:dyDescent="0.2">
      <c r="A978" s="2">
        <v>44630</v>
      </c>
      <c r="B978" s="3">
        <v>35.03</v>
      </c>
      <c r="C978" s="1">
        <v>764495</v>
      </c>
      <c r="D978" s="3">
        <v>-0.50999999999999801</v>
      </c>
      <c r="E978" s="3">
        <v>-1.435002813731</v>
      </c>
      <c r="F978" s="3">
        <v>-1.43501004763039</v>
      </c>
      <c r="G978" s="3">
        <v>40.811115000000001</v>
      </c>
      <c r="H978" s="3">
        <v>1037.2794188256801</v>
      </c>
      <c r="I978" s="3">
        <v>34.979999999999997</v>
      </c>
      <c r="J978" s="3">
        <v>36.169899999999998</v>
      </c>
      <c r="K978" s="3">
        <v>34.19</v>
      </c>
      <c r="L978" s="3">
        <v>876.17764281774305</v>
      </c>
    </row>
    <row r="979" spans="1:12" ht="15" customHeight="1" x14ac:dyDescent="0.2">
      <c r="A979" s="2">
        <v>44629</v>
      </c>
      <c r="B979" s="3">
        <v>35.54</v>
      </c>
      <c r="C979" s="1">
        <v>1839142</v>
      </c>
      <c r="D979" s="3">
        <v>2.1</v>
      </c>
      <c r="E979" s="3">
        <v>6.2799043062200903</v>
      </c>
      <c r="F979" s="3">
        <v>6.2799178925585499</v>
      </c>
      <c r="G979" s="3">
        <v>41.405284999999999</v>
      </c>
      <c r="H979" s="3">
        <v>1053.8370971023901</v>
      </c>
      <c r="I979" s="3">
        <v>34.369999999999997</v>
      </c>
      <c r="J979" s="3">
        <v>36.21</v>
      </c>
      <c r="K979" s="3">
        <v>34.369999999999997</v>
      </c>
      <c r="L979" s="3">
        <v>890.38976379510598</v>
      </c>
    </row>
    <row r="980" spans="1:12" ht="15" customHeight="1" x14ac:dyDescent="0.2">
      <c r="A980" s="2">
        <v>44628</v>
      </c>
      <c r="B980" s="3">
        <v>33.44</v>
      </c>
      <c r="C980" s="1">
        <v>1342926</v>
      </c>
      <c r="D980" s="3">
        <v>1.18999999999999</v>
      </c>
      <c r="E980" s="3">
        <v>3.6899224806201398</v>
      </c>
      <c r="F980" s="3">
        <v>3.6899155796142802</v>
      </c>
      <c r="G980" s="3">
        <v>38.958710000000004</v>
      </c>
      <c r="H980" s="3">
        <v>985.65862674907305</v>
      </c>
      <c r="I980" s="3">
        <v>32.46</v>
      </c>
      <c r="J980" s="3">
        <v>35.1</v>
      </c>
      <c r="K980" s="3">
        <v>31.43</v>
      </c>
      <c r="L980" s="3">
        <v>831.86926565302099</v>
      </c>
    </row>
    <row r="981" spans="1:12" ht="15" customHeight="1" x14ac:dyDescent="0.2">
      <c r="A981" s="2">
        <v>44627</v>
      </c>
      <c r="B981" s="3">
        <v>32.25</v>
      </c>
      <c r="C981" s="1">
        <v>1985349</v>
      </c>
      <c r="D981" s="3">
        <v>-4.3599999999999897</v>
      </c>
      <c r="E981" s="3">
        <v>-11.909314394974</v>
      </c>
      <c r="F981" s="3">
        <v>-11.909312199627699</v>
      </c>
      <c r="G981" s="3">
        <v>37.572322999999997</v>
      </c>
      <c r="H981" s="3">
        <v>947.02431348349603</v>
      </c>
      <c r="I981" s="3">
        <v>36.79</v>
      </c>
      <c r="J981" s="3">
        <v>36.79</v>
      </c>
      <c r="K981" s="3">
        <v>31.92</v>
      </c>
      <c r="L981" s="3">
        <v>798.70765003917199</v>
      </c>
    </row>
    <row r="982" spans="1:12" ht="15" customHeight="1" x14ac:dyDescent="0.2">
      <c r="A982" s="2">
        <v>44624</v>
      </c>
      <c r="B982" s="3">
        <v>36.61</v>
      </c>
      <c r="C982" s="1">
        <v>1159762</v>
      </c>
      <c r="D982" s="3">
        <v>-2.23</v>
      </c>
      <c r="E982" s="3">
        <v>-5.7415036045314096</v>
      </c>
      <c r="F982" s="3">
        <v>-5.7415074992552899</v>
      </c>
      <c r="G982" s="3">
        <v>42.651867000000003</v>
      </c>
      <c r="H982" s="3">
        <v>1088.5754778714199</v>
      </c>
      <c r="I982" s="3">
        <v>38.44</v>
      </c>
      <c r="J982" s="3">
        <v>38.46</v>
      </c>
      <c r="K982" s="3">
        <v>36.450000000000003</v>
      </c>
      <c r="L982" s="3">
        <v>920.20735094369297</v>
      </c>
    </row>
    <row r="983" spans="1:12" ht="15" customHeight="1" x14ac:dyDescent="0.2">
      <c r="A983" s="2">
        <v>44623</v>
      </c>
      <c r="B983" s="3">
        <v>38.840000000000003</v>
      </c>
      <c r="C983" s="1">
        <v>866609</v>
      </c>
      <c r="D983" s="3">
        <v>-2.00999999999999</v>
      </c>
      <c r="E983" s="3">
        <v>-4.9204406364748898</v>
      </c>
      <c r="F983" s="3">
        <v>-4.92043281750147</v>
      </c>
      <c r="G983" s="3">
        <v>45.249893</v>
      </c>
      <c r="H983" s="3">
        <v>1160.97441868384</v>
      </c>
      <c r="I983" s="3">
        <v>40.83</v>
      </c>
      <c r="J983" s="3">
        <v>41.28</v>
      </c>
      <c r="K983" s="3">
        <v>38.56</v>
      </c>
      <c r="L983" s="3">
        <v>982.35054658981198</v>
      </c>
    </row>
    <row r="984" spans="1:12" ht="15" customHeight="1" x14ac:dyDescent="0.2">
      <c r="A984" s="2">
        <v>44622</v>
      </c>
      <c r="B984" s="3">
        <v>40.85</v>
      </c>
      <c r="C984" s="1">
        <v>1162294</v>
      </c>
      <c r="D984" s="3">
        <v>0.12000000000000401</v>
      </c>
      <c r="E984" s="3">
        <v>0.29462312791554901</v>
      </c>
      <c r="F984" s="3">
        <v>0.29461682226841202</v>
      </c>
      <c r="G984" s="3">
        <v>47.591605999999999</v>
      </c>
      <c r="H984" s="3">
        <v>1226.23070976279</v>
      </c>
      <c r="I984" s="3">
        <v>40.86</v>
      </c>
      <c r="J984" s="3">
        <v>41.27</v>
      </c>
      <c r="K984" s="3">
        <v>40.1</v>
      </c>
      <c r="L984" s="3">
        <v>1038.3630233829499</v>
      </c>
    </row>
    <row r="985" spans="1:12" ht="15" customHeight="1" x14ac:dyDescent="0.2">
      <c r="A985" s="2">
        <v>44621</v>
      </c>
      <c r="B985" s="3">
        <v>40.729999999999997</v>
      </c>
      <c r="C985" s="1">
        <v>1060807</v>
      </c>
      <c r="D985" s="3">
        <v>-2.06</v>
      </c>
      <c r="E985" s="3">
        <v>-4.8142089273194699</v>
      </c>
      <c r="F985" s="3">
        <v>-4.8142136400516504</v>
      </c>
      <c r="G985" s="3">
        <v>47.451805</v>
      </c>
      <c r="H985" s="3">
        <v>1222.33488873386</v>
      </c>
      <c r="I985" s="3">
        <v>42.38</v>
      </c>
      <c r="J985" s="3">
        <v>42.5</v>
      </c>
      <c r="K985" s="3">
        <v>40.25</v>
      </c>
      <c r="L985" s="3">
        <v>1035.0189949176799</v>
      </c>
    </row>
    <row r="986" spans="1:12" ht="15" customHeight="1" x14ac:dyDescent="0.2">
      <c r="A986" s="2">
        <v>44620</v>
      </c>
      <c r="B986" s="3">
        <v>42.79</v>
      </c>
      <c r="C986" s="1">
        <v>775563</v>
      </c>
      <c r="D986" s="3">
        <v>-0.5</v>
      </c>
      <c r="E986" s="3">
        <v>-1.1550011550011501</v>
      </c>
      <c r="F986" s="3">
        <v>-1.1549959362965101</v>
      </c>
      <c r="G986" s="3">
        <v>49.851776000000001</v>
      </c>
      <c r="H986" s="3">
        <v>1289.21464989889</v>
      </c>
      <c r="I986" s="3">
        <v>42.74</v>
      </c>
      <c r="J986" s="3">
        <v>43.045000000000002</v>
      </c>
      <c r="K986" s="3">
        <v>42.11</v>
      </c>
      <c r="L986" s="3">
        <v>1092.42481690468</v>
      </c>
    </row>
    <row r="987" spans="1:12" ht="15" customHeight="1" x14ac:dyDescent="0.2">
      <c r="A987" s="2">
        <v>44617</v>
      </c>
      <c r="B987" s="3">
        <v>43.29</v>
      </c>
      <c r="C987" s="1">
        <v>763624</v>
      </c>
      <c r="D987" s="3">
        <v>1.28</v>
      </c>
      <c r="E987" s="3">
        <v>3.04689359676266</v>
      </c>
      <c r="F987" s="3">
        <v>3.0468944853392501</v>
      </c>
      <c r="G987" s="3">
        <v>50.434289999999997</v>
      </c>
      <c r="H987" s="3">
        <v>1305.447511544</v>
      </c>
      <c r="I987" s="3">
        <v>42.36</v>
      </c>
      <c r="J987" s="3">
        <v>43.29</v>
      </c>
      <c r="K987" s="3">
        <v>41.53</v>
      </c>
      <c r="L987" s="3">
        <v>1106.35826884328</v>
      </c>
    </row>
    <row r="988" spans="1:12" ht="15" customHeight="1" x14ac:dyDescent="0.2">
      <c r="A988" s="2">
        <v>44616</v>
      </c>
      <c r="B988" s="3">
        <v>42.01</v>
      </c>
      <c r="C988" s="1">
        <v>969283</v>
      </c>
      <c r="D988" s="3">
        <v>1.3999999999999899</v>
      </c>
      <c r="E988" s="3">
        <v>3.4474267421817202</v>
      </c>
      <c r="F988" s="3">
        <v>3.4474277138992302</v>
      </c>
      <c r="G988" s="3">
        <v>48.943047</v>
      </c>
      <c r="H988" s="3">
        <v>1263.8911862054799</v>
      </c>
      <c r="I988" s="3">
        <v>39.479999999999997</v>
      </c>
      <c r="J988" s="3">
        <v>42.17</v>
      </c>
      <c r="K988" s="3">
        <v>39.103499999999997</v>
      </c>
      <c r="L988" s="3">
        <v>1070.68863188048</v>
      </c>
    </row>
    <row r="989" spans="1:12" ht="15" customHeight="1" x14ac:dyDescent="0.2">
      <c r="A989" s="2">
        <v>44615</v>
      </c>
      <c r="B989" s="3">
        <v>40.61</v>
      </c>
      <c r="C989" s="1">
        <v>805101</v>
      </c>
      <c r="D989" s="3">
        <v>-1.57</v>
      </c>
      <c r="E989" s="3">
        <v>-3.7221431958274098</v>
      </c>
      <c r="F989" s="3">
        <v>-3.7221389020595899</v>
      </c>
      <c r="G989" s="3">
        <v>47.311999999999998</v>
      </c>
      <c r="H989" s="3">
        <v>1218.4389562373101</v>
      </c>
      <c r="I989" s="3">
        <v>42.33</v>
      </c>
      <c r="J989" s="3">
        <v>43.07</v>
      </c>
      <c r="K989" s="3">
        <v>40.479999999999997</v>
      </c>
      <c r="L989" s="3">
        <v>1031.67496645242</v>
      </c>
    </row>
    <row r="990" spans="1:12" ht="15" customHeight="1" x14ac:dyDescent="0.2">
      <c r="A990" s="2">
        <v>44614</v>
      </c>
      <c r="B990" s="3">
        <v>42.18</v>
      </c>
      <c r="C990" s="1">
        <v>948966</v>
      </c>
      <c r="D990" s="3">
        <v>-0.77000000000000302</v>
      </c>
      <c r="E990" s="3">
        <v>-1.79278230500582</v>
      </c>
      <c r="F990" s="3">
        <v>-1.79279102477347</v>
      </c>
      <c r="G990" s="3">
        <v>49.141100000000002</v>
      </c>
      <c r="H990" s="3">
        <v>1269.4103101190601</v>
      </c>
      <c r="I990" s="3">
        <v>42.17</v>
      </c>
      <c r="J990" s="3">
        <v>43.354999999999997</v>
      </c>
      <c r="K990" s="3">
        <v>41.8</v>
      </c>
      <c r="L990" s="3">
        <v>1075.4260055396001</v>
      </c>
    </row>
    <row r="991" spans="1:12" ht="15" customHeight="1" x14ac:dyDescent="0.2">
      <c r="A991" s="2">
        <v>44610</v>
      </c>
      <c r="B991" s="3">
        <v>42.95</v>
      </c>
      <c r="C991" s="1">
        <v>1256764</v>
      </c>
      <c r="D991" s="3">
        <v>1.9299999999999899</v>
      </c>
      <c r="E991" s="3">
        <v>4.7050219405168203</v>
      </c>
      <c r="F991" s="3">
        <v>4.70502356524156</v>
      </c>
      <c r="G991" s="3">
        <v>50.038179999999997</v>
      </c>
      <c r="H991" s="3">
        <v>1294.4091522492099</v>
      </c>
      <c r="I991" s="3">
        <v>41.23</v>
      </c>
      <c r="J991" s="3">
        <v>43.59</v>
      </c>
      <c r="K991" s="3">
        <v>41.23</v>
      </c>
      <c r="L991" s="3">
        <v>1096.8835215250299</v>
      </c>
    </row>
    <row r="992" spans="1:12" ht="15" customHeight="1" x14ac:dyDescent="0.2">
      <c r="A992" s="2">
        <v>44609</v>
      </c>
      <c r="B992" s="3">
        <v>41.02</v>
      </c>
      <c r="C992" s="1">
        <v>1758024</v>
      </c>
      <c r="D992" s="3">
        <v>0.15000000000000499</v>
      </c>
      <c r="E992" s="3">
        <v>0.36701737215563102</v>
      </c>
      <c r="F992" s="3">
        <v>0.36701739014102203</v>
      </c>
      <c r="G992" s="3">
        <v>47.789664999999999</v>
      </c>
      <c r="H992" s="3">
        <v>1231.7500008777999</v>
      </c>
      <c r="I992" s="3">
        <v>42.5</v>
      </c>
      <c r="J992" s="3">
        <v>44.65</v>
      </c>
      <c r="K992" s="3">
        <v>40.54</v>
      </c>
      <c r="L992" s="3">
        <v>1043.10039704207</v>
      </c>
    </row>
    <row r="993" spans="1:12" ht="15" customHeight="1" x14ac:dyDescent="0.2">
      <c r="A993" s="2">
        <v>44608</v>
      </c>
      <c r="B993" s="3">
        <v>40.869999999999997</v>
      </c>
      <c r="C993" s="1">
        <v>1618966</v>
      </c>
      <c r="D993" s="3">
        <v>-0.630000000000002</v>
      </c>
      <c r="E993" s="3">
        <v>-1.5180722891566301</v>
      </c>
      <c r="F993" s="3">
        <v>-1.51807032551736</v>
      </c>
      <c r="G993" s="3">
        <v>47.614910000000002</v>
      </c>
      <c r="H993" s="3">
        <v>1226.8801200907501</v>
      </c>
      <c r="I993" s="3">
        <v>41.05</v>
      </c>
      <c r="J993" s="3">
        <v>41.96</v>
      </c>
      <c r="K993" s="3">
        <v>40.799999999999997</v>
      </c>
      <c r="L993" s="3">
        <v>1038.9203614604901</v>
      </c>
    </row>
    <row r="994" spans="1:12" ht="15" customHeight="1" x14ac:dyDescent="0.2">
      <c r="A994" s="2">
        <v>44607</v>
      </c>
      <c r="B994" s="3">
        <v>41.5</v>
      </c>
      <c r="C994" s="1">
        <v>1624961</v>
      </c>
      <c r="D994" s="3">
        <v>0.880000000000002</v>
      </c>
      <c r="E994" s="3">
        <v>2.1664204825209299</v>
      </c>
      <c r="F994" s="3">
        <v>2.16642207437507</v>
      </c>
      <c r="G994" s="3">
        <v>48.348880000000001</v>
      </c>
      <c r="H994" s="3">
        <v>1247.3335915294799</v>
      </c>
      <c r="I994" s="3">
        <v>40.880000000000003</v>
      </c>
      <c r="J994" s="3">
        <v>42</v>
      </c>
      <c r="K994" s="3">
        <v>40.75</v>
      </c>
      <c r="L994" s="3">
        <v>1056.47651090312</v>
      </c>
    </row>
    <row r="995" spans="1:12" ht="15" customHeight="1" x14ac:dyDescent="0.2">
      <c r="A995" s="2">
        <v>44606</v>
      </c>
      <c r="B995" s="3">
        <v>40.619999999999997</v>
      </c>
      <c r="C995" s="1">
        <v>880946</v>
      </c>
      <c r="D995" s="3">
        <v>0.93999999999999695</v>
      </c>
      <c r="E995" s="3">
        <v>2.3689516129032202</v>
      </c>
      <c r="F995" s="3">
        <v>2.3689488653324702</v>
      </c>
      <c r="G995" s="3">
        <v>47.323650000000001</v>
      </c>
      <c r="H995" s="3">
        <v>1218.7636056674801</v>
      </c>
      <c r="I995" s="3">
        <v>39.58</v>
      </c>
      <c r="J995" s="3">
        <v>41.12</v>
      </c>
      <c r="K995" s="3">
        <v>39.58</v>
      </c>
      <c r="L995" s="3">
        <v>1031.95363549119</v>
      </c>
    </row>
    <row r="996" spans="1:12" ht="15" customHeight="1" x14ac:dyDescent="0.2">
      <c r="A996" s="2">
        <v>44603</v>
      </c>
      <c r="B996" s="3">
        <v>39.68</v>
      </c>
      <c r="C996" s="1">
        <v>708318</v>
      </c>
      <c r="D996" s="3">
        <v>-6.0000000000002197E-2</v>
      </c>
      <c r="E996" s="3">
        <v>-0.15098137896326599</v>
      </c>
      <c r="F996" s="3">
        <v>-0.150985700938743</v>
      </c>
      <c r="G996" s="3">
        <v>46.228520000000003</v>
      </c>
      <c r="H996" s="3">
        <v>1188.2457232244601</v>
      </c>
      <c r="I996" s="3">
        <v>39.700000000000003</v>
      </c>
      <c r="J996" s="3">
        <v>40.729999999999997</v>
      </c>
      <c r="K996" s="3">
        <v>39.299999999999997</v>
      </c>
      <c r="L996" s="3">
        <v>1005.75874584664</v>
      </c>
    </row>
    <row r="997" spans="1:12" ht="15" customHeight="1" x14ac:dyDescent="0.2">
      <c r="A997" s="2">
        <v>44602</v>
      </c>
      <c r="B997" s="3">
        <v>39.74</v>
      </c>
      <c r="C997" s="1">
        <v>907556</v>
      </c>
      <c r="D997" s="3">
        <v>-0.21</v>
      </c>
      <c r="E997" s="3">
        <v>-0.52565707133918005</v>
      </c>
      <c r="F997" s="3">
        <v>-0.52565494161539394</v>
      </c>
      <c r="G997" s="3">
        <v>46.298423999999997</v>
      </c>
      <c r="H997" s="3">
        <v>1190.19373127309</v>
      </c>
      <c r="I997" s="3">
        <v>39.270000000000003</v>
      </c>
      <c r="J997" s="3">
        <v>41.42</v>
      </c>
      <c r="K997" s="3">
        <v>39.270000000000003</v>
      </c>
      <c r="L997" s="3">
        <v>1007.43076007927</v>
      </c>
    </row>
    <row r="998" spans="1:12" ht="15" customHeight="1" x14ac:dyDescent="0.2">
      <c r="A998" s="2">
        <v>44601</v>
      </c>
      <c r="B998" s="3">
        <v>39.950000000000003</v>
      </c>
      <c r="C998" s="1">
        <v>641030</v>
      </c>
      <c r="D998" s="3">
        <v>0.87000000000000399</v>
      </c>
      <c r="E998" s="3">
        <v>2.2262026612077799</v>
      </c>
      <c r="F998" s="3">
        <v>2.2261982521531301</v>
      </c>
      <c r="G998" s="3">
        <v>46.543080000000003</v>
      </c>
      <c r="H998" s="3">
        <v>1197.0115365080601</v>
      </c>
      <c r="I998" s="3">
        <v>39.28</v>
      </c>
      <c r="J998" s="3">
        <v>40.164999999999999</v>
      </c>
      <c r="K998" s="3">
        <v>39.08</v>
      </c>
      <c r="L998" s="3">
        <v>1013.28280989348</v>
      </c>
    </row>
    <row r="999" spans="1:12" ht="15" customHeight="1" x14ac:dyDescent="0.2">
      <c r="A999" s="2">
        <v>44600</v>
      </c>
      <c r="B999" s="3">
        <v>39.08</v>
      </c>
      <c r="C999" s="1">
        <v>662264</v>
      </c>
      <c r="D999" s="3">
        <v>1.03</v>
      </c>
      <c r="E999" s="3">
        <v>2.7069645203679298</v>
      </c>
      <c r="F999" s="3">
        <v>2.7069753122039599</v>
      </c>
      <c r="G999" s="3">
        <v>45.529502999999998</v>
      </c>
      <c r="H999" s="3">
        <v>1168.76628367694</v>
      </c>
      <c r="I999" s="3">
        <v>38.1</v>
      </c>
      <c r="J999" s="3">
        <v>39.17</v>
      </c>
      <c r="K999" s="3">
        <v>37.770000000000003</v>
      </c>
      <c r="L999" s="3">
        <v>989.03860352033598</v>
      </c>
    </row>
    <row r="1000" spans="1:12" ht="15" customHeight="1" x14ac:dyDescent="0.2">
      <c r="A1000" s="2">
        <v>44599</v>
      </c>
      <c r="B1000" s="3">
        <v>38.049999999999997</v>
      </c>
      <c r="C1000" s="1">
        <v>805827</v>
      </c>
      <c r="D1000" s="3">
        <v>1.57</v>
      </c>
      <c r="E1000" s="3">
        <v>4.3037280701754499</v>
      </c>
      <c r="F1000" s="3">
        <v>4.30372769092215</v>
      </c>
      <c r="G1000" s="3">
        <v>44.329514000000003</v>
      </c>
      <c r="H1000" s="3">
        <v>1135.3263055602599</v>
      </c>
      <c r="I1000" s="3">
        <v>36.71</v>
      </c>
      <c r="J1000" s="3">
        <v>38.450000000000003</v>
      </c>
      <c r="K1000" s="3">
        <v>36.409999999999997</v>
      </c>
      <c r="L1000" s="3">
        <v>960.33569252683697</v>
      </c>
    </row>
    <row r="1001" spans="1:12" ht="15" customHeight="1" x14ac:dyDescent="0.2">
      <c r="A1001" s="2">
        <v>44596</v>
      </c>
      <c r="B1001" s="3">
        <v>36.479999999999997</v>
      </c>
      <c r="C1001" s="1">
        <v>668553</v>
      </c>
      <c r="D1001" s="3">
        <v>0.32</v>
      </c>
      <c r="E1001" s="3">
        <v>0.88495575221238998</v>
      </c>
      <c r="F1001" s="3">
        <v>0.88495902923497705</v>
      </c>
      <c r="G1001" s="3">
        <v>42.500411999999997</v>
      </c>
      <c r="H1001" s="3">
        <v>1084.3548959447</v>
      </c>
      <c r="I1001" s="3">
        <v>35.950000000000003</v>
      </c>
      <c r="J1001" s="3">
        <v>36.630000000000003</v>
      </c>
      <c r="K1001" s="3">
        <v>35.034999999999997</v>
      </c>
      <c r="L1001" s="3">
        <v>916.58465343965895</v>
      </c>
    </row>
    <row r="1002" spans="1:12" ht="15" customHeight="1" x14ac:dyDescent="0.2">
      <c r="A1002" s="2">
        <v>44595</v>
      </c>
      <c r="B1002" s="3">
        <v>36.159999999999997</v>
      </c>
      <c r="C1002" s="1">
        <v>688039</v>
      </c>
      <c r="D1002" s="3">
        <v>-0.630000000000002</v>
      </c>
      <c r="E1002" s="3">
        <v>-1.7124218537646101</v>
      </c>
      <c r="F1002" s="3">
        <v>-1.7124335325420501</v>
      </c>
      <c r="G1002" s="3">
        <v>42.127600000000001</v>
      </c>
      <c r="H1002" s="3">
        <v>1073.9657797764401</v>
      </c>
      <c r="I1002" s="3">
        <v>36.39</v>
      </c>
      <c r="J1002" s="3">
        <v>37.549999999999997</v>
      </c>
      <c r="K1002" s="3">
        <v>36.04</v>
      </c>
      <c r="L1002" s="3">
        <v>907.66724419896002</v>
      </c>
    </row>
    <row r="1003" spans="1:12" ht="15" customHeight="1" x14ac:dyDescent="0.2">
      <c r="A1003" s="2">
        <v>44594</v>
      </c>
      <c r="B1003" s="3">
        <v>36.79</v>
      </c>
      <c r="C1003" s="1">
        <v>1181184</v>
      </c>
      <c r="D1003" s="3">
        <v>-5.0000000000004201E-2</v>
      </c>
      <c r="E1003" s="3">
        <v>-0.13572204125951101</v>
      </c>
      <c r="F1003" s="3">
        <v>-0.13572049113804699</v>
      </c>
      <c r="G1003" s="3">
        <v>42.861575999999999</v>
      </c>
      <c r="H1003" s="3">
        <v>1094.4194184165999</v>
      </c>
      <c r="I1003" s="3">
        <v>37.25</v>
      </c>
      <c r="J1003" s="3">
        <v>38.07</v>
      </c>
      <c r="K1003" s="3">
        <v>36.65</v>
      </c>
      <c r="L1003" s="3">
        <v>925.22339364158597</v>
      </c>
    </row>
    <row r="1004" spans="1:12" ht="15" customHeight="1" x14ac:dyDescent="0.2">
      <c r="A1004" s="2">
        <v>44593</v>
      </c>
      <c r="B1004" s="3">
        <v>36.840000000000003</v>
      </c>
      <c r="C1004" s="1">
        <v>1108342</v>
      </c>
      <c r="D1004" s="3">
        <v>1.1599999999999999</v>
      </c>
      <c r="E1004" s="3">
        <v>3.2511210762331899</v>
      </c>
      <c r="F1004" s="3">
        <v>3.2511269501779498</v>
      </c>
      <c r="G1004" s="3">
        <v>42.919826999999998</v>
      </c>
      <c r="H1004" s="3">
        <v>1096.04269343435</v>
      </c>
      <c r="I1004" s="3">
        <v>36.06</v>
      </c>
      <c r="J1004" s="3">
        <v>37.17</v>
      </c>
      <c r="K1004" s="3">
        <v>35.700000000000003</v>
      </c>
      <c r="L1004" s="3">
        <v>926.61673883544495</v>
      </c>
    </row>
    <row r="1005" spans="1:12" ht="15" customHeight="1" x14ac:dyDescent="0.2">
      <c r="A1005" s="2">
        <v>44592</v>
      </c>
      <c r="B1005" s="3">
        <v>35.68</v>
      </c>
      <c r="C1005" s="1">
        <v>1129469</v>
      </c>
      <c r="D1005" s="3">
        <v>0.74000000000000199</v>
      </c>
      <c r="E1005" s="3">
        <v>2.1179164281625602</v>
      </c>
      <c r="F1005" s="3">
        <v>2.1179199464652099</v>
      </c>
      <c r="G1005" s="3">
        <v>41.568385999999997</v>
      </c>
      <c r="H1005" s="3">
        <v>1058.38221699166</v>
      </c>
      <c r="I1005" s="3">
        <v>34.75</v>
      </c>
      <c r="J1005" s="3">
        <v>35.999299999999998</v>
      </c>
      <c r="K1005" s="3">
        <v>34.410600000000002</v>
      </c>
      <c r="L1005" s="3">
        <v>894.29113033791202</v>
      </c>
    </row>
    <row r="1006" spans="1:12" ht="15" customHeight="1" x14ac:dyDescent="0.2">
      <c r="A1006" s="2">
        <v>44589</v>
      </c>
      <c r="B1006" s="3">
        <v>34.94</v>
      </c>
      <c r="C1006" s="1">
        <v>1263112</v>
      </c>
      <c r="D1006" s="3">
        <v>-6.0000000000002197E-2</v>
      </c>
      <c r="E1006" s="3">
        <v>-0.17142857142857701</v>
      </c>
      <c r="F1006" s="3">
        <v>-0.171435935674668</v>
      </c>
      <c r="G1006" s="3">
        <v>40.70626</v>
      </c>
      <c r="H1006" s="3">
        <v>1034.3574346196399</v>
      </c>
      <c r="I1006" s="3">
        <v>34.979999999999997</v>
      </c>
      <c r="J1006" s="3">
        <v>35.155000000000001</v>
      </c>
      <c r="K1006" s="3">
        <v>33.414999999999999</v>
      </c>
      <c r="L1006" s="3">
        <v>873.66962146879598</v>
      </c>
    </row>
    <row r="1007" spans="1:12" ht="15" customHeight="1" x14ac:dyDescent="0.2">
      <c r="A1007" s="2">
        <v>44588</v>
      </c>
      <c r="B1007" s="3">
        <v>35</v>
      </c>
      <c r="C1007" s="1">
        <v>889769</v>
      </c>
      <c r="D1007" s="3">
        <v>-1.2999999999999901</v>
      </c>
      <c r="E1007" s="3">
        <v>-3.58126721763084</v>
      </c>
      <c r="F1007" s="3">
        <v>-3.58126431889634</v>
      </c>
      <c r="G1007" s="3">
        <v>40.776164999999999</v>
      </c>
      <c r="H1007" s="3">
        <v>1036.3054705351799</v>
      </c>
      <c r="I1007" s="3">
        <v>36.299999999999997</v>
      </c>
      <c r="J1007" s="3">
        <v>36.83</v>
      </c>
      <c r="K1007" s="3">
        <v>34.61</v>
      </c>
      <c r="L1007" s="3">
        <v>875.34163570142698</v>
      </c>
    </row>
    <row r="1008" spans="1:12" ht="15" customHeight="1" x14ac:dyDescent="0.2">
      <c r="A1008" s="2">
        <v>44587</v>
      </c>
      <c r="B1008" s="3">
        <v>36.299999999999997</v>
      </c>
      <c r="C1008" s="1">
        <v>804235</v>
      </c>
      <c r="D1008" s="3">
        <v>-1.58</v>
      </c>
      <c r="E1008" s="3">
        <v>-4.1710665258711801</v>
      </c>
      <c r="F1008" s="3">
        <v>-4.1710718761141399</v>
      </c>
      <c r="G1008" s="3">
        <v>42.290706999999998</v>
      </c>
      <c r="H1008" s="3">
        <v>1078.51106686713</v>
      </c>
      <c r="I1008" s="3">
        <v>38.18</v>
      </c>
      <c r="J1008" s="3">
        <v>38.4</v>
      </c>
      <c r="K1008" s="3">
        <v>36.090000000000003</v>
      </c>
      <c r="L1008" s="3">
        <v>911.56861074176595</v>
      </c>
    </row>
    <row r="1009" spans="1:12" ht="15" customHeight="1" x14ac:dyDescent="0.2">
      <c r="A1009" s="2">
        <v>44586</v>
      </c>
      <c r="B1009" s="3">
        <v>37.880000000000003</v>
      </c>
      <c r="C1009" s="1">
        <v>960099</v>
      </c>
      <c r="D1009" s="3">
        <v>1.03</v>
      </c>
      <c r="E1009" s="3">
        <v>2.7951153324287699</v>
      </c>
      <c r="F1009" s="3">
        <v>2.7951265496993298</v>
      </c>
      <c r="G1009" s="3">
        <v>44.131461999999999</v>
      </c>
      <c r="H1009" s="3">
        <v>1129.8072095135799</v>
      </c>
      <c r="I1009" s="3">
        <v>35.97</v>
      </c>
      <c r="J1009" s="3">
        <v>38.4</v>
      </c>
      <c r="K1009" s="3">
        <v>35.799999999999997</v>
      </c>
      <c r="L1009" s="3">
        <v>955.59831886771599</v>
      </c>
    </row>
    <row r="1010" spans="1:12" ht="15" customHeight="1" x14ac:dyDescent="0.2">
      <c r="A1010" s="2">
        <v>44585</v>
      </c>
      <c r="B1010" s="3">
        <v>36.85</v>
      </c>
      <c r="C1010" s="1">
        <v>1438103</v>
      </c>
      <c r="D1010" s="3">
        <v>1.3299999999999901</v>
      </c>
      <c r="E1010" s="3">
        <v>3.74436936936937</v>
      </c>
      <c r="F1010" s="3">
        <v>3.7443665092873699</v>
      </c>
      <c r="G1010" s="3">
        <v>42.931472999999997</v>
      </c>
      <c r="H1010" s="3">
        <v>1096.3672313969</v>
      </c>
      <c r="I1010" s="3">
        <v>34.86</v>
      </c>
      <c r="J1010" s="3">
        <v>36.950000000000003</v>
      </c>
      <c r="K1010" s="3">
        <v>33.74</v>
      </c>
      <c r="L1010" s="3">
        <v>926.89540787421697</v>
      </c>
    </row>
    <row r="1011" spans="1:12" ht="15" customHeight="1" x14ac:dyDescent="0.2">
      <c r="A1011" s="2">
        <v>44582</v>
      </c>
      <c r="B1011" s="3">
        <v>35.520000000000003</v>
      </c>
      <c r="C1011" s="1">
        <v>933931</v>
      </c>
      <c r="D1011" s="3">
        <v>-0.39999999999999802</v>
      </c>
      <c r="E1011" s="3">
        <v>-1.1135857461024401</v>
      </c>
      <c r="F1011" s="3">
        <v>-1.1135827018892499</v>
      </c>
      <c r="G1011" s="3">
        <v>41.381979999999999</v>
      </c>
      <c r="H1011" s="3">
        <v>1053.18765890753</v>
      </c>
      <c r="I1011" s="3">
        <v>35.65</v>
      </c>
      <c r="J1011" s="3">
        <v>36.619999999999997</v>
      </c>
      <c r="K1011" s="3">
        <v>35.4</v>
      </c>
      <c r="L1011" s="3">
        <v>889.83242571756296</v>
      </c>
    </row>
    <row r="1012" spans="1:12" ht="15" customHeight="1" x14ac:dyDescent="0.2">
      <c r="A1012" s="2">
        <v>44581</v>
      </c>
      <c r="B1012" s="3">
        <v>35.92</v>
      </c>
      <c r="C1012" s="1">
        <v>591964</v>
      </c>
      <c r="D1012" s="3">
        <v>-0.619999999999997</v>
      </c>
      <c r="E1012" s="3">
        <v>-1.69677066228789</v>
      </c>
      <c r="F1012" s="3">
        <v>-1.6967785721863</v>
      </c>
      <c r="G1012" s="3">
        <v>41.847991999999998</v>
      </c>
      <c r="H1012" s="3">
        <v>1066.1739705171401</v>
      </c>
      <c r="I1012" s="3">
        <v>36.905000000000001</v>
      </c>
      <c r="J1012" s="3">
        <v>37.5</v>
      </c>
      <c r="K1012" s="3">
        <v>35.854999999999997</v>
      </c>
      <c r="L1012" s="3">
        <v>900.97918726843602</v>
      </c>
    </row>
    <row r="1013" spans="1:12" ht="15" customHeight="1" x14ac:dyDescent="0.2">
      <c r="A1013" s="2">
        <v>44580</v>
      </c>
      <c r="B1013" s="3">
        <v>36.54</v>
      </c>
      <c r="C1013" s="1">
        <v>771300</v>
      </c>
      <c r="D1013" s="3">
        <v>0.439999999999997</v>
      </c>
      <c r="E1013" s="3">
        <v>1.2188365650969299</v>
      </c>
      <c r="F1013" s="3">
        <v>1.2188470519439001</v>
      </c>
      <c r="G1013" s="3">
        <v>42.570315999999998</v>
      </c>
      <c r="H1013" s="3">
        <v>1086.3029039933299</v>
      </c>
      <c r="I1013" s="3">
        <v>36.53</v>
      </c>
      <c r="J1013" s="3">
        <v>37.590000000000003</v>
      </c>
      <c r="K1013" s="3">
        <v>36.363700000000001</v>
      </c>
      <c r="L1013" s="3">
        <v>918.25666767228995</v>
      </c>
    </row>
    <row r="1014" spans="1:12" ht="15" customHeight="1" x14ac:dyDescent="0.2">
      <c r="A1014" s="2">
        <v>44579</v>
      </c>
      <c r="B1014" s="3">
        <v>36.1</v>
      </c>
      <c r="C1014" s="1">
        <v>1042843</v>
      </c>
      <c r="D1014" s="3">
        <v>-1.4099999999999899</v>
      </c>
      <c r="E1014" s="3">
        <v>-3.75899760063982</v>
      </c>
      <c r="F1014" s="3">
        <v>-3.7590047522909198</v>
      </c>
      <c r="G1014" s="3">
        <v>42.057696999999997</v>
      </c>
      <c r="H1014" s="3">
        <v>1072.0177995947099</v>
      </c>
      <c r="I1014" s="3">
        <v>37</v>
      </c>
      <c r="J1014" s="3">
        <v>37.200000000000003</v>
      </c>
      <c r="K1014" s="3">
        <v>35.909999999999997</v>
      </c>
      <c r="L1014" s="3">
        <v>905.99522996632902</v>
      </c>
    </row>
    <row r="1015" spans="1:12" ht="15" customHeight="1" x14ac:dyDescent="0.2">
      <c r="A1015" s="2">
        <v>44575</v>
      </c>
      <c r="B1015" s="3">
        <v>37.51</v>
      </c>
      <c r="C1015" s="1">
        <v>999336</v>
      </c>
      <c r="D1015" s="3">
        <v>-0.760000000000005</v>
      </c>
      <c r="E1015" s="3">
        <v>-1.9858897308596899</v>
      </c>
      <c r="F1015" s="3">
        <v>-1.98589134487883</v>
      </c>
      <c r="G1015" s="3">
        <v>43.700397000000002</v>
      </c>
      <c r="H1015" s="3">
        <v>1117.79476259376</v>
      </c>
      <c r="I1015" s="3">
        <v>37.700000000000003</v>
      </c>
      <c r="J1015" s="3">
        <v>38.01</v>
      </c>
      <c r="K1015" s="3">
        <v>36.409999999999997</v>
      </c>
      <c r="L1015" s="3">
        <v>945.28756443315797</v>
      </c>
    </row>
    <row r="1016" spans="1:12" ht="15" customHeight="1" x14ac:dyDescent="0.2">
      <c r="A1016" s="2">
        <v>44574</v>
      </c>
      <c r="B1016" s="3">
        <v>38.270000000000003</v>
      </c>
      <c r="C1016" s="1">
        <v>703014</v>
      </c>
      <c r="D1016" s="3">
        <v>1.25</v>
      </c>
      <c r="E1016" s="3">
        <v>3.3765532144786499</v>
      </c>
      <c r="F1016" s="3">
        <v>3.3765566190959899</v>
      </c>
      <c r="G1016" s="3">
        <v>44.585822999999998</v>
      </c>
      <c r="H1016" s="3">
        <v>1142.4688438261201</v>
      </c>
      <c r="I1016" s="3">
        <v>37.39</v>
      </c>
      <c r="J1016" s="3">
        <v>38.89</v>
      </c>
      <c r="K1016" s="3">
        <v>37.250100000000003</v>
      </c>
      <c r="L1016" s="3">
        <v>966.46641137981806</v>
      </c>
    </row>
    <row r="1017" spans="1:12" ht="15" customHeight="1" x14ac:dyDescent="0.2">
      <c r="A1017" s="2">
        <v>44573</v>
      </c>
      <c r="B1017" s="3">
        <v>37.020000000000003</v>
      </c>
      <c r="C1017" s="1">
        <v>825740</v>
      </c>
      <c r="D1017" s="3">
        <v>-1.02999999999999</v>
      </c>
      <c r="E1017" s="3">
        <v>-2.7069645203679098</v>
      </c>
      <c r="F1017" s="3">
        <v>-2.7069640330367699</v>
      </c>
      <c r="G1017" s="3">
        <v>43.129530000000003</v>
      </c>
      <c r="H1017" s="3">
        <v>1101.8864667780999</v>
      </c>
      <c r="I1017" s="3">
        <v>38.07</v>
      </c>
      <c r="J1017" s="3">
        <v>38.25</v>
      </c>
      <c r="K1017" s="3">
        <v>37</v>
      </c>
      <c r="L1017" s="3">
        <v>931.63278153333795</v>
      </c>
    </row>
    <row r="1018" spans="1:12" ht="15" customHeight="1" x14ac:dyDescent="0.2">
      <c r="A1018" s="2">
        <v>44572</v>
      </c>
      <c r="B1018" s="3">
        <v>38.049999999999997</v>
      </c>
      <c r="C1018" s="1">
        <v>617230</v>
      </c>
      <c r="D1018" s="3">
        <v>-0.53000000000000103</v>
      </c>
      <c r="E1018" s="3">
        <v>-1.3737687921202699</v>
      </c>
      <c r="F1018" s="3">
        <v>-1.37378062738665</v>
      </c>
      <c r="G1018" s="3">
        <v>44.329514000000003</v>
      </c>
      <c r="H1018" s="3">
        <v>1135.3263055602599</v>
      </c>
      <c r="I1018" s="3">
        <v>38.340000000000003</v>
      </c>
      <c r="J1018" s="3">
        <v>38.49</v>
      </c>
      <c r="K1018" s="3">
        <v>37.909999999999997</v>
      </c>
      <c r="L1018" s="3">
        <v>960.33569252683697</v>
      </c>
    </row>
    <row r="1019" spans="1:12" ht="15" customHeight="1" x14ac:dyDescent="0.2">
      <c r="A1019" s="2">
        <v>44571</v>
      </c>
      <c r="B1019" s="3">
        <v>38.58</v>
      </c>
      <c r="C1019" s="1">
        <v>1211462</v>
      </c>
      <c r="D1019" s="3">
        <v>-0.35000000000000098</v>
      </c>
      <c r="E1019" s="3">
        <v>-0.89904957616234704</v>
      </c>
      <c r="F1019" s="3">
        <v>-0.89903935958716097</v>
      </c>
      <c r="G1019" s="3">
        <v>44.946987</v>
      </c>
      <c r="H1019" s="3">
        <v>1152.5333662980199</v>
      </c>
      <c r="I1019" s="3">
        <v>38.72</v>
      </c>
      <c r="J1019" s="3">
        <v>38.734999999999999</v>
      </c>
      <c r="K1019" s="3">
        <v>37.150100000000002</v>
      </c>
      <c r="L1019" s="3">
        <v>975.10515158174405</v>
      </c>
    </row>
    <row r="1020" spans="1:12" ht="15" customHeight="1" x14ac:dyDescent="0.2">
      <c r="A1020" s="2">
        <v>44568</v>
      </c>
      <c r="B1020" s="3">
        <v>38.93</v>
      </c>
      <c r="C1020" s="1">
        <v>823934</v>
      </c>
      <c r="D1020" s="3">
        <v>-0.130000000000002</v>
      </c>
      <c r="E1020" s="3">
        <v>-0.33282130056324599</v>
      </c>
      <c r="F1020" s="3">
        <v>-0.33283154826167999</v>
      </c>
      <c r="G1020" s="3">
        <v>45.354743999999997</v>
      </c>
      <c r="H1020" s="3">
        <v>1163.89629142227</v>
      </c>
      <c r="I1020" s="3">
        <v>38.9</v>
      </c>
      <c r="J1020" s="3">
        <v>39.94</v>
      </c>
      <c r="K1020" s="3">
        <v>38.35</v>
      </c>
      <c r="L1020" s="3">
        <v>984.85856793875905</v>
      </c>
    </row>
    <row r="1021" spans="1:12" ht="15" customHeight="1" x14ac:dyDescent="0.2">
      <c r="A1021" s="2">
        <v>44567</v>
      </c>
      <c r="B1021" s="3">
        <v>39.06</v>
      </c>
      <c r="C1021" s="1">
        <v>724813</v>
      </c>
      <c r="D1021" s="3">
        <v>-1.0999999999999901</v>
      </c>
      <c r="E1021" s="3">
        <v>-2.7390438247011799</v>
      </c>
      <c r="F1021" s="3">
        <v>-2.7390340652309799</v>
      </c>
      <c r="G1021" s="3">
        <v>45.506202999999999</v>
      </c>
      <c r="H1021" s="3">
        <v>1168.1169848166001</v>
      </c>
      <c r="I1021" s="3">
        <v>40.24</v>
      </c>
      <c r="J1021" s="3">
        <v>41.140099999999997</v>
      </c>
      <c r="K1021" s="3">
        <v>39</v>
      </c>
      <c r="L1021" s="3">
        <v>988.48126544279296</v>
      </c>
    </row>
    <row r="1022" spans="1:12" ht="15" customHeight="1" x14ac:dyDescent="0.2">
      <c r="A1022" s="2">
        <v>44566</v>
      </c>
      <c r="B1022" s="3">
        <v>40.159999999999997</v>
      </c>
      <c r="C1022" s="1">
        <v>1113980</v>
      </c>
      <c r="D1022" s="3">
        <v>6.9999999999993096E-2</v>
      </c>
      <c r="E1022" s="3">
        <v>0.17460713394858901</v>
      </c>
      <c r="F1022" s="3">
        <v>0.17460428794611099</v>
      </c>
      <c r="G1022" s="3">
        <v>46.787734999999998</v>
      </c>
      <c r="H1022" s="3">
        <v>1203.8293138761401</v>
      </c>
      <c r="I1022" s="3">
        <v>41.1</v>
      </c>
      <c r="J1022" s="3">
        <v>42.12</v>
      </c>
      <c r="K1022" s="3">
        <v>39.99</v>
      </c>
      <c r="L1022" s="3">
        <v>1019.13485970769</v>
      </c>
    </row>
    <row r="1023" spans="1:12" ht="15" customHeight="1" x14ac:dyDescent="0.2">
      <c r="A1023" s="2">
        <v>44565</v>
      </c>
      <c r="B1023" s="3">
        <v>40.090000000000003</v>
      </c>
      <c r="C1023" s="1">
        <v>721085</v>
      </c>
      <c r="D1023" s="3">
        <v>1.28</v>
      </c>
      <c r="E1023" s="3">
        <v>3.2981190414841599</v>
      </c>
      <c r="F1023" s="3">
        <v>3.2981154040158702</v>
      </c>
      <c r="G1023" s="3">
        <v>46.706184</v>
      </c>
      <c r="H1023" s="3">
        <v>1201.55673999805</v>
      </c>
      <c r="I1023" s="3">
        <v>39.43</v>
      </c>
      <c r="J1023" s="3">
        <v>40.26</v>
      </c>
      <c r="K1023" s="3">
        <v>38.880000000000003</v>
      </c>
      <c r="L1023" s="3">
        <v>1017.18417643629</v>
      </c>
    </row>
    <row r="1024" spans="1:12" ht="15" customHeight="1" x14ac:dyDescent="0.2">
      <c r="A1024" s="2">
        <v>44564</v>
      </c>
      <c r="B1024" s="3">
        <v>38.81</v>
      </c>
      <c r="C1024" s="1">
        <v>1016942</v>
      </c>
      <c r="D1024" s="3">
        <v>-0.33999999999999603</v>
      </c>
      <c r="E1024" s="3">
        <v>-0.86845466155810402</v>
      </c>
      <c r="F1024" s="3">
        <v>-0.86845177637095905</v>
      </c>
      <c r="G1024" s="3">
        <v>45.214942999999998</v>
      </c>
      <c r="H1024" s="3">
        <v>1160.00047039333</v>
      </c>
      <c r="I1024" s="3">
        <v>38.56</v>
      </c>
      <c r="J1024" s="3">
        <v>39.729999999999997</v>
      </c>
      <c r="K1024" s="3">
        <v>38.56</v>
      </c>
      <c r="L1024" s="3">
        <v>981.51453947349705</v>
      </c>
    </row>
    <row r="1025" spans="1:12" ht="15" customHeight="1" x14ac:dyDescent="0.2">
      <c r="A1025" s="2">
        <v>44561</v>
      </c>
      <c r="B1025" s="3">
        <v>39.15</v>
      </c>
      <c r="C1025" s="1">
        <v>533328</v>
      </c>
      <c r="D1025" s="3">
        <v>-0.60000000000000098</v>
      </c>
      <c r="E1025" s="3">
        <v>-1.5094339622641499</v>
      </c>
      <c r="F1025" s="3">
        <v>-1.5094361542156001</v>
      </c>
      <c r="G1025" s="3">
        <v>45.611052999999998</v>
      </c>
      <c r="H1025" s="3">
        <v>1171.0388296881199</v>
      </c>
      <c r="I1025" s="3">
        <v>39.79</v>
      </c>
      <c r="J1025" s="3">
        <v>40.4</v>
      </c>
      <c r="K1025" s="3">
        <v>39.04</v>
      </c>
      <c r="L1025" s="3">
        <v>990.989286791739</v>
      </c>
    </row>
    <row r="1026" spans="1:12" ht="15" customHeight="1" x14ac:dyDescent="0.2">
      <c r="A1026" s="2">
        <v>44560</v>
      </c>
      <c r="B1026" s="3">
        <v>39.75</v>
      </c>
      <c r="C1026" s="1">
        <v>546938</v>
      </c>
      <c r="D1026" s="3">
        <v>0.52000000000000302</v>
      </c>
      <c r="E1026" s="3">
        <v>1.3255161865919101</v>
      </c>
      <c r="F1026" s="3">
        <v>1.32552212754637</v>
      </c>
      <c r="G1026" s="3">
        <v>46.310074</v>
      </c>
      <c r="H1026" s="3">
        <v>1190.5183807032599</v>
      </c>
      <c r="I1026" s="3">
        <v>39.33</v>
      </c>
      <c r="J1026" s="3">
        <v>40.21</v>
      </c>
      <c r="K1026" s="3">
        <v>39.228200000000001</v>
      </c>
      <c r="L1026" s="3">
        <v>1007.70942911804</v>
      </c>
    </row>
    <row r="1027" spans="1:12" ht="15" customHeight="1" x14ac:dyDescent="0.2">
      <c r="A1027" s="2">
        <v>44559</v>
      </c>
      <c r="B1027" s="3">
        <v>39.229999999999997</v>
      </c>
      <c r="C1027" s="1">
        <v>482411</v>
      </c>
      <c r="D1027" s="3">
        <v>-0.42999999999999899</v>
      </c>
      <c r="E1027" s="3">
        <v>-1.08421583459404</v>
      </c>
      <c r="F1027" s="3">
        <v>-1.0842194886205401</v>
      </c>
      <c r="G1027" s="3">
        <v>45.704253999999999</v>
      </c>
      <c r="H1027" s="3">
        <v>1173.6360529963799</v>
      </c>
      <c r="I1027" s="3">
        <v>39.39</v>
      </c>
      <c r="J1027" s="3">
        <v>39.81</v>
      </c>
      <c r="K1027" s="3">
        <v>39.04</v>
      </c>
      <c r="L1027" s="3">
        <v>993.21863910191405</v>
      </c>
    </row>
    <row r="1028" spans="1:12" ht="15" customHeight="1" x14ac:dyDescent="0.2">
      <c r="A1028" s="2">
        <v>44558</v>
      </c>
      <c r="B1028" s="3">
        <v>39.659999999999997</v>
      </c>
      <c r="C1028" s="1">
        <v>404033</v>
      </c>
      <c r="D1028" s="3">
        <v>-0.69000000000000405</v>
      </c>
      <c r="E1028" s="3">
        <v>-1.7100371747212</v>
      </c>
      <c r="F1028" s="3">
        <v>-1.7100309748603899</v>
      </c>
      <c r="G1028" s="3">
        <v>46.205219999999997</v>
      </c>
      <c r="H1028" s="3">
        <v>1187.5964243641199</v>
      </c>
      <c r="I1028" s="3">
        <v>40.07</v>
      </c>
      <c r="J1028" s="3">
        <v>40.880000000000003</v>
      </c>
      <c r="K1028" s="3">
        <v>39.619999999999997</v>
      </c>
      <c r="L1028" s="3">
        <v>1005.2014077691</v>
      </c>
    </row>
    <row r="1029" spans="1:12" ht="15" customHeight="1" x14ac:dyDescent="0.2">
      <c r="A1029" s="2">
        <v>44557</v>
      </c>
      <c r="B1029" s="3">
        <v>40.35</v>
      </c>
      <c r="C1029" s="1">
        <v>451817</v>
      </c>
      <c r="D1029" s="3">
        <v>9.0000000000003397E-2</v>
      </c>
      <c r="E1029" s="3">
        <v>0.223546944858421</v>
      </c>
      <c r="F1029" s="3">
        <v>0.223549105458209</v>
      </c>
      <c r="G1029" s="3">
        <v>47.00909</v>
      </c>
      <c r="H1029" s="3">
        <v>1209.9977923838701</v>
      </c>
      <c r="I1029" s="3">
        <v>40.24</v>
      </c>
      <c r="J1029" s="3">
        <v>40.9</v>
      </c>
      <c r="K1029" s="3">
        <v>39.33</v>
      </c>
      <c r="L1029" s="3">
        <v>1024.4295714443599</v>
      </c>
    </row>
    <row r="1030" spans="1:12" ht="15" customHeight="1" x14ac:dyDescent="0.2">
      <c r="A1030" s="2">
        <v>44553</v>
      </c>
      <c r="B1030" s="3">
        <v>40.26</v>
      </c>
      <c r="C1030" s="1">
        <v>957373</v>
      </c>
      <c r="D1030" s="3">
        <v>-7.0000000000000201E-2</v>
      </c>
      <c r="E1030" s="3">
        <v>-0.173568063476325</v>
      </c>
      <c r="F1030" s="3">
        <v>-0.17358012509057699</v>
      </c>
      <c r="G1030" s="3">
        <v>46.904235999999997</v>
      </c>
      <c r="H1030" s="3">
        <v>1207.0758360447301</v>
      </c>
      <c r="I1030" s="3">
        <v>40.770000000000003</v>
      </c>
      <c r="J1030" s="3">
        <v>41.4</v>
      </c>
      <c r="K1030" s="3">
        <v>39.57</v>
      </c>
      <c r="L1030" s="3">
        <v>1021.92155009541</v>
      </c>
    </row>
    <row r="1031" spans="1:12" ht="15" customHeight="1" x14ac:dyDescent="0.2">
      <c r="A1031" s="2">
        <v>44552</v>
      </c>
      <c r="B1031" s="3">
        <v>40.33</v>
      </c>
      <c r="C1031" s="1">
        <v>871290</v>
      </c>
      <c r="D1031" s="3">
        <v>0.78000000000000103</v>
      </c>
      <c r="E1031" s="3">
        <v>1.97218710493047</v>
      </c>
      <c r="F1031" s="3">
        <v>1.9721937584349101</v>
      </c>
      <c r="G1031" s="3">
        <v>46.985793999999999</v>
      </c>
      <c r="H1031" s="3">
        <v>1209.3486049911501</v>
      </c>
      <c r="I1031" s="3">
        <v>39.770000000000003</v>
      </c>
      <c r="J1031" s="3">
        <v>40.840000000000003</v>
      </c>
      <c r="K1031" s="3">
        <v>39.14</v>
      </c>
      <c r="L1031" s="3">
        <v>1023.87223336681</v>
      </c>
    </row>
    <row r="1032" spans="1:12" ht="15" customHeight="1" x14ac:dyDescent="0.2">
      <c r="A1032" s="2">
        <v>44551</v>
      </c>
      <c r="B1032" s="3">
        <v>39.549999999999997</v>
      </c>
      <c r="C1032" s="1">
        <v>924656</v>
      </c>
      <c r="D1032" s="3">
        <v>2.1199999999999899</v>
      </c>
      <c r="E1032" s="3">
        <v>5.6639059577878701</v>
      </c>
      <c r="F1032" s="3">
        <v>5.6638999291791201</v>
      </c>
      <c r="G1032" s="3">
        <v>46.077064999999997</v>
      </c>
      <c r="H1032" s="3">
        <v>1184.02514129774</v>
      </c>
      <c r="I1032" s="3">
        <v>37.5</v>
      </c>
      <c r="J1032" s="3">
        <v>39.799999999999997</v>
      </c>
      <c r="K1032" s="3">
        <v>37.5</v>
      </c>
      <c r="L1032" s="3">
        <v>1002.13604834261</v>
      </c>
    </row>
    <row r="1033" spans="1:12" ht="15" customHeight="1" x14ac:dyDescent="0.2">
      <c r="A1033" s="2">
        <v>44550</v>
      </c>
      <c r="B1033" s="3">
        <v>37.43</v>
      </c>
      <c r="C1033" s="1">
        <v>808497</v>
      </c>
      <c r="D1033" s="3">
        <v>-0.89</v>
      </c>
      <c r="E1033" s="3">
        <v>-2.32254697286012</v>
      </c>
      <c r="F1033" s="3">
        <v>-2.3225389851862199</v>
      </c>
      <c r="G1033" s="3">
        <v>43.607196999999999</v>
      </c>
      <c r="H1033" s="3">
        <v>1115.1975671524101</v>
      </c>
      <c r="I1033" s="3">
        <v>37.33</v>
      </c>
      <c r="J1033" s="3">
        <v>37.869999999999997</v>
      </c>
      <c r="K1033" s="3">
        <v>36.46</v>
      </c>
      <c r="L1033" s="3">
        <v>943.05821212298304</v>
      </c>
    </row>
    <row r="1034" spans="1:12" ht="15" customHeight="1" x14ac:dyDescent="0.2">
      <c r="A1034" s="2">
        <v>44547</v>
      </c>
      <c r="B1034" s="3">
        <v>38.32</v>
      </c>
      <c r="C1034" s="1">
        <v>1620277</v>
      </c>
      <c r="D1034" s="3">
        <v>0.91000000000000303</v>
      </c>
      <c r="E1034" s="3">
        <v>2.4325046778936201</v>
      </c>
      <c r="F1034" s="3">
        <v>2.4325041363331099</v>
      </c>
      <c r="G1034" s="3">
        <v>44.644072999999999</v>
      </c>
      <c r="H1034" s="3">
        <v>1144.09209097696</v>
      </c>
      <c r="I1034" s="3">
        <v>37.409999999999997</v>
      </c>
      <c r="J1034" s="3">
        <v>38.68</v>
      </c>
      <c r="K1034" s="3">
        <v>36.42</v>
      </c>
      <c r="L1034" s="3">
        <v>967.85975657367703</v>
      </c>
    </row>
    <row r="1035" spans="1:12" ht="15" customHeight="1" x14ac:dyDescent="0.2">
      <c r="A1035" s="2">
        <v>44546</v>
      </c>
      <c r="B1035" s="3">
        <v>37.409999999999997</v>
      </c>
      <c r="C1035" s="1">
        <v>1108720</v>
      </c>
      <c r="D1035" s="3">
        <v>-2</v>
      </c>
      <c r="E1035" s="3">
        <v>-5.0748540979446801</v>
      </c>
      <c r="F1035" s="3">
        <v>-5.0748552292156903</v>
      </c>
      <c r="G1035" s="3">
        <v>43.583893000000003</v>
      </c>
      <c r="H1035" s="3">
        <v>1114.54815682445</v>
      </c>
      <c r="I1035" s="3">
        <v>39.57</v>
      </c>
      <c r="J1035" s="3">
        <v>39.93</v>
      </c>
      <c r="K1035" s="3">
        <v>37.21</v>
      </c>
      <c r="L1035" s="3">
        <v>942.50087404544001</v>
      </c>
    </row>
    <row r="1036" spans="1:12" ht="15" customHeight="1" x14ac:dyDescent="0.2">
      <c r="A1036" s="2">
        <v>44545</v>
      </c>
      <c r="B1036" s="3">
        <v>39.409999999999997</v>
      </c>
      <c r="C1036" s="1">
        <v>1053908</v>
      </c>
      <c r="D1036" s="3">
        <v>-1.31</v>
      </c>
      <c r="E1036" s="3">
        <v>-3.2170923379174901</v>
      </c>
      <c r="F1036" s="3">
        <v>-3.2170953067079799</v>
      </c>
      <c r="G1036" s="3">
        <v>45.913960000000003</v>
      </c>
      <c r="H1036" s="3">
        <v>1179.4799099408499</v>
      </c>
      <c r="I1036" s="3">
        <v>40.25</v>
      </c>
      <c r="J1036" s="3">
        <v>40.484999999999999</v>
      </c>
      <c r="K1036" s="3">
        <v>38.17</v>
      </c>
      <c r="L1036" s="3">
        <v>998.23468179980705</v>
      </c>
    </row>
    <row r="1037" spans="1:12" ht="15" customHeight="1" x14ac:dyDescent="0.2">
      <c r="A1037" s="2">
        <v>44544</v>
      </c>
      <c r="B1037" s="3">
        <v>40.72</v>
      </c>
      <c r="C1037" s="1">
        <v>718708</v>
      </c>
      <c r="D1037" s="3">
        <v>3.9999999999999099E-2</v>
      </c>
      <c r="E1037" s="3">
        <v>9.8328416912485395E-2</v>
      </c>
      <c r="F1037" s="3">
        <v>9.8325605665161506E-2</v>
      </c>
      <c r="G1037" s="3">
        <v>47.440154999999997</v>
      </c>
      <c r="H1037" s="3">
        <v>1222.01023930369</v>
      </c>
      <c r="I1037" s="3">
        <v>40.33</v>
      </c>
      <c r="J1037" s="3">
        <v>41.38</v>
      </c>
      <c r="K1037" s="3">
        <v>40.1</v>
      </c>
      <c r="L1037" s="3">
        <v>1034.74032587891</v>
      </c>
    </row>
    <row r="1038" spans="1:12" ht="15" customHeight="1" x14ac:dyDescent="0.2">
      <c r="A1038" s="2">
        <v>44543</v>
      </c>
      <c r="B1038" s="3">
        <v>40.68</v>
      </c>
      <c r="C1038" s="1">
        <v>739761</v>
      </c>
      <c r="D1038" s="3">
        <v>-0.75999999999999801</v>
      </c>
      <c r="E1038" s="3">
        <v>-1.8339768339768201</v>
      </c>
      <c r="F1038" s="3">
        <v>-1.83396806096302</v>
      </c>
      <c r="G1038" s="3">
        <v>47.393554999999999</v>
      </c>
      <c r="H1038" s="3">
        <v>1220.7116415830101</v>
      </c>
      <c r="I1038" s="3">
        <v>41.64</v>
      </c>
      <c r="J1038" s="3">
        <v>41.64</v>
      </c>
      <c r="K1038" s="3">
        <v>40.122199999999999</v>
      </c>
      <c r="L1038" s="3">
        <v>1033.6256497238301</v>
      </c>
    </row>
    <row r="1039" spans="1:12" ht="15" customHeight="1" x14ac:dyDescent="0.2">
      <c r="A1039" s="2">
        <v>44540</v>
      </c>
      <c r="B1039" s="3">
        <v>41.44</v>
      </c>
      <c r="C1039" s="1">
        <v>595178</v>
      </c>
      <c r="D1039" s="3">
        <v>0.39</v>
      </c>
      <c r="E1039" s="3">
        <v>0.95006090133982202</v>
      </c>
      <c r="F1039" s="3">
        <v>0.95005678561133</v>
      </c>
      <c r="G1039" s="3">
        <v>48.278976</v>
      </c>
      <c r="H1039" s="3">
        <v>1245.3855834808501</v>
      </c>
      <c r="I1039" s="3">
        <v>41.19</v>
      </c>
      <c r="J1039" s="3">
        <v>41.79</v>
      </c>
      <c r="K1039" s="3">
        <v>40.215000000000003</v>
      </c>
      <c r="L1039" s="3">
        <v>1054.8044966704899</v>
      </c>
    </row>
    <row r="1040" spans="1:12" ht="15" customHeight="1" x14ac:dyDescent="0.2">
      <c r="A1040" s="2">
        <v>44539</v>
      </c>
      <c r="B1040" s="3">
        <v>41.05</v>
      </c>
      <c r="C1040" s="1">
        <v>475971</v>
      </c>
      <c r="D1040" s="3">
        <v>-0.59000000000000297</v>
      </c>
      <c r="E1040" s="3">
        <v>-1.4169068203650299</v>
      </c>
      <c r="F1040" s="3">
        <v>-1.4169096272413999</v>
      </c>
      <c r="G1040" s="3">
        <v>47.824615000000001</v>
      </c>
      <c r="H1040" s="3">
        <v>1232.7239491683099</v>
      </c>
      <c r="I1040" s="3">
        <v>41.18</v>
      </c>
      <c r="J1040" s="3">
        <v>41.98</v>
      </c>
      <c r="K1040" s="3">
        <v>40.880000000000003</v>
      </c>
      <c r="L1040" s="3">
        <v>1043.9364041583799</v>
      </c>
    </row>
    <row r="1041" spans="1:12" ht="15" customHeight="1" x14ac:dyDescent="0.2">
      <c r="A1041" s="2">
        <v>44538</v>
      </c>
      <c r="B1041" s="3">
        <v>41.64</v>
      </c>
      <c r="C1041" s="1">
        <v>738353</v>
      </c>
      <c r="D1041" s="3">
        <v>1.0900000000000001</v>
      </c>
      <c r="E1041" s="3">
        <v>2.68803945745994</v>
      </c>
      <c r="F1041" s="3">
        <v>2.6880388467066498</v>
      </c>
      <c r="G1041" s="3">
        <v>48.511986</v>
      </c>
      <c r="H1041" s="3">
        <v>1251.8788507532699</v>
      </c>
      <c r="I1041" s="3">
        <v>40.98</v>
      </c>
      <c r="J1041" s="3">
        <v>42.59</v>
      </c>
      <c r="K1041" s="3">
        <v>40.6</v>
      </c>
      <c r="L1041" s="3">
        <v>1060.3778774459199</v>
      </c>
    </row>
    <row r="1042" spans="1:12" ht="15" customHeight="1" x14ac:dyDescent="0.2">
      <c r="A1042" s="2">
        <v>44537</v>
      </c>
      <c r="B1042" s="3">
        <v>40.549999999999997</v>
      </c>
      <c r="C1042" s="1">
        <v>646268</v>
      </c>
      <c r="D1042" s="3">
        <v>-0.69000000000000405</v>
      </c>
      <c r="E1042" s="3">
        <v>-1.6731328806983501</v>
      </c>
      <c r="F1042" s="3">
        <v>-1.67313703177008</v>
      </c>
      <c r="G1042" s="3">
        <v>47.242100000000001</v>
      </c>
      <c r="H1042" s="3">
        <v>1216.49105965629</v>
      </c>
      <c r="I1042" s="3">
        <v>41.9</v>
      </c>
      <c r="J1042" s="3">
        <v>42.26</v>
      </c>
      <c r="K1042" s="3">
        <v>40.21</v>
      </c>
      <c r="L1042" s="3">
        <v>1030.0029522197899</v>
      </c>
    </row>
    <row r="1043" spans="1:12" ht="15" customHeight="1" x14ac:dyDescent="0.2">
      <c r="A1043" s="2">
        <v>44536</v>
      </c>
      <c r="B1043" s="3">
        <v>41.24</v>
      </c>
      <c r="C1043" s="1">
        <v>997949</v>
      </c>
      <c r="D1043" s="3">
        <v>2.0399999999999898</v>
      </c>
      <c r="E1043" s="3">
        <v>5.2040816326530601</v>
      </c>
      <c r="F1043" s="3">
        <v>5.2040885054871904</v>
      </c>
      <c r="G1043" s="3">
        <v>48.045974999999999</v>
      </c>
      <c r="H1043" s="3">
        <v>1238.89256701056</v>
      </c>
      <c r="I1043" s="3">
        <v>39.564999999999998</v>
      </c>
      <c r="J1043" s="3">
        <v>41.435000000000002</v>
      </c>
      <c r="K1043" s="3">
        <v>39.43</v>
      </c>
      <c r="L1043" s="3">
        <v>1049.2311158950499</v>
      </c>
    </row>
    <row r="1044" spans="1:12" ht="15" customHeight="1" x14ac:dyDescent="0.2">
      <c r="A1044" s="2">
        <v>44533</v>
      </c>
      <c r="B1044" s="3">
        <v>39.200000000000003</v>
      </c>
      <c r="C1044" s="1">
        <v>1165028</v>
      </c>
      <c r="D1044" s="3">
        <v>0.109999999999999</v>
      </c>
      <c r="E1044" s="3">
        <v>0.28140189306729002</v>
      </c>
      <c r="F1044" s="3">
        <v>0.28140264354323802</v>
      </c>
      <c r="G1044" s="3">
        <v>45.669303999999997</v>
      </c>
      <c r="H1044" s="3">
        <v>1172.66210470587</v>
      </c>
      <c r="I1044" s="3">
        <v>39.049999999999997</v>
      </c>
      <c r="J1044" s="3">
        <v>39.51</v>
      </c>
      <c r="K1044" s="3">
        <v>38.064999999999998</v>
      </c>
      <c r="L1044" s="3">
        <v>992.38263198559798</v>
      </c>
    </row>
    <row r="1045" spans="1:12" ht="15" customHeight="1" x14ac:dyDescent="0.2">
      <c r="A1045" s="2">
        <v>44532</v>
      </c>
      <c r="B1045" s="3">
        <v>39.090000000000003</v>
      </c>
      <c r="C1045" s="1">
        <v>1454572</v>
      </c>
      <c r="D1045" s="3">
        <v>2.25</v>
      </c>
      <c r="E1045" s="3">
        <v>6.1074918566775098</v>
      </c>
      <c r="F1045" s="3">
        <v>6.1074873391265099</v>
      </c>
      <c r="G1045" s="3">
        <v>45.541150000000002</v>
      </c>
      <c r="H1045" s="3">
        <v>1169.0908495064</v>
      </c>
      <c r="I1045" s="3">
        <v>37.15</v>
      </c>
      <c r="J1045" s="3">
        <v>39.490699999999997</v>
      </c>
      <c r="K1045" s="3">
        <v>37.15</v>
      </c>
      <c r="L1045" s="3">
        <v>989.31727255910801</v>
      </c>
    </row>
    <row r="1046" spans="1:12" ht="15" customHeight="1" x14ac:dyDescent="0.2">
      <c r="A1046" s="2">
        <v>44531</v>
      </c>
      <c r="B1046" s="3">
        <v>36.840000000000003</v>
      </c>
      <c r="C1046" s="1">
        <v>1008382</v>
      </c>
      <c r="D1046" s="3">
        <v>-1.47999999999999</v>
      </c>
      <c r="E1046" s="3">
        <v>-3.8622129436325499</v>
      </c>
      <c r="F1046" s="3">
        <v>-3.8622058520511802</v>
      </c>
      <c r="G1046" s="3">
        <v>42.919826999999998</v>
      </c>
      <c r="H1046" s="3">
        <v>1096.04269343435</v>
      </c>
      <c r="I1046" s="3">
        <v>39.380000000000003</v>
      </c>
      <c r="J1046" s="3">
        <v>40.39</v>
      </c>
      <c r="K1046" s="3">
        <v>36.680900000000001</v>
      </c>
      <c r="L1046" s="3">
        <v>926.61673883544495</v>
      </c>
    </row>
    <row r="1047" spans="1:12" ht="15" customHeight="1" x14ac:dyDescent="0.2">
      <c r="A1047" s="2">
        <v>44530</v>
      </c>
      <c r="B1047" s="3">
        <v>38.32</v>
      </c>
      <c r="C1047" s="1">
        <v>1564628</v>
      </c>
      <c r="D1047" s="3">
        <v>-0.77000000000000302</v>
      </c>
      <c r="E1047" s="3">
        <v>-1.9698132514709701</v>
      </c>
      <c r="F1047" s="3">
        <v>-1.96981630898649</v>
      </c>
      <c r="G1047" s="3">
        <v>44.644072999999999</v>
      </c>
      <c r="H1047" s="3">
        <v>1144.09209097696</v>
      </c>
      <c r="I1047" s="3">
        <v>38.619999999999997</v>
      </c>
      <c r="J1047" s="3">
        <v>39.15</v>
      </c>
      <c r="K1047" s="3">
        <v>37.299999999999997</v>
      </c>
      <c r="L1047" s="3">
        <v>967.85975657367703</v>
      </c>
    </row>
    <row r="1048" spans="1:12" ht="15" customHeight="1" x14ac:dyDescent="0.2">
      <c r="A1048" s="2">
        <v>44529</v>
      </c>
      <c r="B1048" s="3">
        <v>39.090000000000003</v>
      </c>
      <c r="C1048" s="1">
        <v>1008134</v>
      </c>
      <c r="D1048" s="3">
        <v>-0.90999999999999603</v>
      </c>
      <c r="E1048" s="3">
        <v>-2.2749999999999901</v>
      </c>
      <c r="F1048" s="3">
        <v>-2.2749994474406501</v>
      </c>
      <c r="G1048" s="3">
        <v>45.541150000000002</v>
      </c>
      <c r="H1048" s="3">
        <v>1169.0908495064</v>
      </c>
      <c r="I1048" s="3">
        <v>40.9</v>
      </c>
      <c r="J1048" s="3">
        <v>40.909999999999997</v>
      </c>
      <c r="K1048" s="3">
        <v>38.53</v>
      </c>
      <c r="L1048" s="3">
        <v>989.31727255910801</v>
      </c>
    </row>
    <row r="1049" spans="1:12" ht="15" customHeight="1" x14ac:dyDescent="0.2">
      <c r="A1049" s="2">
        <v>44526</v>
      </c>
      <c r="B1049" s="3">
        <v>40</v>
      </c>
      <c r="C1049" s="1">
        <v>915338</v>
      </c>
      <c r="D1049" s="3">
        <v>-1.6799999999999899</v>
      </c>
      <c r="E1049" s="3">
        <v>-4.0307101727447199</v>
      </c>
      <c r="F1049" s="3">
        <v>-4.0307104494352402</v>
      </c>
      <c r="G1049" s="3">
        <v>46.601329999999997</v>
      </c>
      <c r="H1049" s="3">
        <v>1198.63478365891</v>
      </c>
      <c r="I1049" s="3">
        <v>38.950000000000003</v>
      </c>
      <c r="J1049" s="3">
        <v>40.17</v>
      </c>
      <c r="K1049" s="3">
        <v>38.21</v>
      </c>
      <c r="L1049" s="3">
        <v>1014.67615508734</v>
      </c>
    </row>
    <row r="1050" spans="1:12" ht="15" customHeight="1" x14ac:dyDescent="0.2">
      <c r="A1050" s="2">
        <v>44524</v>
      </c>
      <c r="B1050" s="3">
        <v>41.68</v>
      </c>
      <c r="C1050" s="1">
        <v>495307</v>
      </c>
      <c r="D1050" s="3">
        <v>3.0000000000001099E-2</v>
      </c>
      <c r="E1050" s="3">
        <v>7.2028811524615904E-2</v>
      </c>
      <c r="F1050" s="3">
        <v>7.2026754136888999E-2</v>
      </c>
      <c r="G1050" s="3">
        <v>48.558585999999998</v>
      </c>
      <c r="H1050" s="3">
        <v>1253.1774484739501</v>
      </c>
      <c r="I1050" s="3">
        <v>41.05</v>
      </c>
      <c r="J1050" s="3">
        <v>41.97</v>
      </c>
      <c r="K1050" s="3">
        <v>40.479999999999997</v>
      </c>
      <c r="L1050" s="3">
        <v>1061.4925536010101</v>
      </c>
    </row>
    <row r="1051" spans="1:12" ht="15" customHeight="1" x14ac:dyDescent="0.2">
      <c r="A1051" s="2">
        <v>44523</v>
      </c>
      <c r="B1051" s="3">
        <v>41.65</v>
      </c>
      <c r="C1051" s="1">
        <v>853476</v>
      </c>
      <c r="D1051" s="3">
        <v>-0.5</v>
      </c>
      <c r="E1051" s="3">
        <v>-1.1862396204033101</v>
      </c>
      <c r="F1051" s="3">
        <v>-1.1862443720140501</v>
      </c>
      <c r="G1051" s="3">
        <v>48.523636000000003</v>
      </c>
      <c r="H1051" s="3">
        <v>1252.2035001834399</v>
      </c>
      <c r="I1051" s="3">
        <v>42.5</v>
      </c>
      <c r="J1051" s="3">
        <v>42.5</v>
      </c>
      <c r="K1051" s="3">
        <v>41.04</v>
      </c>
      <c r="L1051" s="3">
        <v>1060.6565464846899</v>
      </c>
    </row>
    <row r="1052" spans="1:12" ht="15" customHeight="1" x14ac:dyDescent="0.2">
      <c r="A1052" s="2">
        <v>44522</v>
      </c>
      <c r="B1052" s="3">
        <v>42.15</v>
      </c>
      <c r="C1052" s="1">
        <v>823541</v>
      </c>
      <c r="D1052" s="3">
        <v>0.64999999999999802</v>
      </c>
      <c r="E1052" s="3">
        <v>1.56626506024095</v>
      </c>
      <c r="F1052" s="3">
        <v>1.5662720625586299</v>
      </c>
      <c r="G1052" s="3">
        <v>49.106155000000001</v>
      </c>
      <c r="H1052" s="3">
        <v>1268.43650116308</v>
      </c>
      <c r="I1052" s="3">
        <v>41.634999999999998</v>
      </c>
      <c r="J1052" s="3">
        <v>42.638100000000001</v>
      </c>
      <c r="K1052" s="3">
        <v>41.1785</v>
      </c>
      <c r="L1052" s="3">
        <v>1074.5899984232899</v>
      </c>
    </row>
    <row r="1053" spans="1:12" ht="15" customHeight="1" x14ac:dyDescent="0.2">
      <c r="A1053" s="2">
        <v>44519</v>
      </c>
      <c r="B1053" s="3">
        <v>41.5</v>
      </c>
      <c r="C1053" s="1">
        <v>856207</v>
      </c>
      <c r="D1053" s="3">
        <v>-0.59000000000000297</v>
      </c>
      <c r="E1053" s="3">
        <v>-1.40175813732479</v>
      </c>
      <c r="F1053" s="3">
        <v>-1.40175890285247</v>
      </c>
      <c r="G1053" s="3">
        <v>48.348880000000001</v>
      </c>
      <c r="H1053" s="3">
        <v>1247.3335915294799</v>
      </c>
      <c r="I1053" s="3">
        <v>41.58</v>
      </c>
      <c r="J1053" s="3">
        <v>41.64</v>
      </c>
      <c r="K1053" s="3">
        <v>40.744999999999997</v>
      </c>
      <c r="L1053" s="3">
        <v>1056.47651090312</v>
      </c>
    </row>
    <row r="1054" spans="1:12" ht="15" customHeight="1" x14ac:dyDescent="0.2">
      <c r="A1054" s="2">
        <v>44518</v>
      </c>
      <c r="B1054" s="3">
        <v>42.09</v>
      </c>
      <c r="C1054" s="1">
        <v>691388</v>
      </c>
      <c r="D1054" s="3">
        <v>-1.5899999999999901</v>
      </c>
      <c r="E1054" s="3">
        <v>-3.6401098901098701</v>
      </c>
      <c r="F1054" s="3">
        <v>-3.6401101047025</v>
      </c>
      <c r="G1054" s="3">
        <v>49.036250000000003</v>
      </c>
      <c r="H1054" s="3">
        <v>1266.48846524754</v>
      </c>
      <c r="I1054" s="3">
        <v>43.52</v>
      </c>
      <c r="J1054" s="3">
        <v>43.564999999999998</v>
      </c>
      <c r="K1054" s="3">
        <v>41.53</v>
      </c>
      <c r="L1054" s="3">
        <v>1072.91798419065</v>
      </c>
    </row>
    <row r="1055" spans="1:12" ht="15" customHeight="1" x14ac:dyDescent="0.2">
      <c r="A1055" s="2">
        <v>44517</v>
      </c>
      <c r="B1055" s="3">
        <v>43.68</v>
      </c>
      <c r="C1055" s="1">
        <v>629718</v>
      </c>
      <c r="D1055" s="3">
        <v>-0.130000000000002</v>
      </c>
      <c r="E1055" s="3">
        <v>-0.29673590504452002</v>
      </c>
      <c r="F1055" s="3">
        <v>-0.296737224772325</v>
      </c>
      <c r="G1055" s="3">
        <v>50.888652999999998</v>
      </c>
      <c r="H1055" s="3">
        <v>1318.10920159035</v>
      </c>
      <c r="I1055" s="3">
        <v>43.58</v>
      </c>
      <c r="J1055" s="3">
        <v>44.4</v>
      </c>
      <c r="K1055" s="3">
        <v>43.085000000000001</v>
      </c>
      <c r="L1055" s="3">
        <v>1117.22636135538</v>
      </c>
    </row>
    <row r="1056" spans="1:12" ht="15" customHeight="1" x14ac:dyDescent="0.2">
      <c r="A1056" s="2">
        <v>44516</v>
      </c>
      <c r="B1056" s="3">
        <v>43.81</v>
      </c>
      <c r="C1056" s="1">
        <v>685310</v>
      </c>
      <c r="D1056" s="3">
        <v>-0.90999999999999603</v>
      </c>
      <c r="E1056" s="3">
        <v>-2.0348837209302202</v>
      </c>
      <c r="F1056" s="3">
        <v>-2.03488694592679</v>
      </c>
      <c r="G1056" s="3">
        <v>51.040107999999996</v>
      </c>
      <c r="H1056" s="3">
        <v>1322.3297835170699</v>
      </c>
      <c r="I1056" s="3">
        <v>44.42</v>
      </c>
      <c r="J1056" s="3">
        <v>44.84</v>
      </c>
      <c r="K1056" s="3">
        <v>43.78</v>
      </c>
      <c r="L1056" s="3">
        <v>1120.84905885941</v>
      </c>
    </row>
    <row r="1057" spans="1:12" ht="15" customHeight="1" x14ac:dyDescent="0.2">
      <c r="A1057" s="2">
        <v>44515</v>
      </c>
      <c r="B1057" s="3">
        <v>44.72</v>
      </c>
      <c r="C1057" s="1">
        <v>770504</v>
      </c>
      <c r="D1057" s="3">
        <v>0.42999999999999899</v>
      </c>
      <c r="E1057" s="3">
        <v>0.970873786407766</v>
      </c>
      <c r="F1057" s="3">
        <v>0.97087901715300295</v>
      </c>
      <c r="G1057" s="3">
        <v>52.100290000000001</v>
      </c>
      <c r="H1057" s="3">
        <v>1351.87377340339</v>
      </c>
      <c r="I1057" s="3">
        <v>44.98</v>
      </c>
      <c r="J1057" s="3">
        <v>45.39</v>
      </c>
      <c r="K1057" s="3">
        <v>44.51</v>
      </c>
      <c r="L1057" s="3">
        <v>1146.20794138765</v>
      </c>
    </row>
    <row r="1058" spans="1:12" ht="15" customHeight="1" x14ac:dyDescent="0.2">
      <c r="A1058" s="2">
        <v>44512</v>
      </c>
      <c r="B1058" s="3">
        <v>44.29</v>
      </c>
      <c r="C1058" s="1">
        <v>622226</v>
      </c>
      <c r="D1058" s="3">
        <v>-0.160000000000003</v>
      </c>
      <c r="E1058" s="3">
        <v>-0.35995500562430099</v>
      </c>
      <c r="F1058" s="3">
        <v>-0.35995823559888901</v>
      </c>
      <c r="G1058" s="3">
        <v>51.599322999999998</v>
      </c>
      <c r="H1058" s="3">
        <v>1337.9133741687499</v>
      </c>
      <c r="I1058" s="3">
        <v>44.25</v>
      </c>
      <c r="J1058" s="3">
        <v>44.61</v>
      </c>
      <c r="K1058" s="3">
        <v>43.65</v>
      </c>
      <c r="L1058" s="3">
        <v>1134.22517272046</v>
      </c>
    </row>
    <row r="1059" spans="1:12" ht="15" customHeight="1" x14ac:dyDescent="0.2">
      <c r="A1059" s="2">
        <v>44511</v>
      </c>
      <c r="B1059" s="3">
        <v>44.45</v>
      </c>
      <c r="C1059" s="1">
        <v>488138</v>
      </c>
      <c r="D1059" s="3">
        <v>-0.64999999999999802</v>
      </c>
      <c r="E1059" s="3">
        <v>-1.4412416851441201</v>
      </c>
      <c r="F1059" s="3">
        <v>-1.44123860457149</v>
      </c>
      <c r="G1059" s="3">
        <v>51.785730000000001</v>
      </c>
      <c r="H1059" s="3">
        <v>1343.10796011978</v>
      </c>
      <c r="I1059" s="3">
        <v>45</v>
      </c>
      <c r="J1059" s="3">
        <v>45.65</v>
      </c>
      <c r="K1059" s="3">
        <v>44.3202</v>
      </c>
      <c r="L1059" s="3">
        <v>1138.6838773408101</v>
      </c>
    </row>
    <row r="1060" spans="1:12" ht="15" customHeight="1" x14ac:dyDescent="0.2">
      <c r="A1060" s="2">
        <v>44510</v>
      </c>
      <c r="B1060" s="3">
        <v>45.1</v>
      </c>
      <c r="C1060" s="1">
        <v>858790</v>
      </c>
      <c r="D1060" s="3">
        <v>-0.28000000000000103</v>
      </c>
      <c r="E1060" s="3">
        <v>-0.61701189951520696</v>
      </c>
      <c r="F1060" s="3">
        <v>-0.617013191610016</v>
      </c>
      <c r="G1060" s="3">
        <v>52.542999999999999</v>
      </c>
      <c r="H1060" s="3">
        <v>1364.2107304188601</v>
      </c>
      <c r="I1060" s="3">
        <v>45.01</v>
      </c>
      <c r="J1060" s="3">
        <v>45.4</v>
      </c>
      <c r="K1060" s="3">
        <v>44.22</v>
      </c>
      <c r="L1060" s="3">
        <v>1156.79736486098</v>
      </c>
    </row>
    <row r="1061" spans="1:12" ht="15" customHeight="1" x14ac:dyDescent="0.2">
      <c r="A1061" s="2">
        <v>44509</v>
      </c>
      <c r="B1061" s="3">
        <v>45.38</v>
      </c>
      <c r="C1061" s="1">
        <v>812221</v>
      </c>
      <c r="D1061" s="3">
        <v>0.28000000000000103</v>
      </c>
      <c r="E1061" s="3">
        <v>0.62084257206209603</v>
      </c>
      <c r="F1061" s="3">
        <v>0.62084388025047599</v>
      </c>
      <c r="G1061" s="3">
        <v>52.869210000000002</v>
      </c>
      <c r="H1061" s="3">
        <v>1373.30119313263</v>
      </c>
      <c r="I1061" s="3">
        <v>45.39</v>
      </c>
      <c r="J1061" s="3">
        <v>45.42</v>
      </c>
      <c r="K1061" s="3">
        <v>44.18</v>
      </c>
      <c r="L1061" s="3">
        <v>1164.60009794659</v>
      </c>
    </row>
    <row r="1062" spans="1:12" ht="15" customHeight="1" x14ac:dyDescent="0.2">
      <c r="A1062" s="2">
        <v>44508</v>
      </c>
      <c r="B1062" s="3">
        <v>45.1</v>
      </c>
      <c r="C1062" s="1">
        <v>1209296</v>
      </c>
      <c r="D1062" s="3">
        <v>-1.5</v>
      </c>
      <c r="E1062" s="3">
        <v>-3.21888412017167</v>
      </c>
      <c r="F1062" s="3">
        <v>-3.2188771871994</v>
      </c>
      <c r="G1062" s="3">
        <v>52.542999999999999</v>
      </c>
      <c r="H1062" s="3">
        <v>1364.2107304188601</v>
      </c>
      <c r="I1062" s="3">
        <v>46.57</v>
      </c>
      <c r="J1062" s="3">
        <v>47.17</v>
      </c>
      <c r="K1062" s="3">
        <v>44.9</v>
      </c>
      <c r="L1062" s="3">
        <v>1156.79736486098</v>
      </c>
    </row>
    <row r="1063" spans="1:12" ht="15" customHeight="1" x14ac:dyDescent="0.2">
      <c r="A1063" s="2">
        <v>44505</v>
      </c>
      <c r="B1063" s="3">
        <v>46.6</v>
      </c>
      <c r="C1063" s="1">
        <v>2204836</v>
      </c>
      <c r="D1063" s="3">
        <v>3.1099999999999901</v>
      </c>
      <c r="E1063" s="3">
        <v>7.1510692113129402</v>
      </c>
      <c r="F1063" s="3">
        <v>7.1510603772685997</v>
      </c>
      <c r="G1063" s="3">
        <v>54.290545999999999</v>
      </c>
      <c r="H1063" s="3">
        <v>1412.90942682181</v>
      </c>
      <c r="I1063" s="3">
        <v>44.92</v>
      </c>
      <c r="J1063" s="3">
        <v>46.85</v>
      </c>
      <c r="K1063" s="3">
        <v>44.85</v>
      </c>
      <c r="L1063" s="3">
        <v>1198.59772067675</v>
      </c>
    </row>
    <row r="1064" spans="1:12" ht="15" customHeight="1" x14ac:dyDescent="0.2">
      <c r="A1064" s="2">
        <v>44504</v>
      </c>
      <c r="B1064" s="3">
        <v>43.49</v>
      </c>
      <c r="C1064" s="1">
        <v>1878855</v>
      </c>
      <c r="D1064" s="3">
        <v>0.84000000000000297</v>
      </c>
      <c r="E1064" s="3">
        <v>1.9695193434935601</v>
      </c>
      <c r="F1064" s="3">
        <v>1.9695173970243101</v>
      </c>
      <c r="G1064" s="3">
        <v>50.667296999999998</v>
      </c>
      <c r="H1064" s="3">
        <v>1311.9406952157101</v>
      </c>
      <c r="I1064" s="3">
        <v>43.68</v>
      </c>
      <c r="J1064" s="3">
        <v>44.14</v>
      </c>
      <c r="K1064" s="3">
        <v>42.670099999999998</v>
      </c>
      <c r="L1064" s="3">
        <v>1111.93164961871</v>
      </c>
    </row>
    <row r="1065" spans="1:12" ht="15" customHeight="1" x14ac:dyDescent="0.2">
      <c r="A1065" s="2">
        <v>44503</v>
      </c>
      <c r="B1065" s="3">
        <v>42.65</v>
      </c>
      <c r="C1065" s="1">
        <v>1697986</v>
      </c>
      <c r="D1065" s="3">
        <v>1.51999999999999</v>
      </c>
      <c r="E1065" s="3">
        <v>3.69559931923169</v>
      </c>
      <c r="F1065" s="3">
        <v>3.6955980050845398</v>
      </c>
      <c r="G1065" s="3">
        <v>49.688670000000002</v>
      </c>
      <c r="H1065" s="3">
        <v>1284.66939067509</v>
      </c>
      <c r="I1065" s="3">
        <v>41.21</v>
      </c>
      <c r="J1065" s="3">
        <v>43.4</v>
      </c>
      <c r="K1065" s="3">
        <v>41.1</v>
      </c>
      <c r="L1065" s="3">
        <v>1088.5234503618799</v>
      </c>
    </row>
    <row r="1066" spans="1:12" ht="15" customHeight="1" x14ac:dyDescent="0.2">
      <c r="A1066" s="2">
        <v>44502</v>
      </c>
      <c r="B1066" s="3">
        <v>41.13</v>
      </c>
      <c r="C1066" s="1">
        <v>1593924</v>
      </c>
      <c r="D1066" s="3">
        <v>-1.3299999999999901</v>
      </c>
      <c r="E1066" s="3">
        <v>-3.1323598681111502</v>
      </c>
      <c r="F1066" s="3">
        <v>-3.1323514458336099</v>
      </c>
      <c r="G1066" s="3">
        <v>47.917819999999999</v>
      </c>
      <c r="H1066" s="3">
        <v>1235.3212839441801</v>
      </c>
      <c r="I1066" s="3">
        <v>42.19</v>
      </c>
      <c r="J1066" s="3">
        <v>42.45</v>
      </c>
      <c r="K1066" s="3">
        <v>40.28</v>
      </c>
      <c r="L1066" s="3">
        <v>1046.1657564685599</v>
      </c>
    </row>
    <row r="1067" spans="1:12" ht="15" customHeight="1" x14ac:dyDescent="0.2">
      <c r="A1067" s="2">
        <v>44501</v>
      </c>
      <c r="B1067" s="3">
        <v>42.46</v>
      </c>
      <c r="C1067" s="1">
        <v>988908</v>
      </c>
      <c r="D1067" s="3">
        <v>1.82</v>
      </c>
      <c r="E1067" s="3">
        <v>4.4783464566929103</v>
      </c>
      <c r="F1067" s="3">
        <v>4.4783454900473902</v>
      </c>
      <c r="G1067" s="3">
        <v>49.467309999999998</v>
      </c>
      <c r="H1067" s="3">
        <v>1278.5007728328401</v>
      </c>
      <c r="I1067" s="3">
        <v>41.03</v>
      </c>
      <c r="J1067" s="3">
        <v>42.716500000000003</v>
      </c>
      <c r="K1067" s="3">
        <v>40.69</v>
      </c>
      <c r="L1067" s="3">
        <v>1083.2287386252101</v>
      </c>
    </row>
    <row r="1068" spans="1:12" ht="15" customHeight="1" x14ac:dyDescent="0.2">
      <c r="A1068" s="2">
        <v>44498</v>
      </c>
      <c r="B1068" s="3">
        <v>40.64</v>
      </c>
      <c r="C1068" s="1">
        <v>976420</v>
      </c>
      <c r="D1068" s="3">
        <v>-0.53999999999999904</v>
      </c>
      <c r="E1068" s="3">
        <v>-1.31131617289946</v>
      </c>
      <c r="F1068" s="3">
        <v>-1.3113204145316499</v>
      </c>
      <c r="G1068" s="3">
        <v>47.34695</v>
      </c>
      <c r="H1068" s="3">
        <v>1219.41290452782</v>
      </c>
      <c r="I1068" s="3">
        <v>40.99</v>
      </c>
      <c r="J1068" s="3">
        <v>41.96</v>
      </c>
      <c r="K1068" s="3">
        <v>40.369999999999997</v>
      </c>
      <c r="L1068" s="3">
        <v>1032.5109735687399</v>
      </c>
    </row>
    <row r="1069" spans="1:12" ht="15" customHeight="1" x14ac:dyDescent="0.2">
      <c r="A1069" s="2">
        <v>44497</v>
      </c>
      <c r="B1069" s="3">
        <v>41.18</v>
      </c>
      <c r="C1069" s="1">
        <v>798941</v>
      </c>
      <c r="D1069" s="3">
        <v>7.9999999999998295E-2</v>
      </c>
      <c r="E1069" s="3">
        <v>0.19464720194646201</v>
      </c>
      <c r="F1069" s="3">
        <v>0.19465000277969399</v>
      </c>
      <c r="G1069" s="3">
        <v>47.97607</v>
      </c>
      <c r="H1069" s="3">
        <v>1236.94453109503</v>
      </c>
      <c r="I1069" s="3">
        <v>41.21</v>
      </c>
      <c r="J1069" s="3">
        <v>41.445</v>
      </c>
      <c r="K1069" s="3">
        <v>40.933999999999997</v>
      </c>
      <c r="L1069" s="3">
        <v>1047.5591016624201</v>
      </c>
    </row>
    <row r="1070" spans="1:12" ht="15" customHeight="1" x14ac:dyDescent="0.2">
      <c r="A1070" s="2">
        <v>44496</v>
      </c>
      <c r="B1070" s="3">
        <v>41.1</v>
      </c>
      <c r="C1070" s="1">
        <v>681197</v>
      </c>
      <c r="D1070" s="3">
        <v>-0.78000000000000103</v>
      </c>
      <c r="E1070" s="3">
        <v>-1.86246418338109</v>
      </c>
      <c r="F1070" s="3">
        <v>-1.86247037015289</v>
      </c>
      <c r="G1070" s="3">
        <v>47.882866</v>
      </c>
      <c r="H1070" s="3">
        <v>1234.34722418606</v>
      </c>
      <c r="I1070" s="3">
        <v>41.87</v>
      </c>
      <c r="J1070" s="3">
        <v>42.06</v>
      </c>
      <c r="K1070" s="3">
        <v>41.085000000000001</v>
      </c>
      <c r="L1070" s="3">
        <v>1045.32974935224</v>
      </c>
    </row>
    <row r="1071" spans="1:12" ht="15" customHeight="1" x14ac:dyDescent="0.2">
      <c r="A1071" s="2">
        <v>44495</v>
      </c>
      <c r="B1071" s="3">
        <v>41.88</v>
      </c>
      <c r="C1071" s="1">
        <v>695034</v>
      </c>
      <c r="D1071" s="3">
        <v>-2.9999999999994E-2</v>
      </c>
      <c r="E1071" s="3">
        <v>-7.1581961345723505E-2</v>
      </c>
      <c r="F1071" s="3">
        <v>-7.1581962811784194E-2</v>
      </c>
      <c r="G1071" s="3">
        <v>48.791595000000001</v>
      </c>
      <c r="H1071" s="3">
        <v>1259.6706878794701</v>
      </c>
      <c r="I1071" s="3">
        <v>41.92</v>
      </c>
      <c r="J1071" s="3">
        <v>42.5</v>
      </c>
      <c r="K1071" s="3">
        <v>41.41</v>
      </c>
      <c r="L1071" s="3">
        <v>1067.0659343764501</v>
      </c>
    </row>
    <row r="1072" spans="1:12" ht="15" customHeight="1" x14ac:dyDescent="0.2">
      <c r="A1072" s="2">
        <v>44494</v>
      </c>
      <c r="B1072" s="3">
        <v>41.91</v>
      </c>
      <c r="C1072" s="1">
        <v>910229</v>
      </c>
      <c r="D1072" s="3">
        <v>-0.440000000000004</v>
      </c>
      <c r="E1072" s="3">
        <v>-1.03896103896105</v>
      </c>
      <c r="F1072" s="3">
        <v>-1.0389537056743801</v>
      </c>
      <c r="G1072" s="3">
        <v>48.826546</v>
      </c>
      <c r="H1072" s="3">
        <v>1260.6446640368799</v>
      </c>
      <c r="I1072" s="3">
        <v>42.38</v>
      </c>
      <c r="J1072" s="3">
        <v>42.469900000000003</v>
      </c>
      <c r="K1072" s="3">
        <v>41.46</v>
      </c>
      <c r="L1072" s="3">
        <v>1067.90194149276</v>
      </c>
    </row>
    <row r="1073" spans="1:12" ht="15" customHeight="1" x14ac:dyDescent="0.2">
      <c r="A1073" s="2">
        <v>44491</v>
      </c>
      <c r="B1073" s="3">
        <v>42.35</v>
      </c>
      <c r="C1073" s="1">
        <v>1059604</v>
      </c>
      <c r="D1073" s="3">
        <v>1.05</v>
      </c>
      <c r="E1073" s="3">
        <v>2.5423728813559401</v>
      </c>
      <c r="F1073" s="3">
        <v>2.5423773902456701</v>
      </c>
      <c r="G1073" s="3">
        <v>49.339157</v>
      </c>
      <c r="H1073" s="3">
        <v>1274.92954550027</v>
      </c>
      <c r="I1073" s="3">
        <v>41.1</v>
      </c>
      <c r="J1073" s="3">
        <v>42.515000000000001</v>
      </c>
      <c r="K1073" s="3">
        <v>40.700000000000003</v>
      </c>
      <c r="L1073" s="3">
        <v>1080.1633791987199</v>
      </c>
    </row>
    <row r="1074" spans="1:12" ht="15" customHeight="1" x14ac:dyDescent="0.2">
      <c r="A1074" s="2">
        <v>44490</v>
      </c>
      <c r="B1074" s="3">
        <v>41.3</v>
      </c>
      <c r="C1074" s="1">
        <v>1086047</v>
      </c>
      <c r="D1074" s="3">
        <v>-0.190000000000004</v>
      </c>
      <c r="E1074" s="3">
        <v>-0.45794167269223002</v>
      </c>
      <c r="F1074" s="3">
        <v>-0.45794928670922402</v>
      </c>
      <c r="G1074" s="3">
        <v>48.115870000000001</v>
      </c>
      <c r="H1074" s="3">
        <v>1240.84032425706</v>
      </c>
      <c r="I1074" s="3">
        <v>41.15</v>
      </c>
      <c r="J1074" s="3">
        <v>41.97</v>
      </c>
      <c r="K1074" s="3">
        <v>40.700000000000003</v>
      </c>
      <c r="L1074" s="3">
        <v>1050.90313012768</v>
      </c>
    </row>
    <row r="1075" spans="1:12" ht="15" customHeight="1" x14ac:dyDescent="0.2">
      <c r="A1075" s="2">
        <v>44489</v>
      </c>
      <c r="B1075" s="3">
        <v>41.49</v>
      </c>
      <c r="C1075" s="1">
        <v>2121676</v>
      </c>
      <c r="D1075" s="3">
        <v>-1.1299999999999899</v>
      </c>
      <c r="E1075" s="3">
        <v>-2.65133740028155</v>
      </c>
      <c r="F1075" s="3">
        <v>-2.65133625343698</v>
      </c>
      <c r="G1075" s="3">
        <v>48.337229999999998</v>
      </c>
      <c r="H1075" s="3">
        <v>1247.0089420993099</v>
      </c>
      <c r="I1075" s="3">
        <v>40.98</v>
      </c>
      <c r="J1075" s="3">
        <v>43.49</v>
      </c>
      <c r="K1075" s="3">
        <v>40.56</v>
      </c>
      <c r="L1075" s="3">
        <v>1056.19784186434</v>
      </c>
    </row>
    <row r="1076" spans="1:12" ht="15" customHeight="1" x14ac:dyDescent="0.2">
      <c r="A1076" s="2">
        <v>44488</v>
      </c>
      <c r="B1076" s="3">
        <v>42.62</v>
      </c>
      <c r="C1076" s="1">
        <v>686085</v>
      </c>
      <c r="D1076" s="3">
        <v>-0.45000000000000201</v>
      </c>
      <c r="E1076" s="3">
        <v>-1.0448107731599701</v>
      </c>
      <c r="F1076" s="3">
        <v>-1.04481084950766</v>
      </c>
      <c r="G1076" s="3">
        <v>49.653717</v>
      </c>
      <c r="H1076" s="3">
        <v>1283.69535878387</v>
      </c>
      <c r="I1076" s="3">
        <v>42.94</v>
      </c>
      <c r="J1076" s="3">
        <v>43.21</v>
      </c>
      <c r="K1076" s="3">
        <v>42.384999999999998</v>
      </c>
      <c r="L1076" s="3">
        <v>1087.68744324556</v>
      </c>
    </row>
    <row r="1077" spans="1:12" ht="15" customHeight="1" x14ac:dyDescent="0.2">
      <c r="A1077" s="2">
        <v>44487</v>
      </c>
      <c r="B1077" s="3">
        <v>43.07</v>
      </c>
      <c r="C1077" s="1">
        <v>815773</v>
      </c>
      <c r="D1077" s="3">
        <v>3.0000000000001099E-2</v>
      </c>
      <c r="E1077" s="3">
        <v>6.9702602230492502E-2</v>
      </c>
      <c r="F1077" s="3">
        <v>6.9700611642309299E-2</v>
      </c>
      <c r="G1077" s="3">
        <v>50.177982</v>
      </c>
      <c r="H1077" s="3">
        <v>1298.30500114505</v>
      </c>
      <c r="I1077" s="3">
        <v>42.63</v>
      </c>
      <c r="J1077" s="3">
        <v>43.39</v>
      </c>
      <c r="K1077" s="3">
        <v>42.02</v>
      </c>
      <c r="L1077" s="3">
        <v>1100.2275499902901</v>
      </c>
    </row>
    <row r="1078" spans="1:12" ht="15" customHeight="1" x14ac:dyDescent="0.2">
      <c r="A1078" s="2">
        <v>44484</v>
      </c>
      <c r="B1078" s="3">
        <v>43.04</v>
      </c>
      <c r="C1078" s="1">
        <v>1045048</v>
      </c>
      <c r="D1078" s="3">
        <v>-1.2</v>
      </c>
      <c r="E1078" s="3">
        <v>-2.7124773960217001</v>
      </c>
      <c r="F1078" s="3">
        <v>-2.7124794239343699</v>
      </c>
      <c r="G1078" s="3">
        <v>50.143031999999998</v>
      </c>
      <c r="H1078" s="3">
        <v>1297.3310528545401</v>
      </c>
      <c r="I1078" s="3">
        <v>44.99</v>
      </c>
      <c r="J1078" s="3">
        <v>45.33</v>
      </c>
      <c r="K1078" s="3">
        <v>42.86</v>
      </c>
      <c r="L1078" s="3">
        <v>1099.3915428739799</v>
      </c>
    </row>
    <row r="1079" spans="1:12" ht="15" customHeight="1" x14ac:dyDescent="0.2">
      <c r="A1079" s="2">
        <v>44483</v>
      </c>
      <c r="B1079" s="3">
        <v>44.24</v>
      </c>
      <c r="C1079" s="1">
        <v>977317</v>
      </c>
      <c r="D1079" s="3">
        <v>0.310000000000002</v>
      </c>
      <c r="E1079" s="3">
        <v>0.70566810835419602</v>
      </c>
      <c r="F1079" s="3">
        <v>0.70566747544098496</v>
      </c>
      <c r="G1079" s="3">
        <v>51.541072999999997</v>
      </c>
      <c r="H1079" s="3">
        <v>1336.2901270179</v>
      </c>
      <c r="I1079" s="3">
        <v>44.07</v>
      </c>
      <c r="J1079" s="3">
        <v>44.5</v>
      </c>
      <c r="K1079" s="3">
        <v>43.55</v>
      </c>
      <c r="L1079" s="3">
        <v>1132.8318275265999</v>
      </c>
    </row>
    <row r="1080" spans="1:12" ht="15" customHeight="1" x14ac:dyDescent="0.2">
      <c r="A1080" s="2">
        <v>44482</v>
      </c>
      <c r="B1080" s="3">
        <v>43.93</v>
      </c>
      <c r="C1080" s="1">
        <v>1094632</v>
      </c>
      <c r="D1080" s="3">
        <v>-1.5499999999999901</v>
      </c>
      <c r="E1080" s="3">
        <v>-3.4080914687774699</v>
      </c>
      <c r="F1080" s="3">
        <v>-3.4080903392185999</v>
      </c>
      <c r="G1080" s="3">
        <v>51.179912999999999</v>
      </c>
      <c r="H1080" s="3">
        <v>1326.2257160136201</v>
      </c>
      <c r="I1080" s="3">
        <v>45.4</v>
      </c>
      <c r="J1080" s="3">
        <v>45.4</v>
      </c>
      <c r="K1080" s="3">
        <v>43.6</v>
      </c>
      <c r="L1080" s="3">
        <v>1124.1930873246699</v>
      </c>
    </row>
    <row r="1081" spans="1:12" ht="15" customHeight="1" x14ac:dyDescent="0.2">
      <c r="A1081" s="2">
        <v>44481</v>
      </c>
      <c r="B1081" s="3">
        <v>45.48</v>
      </c>
      <c r="C1081" s="1">
        <v>679725</v>
      </c>
      <c r="D1081" s="3">
        <v>0.26999999999999602</v>
      </c>
      <c r="E1081" s="3">
        <v>0.59721300597213001</v>
      </c>
      <c r="F1081" s="3">
        <v>0.59721493856010799</v>
      </c>
      <c r="G1081" s="3">
        <v>52.985714000000002</v>
      </c>
      <c r="H1081" s="3">
        <v>1376.54779890194</v>
      </c>
      <c r="I1081" s="3">
        <v>45.21</v>
      </c>
      <c r="J1081" s="3">
        <v>45.96</v>
      </c>
      <c r="K1081" s="3">
        <v>44.2</v>
      </c>
      <c r="L1081" s="3">
        <v>1167.38678833431</v>
      </c>
    </row>
    <row r="1082" spans="1:12" ht="15" customHeight="1" x14ac:dyDescent="0.2">
      <c r="A1082" s="2">
        <v>44480</v>
      </c>
      <c r="B1082" s="3">
        <v>45.21</v>
      </c>
      <c r="C1082" s="1">
        <v>517909.99999999901</v>
      </c>
      <c r="D1082" s="3">
        <v>-0.24000000000000199</v>
      </c>
      <c r="E1082" s="3">
        <v>-0.528052805280532</v>
      </c>
      <c r="F1082" s="3">
        <v>-0.52805659234680302</v>
      </c>
      <c r="G1082" s="3">
        <v>52.671154000000001</v>
      </c>
      <c r="H1082" s="3">
        <v>1367.7819856183301</v>
      </c>
      <c r="I1082" s="3">
        <v>45.73</v>
      </c>
      <c r="J1082" s="3">
        <v>46.71</v>
      </c>
      <c r="K1082" s="3">
        <v>45.12</v>
      </c>
      <c r="L1082" s="3">
        <v>1159.86272428747</v>
      </c>
    </row>
    <row r="1083" spans="1:12" ht="15" customHeight="1" x14ac:dyDescent="0.2">
      <c r="A1083" s="2">
        <v>44477</v>
      </c>
      <c r="B1083" s="3">
        <v>45.45</v>
      </c>
      <c r="C1083" s="1">
        <v>561227</v>
      </c>
      <c r="D1083" s="3">
        <v>-1.1299999999999899</v>
      </c>
      <c r="E1083" s="3">
        <v>-2.4259338772004999</v>
      </c>
      <c r="F1083" s="3">
        <v>-2.4259309251896699</v>
      </c>
      <c r="G1083" s="3">
        <v>52.950763999999999</v>
      </c>
      <c r="H1083" s="3">
        <v>1375.5738506114301</v>
      </c>
      <c r="I1083" s="3">
        <v>46.44</v>
      </c>
      <c r="J1083" s="3">
        <v>46.55</v>
      </c>
      <c r="K1083" s="3">
        <v>45.33</v>
      </c>
      <c r="L1083" s="3">
        <v>1166.5507812179901</v>
      </c>
    </row>
    <row r="1084" spans="1:12" ht="15" customHeight="1" x14ac:dyDescent="0.2">
      <c r="A1084" s="2">
        <v>44476</v>
      </c>
      <c r="B1084" s="3">
        <v>46.58</v>
      </c>
      <c r="C1084" s="1">
        <v>622016</v>
      </c>
      <c r="D1084" s="3">
        <v>-0.23000000000000301</v>
      </c>
      <c r="E1084" s="3">
        <v>-0.49134800256356298</v>
      </c>
      <c r="F1084" s="3">
        <v>-0.491352284148172</v>
      </c>
      <c r="G1084" s="3">
        <v>54.267249999999997</v>
      </c>
      <c r="H1084" s="3">
        <v>1412.26023942909</v>
      </c>
      <c r="I1084" s="3">
        <v>47.01</v>
      </c>
      <c r="J1084" s="3">
        <v>47.5</v>
      </c>
      <c r="K1084" s="3">
        <v>46.19</v>
      </c>
      <c r="L1084" s="3">
        <v>1198.04038259921</v>
      </c>
    </row>
    <row r="1085" spans="1:12" ht="15" customHeight="1" x14ac:dyDescent="0.2">
      <c r="A1085" s="2">
        <v>44475</v>
      </c>
      <c r="B1085" s="3">
        <v>46.81</v>
      </c>
      <c r="C1085" s="1">
        <v>856123</v>
      </c>
      <c r="D1085" s="3">
        <v>0.17999999999999899</v>
      </c>
      <c r="E1085" s="3">
        <v>0.38601758524554602</v>
      </c>
      <c r="F1085" s="3">
        <v>0.38602497906139399</v>
      </c>
      <c r="G1085" s="3">
        <v>54.535209999999999</v>
      </c>
      <c r="H1085" s="3">
        <v>1419.7274549920201</v>
      </c>
      <c r="I1085" s="3">
        <v>45.75</v>
      </c>
      <c r="J1085" s="3">
        <v>46.99</v>
      </c>
      <c r="K1085" s="3">
        <v>44.765000000000001</v>
      </c>
      <c r="L1085" s="3">
        <v>1204.44977049096</v>
      </c>
    </row>
    <row r="1086" spans="1:12" ht="15" customHeight="1" x14ac:dyDescent="0.2">
      <c r="A1086" s="2">
        <v>44474</v>
      </c>
      <c r="B1086" s="3">
        <v>46.63</v>
      </c>
      <c r="C1086" s="1">
        <v>1149395</v>
      </c>
      <c r="D1086" s="3">
        <v>-1.8099999999999901</v>
      </c>
      <c r="E1086" s="3">
        <v>-3.7365813377373902</v>
      </c>
      <c r="F1086" s="3">
        <v>-3.73657764453786</v>
      </c>
      <c r="G1086" s="3">
        <v>54.325499999999998</v>
      </c>
      <c r="H1086" s="3">
        <v>1413.8834865799399</v>
      </c>
      <c r="I1086" s="3">
        <v>48.33</v>
      </c>
      <c r="J1086" s="3">
        <v>48.52</v>
      </c>
      <c r="K1086" s="3">
        <v>46.59</v>
      </c>
      <c r="L1086" s="3">
        <v>1199.4337277930699</v>
      </c>
    </row>
    <row r="1087" spans="1:12" ht="15" customHeight="1" x14ac:dyDescent="0.2">
      <c r="A1087" s="2">
        <v>44473</v>
      </c>
      <c r="B1087" s="3">
        <v>48.44</v>
      </c>
      <c r="C1087" s="1">
        <v>851604</v>
      </c>
      <c r="D1087" s="3">
        <v>-0.95000000000000195</v>
      </c>
      <c r="E1087" s="3">
        <v>-1.9234662887224101</v>
      </c>
      <c r="F1087" s="3">
        <v>-1.92347219311979</v>
      </c>
      <c r="G1087" s="3">
        <v>56.434207999999998</v>
      </c>
      <c r="H1087" s="3">
        <v>1472.6466497209799</v>
      </c>
      <c r="I1087" s="3">
        <v>49.094999999999999</v>
      </c>
      <c r="J1087" s="3">
        <v>49.445</v>
      </c>
      <c r="K1087" s="3">
        <v>48.055</v>
      </c>
      <c r="L1087" s="3">
        <v>1249.8728238107699</v>
      </c>
    </row>
    <row r="1088" spans="1:12" ht="15" customHeight="1" x14ac:dyDescent="0.2">
      <c r="A1088" s="2">
        <v>44470</v>
      </c>
      <c r="B1088" s="3">
        <v>49.39</v>
      </c>
      <c r="C1088" s="1">
        <v>1181565</v>
      </c>
      <c r="D1088" s="3">
        <v>2.39</v>
      </c>
      <c r="E1088" s="3">
        <v>5.0851063829787204</v>
      </c>
      <c r="F1088" s="3">
        <v>5.0851034939828503</v>
      </c>
      <c r="G1088" s="3">
        <v>57.540993</v>
      </c>
      <c r="H1088" s="3">
        <v>1503.4893209286899</v>
      </c>
      <c r="I1088" s="3">
        <v>48.25</v>
      </c>
      <c r="J1088" s="3">
        <v>50.04</v>
      </c>
      <c r="K1088" s="3">
        <v>48</v>
      </c>
      <c r="L1088" s="3">
        <v>1276.3463824941</v>
      </c>
    </row>
    <row r="1089" spans="1:12" ht="15" customHeight="1" x14ac:dyDescent="0.2">
      <c r="A1089" s="2">
        <v>44469</v>
      </c>
      <c r="B1089" s="3">
        <v>47</v>
      </c>
      <c r="C1089" s="1">
        <v>933093</v>
      </c>
      <c r="D1089" s="3">
        <v>-0.59000000000000297</v>
      </c>
      <c r="E1089" s="3">
        <v>-1.2397562513133</v>
      </c>
      <c r="F1089" s="3">
        <v>-1.2397479760182899</v>
      </c>
      <c r="G1089" s="3">
        <v>54.756565000000002</v>
      </c>
      <c r="H1089" s="3">
        <v>1425.8959334997501</v>
      </c>
      <c r="I1089" s="3">
        <v>47.51</v>
      </c>
      <c r="J1089" s="3">
        <v>47.58</v>
      </c>
      <c r="K1089" s="3">
        <v>45.66</v>
      </c>
      <c r="L1089" s="3">
        <v>1209.74448222763</v>
      </c>
    </row>
    <row r="1090" spans="1:12" ht="15" customHeight="1" x14ac:dyDescent="0.2">
      <c r="A1090" s="2">
        <v>44468</v>
      </c>
      <c r="B1090" s="3">
        <v>47.59</v>
      </c>
      <c r="C1090" s="1">
        <v>505294</v>
      </c>
      <c r="D1090" s="3">
        <v>-1.0699999999999901</v>
      </c>
      <c r="E1090" s="3">
        <v>-2.1989313604603198</v>
      </c>
      <c r="F1090" s="3">
        <v>-2.1989339063533202</v>
      </c>
      <c r="G1090" s="3">
        <v>55.443930000000002</v>
      </c>
      <c r="H1090" s="3">
        <v>1445.0506678832901</v>
      </c>
      <c r="I1090" s="3">
        <v>49.07</v>
      </c>
      <c r="J1090" s="3">
        <v>49.42</v>
      </c>
      <c r="K1090" s="3">
        <v>47.54</v>
      </c>
      <c r="L1090" s="3">
        <v>1226.18595551516</v>
      </c>
    </row>
    <row r="1091" spans="1:12" ht="15" customHeight="1" x14ac:dyDescent="0.2">
      <c r="A1091" s="2">
        <v>44467</v>
      </c>
      <c r="B1091" s="3">
        <v>48.66</v>
      </c>
      <c r="C1091" s="1">
        <v>834172</v>
      </c>
      <c r="D1091" s="3">
        <v>-1.1599999999999999</v>
      </c>
      <c r="E1091" s="3">
        <v>-2.3283821758330099</v>
      </c>
      <c r="F1091" s="3">
        <v>-2.3283863028879899</v>
      </c>
      <c r="G1091" s="3">
        <v>56.690517</v>
      </c>
      <c r="H1091" s="3">
        <v>1479.78918798684</v>
      </c>
      <c r="I1091" s="3">
        <v>49.3</v>
      </c>
      <c r="J1091" s="3">
        <v>50.24</v>
      </c>
      <c r="K1091" s="3">
        <v>48.44</v>
      </c>
      <c r="L1091" s="3">
        <v>1256.0035426637501</v>
      </c>
    </row>
    <row r="1092" spans="1:12" ht="15" customHeight="1" x14ac:dyDescent="0.2">
      <c r="A1092" s="2">
        <v>44466</v>
      </c>
      <c r="B1092" s="3">
        <v>49.82</v>
      </c>
      <c r="C1092" s="1">
        <v>1201935</v>
      </c>
      <c r="D1092" s="3">
        <v>0.32</v>
      </c>
      <c r="E1092" s="3">
        <v>0.64646464646464996</v>
      </c>
      <c r="F1092" s="3">
        <v>0.64646525810412303</v>
      </c>
      <c r="G1092" s="3">
        <v>58.041958000000001</v>
      </c>
      <c r="H1092" s="3">
        <v>1517.44966442953</v>
      </c>
      <c r="I1092" s="3">
        <v>50.018999999999998</v>
      </c>
      <c r="J1092" s="3">
        <v>51.19</v>
      </c>
      <c r="K1092" s="3">
        <v>49.720999999999997</v>
      </c>
      <c r="L1092" s="3">
        <v>1288.3291511612799</v>
      </c>
    </row>
    <row r="1093" spans="1:12" ht="15" customHeight="1" x14ac:dyDescent="0.2">
      <c r="A1093" s="2">
        <v>44463</v>
      </c>
      <c r="B1093" s="3">
        <v>49.5</v>
      </c>
      <c r="C1093" s="1">
        <v>2608350</v>
      </c>
      <c r="D1093" s="3">
        <v>2.4099999999999899</v>
      </c>
      <c r="E1093" s="3">
        <v>5.1178594181354704</v>
      </c>
      <c r="F1093" s="3">
        <v>5.1178609753710997</v>
      </c>
      <c r="G1093" s="3">
        <v>57.669147000000002</v>
      </c>
      <c r="H1093" s="3">
        <v>1507.0605761281699</v>
      </c>
      <c r="I1093" s="3">
        <v>48.25</v>
      </c>
      <c r="J1093" s="3">
        <v>49.63</v>
      </c>
      <c r="K1093" s="3">
        <v>48.12</v>
      </c>
      <c r="L1093" s="3">
        <v>1279.41174192059</v>
      </c>
    </row>
    <row r="1094" spans="1:12" ht="15" customHeight="1" x14ac:dyDescent="0.2">
      <c r="A1094" s="2">
        <v>44462</v>
      </c>
      <c r="B1094" s="3">
        <v>47.09</v>
      </c>
      <c r="C1094" s="1">
        <v>1438352</v>
      </c>
      <c r="D1094" s="3">
        <v>2.97</v>
      </c>
      <c r="E1094" s="3">
        <v>6.7316409791477998</v>
      </c>
      <c r="F1094" s="3">
        <v>6.7316393829039303</v>
      </c>
      <c r="G1094" s="3">
        <v>54.861415999999998</v>
      </c>
      <c r="H1094" s="3">
        <v>1428.8178062381801</v>
      </c>
      <c r="I1094" s="3">
        <v>45.09</v>
      </c>
      <c r="J1094" s="3">
        <v>47.3</v>
      </c>
      <c r="K1094" s="3">
        <v>44.921500000000002</v>
      </c>
      <c r="L1094" s="3">
        <v>1212.25250357657</v>
      </c>
    </row>
    <row r="1095" spans="1:12" ht="15" customHeight="1" x14ac:dyDescent="0.2">
      <c r="A1095" s="2">
        <v>44461</v>
      </c>
      <c r="B1095" s="3">
        <v>44.12</v>
      </c>
      <c r="C1095" s="1">
        <v>681314</v>
      </c>
      <c r="D1095" s="3">
        <v>0.82999999999999796</v>
      </c>
      <c r="E1095" s="3">
        <v>1.9173019173018999</v>
      </c>
      <c r="F1095" s="3">
        <v>1.9173026922754299</v>
      </c>
      <c r="G1095" s="3">
        <v>51.401268000000002</v>
      </c>
      <c r="H1095" s="3">
        <v>1332.3941945213501</v>
      </c>
      <c r="I1095" s="3">
        <v>43.8</v>
      </c>
      <c r="J1095" s="3">
        <v>44.89</v>
      </c>
      <c r="K1095" s="3">
        <v>43.8</v>
      </c>
      <c r="L1095" s="3">
        <v>1129.48779906134</v>
      </c>
    </row>
    <row r="1096" spans="1:12" ht="15" customHeight="1" x14ac:dyDescent="0.2">
      <c r="A1096" s="2">
        <v>44460</v>
      </c>
      <c r="B1096" s="3">
        <v>43.29</v>
      </c>
      <c r="C1096" s="1">
        <v>741957</v>
      </c>
      <c r="D1096" s="3">
        <v>-0.71</v>
      </c>
      <c r="E1096" s="3">
        <v>-1.61363636363636</v>
      </c>
      <c r="F1096" s="3">
        <v>-1.61363517853558</v>
      </c>
      <c r="G1096" s="3">
        <v>50.434289999999997</v>
      </c>
      <c r="H1096" s="3">
        <v>1305.447511544</v>
      </c>
      <c r="I1096" s="3">
        <v>43.68</v>
      </c>
      <c r="J1096" s="3">
        <v>44.35</v>
      </c>
      <c r="K1096" s="3">
        <v>42.63</v>
      </c>
      <c r="L1096" s="3">
        <v>1106.35826884328</v>
      </c>
    </row>
    <row r="1097" spans="1:12" ht="15" customHeight="1" x14ac:dyDescent="0.2">
      <c r="A1097" s="2">
        <v>44459</v>
      </c>
      <c r="B1097" s="3">
        <v>44</v>
      </c>
      <c r="C1097" s="1">
        <v>718133</v>
      </c>
      <c r="D1097" s="3">
        <v>-1.00999999999999</v>
      </c>
      <c r="E1097" s="3">
        <v>-2.2439457898244699</v>
      </c>
      <c r="F1097" s="3">
        <v>-2.2439428397018899</v>
      </c>
      <c r="G1097" s="3">
        <v>51.261462999999999</v>
      </c>
      <c r="H1097" s="3">
        <v>1328.4982620247999</v>
      </c>
      <c r="I1097" s="3">
        <v>43.77</v>
      </c>
      <c r="J1097" s="3">
        <v>44.41</v>
      </c>
      <c r="K1097" s="3">
        <v>43.31</v>
      </c>
      <c r="L1097" s="3">
        <v>1126.14377059608</v>
      </c>
    </row>
    <row r="1098" spans="1:12" ht="15" customHeight="1" x14ac:dyDescent="0.2">
      <c r="A1098" s="2">
        <v>44456</v>
      </c>
      <c r="B1098" s="3">
        <v>45.01</v>
      </c>
      <c r="C1098" s="1">
        <v>1365678</v>
      </c>
      <c r="D1098" s="3">
        <v>-3.0000000000001099E-2</v>
      </c>
      <c r="E1098" s="3">
        <v>-6.6607460035528199E-2</v>
      </c>
      <c r="F1098" s="3">
        <v>-6.6615084681487205E-2</v>
      </c>
      <c r="G1098" s="3">
        <v>52.438144999999999</v>
      </c>
      <c r="H1098" s="3">
        <v>1361.2887462128101</v>
      </c>
      <c r="I1098" s="3">
        <v>45.38</v>
      </c>
      <c r="J1098" s="3">
        <v>45.99</v>
      </c>
      <c r="K1098" s="3">
        <v>44.66</v>
      </c>
      <c r="L1098" s="3">
        <v>1154.28934351203</v>
      </c>
    </row>
    <row r="1099" spans="1:12" ht="15" customHeight="1" x14ac:dyDescent="0.2">
      <c r="A1099" s="2">
        <v>44455</v>
      </c>
      <c r="B1099" s="3">
        <v>45.04</v>
      </c>
      <c r="C1099" s="1">
        <v>654480</v>
      </c>
      <c r="D1099" s="3">
        <v>0.67000000000000104</v>
      </c>
      <c r="E1099" s="3">
        <v>1.5100292990759501</v>
      </c>
      <c r="F1099" s="3">
        <v>1.51003653835901</v>
      </c>
      <c r="G1099" s="3">
        <v>52.473100000000002</v>
      </c>
      <c r="H1099" s="3">
        <v>1362.2628338378399</v>
      </c>
      <c r="I1099" s="3">
        <v>44.64</v>
      </c>
      <c r="J1099" s="3">
        <v>45.72</v>
      </c>
      <c r="K1099" s="3">
        <v>44.64</v>
      </c>
      <c r="L1099" s="3">
        <v>1155.1253506283499</v>
      </c>
    </row>
    <row r="1100" spans="1:12" ht="15" customHeight="1" x14ac:dyDescent="0.2">
      <c r="A1100" s="2">
        <v>44454</v>
      </c>
      <c r="B1100" s="3">
        <v>44.37</v>
      </c>
      <c r="C1100" s="1">
        <v>797339</v>
      </c>
      <c r="D1100" s="3">
        <v>-0.52000000000000302</v>
      </c>
      <c r="E1100" s="3">
        <v>-1.15838716863444</v>
      </c>
      <c r="F1100" s="3">
        <v>-1.15839231926732</v>
      </c>
      <c r="G1100" s="3">
        <v>51.692523999999999</v>
      </c>
      <c r="H1100" s="3">
        <v>1340.5105974769999</v>
      </c>
      <c r="I1100" s="3">
        <v>44.71</v>
      </c>
      <c r="J1100" s="3">
        <v>44.84</v>
      </c>
      <c r="K1100" s="3">
        <v>43.92</v>
      </c>
      <c r="L1100" s="3">
        <v>1136.4545250306301</v>
      </c>
    </row>
    <row r="1101" spans="1:12" ht="15" customHeight="1" x14ac:dyDescent="0.2">
      <c r="A1101" s="2">
        <v>44453</v>
      </c>
      <c r="B1101" s="3">
        <v>44.89</v>
      </c>
      <c r="C1101" s="1">
        <v>827903</v>
      </c>
      <c r="D1101" s="3">
        <v>-0.89</v>
      </c>
      <c r="E1101" s="3">
        <v>-1.94408038444735</v>
      </c>
      <c r="F1101" s="3">
        <v>-1.9440737283918501</v>
      </c>
      <c r="G1101" s="3">
        <v>52.298344</v>
      </c>
      <c r="H1101" s="3">
        <v>1357.3929251838799</v>
      </c>
      <c r="I1101" s="3">
        <v>45.9</v>
      </c>
      <c r="J1101" s="3">
        <v>46.094999999999999</v>
      </c>
      <c r="K1101" s="3">
        <v>44.33</v>
      </c>
      <c r="L1101" s="3">
        <v>1150.94531504677</v>
      </c>
    </row>
    <row r="1102" spans="1:12" ht="15" customHeight="1" x14ac:dyDescent="0.2">
      <c r="A1102" s="2">
        <v>44452</v>
      </c>
      <c r="B1102" s="3">
        <v>45.78</v>
      </c>
      <c r="C1102" s="1">
        <v>852955</v>
      </c>
      <c r="D1102" s="3">
        <v>1.3599999999999901</v>
      </c>
      <c r="E1102" s="3">
        <v>3.06168392615937</v>
      </c>
      <c r="F1102" s="3">
        <v>3.06168560879882</v>
      </c>
      <c r="G1102" s="3">
        <v>53.33522</v>
      </c>
      <c r="H1102" s="3">
        <v>1386.28744900844</v>
      </c>
      <c r="I1102" s="3">
        <v>44.78</v>
      </c>
      <c r="J1102" s="3">
        <v>45.83</v>
      </c>
      <c r="K1102" s="3">
        <v>44.027000000000001</v>
      </c>
      <c r="L1102" s="3">
        <v>1175.74685949746</v>
      </c>
    </row>
    <row r="1103" spans="1:12" ht="15" customHeight="1" x14ac:dyDescent="0.2">
      <c r="A1103" s="2">
        <v>44449</v>
      </c>
      <c r="B1103" s="3">
        <v>44.42</v>
      </c>
      <c r="C1103" s="1">
        <v>580522</v>
      </c>
      <c r="D1103" s="3">
        <v>-0.439999999999997</v>
      </c>
      <c r="E1103" s="3">
        <v>-0.98082924654480097</v>
      </c>
      <c r="F1103" s="3">
        <v>-0.98083758167021295</v>
      </c>
      <c r="G1103" s="3">
        <v>51.750774</v>
      </c>
      <c r="H1103" s="3">
        <v>1342.1338446278501</v>
      </c>
      <c r="I1103" s="3">
        <v>45.07</v>
      </c>
      <c r="J1103" s="3">
        <v>45.41</v>
      </c>
      <c r="K1103" s="3">
        <v>44.41</v>
      </c>
      <c r="L1103" s="3">
        <v>1137.84787022449</v>
      </c>
    </row>
    <row r="1104" spans="1:12" ht="15" customHeight="1" x14ac:dyDescent="0.2">
      <c r="A1104" s="2">
        <v>44448</v>
      </c>
      <c r="B1104" s="3">
        <v>44.86</v>
      </c>
      <c r="C1104" s="1">
        <v>529321</v>
      </c>
      <c r="D1104" s="3">
        <v>0.32999999999999802</v>
      </c>
      <c r="E1104" s="3">
        <v>0.74107343364024902</v>
      </c>
      <c r="F1104" s="3">
        <v>0.74107735067010505</v>
      </c>
      <c r="G1104" s="3">
        <v>52.263393000000001</v>
      </c>
      <c r="H1104" s="3">
        <v>1356.41894902647</v>
      </c>
      <c r="I1104" s="3">
        <v>44.21</v>
      </c>
      <c r="J1104" s="3">
        <v>45.35</v>
      </c>
      <c r="K1104" s="3">
        <v>43.95</v>
      </c>
      <c r="L1104" s="3">
        <v>1150.1093079304501</v>
      </c>
    </row>
    <row r="1105" spans="1:12" ht="15" customHeight="1" x14ac:dyDescent="0.2">
      <c r="A1105" s="2">
        <v>44447</v>
      </c>
      <c r="B1105" s="3">
        <v>44.53</v>
      </c>
      <c r="C1105" s="1">
        <v>456885</v>
      </c>
      <c r="D1105" s="3">
        <v>-0.49000000000000199</v>
      </c>
      <c r="E1105" s="3">
        <v>-1.0884051532652099</v>
      </c>
      <c r="F1105" s="3">
        <v>-1.088412157911</v>
      </c>
      <c r="G1105" s="3">
        <v>51.878929999999997</v>
      </c>
      <c r="H1105" s="3">
        <v>1345.7051555611299</v>
      </c>
      <c r="I1105" s="3">
        <v>44.93</v>
      </c>
      <c r="J1105" s="3">
        <v>45.62</v>
      </c>
      <c r="K1105" s="3">
        <v>44.373899999999999</v>
      </c>
      <c r="L1105" s="3">
        <v>1140.9132296509799</v>
      </c>
    </row>
    <row r="1106" spans="1:12" ht="15" customHeight="1" x14ac:dyDescent="0.2">
      <c r="A1106" s="2">
        <v>44446</v>
      </c>
      <c r="B1106" s="3">
        <v>45.02</v>
      </c>
      <c r="C1106" s="1">
        <v>609355</v>
      </c>
      <c r="D1106" s="3">
        <v>-0.5</v>
      </c>
      <c r="E1106" s="3">
        <v>-1.0984182776801299</v>
      </c>
      <c r="F1106" s="3">
        <v>-1.0984133183402001</v>
      </c>
      <c r="G1106" s="3">
        <v>52.449800000000003</v>
      </c>
      <c r="H1106" s="3">
        <v>1361.6135349775</v>
      </c>
      <c r="I1106" s="3">
        <v>45.84</v>
      </c>
      <c r="J1106" s="3">
        <v>45.97</v>
      </c>
      <c r="K1106" s="3">
        <v>44.96</v>
      </c>
      <c r="L1106" s="3">
        <v>1154.5680125507999</v>
      </c>
    </row>
    <row r="1107" spans="1:12" ht="15" customHeight="1" x14ac:dyDescent="0.2">
      <c r="A1107" s="2">
        <v>44442</v>
      </c>
      <c r="B1107" s="3">
        <v>45.52</v>
      </c>
      <c r="C1107" s="1">
        <v>756474</v>
      </c>
      <c r="D1107" s="3">
        <v>-1.1499999999999899</v>
      </c>
      <c r="E1107" s="3">
        <v>-2.4641097064495301</v>
      </c>
      <c r="F1107" s="3">
        <v>-2.4641056718427299</v>
      </c>
      <c r="G1107" s="3">
        <v>53.032314</v>
      </c>
      <c r="H1107" s="3">
        <v>1377.84639662262</v>
      </c>
      <c r="I1107" s="3">
        <v>46.52</v>
      </c>
      <c r="J1107" s="3">
        <v>46.8</v>
      </c>
      <c r="K1107" s="3">
        <v>45.44</v>
      </c>
      <c r="L1107" s="3">
        <v>1168.5014644893899</v>
      </c>
    </row>
    <row r="1108" spans="1:12" ht="15" customHeight="1" x14ac:dyDescent="0.2">
      <c r="A1108" s="2">
        <v>44441</v>
      </c>
      <c r="B1108" s="3">
        <v>46.67</v>
      </c>
      <c r="C1108" s="1">
        <v>618793</v>
      </c>
      <c r="D1108" s="3">
        <v>-0.22999999999999601</v>
      </c>
      <c r="E1108" s="3">
        <v>-0.49040511727078601</v>
      </c>
      <c r="F1108" s="3">
        <v>-0.49040941755920098</v>
      </c>
      <c r="G1108" s="3">
        <v>54.372100000000003</v>
      </c>
      <c r="H1108" s="3">
        <v>1415.1820843006101</v>
      </c>
      <c r="I1108" s="3">
        <v>47</v>
      </c>
      <c r="J1108" s="3">
        <v>47.7</v>
      </c>
      <c r="K1108" s="3">
        <v>46.63</v>
      </c>
      <c r="L1108" s="3">
        <v>1200.5484039481601</v>
      </c>
    </row>
    <row r="1109" spans="1:12" ht="15" customHeight="1" x14ac:dyDescent="0.2">
      <c r="A1109" s="2">
        <v>44440</v>
      </c>
      <c r="B1109" s="3">
        <v>46.9</v>
      </c>
      <c r="C1109" s="1">
        <v>801009</v>
      </c>
      <c r="D1109" s="3">
        <v>0.25</v>
      </c>
      <c r="E1109" s="3">
        <v>0.53590568060022303</v>
      </c>
      <c r="F1109" s="3">
        <v>0.53590139720460706</v>
      </c>
      <c r="G1109" s="3">
        <v>54.640059999999998</v>
      </c>
      <c r="H1109" s="3">
        <v>1422.6492998635399</v>
      </c>
      <c r="I1109" s="3">
        <v>47</v>
      </c>
      <c r="J1109" s="3">
        <v>47.1</v>
      </c>
      <c r="K1109" s="3">
        <v>46.22</v>
      </c>
      <c r="L1109" s="3">
        <v>1206.95779183991</v>
      </c>
    </row>
    <row r="1110" spans="1:12" ht="15" customHeight="1" x14ac:dyDescent="0.2">
      <c r="A1110" s="2">
        <v>44439</v>
      </c>
      <c r="B1110" s="3">
        <v>46.65</v>
      </c>
      <c r="C1110" s="1">
        <v>1872684</v>
      </c>
      <c r="D1110" s="3">
        <v>0.87999999999999501</v>
      </c>
      <c r="E1110" s="3">
        <v>1.9226567620712101</v>
      </c>
      <c r="F1110" s="3">
        <v>1.9226580723940201</v>
      </c>
      <c r="G1110" s="3">
        <v>54.348804000000001</v>
      </c>
      <c r="H1110" s="3">
        <v>1414.5328969078901</v>
      </c>
      <c r="I1110" s="3">
        <v>45.95</v>
      </c>
      <c r="J1110" s="3">
        <v>46.86</v>
      </c>
      <c r="K1110" s="3">
        <v>45.601300000000002</v>
      </c>
      <c r="L1110" s="3">
        <v>1199.9910658706101</v>
      </c>
    </row>
    <row r="1111" spans="1:12" ht="15" customHeight="1" x14ac:dyDescent="0.2">
      <c r="A1111" s="2">
        <v>44438</v>
      </c>
      <c r="B1111" s="3">
        <v>45.77</v>
      </c>
      <c r="C1111" s="1">
        <v>1131560</v>
      </c>
      <c r="D1111" s="3">
        <v>-0.90999999999999603</v>
      </c>
      <c r="E1111" s="3">
        <v>-1.9494430162810601</v>
      </c>
      <c r="F1111" s="3">
        <v>-1.94944427798338</v>
      </c>
      <c r="G1111" s="3">
        <v>53.323574000000001</v>
      </c>
      <c r="H1111" s="3">
        <v>1385.96291104588</v>
      </c>
      <c r="I1111" s="3">
        <v>46.42</v>
      </c>
      <c r="J1111" s="3">
        <v>46.7</v>
      </c>
      <c r="K1111" s="3">
        <v>45.31</v>
      </c>
      <c r="L1111" s="3">
        <v>1175.4681904586901</v>
      </c>
    </row>
    <row r="1112" spans="1:12" ht="15" customHeight="1" x14ac:dyDescent="0.2">
      <c r="A1112" s="2">
        <v>44435</v>
      </c>
      <c r="B1112" s="3">
        <v>46.68</v>
      </c>
      <c r="C1112" s="1">
        <v>940215</v>
      </c>
      <c r="D1112" s="3">
        <v>1.75</v>
      </c>
      <c r="E1112" s="3">
        <v>3.8949476964166498</v>
      </c>
      <c r="F1112" s="3">
        <v>3.8949530636616898</v>
      </c>
      <c r="G1112" s="3">
        <v>54.383755000000001</v>
      </c>
      <c r="H1112" s="3">
        <v>1415.5068730652999</v>
      </c>
      <c r="I1112" s="3">
        <v>44.99</v>
      </c>
      <c r="J1112" s="3">
        <v>46.8</v>
      </c>
      <c r="K1112" s="3">
        <v>44.86</v>
      </c>
      <c r="L1112" s="3">
        <v>1200.82707298693</v>
      </c>
    </row>
    <row r="1113" spans="1:12" ht="15" customHeight="1" x14ac:dyDescent="0.2">
      <c r="A1113" s="2">
        <v>44434</v>
      </c>
      <c r="B1113" s="3">
        <v>44.93</v>
      </c>
      <c r="C1113" s="1">
        <v>929368</v>
      </c>
      <c r="D1113" s="3">
        <v>0.149999999999998</v>
      </c>
      <c r="E1113" s="3">
        <v>0.334970969182668</v>
      </c>
      <c r="F1113" s="3">
        <v>0.33496906950118899</v>
      </c>
      <c r="G1113" s="3">
        <v>52.344943999999998</v>
      </c>
      <c r="H1113" s="3">
        <v>1358.6915229045601</v>
      </c>
      <c r="I1113" s="3">
        <v>44.62</v>
      </c>
      <c r="J1113" s="3">
        <v>45.33</v>
      </c>
      <c r="K1113" s="3">
        <v>44.19</v>
      </c>
      <c r="L1113" s="3">
        <v>1152.0599912018599</v>
      </c>
    </row>
    <row r="1114" spans="1:12" ht="15" customHeight="1" x14ac:dyDescent="0.2">
      <c r="A1114" s="2">
        <v>44433</v>
      </c>
      <c r="B1114" s="3">
        <v>44.78</v>
      </c>
      <c r="C1114" s="1">
        <v>1110458</v>
      </c>
      <c r="D1114" s="3">
        <v>0.78000000000000103</v>
      </c>
      <c r="E1114" s="3">
        <v>1.77272727272728</v>
      </c>
      <c r="F1114" s="3">
        <v>1.7727293503113599</v>
      </c>
      <c r="G1114" s="3">
        <v>52.170189999999998</v>
      </c>
      <c r="H1114" s="3">
        <v>1353.8216699843999</v>
      </c>
      <c r="I1114" s="3">
        <v>43.56</v>
      </c>
      <c r="J1114" s="3">
        <v>45.11</v>
      </c>
      <c r="K1114" s="3">
        <v>43.53</v>
      </c>
      <c r="L1114" s="3">
        <v>1147.87995562028</v>
      </c>
    </row>
    <row r="1115" spans="1:12" ht="15" customHeight="1" x14ac:dyDescent="0.2">
      <c r="A1115" s="2">
        <v>44432</v>
      </c>
      <c r="B1115" s="3">
        <v>44</v>
      </c>
      <c r="C1115" s="1">
        <v>679052</v>
      </c>
      <c r="D1115" s="3">
        <v>1.02</v>
      </c>
      <c r="E1115" s="3">
        <v>2.3731968357375499</v>
      </c>
      <c r="F1115" s="3">
        <v>2.3731990539916001</v>
      </c>
      <c r="G1115" s="3">
        <v>51.261462999999999</v>
      </c>
      <c r="H1115" s="3">
        <v>1328.4982620247999</v>
      </c>
      <c r="I1115" s="3">
        <v>43.14</v>
      </c>
      <c r="J1115" s="3">
        <v>44.49</v>
      </c>
      <c r="K1115" s="3">
        <v>43.14</v>
      </c>
      <c r="L1115" s="3">
        <v>1126.14377059608</v>
      </c>
    </row>
    <row r="1116" spans="1:12" ht="15" customHeight="1" x14ac:dyDescent="0.2">
      <c r="A1116" s="2">
        <v>44431</v>
      </c>
      <c r="B1116" s="3">
        <v>42.98</v>
      </c>
      <c r="C1116" s="1">
        <v>542148</v>
      </c>
      <c r="D1116" s="3">
        <v>0.69999999999999496</v>
      </c>
      <c r="E1116" s="3">
        <v>1.6556291390728399</v>
      </c>
      <c r="F1116" s="3">
        <v>1.6556244804989999</v>
      </c>
      <c r="G1116" s="3">
        <v>50.073127999999997</v>
      </c>
      <c r="H1116" s="3">
        <v>1295.38304480591</v>
      </c>
      <c r="I1116" s="3">
        <v>42.939</v>
      </c>
      <c r="J1116" s="3">
        <v>43.44</v>
      </c>
      <c r="K1116" s="3">
        <v>42.13</v>
      </c>
      <c r="L1116" s="3">
        <v>1097.7195286413501</v>
      </c>
    </row>
    <row r="1117" spans="1:12" ht="15" customHeight="1" x14ac:dyDescent="0.2">
      <c r="A1117" s="2">
        <v>44428</v>
      </c>
      <c r="B1117" s="3">
        <v>42.28</v>
      </c>
      <c r="C1117" s="1">
        <v>779251</v>
      </c>
      <c r="D1117" s="3">
        <v>0.84000000000000297</v>
      </c>
      <c r="E1117" s="3">
        <v>2.0270270270270299</v>
      </c>
      <c r="F1117" s="3">
        <v>2.0270334648357</v>
      </c>
      <c r="G1117" s="3">
        <v>49.257607</v>
      </c>
      <c r="H1117" s="3">
        <v>1272.6569994890799</v>
      </c>
      <c r="I1117" s="3">
        <v>41.3</v>
      </c>
      <c r="J1117" s="3">
        <v>42.79</v>
      </c>
      <c r="K1117" s="3">
        <v>40.98</v>
      </c>
      <c r="L1117" s="3">
        <v>1078.2126959273201</v>
      </c>
    </row>
    <row r="1118" spans="1:12" ht="15" customHeight="1" x14ac:dyDescent="0.2">
      <c r="A1118" s="2">
        <v>44427</v>
      </c>
      <c r="B1118" s="3">
        <v>41.44</v>
      </c>
      <c r="C1118" s="1">
        <v>1246705</v>
      </c>
      <c r="D1118" s="3">
        <v>-1.41</v>
      </c>
      <c r="E1118" s="3">
        <v>-3.2905484247374601</v>
      </c>
      <c r="F1118" s="3">
        <v>-3.2905487762799801</v>
      </c>
      <c r="G1118" s="3">
        <v>48.278976</v>
      </c>
      <c r="H1118" s="3">
        <v>1245.3855834808501</v>
      </c>
      <c r="I1118" s="3">
        <v>42.46</v>
      </c>
      <c r="J1118" s="3">
        <v>42.5</v>
      </c>
      <c r="K1118" s="3">
        <v>40.72</v>
      </c>
      <c r="L1118" s="3">
        <v>1054.8044966704899</v>
      </c>
    </row>
    <row r="1119" spans="1:12" ht="15" customHeight="1" x14ac:dyDescent="0.2">
      <c r="A1119" s="2">
        <v>44426</v>
      </c>
      <c r="B1119" s="3">
        <v>42.85</v>
      </c>
      <c r="C1119" s="1">
        <v>731337</v>
      </c>
      <c r="D1119" s="3">
        <v>0.28000000000000103</v>
      </c>
      <c r="E1119" s="3">
        <v>0.65774019262392303</v>
      </c>
      <c r="F1119" s="3">
        <v>0.65773349810376303</v>
      </c>
      <c r="G1119" s="3">
        <v>49.921672999999998</v>
      </c>
      <c r="H1119" s="3">
        <v>1291.1624628791899</v>
      </c>
      <c r="I1119" s="3">
        <v>42.45</v>
      </c>
      <c r="J1119" s="3">
        <v>43.55</v>
      </c>
      <c r="K1119" s="3">
        <v>41.56</v>
      </c>
      <c r="L1119" s="3">
        <v>1094.0968311373099</v>
      </c>
    </row>
    <row r="1120" spans="1:12" ht="15" customHeight="1" x14ac:dyDescent="0.2">
      <c r="A1120" s="2">
        <v>44425</v>
      </c>
      <c r="B1120" s="3">
        <v>42.57</v>
      </c>
      <c r="C1120" s="1">
        <v>754051</v>
      </c>
      <c r="D1120" s="3">
        <v>-1.22999999999999</v>
      </c>
      <c r="E1120" s="3">
        <v>-2.8082191780821799</v>
      </c>
      <c r="F1120" s="3">
        <v>-2.8082192881470101</v>
      </c>
      <c r="G1120" s="3">
        <v>49.595466999999999</v>
      </c>
      <c r="H1120" s="3">
        <v>1282.0721116330301</v>
      </c>
      <c r="I1120" s="3">
        <v>43.48</v>
      </c>
      <c r="J1120" s="3">
        <v>43.91</v>
      </c>
      <c r="K1120" s="3">
        <v>42.27</v>
      </c>
      <c r="L1120" s="3">
        <v>1086.2940980517001</v>
      </c>
    </row>
    <row r="1121" spans="1:12" ht="15" customHeight="1" x14ac:dyDescent="0.2">
      <c r="A1121" s="2">
        <v>44424</v>
      </c>
      <c r="B1121" s="3">
        <v>43.8</v>
      </c>
      <c r="C1121" s="1">
        <v>554525</v>
      </c>
      <c r="D1121" s="3">
        <v>-0.35000000000000098</v>
      </c>
      <c r="E1121" s="3">
        <v>-0.79275198187995699</v>
      </c>
      <c r="F1121" s="3">
        <v>-0.79275651310471895</v>
      </c>
      <c r="G1121" s="3">
        <v>51.028458000000001</v>
      </c>
      <c r="H1121" s="3">
        <v>1322.0051340868999</v>
      </c>
      <c r="I1121" s="3">
        <v>43.92</v>
      </c>
      <c r="J1121" s="3">
        <v>44.18</v>
      </c>
      <c r="K1121" s="3">
        <v>43.144799999999996</v>
      </c>
      <c r="L1121" s="3">
        <v>1120.57038982064</v>
      </c>
    </row>
    <row r="1122" spans="1:12" ht="15" customHeight="1" x14ac:dyDescent="0.2">
      <c r="A1122" s="2">
        <v>44421</v>
      </c>
      <c r="B1122" s="3">
        <v>44.15</v>
      </c>
      <c r="C1122" s="1">
        <v>536400</v>
      </c>
      <c r="D1122" s="3">
        <v>-0.42999999999999899</v>
      </c>
      <c r="E1122" s="3">
        <v>-0.96455809780170398</v>
      </c>
      <c r="F1122" s="3">
        <v>-0.96455173550709095</v>
      </c>
      <c r="G1122" s="3">
        <v>51.436222000000001</v>
      </c>
      <c r="H1122" s="3">
        <v>1333.36825427947</v>
      </c>
      <c r="I1122" s="3">
        <v>44.77</v>
      </c>
      <c r="J1122" s="3">
        <v>44.86</v>
      </c>
      <c r="K1122" s="3">
        <v>43.89</v>
      </c>
      <c r="L1122" s="3">
        <v>1130.3238061776501</v>
      </c>
    </row>
    <row r="1123" spans="1:12" ht="15" customHeight="1" x14ac:dyDescent="0.2">
      <c r="A1123" s="2">
        <v>44420</v>
      </c>
      <c r="B1123" s="3">
        <v>44.58</v>
      </c>
      <c r="C1123" s="1">
        <v>639123</v>
      </c>
      <c r="D1123" s="3">
        <v>-1.00000000000051E-2</v>
      </c>
      <c r="E1123" s="3">
        <v>-2.2426553038812299E-2</v>
      </c>
      <c r="F1123" s="3">
        <v>-2.2425912820800399E-2</v>
      </c>
      <c r="G1123" s="3">
        <v>51.937182999999997</v>
      </c>
      <c r="H1123" s="3">
        <v>1347.3284863126901</v>
      </c>
      <c r="I1123" s="3">
        <v>44.43</v>
      </c>
      <c r="J1123" s="3">
        <v>44.68</v>
      </c>
      <c r="K1123" s="3">
        <v>43.69</v>
      </c>
      <c r="L1123" s="3">
        <v>1142.30657484484</v>
      </c>
    </row>
    <row r="1124" spans="1:12" ht="15" customHeight="1" x14ac:dyDescent="0.2">
      <c r="A1124" s="2">
        <v>44419</v>
      </c>
      <c r="B1124" s="3">
        <v>44.59</v>
      </c>
      <c r="C1124" s="1">
        <v>869080</v>
      </c>
      <c r="D1124" s="3">
        <v>1.2</v>
      </c>
      <c r="E1124" s="3">
        <v>2.7656141968195498</v>
      </c>
      <c r="F1124" s="3">
        <v>2.7656143791849201</v>
      </c>
      <c r="G1124" s="3">
        <v>51.948833</v>
      </c>
      <c r="H1124" s="3">
        <v>1347.6531357428601</v>
      </c>
      <c r="I1124" s="3">
        <v>43.4</v>
      </c>
      <c r="J1124" s="3">
        <v>44.61</v>
      </c>
      <c r="K1124" s="3">
        <v>42.61</v>
      </c>
      <c r="L1124" s="3">
        <v>1142.58524388361</v>
      </c>
    </row>
    <row r="1125" spans="1:12" ht="15" customHeight="1" x14ac:dyDescent="0.2">
      <c r="A1125" s="2">
        <v>44418</v>
      </c>
      <c r="B1125" s="3">
        <v>43.39</v>
      </c>
      <c r="C1125" s="1">
        <v>909839</v>
      </c>
      <c r="D1125" s="3">
        <v>0.89</v>
      </c>
      <c r="E1125" s="3">
        <v>2.0941176470588201</v>
      </c>
      <c r="F1125" s="3">
        <v>2.0941205372744398</v>
      </c>
      <c r="G1125" s="3">
        <v>50.550792999999999</v>
      </c>
      <c r="H1125" s="3">
        <v>1308.6940894464001</v>
      </c>
      <c r="I1125" s="3">
        <v>42.36</v>
      </c>
      <c r="J1125" s="3">
        <v>43.73</v>
      </c>
      <c r="K1125" s="3">
        <v>42.2</v>
      </c>
      <c r="L1125" s="3">
        <v>1109.14495923099</v>
      </c>
    </row>
    <row r="1126" spans="1:12" ht="15" customHeight="1" x14ac:dyDescent="0.2">
      <c r="A1126" s="2">
        <v>44417</v>
      </c>
      <c r="B1126" s="3">
        <v>42.5</v>
      </c>
      <c r="C1126" s="1">
        <v>1040005</v>
      </c>
      <c r="D1126" s="3">
        <v>-1.1799999999999899</v>
      </c>
      <c r="E1126" s="3">
        <v>-2.7014652014651999</v>
      </c>
      <c r="F1126" s="3">
        <v>-2.7014686358469699</v>
      </c>
      <c r="G1126" s="3">
        <v>49.513911999999998</v>
      </c>
      <c r="H1126" s="3">
        <v>1279.7994262873201</v>
      </c>
      <c r="I1126" s="3">
        <v>43.71</v>
      </c>
      <c r="J1126" s="3">
        <v>43.74</v>
      </c>
      <c r="K1126" s="3">
        <v>42.08</v>
      </c>
      <c r="L1126" s="3">
        <v>1084.3434147803</v>
      </c>
    </row>
    <row r="1127" spans="1:12" ht="15" customHeight="1" x14ac:dyDescent="0.2">
      <c r="A1127" s="2">
        <v>44414</v>
      </c>
      <c r="B1127" s="3">
        <v>43.68</v>
      </c>
      <c r="C1127" s="1">
        <v>903520</v>
      </c>
      <c r="D1127" s="3">
        <v>-0.45000000000000201</v>
      </c>
      <c r="E1127" s="3">
        <v>-1.0197144799456199</v>
      </c>
      <c r="F1127" s="3">
        <v>-1.0197145394470599</v>
      </c>
      <c r="G1127" s="3">
        <v>50.888652999999998</v>
      </c>
      <c r="H1127" s="3">
        <v>1318.10920159035</v>
      </c>
      <c r="I1127" s="3">
        <v>44.39</v>
      </c>
      <c r="J1127" s="3">
        <v>44.92</v>
      </c>
      <c r="K1127" s="3">
        <v>43.19</v>
      </c>
      <c r="L1127" s="3">
        <v>1117.22636135538</v>
      </c>
    </row>
    <row r="1128" spans="1:12" ht="15" customHeight="1" x14ac:dyDescent="0.2">
      <c r="A1128" s="2">
        <v>44413</v>
      </c>
      <c r="B1128" s="3">
        <v>44.13</v>
      </c>
      <c r="C1128" s="1">
        <v>1245264</v>
      </c>
      <c r="D1128" s="3">
        <v>1.1099999999999901</v>
      </c>
      <c r="E1128" s="3">
        <v>2.58019525801953</v>
      </c>
      <c r="F1128" s="3">
        <v>2.5801974591642902</v>
      </c>
      <c r="G1128" s="3">
        <v>51.412917999999998</v>
      </c>
      <c r="H1128" s="3">
        <v>1332.7188439515201</v>
      </c>
      <c r="I1128" s="3">
        <v>43.13</v>
      </c>
      <c r="J1128" s="3">
        <v>44.19</v>
      </c>
      <c r="K1128" s="3">
        <v>42.87</v>
      </c>
      <c r="L1128" s="3">
        <v>1129.7664681001099</v>
      </c>
    </row>
    <row r="1129" spans="1:12" ht="15" customHeight="1" x14ac:dyDescent="0.2">
      <c r="A1129" s="2">
        <v>44412</v>
      </c>
      <c r="B1129" s="3">
        <v>43.02</v>
      </c>
      <c r="C1129" s="1">
        <v>1337047</v>
      </c>
      <c r="D1129" s="3">
        <v>-0.53999999999999904</v>
      </c>
      <c r="E1129" s="3">
        <v>-1.2396694214875901</v>
      </c>
      <c r="F1129" s="3">
        <v>-1.23967341131867</v>
      </c>
      <c r="G1129" s="3">
        <v>50.119729999999997</v>
      </c>
      <c r="H1129" s="3">
        <v>1296.68169826039</v>
      </c>
      <c r="I1129" s="3">
        <v>43.05</v>
      </c>
      <c r="J1129" s="3">
        <v>43.38</v>
      </c>
      <c r="K1129" s="3">
        <v>42.38</v>
      </c>
      <c r="L1129" s="3">
        <v>1098.83420479644</v>
      </c>
    </row>
    <row r="1130" spans="1:12" ht="15" customHeight="1" x14ac:dyDescent="0.2">
      <c r="A1130" s="2">
        <v>44411</v>
      </c>
      <c r="B1130" s="3">
        <v>43.56</v>
      </c>
      <c r="C1130" s="1">
        <v>2436920</v>
      </c>
      <c r="D1130" s="3">
        <v>-1.5799999999999901</v>
      </c>
      <c r="E1130" s="3">
        <v>-3.5002215330084101</v>
      </c>
      <c r="F1130" s="3">
        <v>-3.5002167728980602</v>
      </c>
      <c r="G1130" s="3">
        <v>50.748849999999997</v>
      </c>
      <c r="H1130" s="3">
        <v>1314.21332482761</v>
      </c>
      <c r="I1130" s="3">
        <v>45</v>
      </c>
      <c r="J1130" s="3">
        <v>45.05</v>
      </c>
      <c r="K1130" s="3">
        <v>42.29</v>
      </c>
      <c r="L1130" s="3">
        <v>1113.8823328901101</v>
      </c>
    </row>
    <row r="1131" spans="1:12" ht="15" customHeight="1" x14ac:dyDescent="0.2">
      <c r="A1131" s="2">
        <v>44410</v>
      </c>
      <c r="B1131" s="3">
        <v>45.14</v>
      </c>
      <c r="C1131" s="1">
        <v>1521504</v>
      </c>
      <c r="D1131" s="3">
        <v>-0.119999999999997</v>
      </c>
      <c r="E1131" s="3">
        <v>-0.26513477684488801</v>
      </c>
      <c r="F1131" s="3">
        <v>-0.26513480030990699</v>
      </c>
      <c r="G1131" s="3">
        <v>52.589599999999997</v>
      </c>
      <c r="H1131" s="3">
        <v>1365.50932813953</v>
      </c>
      <c r="I1131" s="3">
        <v>45.73</v>
      </c>
      <c r="J1131" s="3">
        <v>46.43</v>
      </c>
      <c r="K1131" s="3">
        <v>45.07</v>
      </c>
      <c r="L1131" s="3">
        <v>1157.9120410160599</v>
      </c>
    </row>
    <row r="1132" spans="1:12" ht="15" customHeight="1" x14ac:dyDescent="0.2">
      <c r="A1132" s="2">
        <v>44407</v>
      </c>
      <c r="B1132" s="3">
        <v>45.26</v>
      </c>
      <c r="C1132" s="1">
        <v>2920094</v>
      </c>
      <c r="D1132" s="3">
        <v>-2.48</v>
      </c>
      <c r="E1132" s="3">
        <v>-5.1948051948052001</v>
      </c>
      <c r="F1132" s="3">
        <v>-5.19481131252821</v>
      </c>
      <c r="G1132" s="3">
        <v>52.729404000000002</v>
      </c>
      <c r="H1132" s="3">
        <v>1369.40523276918</v>
      </c>
      <c r="I1132" s="3">
        <v>47.23</v>
      </c>
      <c r="J1132" s="3">
        <v>48.23</v>
      </c>
      <c r="K1132" s="3">
        <v>45.19</v>
      </c>
      <c r="L1132" s="3">
        <v>1161.2560694813301</v>
      </c>
    </row>
    <row r="1133" spans="1:12" ht="15" customHeight="1" x14ac:dyDescent="0.2">
      <c r="A1133" s="2">
        <v>44406</v>
      </c>
      <c r="B1133" s="3">
        <v>47.74</v>
      </c>
      <c r="C1133" s="1">
        <v>2226685</v>
      </c>
      <c r="D1133" s="3">
        <v>-9.9999999999980105E-3</v>
      </c>
      <c r="E1133" s="3">
        <v>-2.0942408376956E-2</v>
      </c>
      <c r="F1133" s="3">
        <v>-2.0936418199290999E-2</v>
      </c>
      <c r="G1133" s="3">
        <v>55.618690000000001</v>
      </c>
      <c r="H1133" s="3">
        <v>1449.92068800487</v>
      </c>
      <c r="I1133" s="3">
        <v>48.11</v>
      </c>
      <c r="J1133" s="3">
        <v>48.97</v>
      </c>
      <c r="K1133" s="3">
        <v>47.06</v>
      </c>
      <c r="L1133" s="3">
        <v>1230.3659910967399</v>
      </c>
    </row>
    <row r="1134" spans="1:12" ht="15" customHeight="1" x14ac:dyDescent="0.2">
      <c r="A1134" s="2">
        <v>44405</v>
      </c>
      <c r="B1134" s="3">
        <v>47.75</v>
      </c>
      <c r="C1134" s="1">
        <v>6096770</v>
      </c>
      <c r="D1134" s="3">
        <v>-7.25999999999999</v>
      </c>
      <c r="E1134" s="3">
        <v>-13.197600436284301</v>
      </c>
      <c r="F1134" s="3">
        <v>-13.197602751695699</v>
      </c>
      <c r="G1134" s="3">
        <v>55.630336999999997</v>
      </c>
      <c r="H1134" s="3">
        <v>1450.24525383433</v>
      </c>
      <c r="I1134" s="3">
        <v>51</v>
      </c>
      <c r="J1134" s="3">
        <v>51.34</v>
      </c>
      <c r="K1134" s="3">
        <v>47.744999999999997</v>
      </c>
      <c r="L1134" s="3">
        <v>1230.6446601355101</v>
      </c>
    </row>
    <row r="1135" spans="1:12" ht="15" customHeight="1" x14ac:dyDescent="0.2">
      <c r="A1135" s="2">
        <v>44404</v>
      </c>
      <c r="B1135" s="3">
        <v>55.01</v>
      </c>
      <c r="C1135" s="1">
        <v>1812232</v>
      </c>
      <c r="D1135" s="3">
        <v>0.489999999999994</v>
      </c>
      <c r="E1135" s="3">
        <v>0.89875275128392595</v>
      </c>
      <c r="F1135" s="3">
        <v>0.89875545069295604</v>
      </c>
      <c r="G1135" s="3">
        <v>64.088480000000004</v>
      </c>
      <c r="H1135" s="3">
        <v>1685.9475117948</v>
      </c>
      <c r="I1135" s="3">
        <v>54.08</v>
      </c>
      <c r="J1135" s="3">
        <v>55.31</v>
      </c>
      <c r="K1135" s="3">
        <v>53.5</v>
      </c>
      <c r="L1135" s="3">
        <v>1432.9583822838699</v>
      </c>
    </row>
    <row r="1136" spans="1:12" ht="15" customHeight="1" x14ac:dyDescent="0.2">
      <c r="A1136" s="2">
        <v>44403</v>
      </c>
      <c r="B1136" s="3">
        <v>54.52</v>
      </c>
      <c r="C1136" s="1">
        <v>1862389</v>
      </c>
      <c r="D1136" s="3">
        <v>2.73</v>
      </c>
      <c r="E1136" s="3">
        <v>5.2712878934157299</v>
      </c>
      <c r="F1136" s="3">
        <v>5.2712831251976198</v>
      </c>
      <c r="G1136" s="3">
        <v>63.517612</v>
      </c>
      <c r="H1136" s="3">
        <v>1670.03918811224</v>
      </c>
      <c r="I1136" s="3">
        <v>51.82</v>
      </c>
      <c r="J1136" s="3">
        <v>54.58</v>
      </c>
      <c r="K1136" s="3">
        <v>51.82</v>
      </c>
      <c r="L1136" s="3">
        <v>1419.3035993840499</v>
      </c>
    </row>
    <row r="1137" spans="1:12" ht="15" customHeight="1" x14ac:dyDescent="0.2">
      <c r="A1137" s="2">
        <v>44400</v>
      </c>
      <c r="B1137" s="3">
        <v>51.79</v>
      </c>
      <c r="C1137" s="1">
        <v>721963</v>
      </c>
      <c r="D1137" s="3">
        <v>-0.160000000000003</v>
      </c>
      <c r="E1137" s="3">
        <v>-0.30798845043311601</v>
      </c>
      <c r="F1137" s="3">
        <v>-0.30798956041522202</v>
      </c>
      <c r="G1137" s="3">
        <v>60.337074000000001</v>
      </c>
      <c r="H1137" s="3">
        <v>1581.4074413885101</v>
      </c>
      <c r="I1137" s="3">
        <v>52.27</v>
      </c>
      <c r="J1137" s="3">
        <v>52.7864</v>
      </c>
      <c r="K1137" s="3">
        <v>51.302</v>
      </c>
      <c r="L1137" s="3">
        <v>1343.22695179934</v>
      </c>
    </row>
    <row r="1138" spans="1:12" ht="15" customHeight="1" x14ac:dyDescent="0.2">
      <c r="A1138" s="2">
        <v>44399</v>
      </c>
      <c r="B1138" s="3">
        <v>51.95</v>
      </c>
      <c r="C1138" s="1">
        <v>963409</v>
      </c>
      <c r="D1138" s="3">
        <v>0.160000000000003</v>
      </c>
      <c r="E1138" s="3">
        <v>0.30893994979726003</v>
      </c>
      <c r="F1138" s="3">
        <v>0.30894106664833798</v>
      </c>
      <c r="G1138" s="3">
        <v>60.523479999999999</v>
      </c>
      <c r="H1138" s="3">
        <v>1586.60199947264</v>
      </c>
      <c r="I1138" s="3">
        <v>51.45</v>
      </c>
      <c r="J1138" s="3">
        <v>52.18</v>
      </c>
      <c r="K1138" s="3">
        <v>50.62</v>
      </c>
      <c r="L1138" s="3">
        <v>1347.6856564196901</v>
      </c>
    </row>
    <row r="1139" spans="1:12" ht="15" customHeight="1" x14ac:dyDescent="0.2">
      <c r="A1139" s="2">
        <v>44398</v>
      </c>
      <c r="B1139" s="3">
        <v>51.79</v>
      </c>
      <c r="C1139" s="1">
        <v>901778</v>
      </c>
      <c r="D1139" s="3">
        <v>1.67</v>
      </c>
      <c r="E1139" s="3">
        <v>3.3320031923383899</v>
      </c>
      <c r="F1139" s="3">
        <v>3.3320109939356901</v>
      </c>
      <c r="G1139" s="3">
        <v>60.337074000000001</v>
      </c>
      <c r="H1139" s="3">
        <v>1581.4074413885101</v>
      </c>
      <c r="I1139" s="3">
        <v>50.38</v>
      </c>
      <c r="J1139" s="3">
        <v>52.54</v>
      </c>
      <c r="K1139" s="3">
        <v>50.38</v>
      </c>
      <c r="L1139" s="3">
        <v>1343.22695179934</v>
      </c>
    </row>
    <row r="1140" spans="1:12" ht="15" customHeight="1" x14ac:dyDescent="0.2">
      <c r="A1140" s="2">
        <v>44397</v>
      </c>
      <c r="B1140" s="3">
        <v>50.12</v>
      </c>
      <c r="C1140" s="1">
        <v>1735371</v>
      </c>
      <c r="D1140" s="3">
        <v>3.1599999999999899</v>
      </c>
      <c r="E1140" s="3">
        <v>6.7291311754684697</v>
      </c>
      <c r="F1140" s="3">
        <v>6.7291293943552297</v>
      </c>
      <c r="G1140" s="3">
        <v>58.391463999999999</v>
      </c>
      <c r="H1140" s="3">
        <v>1527.18931453602</v>
      </c>
      <c r="I1140" s="3">
        <v>47.23</v>
      </c>
      <c r="J1140" s="3">
        <v>50.44</v>
      </c>
      <c r="K1140" s="3">
        <v>47.045000000000002</v>
      </c>
      <c r="L1140" s="3">
        <v>1296.6892223244399</v>
      </c>
    </row>
    <row r="1141" spans="1:12" ht="15" customHeight="1" x14ac:dyDescent="0.2">
      <c r="A1141" s="2">
        <v>44396</v>
      </c>
      <c r="B1141" s="3">
        <v>46.96</v>
      </c>
      <c r="C1141" s="1">
        <v>1322942</v>
      </c>
      <c r="D1141" s="3">
        <v>-2.89</v>
      </c>
      <c r="E1141" s="3">
        <v>-5.7973921765295904</v>
      </c>
      <c r="F1141" s="3">
        <v>-5.7973986563678999</v>
      </c>
      <c r="G1141" s="3">
        <v>54.709960000000002</v>
      </c>
      <c r="H1141" s="3">
        <v>1424.59719644456</v>
      </c>
      <c r="I1141" s="3">
        <v>48.14</v>
      </c>
      <c r="J1141" s="3">
        <v>48.34</v>
      </c>
      <c r="K1141" s="3">
        <v>46.53</v>
      </c>
      <c r="L1141" s="3">
        <v>1208.6298060725401</v>
      </c>
    </row>
    <row r="1142" spans="1:12" ht="15" customHeight="1" x14ac:dyDescent="0.2">
      <c r="A1142" s="2">
        <v>44393</v>
      </c>
      <c r="B1142" s="3">
        <v>49.85</v>
      </c>
      <c r="C1142" s="1">
        <v>660503</v>
      </c>
      <c r="D1142" s="3">
        <v>-1.3099999999999901</v>
      </c>
      <c r="E1142" s="3">
        <v>-2.5605942142298601</v>
      </c>
      <c r="F1142" s="3">
        <v>-2.5605882915485898</v>
      </c>
      <c r="G1142" s="3">
        <v>58.076909999999998</v>
      </c>
      <c r="H1142" s="3">
        <v>1518.42366845384</v>
      </c>
      <c r="I1142" s="3">
        <v>51.69</v>
      </c>
      <c r="J1142" s="3">
        <v>52.08</v>
      </c>
      <c r="K1142" s="3">
        <v>49.54</v>
      </c>
      <c r="L1142" s="3">
        <v>1289.1651582776001</v>
      </c>
    </row>
    <row r="1143" spans="1:12" ht="15" customHeight="1" x14ac:dyDescent="0.2">
      <c r="A1143" s="2">
        <v>44392</v>
      </c>
      <c r="B1143" s="3">
        <v>51.16</v>
      </c>
      <c r="C1143" s="1">
        <v>713822</v>
      </c>
      <c r="D1143" s="3">
        <v>-1.29</v>
      </c>
      <c r="E1143" s="3">
        <v>-2.4594852240228899</v>
      </c>
      <c r="F1143" s="3">
        <v>-2.4594886311891302</v>
      </c>
      <c r="G1143" s="3">
        <v>59.603099999999998</v>
      </c>
      <c r="H1143" s="3">
        <v>1560.9538584821601</v>
      </c>
      <c r="I1143" s="3">
        <v>52.08</v>
      </c>
      <c r="J1143" s="3">
        <v>52.2</v>
      </c>
      <c r="K1143" s="3">
        <v>50.29</v>
      </c>
      <c r="L1143" s="3">
        <v>1325.6708023567101</v>
      </c>
    </row>
    <row r="1144" spans="1:12" ht="15" customHeight="1" x14ac:dyDescent="0.2">
      <c r="A1144" s="2">
        <v>44391</v>
      </c>
      <c r="B1144" s="3">
        <v>52.45</v>
      </c>
      <c r="C1144" s="1">
        <v>791169</v>
      </c>
      <c r="D1144" s="3">
        <v>-0.75</v>
      </c>
      <c r="E1144" s="3">
        <v>-1.40977443609022</v>
      </c>
      <c r="F1144" s="3">
        <v>-1.4097745119092799</v>
      </c>
      <c r="G1144" s="3">
        <v>61.105995</v>
      </c>
      <c r="H1144" s="3">
        <v>1602.83488898466</v>
      </c>
      <c r="I1144" s="3">
        <v>53.43</v>
      </c>
      <c r="J1144" s="3">
        <v>54.2</v>
      </c>
      <c r="K1144" s="3">
        <v>52.29</v>
      </c>
      <c r="L1144" s="3">
        <v>1361.6191083582801</v>
      </c>
    </row>
    <row r="1145" spans="1:12" ht="15" customHeight="1" x14ac:dyDescent="0.2">
      <c r="A1145" s="2">
        <v>44390</v>
      </c>
      <c r="B1145" s="3">
        <v>53.2</v>
      </c>
      <c r="C1145" s="1">
        <v>784878</v>
      </c>
      <c r="D1145" s="3">
        <v>-0.57999999999999796</v>
      </c>
      <c r="E1145" s="3">
        <v>-1.0784678319077701</v>
      </c>
      <c r="F1145" s="3">
        <v>-1.0784642053775699</v>
      </c>
      <c r="G1145" s="3">
        <v>61.979770000000002</v>
      </c>
      <c r="H1145" s="3">
        <v>1627.1842929199499</v>
      </c>
      <c r="I1145" s="3">
        <v>53.15</v>
      </c>
      <c r="J1145" s="3">
        <v>53.97</v>
      </c>
      <c r="K1145" s="3">
        <v>52.33</v>
      </c>
      <c r="L1145" s="3">
        <v>1382.51928626616</v>
      </c>
    </row>
    <row r="1146" spans="1:12" ht="15" customHeight="1" x14ac:dyDescent="0.2">
      <c r="A1146" s="2">
        <v>44389</v>
      </c>
      <c r="B1146" s="3">
        <v>53.78</v>
      </c>
      <c r="C1146" s="1">
        <v>1275440</v>
      </c>
      <c r="D1146" s="3">
        <v>2.12</v>
      </c>
      <c r="E1146" s="3">
        <v>4.1037553232675199</v>
      </c>
      <c r="F1146" s="3">
        <v>4.1037493673738101</v>
      </c>
      <c r="G1146" s="3">
        <v>62.655487000000001</v>
      </c>
      <c r="H1146" s="3">
        <v>1646.0144336071201</v>
      </c>
      <c r="I1146" s="3">
        <v>53.02</v>
      </c>
      <c r="J1146" s="3">
        <v>53.97</v>
      </c>
      <c r="K1146" s="3">
        <v>52.53</v>
      </c>
      <c r="L1146" s="3">
        <v>1398.68209051493</v>
      </c>
    </row>
    <row r="1147" spans="1:12" ht="15" customHeight="1" x14ac:dyDescent="0.2">
      <c r="A1147" s="2">
        <v>44386</v>
      </c>
      <c r="B1147" s="3">
        <v>51.66</v>
      </c>
      <c r="C1147" s="1">
        <v>667612</v>
      </c>
      <c r="D1147" s="3">
        <v>2.2099999999999902</v>
      </c>
      <c r="E1147" s="3">
        <v>4.4691607684529604</v>
      </c>
      <c r="F1147" s="3">
        <v>4.46915971469772</v>
      </c>
      <c r="G1147" s="3">
        <v>60.18562</v>
      </c>
      <c r="H1147" s="3">
        <v>1577.1868873287001</v>
      </c>
      <c r="I1147" s="3">
        <v>50.4</v>
      </c>
      <c r="J1147" s="3">
        <v>51.97</v>
      </c>
      <c r="K1147" s="3">
        <v>50.107500000000002</v>
      </c>
      <c r="L1147" s="3">
        <v>1339.6042542953001</v>
      </c>
    </row>
    <row r="1148" spans="1:12" ht="15" customHeight="1" x14ac:dyDescent="0.2">
      <c r="A1148" s="2">
        <v>44385</v>
      </c>
      <c r="B1148" s="3">
        <v>49.45</v>
      </c>
      <c r="C1148" s="1">
        <v>1270478</v>
      </c>
      <c r="D1148" s="3">
        <v>-1.01999999999999</v>
      </c>
      <c r="E1148" s="3">
        <v>-2.02100257578758</v>
      </c>
      <c r="F1148" s="3">
        <v>-2.02100095528461</v>
      </c>
      <c r="G1148" s="3">
        <v>57.610897000000001</v>
      </c>
      <c r="H1148" s="3">
        <v>1505.43732897732</v>
      </c>
      <c r="I1148" s="3">
        <v>49.5</v>
      </c>
      <c r="J1148" s="3">
        <v>50.35</v>
      </c>
      <c r="K1148" s="3">
        <v>48.85</v>
      </c>
      <c r="L1148" s="3">
        <v>1278.0183967267301</v>
      </c>
    </row>
    <row r="1149" spans="1:12" ht="15" customHeight="1" x14ac:dyDescent="0.2">
      <c r="A1149" s="2">
        <v>44384</v>
      </c>
      <c r="B1149" s="3">
        <v>50.47</v>
      </c>
      <c r="C1149" s="1">
        <v>1230410</v>
      </c>
      <c r="D1149" s="3">
        <v>-2.13</v>
      </c>
      <c r="E1149" s="3">
        <v>-4.0494296577946702</v>
      </c>
      <c r="F1149" s="3">
        <v>-4.0494219832114897</v>
      </c>
      <c r="G1149" s="3">
        <v>58.799230000000001</v>
      </c>
      <c r="H1149" s="3">
        <v>1538.5524904624101</v>
      </c>
      <c r="I1149" s="3">
        <v>52.36</v>
      </c>
      <c r="J1149" s="3">
        <v>52.452300000000001</v>
      </c>
      <c r="K1149" s="3">
        <v>50.002800000000001</v>
      </c>
      <c r="L1149" s="3">
        <v>1306.44263868145</v>
      </c>
    </row>
    <row r="1150" spans="1:12" ht="15" customHeight="1" x14ac:dyDescent="0.2">
      <c r="A1150" s="2">
        <v>44383</v>
      </c>
      <c r="B1150" s="3">
        <v>52.6</v>
      </c>
      <c r="C1150" s="1">
        <v>1318881</v>
      </c>
      <c r="D1150" s="3">
        <v>-0.72999999999999599</v>
      </c>
      <c r="E1150" s="3">
        <v>-1.3688355522219999</v>
      </c>
      <c r="F1150" s="3">
        <v>-1.36884470942195</v>
      </c>
      <c r="G1150" s="3">
        <v>61.280746000000001</v>
      </c>
      <c r="H1150" s="3">
        <v>1607.7046583040999</v>
      </c>
      <c r="I1150" s="3">
        <v>53.18</v>
      </c>
      <c r="J1150" s="3">
        <v>53.18</v>
      </c>
      <c r="K1150" s="3">
        <v>51.462000000000003</v>
      </c>
      <c r="L1150" s="3">
        <v>1365.79914393985</v>
      </c>
    </row>
    <row r="1151" spans="1:12" ht="15" customHeight="1" x14ac:dyDescent="0.2">
      <c r="A1151" s="2">
        <v>44379</v>
      </c>
      <c r="B1151" s="3">
        <v>53.33</v>
      </c>
      <c r="C1151" s="1">
        <v>468114</v>
      </c>
      <c r="D1151" s="3">
        <v>-0.310000000000002</v>
      </c>
      <c r="E1151" s="3">
        <v>-0.57792692020880398</v>
      </c>
      <c r="F1151" s="3">
        <v>-0.57792004151802001</v>
      </c>
      <c r="G1151" s="3">
        <v>62.131225999999998</v>
      </c>
      <c r="H1151" s="3">
        <v>1631.40490271357</v>
      </c>
      <c r="I1151" s="3">
        <v>54.02</v>
      </c>
      <c r="J1151" s="3">
        <v>54.02</v>
      </c>
      <c r="K1151" s="3">
        <v>53.2</v>
      </c>
      <c r="L1151" s="3">
        <v>1386.1419837702001</v>
      </c>
    </row>
    <row r="1152" spans="1:12" ht="15" customHeight="1" x14ac:dyDescent="0.2">
      <c r="A1152" s="2">
        <v>44378</v>
      </c>
      <c r="B1152" s="3">
        <v>53.64</v>
      </c>
      <c r="C1152" s="1">
        <v>577639</v>
      </c>
      <c r="D1152" s="3">
        <v>-0.53999999999999904</v>
      </c>
      <c r="E1152" s="3">
        <v>-0.99667774086378202</v>
      </c>
      <c r="F1152" s="3">
        <v>-0.99668097251551702</v>
      </c>
      <c r="G1152" s="3">
        <v>62.492381999999999</v>
      </c>
      <c r="H1152" s="3">
        <v>1641.46920225024</v>
      </c>
      <c r="I1152" s="3">
        <v>54.75</v>
      </c>
      <c r="J1152" s="3">
        <v>54.84</v>
      </c>
      <c r="K1152" s="3">
        <v>53.41</v>
      </c>
      <c r="L1152" s="3">
        <v>1394.7807239721301</v>
      </c>
    </row>
    <row r="1153" spans="1:12" ht="15" customHeight="1" x14ac:dyDescent="0.2">
      <c r="A1153" s="2">
        <v>44377</v>
      </c>
      <c r="B1153" s="3">
        <v>54.18</v>
      </c>
      <c r="C1153" s="1">
        <v>957104</v>
      </c>
      <c r="D1153" s="3">
        <v>1.72999999999999</v>
      </c>
      <c r="E1153" s="3">
        <v>3.2983794089609102</v>
      </c>
      <c r="F1153" s="3">
        <v>3.29837849788714</v>
      </c>
      <c r="G1153" s="3">
        <v>63.121502</v>
      </c>
      <c r="H1153" s="3">
        <v>1659.0008288174499</v>
      </c>
      <c r="I1153" s="3">
        <v>52.201300000000003</v>
      </c>
      <c r="J1153" s="3">
        <v>54.33</v>
      </c>
      <c r="K1153" s="3">
        <v>52.201300000000003</v>
      </c>
      <c r="L1153" s="3">
        <v>1409.8288520658</v>
      </c>
    </row>
    <row r="1154" spans="1:12" ht="15" customHeight="1" x14ac:dyDescent="0.2">
      <c r="A1154" s="2">
        <v>44376</v>
      </c>
      <c r="B1154" s="3">
        <v>52.45</v>
      </c>
      <c r="C1154" s="1">
        <v>657223</v>
      </c>
      <c r="D1154" s="3">
        <v>-0.97999999999999599</v>
      </c>
      <c r="E1154" s="3">
        <v>-1.83417555680328</v>
      </c>
      <c r="F1154" s="3">
        <v>-1.8341730266580301</v>
      </c>
      <c r="G1154" s="3">
        <v>61.105995</v>
      </c>
      <c r="H1154" s="3">
        <v>1602.83488898466</v>
      </c>
      <c r="I1154" s="3">
        <v>53.36</v>
      </c>
      <c r="J1154" s="3">
        <v>53.68</v>
      </c>
      <c r="K1154" s="3">
        <v>52.45</v>
      </c>
      <c r="L1154" s="3">
        <v>1361.6191083582801</v>
      </c>
    </row>
    <row r="1155" spans="1:12" ht="15" customHeight="1" x14ac:dyDescent="0.2">
      <c r="A1155" s="2">
        <v>44375</v>
      </c>
      <c r="B1155" s="3">
        <v>53.43</v>
      </c>
      <c r="C1155" s="1">
        <v>1056897</v>
      </c>
      <c r="D1155" s="3">
        <v>-0.70000000000000195</v>
      </c>
      <c r="E1155" s="3">
        <v>-1.2931830777757201</v>
      </c>
      <c r="F1155" s="3">
        <v>-1.2931842237753299</v>
      </c>
      <c r="G1155" s="3">
        <v>62.247726</v>
      </c>
      <c r="H1155" s="3">
        <v>1634.65139701526</v>
      </c>
      <c r="I1155" s="3">
        <v>53.97</v>
      </c>
      <c r="J1155" s="3">
        <v>54.16</v>
      </c>
      <c r="K1155" s="3">
        <v>51.86</v>
      </c>
      <c r="L1155" s="3">
        <v>1388.9286741579201</v>
      </c>
    </row>
    <row r="1156" spans="1:12" ht="15" customHeight="1" x14ac:dyDescent="0.2">
      <c r="A1156" s="2">
        <v>44372</v>
      </c>
      <c r="B1156" s="3">
        <v>54.13</v>
      </c>
      <c r="C1156" s="1">
        <v>3012607</v>
      </c>
      <c r="D1156" s="3">
        <v>-0.14000000000000001</v>
      </c>
      <c r="E1156" s="3">
        <v>-0.25796941219826602</v>
      </c>
      <c r="F1156" s="3">
        <v>-0.25797311080251101</v>
      </c>
      <c r="G1156" s="3">
        <v>63.063249999999996</v>
      </c>
      <c r="H1156" s="3">
        <v>1657.3775259327999</v>
      </c>
      <c r="I1156" s="3">
        <v>54.46</v>
      </c>
      <c r="J1156" s="3">
        <v>55.03</v>
      </c>
      <c r="K1156" s="3">
        <v>54.01</v>
      </c>
      <c r="L1156" s="3">
        <v>1408.4355068719501</v>
      </c>
    </row>
    <row r="1157" spans="1:12" ht="15" customHeight="1" x14ac:dyDescent="0.2">
      <c r="A1157" s="2">
        <v>44371</v>
      </c>
      <c r="B1157" s="3">
        <v>54.27</v>
      </c>
      <c r="C1157" s="1">
        <v>867104</v>
      </c>
      <c r="D1157" s="3">
        <v>0.36000000000000598</v>
      </c>
      <c r="E1157" s="3">
        <v>0.66777963272122098</v>
      </c>
      <c r="F1157" s="3">
        <v>0.66778446242454703</v>
      </c>
      <c r="G1157" s="3">
        <v>63.226357</v>
      </c>
      <c r="H1157" s="3">
        <v>1661.9228130234901</v>
      </c>
      <c r="I1157" s="3">
        <v>54.04</v>
      </c>
      <c r="J1157" s="3">
        <v>54.8</v>
      </c>
      <c r="K1157" s="3">
        <v>53.86</v>
      </c>
      <c r="L1157" s="3">
        <v>1412.33687341475</v>
      </c>
    </row>
    <row r="1158" spans="1:12" ht="15" customHeight="1" x14ac:dyDescent="0.2">
      <c r="A1158" s="2">
        <v>44370</v>
      </c>
      <c r="B1158" s="3">
        <v>53.91</v>
      </c>
      <c r="C1158" s="1">
        <v>614476</v>
      </c>
      <c r="D1158" s="3">
        <v>0.54999999999999705</v>
      </c>
      <c r="E1158" s="3">
        <v>1.0307346326836599</v>
      </c>
      <c r="F1158" s="3">
        <v>1.0307309235169899</v>
      </c>
      <c r="G1158" s="3">
        <v>62.806941999999999</v>
      </c>
      <c r="H1158" s="3">
        <v>1650.2350155338399</v>
      </c>
      <c r="I1158" s="3">
        <v>53.6</v>
      </c>
      <c r="J1158" s="3">
        <v>54.47</v>
      </c>
      <c r="K1158" s="3">
        <v>53.44</v>
      </c>
      <c r="L1158" s="3">
        <v>1402.3047880189699</v>
      </c>
    </row>
    <row r="1159" spans="1:12" ht="15" customHeight="1" x14ac:dyDescent="0.2">
      <c r="A1159" s="2">
        <v>44369</v>
      </c>
      <c r="B1159" s="3">
        <v>53.36</v>
      </c>
      <c r="C1159" s="1">
        <v>877312</v>
      </c>
      <c r="D1159" s="3">
        <v>0.439999999999997</v>
      </c>
      <c r="E1159" s="3">
        <v>0.83144368858654105</v>
      </c>
      <c r="F1159" s="3">
        <v>0.83145081150792699</v>
      </c>
      <c r="G1159" s="3">
        <v>62.166176</v>
      </c>
      <c r="H1159" s="3">
        <v>1632.3788510040799</v>
      </c>
      <c r="I1159" s="3">
        <v>52.99</v>
      </c>
      <c r="J1159" s="3">
        <v>53.61</v>
      </c>
      <c r="K1159" s="3">
        <v>52.26</v>
      </c>
      <c r="L1159" s="3">
        <v>1386.97799088651</v>
      </c>
    </row>
    <row r="1160" spans="1:12" ht="15" customHeight="1" x14ac:dyDescent="0.2">
      <c r="A1160" s="2">
        <v>44368</v>
      </c>
      <c r="B1160" s="3">
        <v>52.92</v>
      </c>
      <c r="C1160" s="1">
        <v>792397</v>
      </c>
      <c r="D1160" s="3">
        <v>1.2</v>
      </c>
      <c r="E1160" s="3">
        <v>2.3201856148491902</v>
      </c>
      <c r="F1160" s="3">
        <v>2.3201739976570401</v>
      </c>
      <c r="G1160" s="3">
        <v>61.653556999999999</v>
      </c>
      <c r="H1160" s="3">
        <v>1618.09374660546</v>
      </c>
      <c r="I1160" s="3">
        <v>52.06</v>
      </c>
      <c r="J1160" s="3">
        <v>53.1</v>
      </c>
      <c r="K1160" s="3">
        <v>51.56</v>
      </c>
      <c r="L1160" s="3">
        <v>1374.7165531805499</v>
      </c>
    </row>
    <row r="1161" spans="1:12" ht="15" customHeight="1" x14ac:dyDescent="0.2">
      <c r="A1161" s="2">
        <v>44365</v>
      </c>
      <c r="B1161" s="3">
        <v>51.72</v>
      </c>
      <c r="C1161" s="1">
        <v>1358845</v>
      </c>
      <c r="D1161" s="3">
        <v>-2.3299999999999899</v>
      </c>
      <c r="E1161" s="3">
        <v>-4.3108233117483703</v>
      </c>
      <c r="F1161" s="3">
        <v>-4.3108162202896203</v>
      </c>
      <c r="G1161" s="3">
        <v>60.255524000000001</v>
      </c>
      <c r="H1161" s="3">
        <v>1579.1348953773299</v>
      </c>
      <c r="I1161" s="3">
        <v>53.14</v>
      </c>
      <c r="J1161" s="3">
        <v>53.14</v>
      </c>
      <c r="K1161" s="3">
        <v>51.54</v>
      </c>
      <c r="L1161" s="3">
        <v>1341.2762685279299</v>
      </c>
    </row>
    <row r="1162" spans="1:12" ht="15" customHeight="1" x14ac:dyDescent="0.2">
      <c r="A1162" s="2">
        <v>44364</v>
      </c>
      <c r="B1162" s="3">
        <v>54.05</v>
      </c>
      <c r="C1162" s="1">
        <v>1616386</v>
      </c>
      <c r="D1162" s="3">
        <v>-2</v>
      </c>
      <c r="E1162" s="3">
        <v>-3.56824264049955</v>
      </c>
      <c r="F1162" s="3">
        <v>-3.56823748076381</v>
      </c>
      <c r="G1162" s="3">
        <v>62.970047000000001</v>
      </c>
      <c r="H1162" s="3">
        <v>1654.78024689073</v>
      </c>
      <c r="I1162" s="3">
        <v>56.03</v>
      </c>
      <c r="J1162" s="3">
        <v>56.61</v>
      </c>
      <c r="K1162" s="3">
        <v>52</v>
      </c>
      <c r="L1162" s="3">
        <v>1406.2061545617701</v>
      </c>
    </row>
    <row r="1163" spans="1:12" ht="15" customHeight="1" x14ac:dyDescent="0.2">
      <c r="A1163" s="2">
        <v>44363</v>
      </c>
      <c r="B1163" s="3">
        <v>56.05</v>
      </c>
      <c r="C1163" s="1">
        <v>1714462</v>
      </c>
      <c r="D1163" s="3">
        <v>0.439999999999997</v>
      </c>
      <c r="E1163" s="3">
        <v>0.79122459989209304</v>
      </c>
      <c r="F1163" s="3">
        <v>0.79121744163612695</v>
      </c>
      <c r="G1163" s="3">
        <v>65.300110000000004</v>
      </c>
      <c r="H1163" s="3">
        <v>1719.71188853951</v>
      </c>
      <c r="I1163" s="3">
        <v>55.81</v>
      </c>
      <c r="J1163" s="3">
        <v>56.274999999999999</v>
      </c>
      <c r="K1163" s="3">
        <v>54.39</v>
      </c>
      <c r="L1163" s="3">
        <v>1461.9399623161401</v>
      </c>
    </row>
    <row r="1164" spans="1:12" ht="15" customHeight="1" x14ac:dyDescent="0.2">
      <c r="A1164" s="2">
        <v>44362</v>
      </c>
      <c r="B1164" s="3">
        <v>55.61</v>
      </c>
      <c r="C1164" s="1">
        <v>1227258</v>
      </c>
      <c r="D1164" s="3">
        <v>-0.41000000000000297</v>
      </c>
      <c r="E1164" s="3">
        <v>-0.73188147090324995</v>
      </c>
      <c r="F1164" s="3">
        <v>-0.73189114500123997</v>
      </c>
      <c r="G1164" s="3">
        <v>64.787499999999994</v>
      </c>
      <c r="H1164" s="3">
        <v>1705.4270349430301</v>
      </c>
      <c r="I1164" s="3">
        <v>56</v>
      </c>
      <c r="J1164" s="3">
        <v>56.3</v>
      </c>
      <c r="K1164" s="3">
        <v>54.93</v>
      </c>
      <c r="L1164" s="3">
        <v>1449.6785246101799</v>
      </c>
    </row>
    <row r="1165" spans="1:12" ht="15" customHeight="1" x14ac:dyDescent="0.2">
      <c r="A1165" s="2">
        <v>44361</v>
      </c>
      <c r="B1165" s="3">
        <v>56.02</v>
      </c>
      <c r="C1165" s="1">
        <v>1618144</v>
      </c>
      <c r="D1165" s="3">
        <v>-5.9999999999995099E-2</v>
      </c>
      <c r="E1165" s="3">
        <v>-0.106990014265329</v>
      </c>
      <c r="F1165" s="3">
        <v>-0.106986952030518</v>
      </c>
      <c r="G1165" s="3">
        <v>65.265169999999998</v>
      </c>
      <c r="H1165" s="3">
        <v>1718.73821891804</v>
      </c>
      <c r="I1165" s="3">
        <v>56.9</v>
      </c>
      <c r="J1165" s="3">
        <v>57.65</v>
      </c>
      <c r="K1165" s="3">
        <v>55.520099999999999</v>
      </c>
      <c r="L1165" s="3">
        <v>1461.1039551998199</v>
      </c>
    </row>
    <row r="1166" spans="1:12" ht="15" customHeight="1" x14ac:dyDescent="0.2">
      <c r="A1166" s="2">
        <v>44358</v>
      </c>
      <c r="B1166" s="3">
        <v>56.08</v>
      </c>
      <c r="C1166" s="1">
        <v>4925907</v>
      </c>
      <c r="D1166" s="3">
        <v>-0.78000000000000103</v>
      </c>
      <c r="E1166" s="3">
        <v>-1.3717903622933501</v>
      </c>
      <c r="F1166" s="3">
        <v>-1.3717814152843599</v>
      </c>
      <c r="G1166" s="3">
        <v>65.335070000000002</v>
      </c>
      <c r="H1166" s="3">
        <v>1720.68611549906</v>
      </c>
      <c r="I1166" s="3">
        <v>57.75</v>
      </c>
      <c r="J1166" s="3">
        <v>58.1</v>
      </c>
      <c r="K1166" s="3">
        <v>55.99</v>
      </c>
      <c r="L1166" s="3">
        <v>1462.77596943245</v>
      </c>
    </row>
    <row r="1167" spans="1:12" ht="15" customHeight="1" x14ac:dyDescent="0.2">
      <c r="A1167" s="2">
        <v>44357</v>
      </c>
      <c r="B1167" s="3">
        <v>56.86</v>
      </c>
      <c r="C1167" s="1">
        <v>4798054</v>
      </c>
      <c r="D1167" s="3">
        <v>-4.75</v>
      </c>
      <c r="E1167" s="3">
        <v>-7.7097873721798402</v>
      </c>
      <c r="F1167" s="3">
        <v>-7.7097900880078196</v>
      </c>
      <c r="G1167" s="3">
        <v>66.243790000000004</v>
      </c>
      <c r="H1167" s="3">
        <v>1746.00932839033</v>
      </c>
      <c r="I1167" s="3">
        <v>57.79</v>
      </c>
      <c r="J1167" s="3">
        <v>58.7</v>
      </c>
      <c r="K1167" s="3">
        <v>55.21</v>
      </c>
      <c r="L1167" s="3">
        <v>1484.51215445666</v>
      </c>
    </row>
    <row r="1168" spans="1:12" ht="15" customHeight="1" x14ac:dyDescent="0.2">
      <c r="A1168" s="2">
        <v>44356</v>
      </c>
      <c r="B1168" s="3">
        <v>61.61</v>
      </c>
      <c r="C1168" s="1">
        <v>778723</v>
      </c>
      <c r="D1168" s="3">
        <v>-0.85999999999999899</v>
      </c>
      <c r="E1168" s="3">
        <v>-1.3766607971826399</v>
      </c>
      <c r="F1168" s="3">
        <v>-1.3766626733331799</v>
      </c>
      <c r="G1168" s="3">
        <v>71.777699999999996</v>
      </c>
      <c r="H1168" s="3">
        <v>1900.22226642532</v>
      </c>
      <c r="I1168" s="3">
        <v>62.47</v>
      </c>
      <c r="J1168" s="3">
        <v>63.25</v>
      </c>
      <c r="K1168" s="3">
        <v>61.48</v>
      </c>
      <c r="L1168" s="3">
        <v>1616.8799478732799</v>
      </c>
    </row>
    <row r="1169" spans="1:12" ht="15" customHeight="1" x14ac:dyDescent="0.2">
      <c r="A1169" s="2">
        <v>44355</v>
      </c>
      <c r="B1169" s="3">
        <v>62.47</v>
      </c>
      <c r="C1169" s="1">
        <v>1290922</v>
      </c>
      <c r="D1169" s="3">
        <v>4.5799999999999903</v>
      </c>
      <c r="E1169" s="3">
        <v>7.9115564000690801</v>
      </c>
      <c r="F1169" s="3">
        <v>7.91156840728208</v>
      </c>
      <c r="G1169" s="3">
        <v>72.779629999999997</v>
      </c>
      <c r="H1169" s="3">
        <v>1928.1429534269901</v>
      </c>
      <c r="I1169" s="3">
        <v>58.2</v>
      </c>
      <c r="J1169" s="3">
        <v>62.84</v>
      </c>
      <c r="K1169" s="3">
        <v>58.2</v>
      </c>
      <c r="L1169" s="3">
        <v>1640.84548520766</v>
      </c>
    </row>
    <row r="1170" spans="1:12" ht="15" customHeight="1" x14ac:dyDescent="0.2">
      <c r="A1170" s="2">
        <v>44354</v>
      </c>
      <c r="B1170" s="3">
        <v>57.89</v>
      </c>
      <c r="C1170" s="1">
        <v>606697</v>
      </c>
      <c r="D1170" s="3">
        <v>1.6799999999999899</v>
      </c>
      <c r="E1170" s="3">
        <v>2.98879202988791</v>
      </c>
      <c r="F1170" s="3">
        <v>2.9887830350429301</v>
      </c>
      <c r="G1170" s="3">
        <v>67.443770000000001</v>
      </c>
      <c r="H1170" s="3">
        <v>1779.44905570488</v>
      </c>
      <c r="I1170" s="3">
        <v>56.29</v>
      </c>
      <c r="J1170" s="3">
        <v>58.424999999999997</v>
      </c>
      <c r="K1170" s="3">
        <v>56.23</v>
      </c>
      <c r="L1170" s="3">
        <v>1513.21506545016</v>
      </c>
    </row>
    <row r="1171" spans="1:12" ht="15" customHeight="1" x14ac:dyDescent="0.2">
      <c r="A1171" s="2">
        <v>44351</v>
      </c>
      <c r="B1171" s="3">
        <v>56.21</v>
      </c>
      <c r="C1171" s="1">
        <v>563818</v>
      </c>
      <c r="D1171" s="3">
        <v>-0.35999999999999899</v>
      </c>
      <c r="E1171" s="3">
        <v>-0.63637970655824305</v>
      </c>
      <c r="F1171" s="3">
        <v>-0.63637672664660305</v>
      </c>
      <c r="G1171" s="3">
        <v>65.486519999999999</v>
      </c>
      <c r="H1171" s="3">
        <v>1724.90655809126</v>
      </c>
      <c r="I1171" s="3">
        <v>56.48</v>
      </c>
      <c r="J1171" s="3">
        <v>56.85</v>
      </c>
      <c r="K1171" s="3">
        <v>55.12</v>
      </c>
      <c r="L1171" s="3">
        <v>1466.3986669364899</v>
      </c>
    </row>
    <row r="1172" spans="1:12" ht="15" customHeight="1" x14ac:dyDescent="0.2">
      <c r="A1172" s="2">
        <v>44350</v>
      </c>
      <c r="B1172" s="3">
        <v>56.57</v>
      </c>
      <c r="C1172" s="1">
        <v>1083098</v>
      </c>
      <c r="D1172" s="3">
        <v>-1.5899999999999901</v>
      </c>
      <c r="E1172" s="3">
        <v>-2.73383768913342</v>
      </c>
      <c r="F1172" s="3">
        <v>-2.73383361130653</v>
      </c>
      <c r="G1172" s="3">
        <v>65.905929999999998</v>
      </c>
      <c r="H1172" s="3">
        <v>1736.59421624639</v>
      </c>
      <c r="I1172" s="3">
        <v>57.62</v>
      </c>
      <c r="J1172" s="3">
        <v>57.62</v>
      </c>
      <c r="K1172" s="3">
        <v>55.26</v>
      </c>
      <c r="L1172" s="3">
        <v>1476.43075233227</v>
      </c>
    </row>
    <row r="1173" spans="1:12" ht="15" customHeight="1" x14ac:dyDescent="0.2">
      <c r="A1173" s="2">
        <v>44349</v>
      </c>
      <c r="B1173" s="3">
        <v>58.16</v>
      </c>
      <c r="C1173" s="1">
        <v>2010988</v>
      </c>
      <c r="D1173" s="3">
        <v>0.92999999999999905</v>
      </c>
      <c r="E1173" s="3">
        <v>1.6250218416914199</v>
      </c>
      <c r="F1173" s="3">
        <v>1.6250205287300801</v>
      </c>
      <c r="G1173" s="3">
        <v>67.758330000000001</v>
      </c>
      <c r="H1173" s="3">
        <v>1788.21486898848</v>
      </c>
      <c r="I1173" s="3">
        <v>58.57</v>
      </c>
      <c r="J1173" s="3">
        <v>59.17</v>
      </c>
      <c r="K1173" s="3">
        <v>57.1</v>
      </c>
      <c r="L1173" s="3">
        <v>1520.739129497</v>
      </c>
    </row>
    <row r="1174" spans="1:12" ht="15" customHeight="1" x14ac:dyDescent="0.2">
      <c r="A1174" s="2">
        <v>44348</v>
      </c>
      <c r="B1174" s="3">
        <v>57.23</v>
      </c>
      <c r="C1174" s="1">
        <v>976443</v>
      </c>
      <c r="D1174" s="3">
        <v>-1.59</v>
      </c>
      <c r="E1174" s="3">
        <v>-2.7031621897313798</v>
      </c>
      <c r="F1174" s="3">
        <v>-2.7031724309420602</v>
      </c>
      <c r="G1174" s="3">
        <v>66.674850000000006</v>
      </c>
      <c r="H1174" s="3">
        <v>1758.02163597563</v>
      </c>
      <c r="I1174" s="3">
        <v>58.73</v>
      </c>
      <c r="J1174" s="3">
        <v>58.954999999999998</v>
      </c>
      <c r="K1174" s="3">
        <v>56.593800000000002</v>
      </c>
      <c r="L1174" s="3">
        <v>1494.8229088912101</v>
      </c>
    </row>
    <row r="1175" spans="1:12" ht="15" customHeight="1" x14ac:dyDescent="0.2">
      <c r="A1175" s="2">
        <v>44344</v>
      </c>
      <c r="B1175" s="3">
        <v>58.82</v>
      </c>
      <c r="C1175" s="1">
        <v>630343</v>
      </c>
      <c r="D1175" s="3">
        <v>9.0000000000003397E-2</v>
      </c>
      <c r="E1175" s="3">
        <v>0.153243657415291</v>
      </c>
      <c r="F1175" s="3">
        <v>0.15325390515386</v>
      </c>
      <c r="G1175" s="3">
        <v>68.527259999999998</v>
      </c>
      <c r="H1175" s="3">
        <v>1809.64256738677</v>
      </c>
      <c r="I1175" s="3">
        <v>58.85</v>
      </c>
      <c r="J1175" s="3">
        <v>59.39</v>
      </c>
      <c r="K1175" s="3">
        <v>57.24</v>
      </c>
      <c r="L1175" s="3">
        <v>1539.1312860559401</v>
      </c>
    </row>
    <row r="1176" spans="1:12" ht="15" customHeight="1" x14ac:dyDescent="0.2">
      <c r="A1176" s="2">
        <v>44343</v>
      </c>
      <c r="B1176" s="3">
        <v>58.73</v>
      </c>
      <c r="C1176" s="1">
        <v>532047</v>
      </c>
      <c r="D1176" s="3">
        <v>0.76999999999999602</v>
      </c>
      <c r="E1176" s="3">
        <v>1.32850241545892</v>
      </c>
      <c r="F1176" s="3">
        <v>1.32849406289461</v>
      </c>
      <c r="G1176" s="3">
        <v>68.422399999999996</v>
      </c>
      <c r="H1176" s="3">
        <v>1806.7204438461999</v>
      </c>
      <c r="I1176" s="3">
        <v>58.1</v>
      </c>
      <c r="J1176" s="3">
        <v>59.01</v>
      </c>
      <c r="K1176" s="3">
        <v>57.36</v>
      </c>
      <c r="L1176" s="3">
        <v>1536.6232647069901</v>
      </c>
    </row>
    <row r="1177" spans="1:12" ht="15" customHeight="1" x14ac:dyDescent="0.2">
      <c r="A1177" s="2">
        <v>44342</v>
      </c>
      <c r="B1177" s="3">
        <v>57.96</v>
      </c>
      <c r="C1177" s="1">
        <v>633280</v>
      </c>
      <c r="D1177" s="3">
        <v>2.1899999999999902</v>
      </c>
      <c r="E1177" s="3">
        <v>3.9268423883808299</v>
      </c>
      <c r="F1177" s="3">
        <v>3.92683771070572</v>
      </c>
      <c r="G1177" s="3">
        <v>67.525329999999997</v>
      </c>
      <c r="H1177" s="3">
        <v>1781.7218803850999</v>
      </c>
      <c r="I1177" s="3">
        <v>56.1</v>
      </c>
      <c r="J1177" s="3">
        <v>58.03</v>
      </c>
      <c r="K1177" s="3">
        <v>55.89</v>
      </c>
      <c r="L1177" s="3">
        <v>1515.16574872156</v>
      </c>
    </row>
    <row r="1178" spans="1:12" ht="15" customHeight="1" x14ac:dyDescent="0.2">
      <c r="A1178" s="2">
        <v>44341</v>
      </c>
      <c r="B1178" s="3">
        <v>55.77</v>
      </c>
      <c r="C1178" s="1">
        <v>1149243</v>
      </c>
      <c r="D1178" s="3">
        <v>-0.96999999999999797</v>
      </c>
      <c r="E1178" s="3">
        <v>-1.7095523440253699</v>
      </c>
      <c r="F1178" s="3">
        <v>-1.70954884871546</v>
      </c>
      <c r="G1178" s="3">
        <v>64.973910000000004</v>
      </c>
      <c r="H1178" s="3">
        <v>1710.62170449478</v>
      </c>
      <c r="I1178" s="3">
        <v>57.12</v>
      </c>
      <c r="J1178" s="3">
        <v>57.87</v>
      </c>
      <c r="K1178" s="3">
        <v>55.4</v>
      </c>
      <c r="L1178" s="3">
        <v>1454.13722923053</v>
      </c>
    </row>
    <row r="1179" spans="1:12" ht="15" customHeight="1" x14ac:dyDescent="0.2">
      <c r="A1179" s="2">
        <v>44340</v>
      </c>
      <c r="B1179" s="3">
        <v>56.74</v>
      </c>
      <c r="C1179" s="1">
        <v>613745</v>
      </c>
      <c r="D1179" s="3">
        <v>0.96999999999999797</v>
      </c>
      <c r="E1179" s="3">
        <v>1.73928635467097</v>
      </c>
      <c r="F1179" s="3">
        <v>1.7392827367169199</v>
      </c>
      <c r="G1179" s="3">
        <v>66.103989999999996</v>
      </c>
      <c r="H1179" s="3">
        <v>1742.1135352283</v>
      </c>
      <c r="I1179" s="3">
        <v>56.12</v>
      </c>
      <c r="J1179" s="3">
        <v>57.07</v>
      </c>
      <c r="K1179" s="3">
        <v>55.19</v>
      </c>
      <c r="L1179" s="3">
        <v>1481.1681259913901</v>
      </c>
    </row>
    <row r="1180" spans="1:12" ht="15" customHeight="1" x14ac:dyDescent="0.2">
      <c r="A1180" s="2">
        <v>44337</v>
      </c>
      <c r="B1180" s="3">
        <v>55.77</v>
      </c>
      <c r="C1180" s="1">
        <v>555184</v>
      </c>
      <c r="D1180" s="3">
        <v>-0.27999999999999398</v>
      </c>
      <c r="E1180" s="3">
        <v>-0.49955396966992999</v>
      </c>
      <c r="F1180" s="3">
        <v>-0.49953974043841498</v>
      </c>
      <c r="G1180" s="3">
        <v>64.973910000000004</v>
      </c>
      <c r="H1180" s="3">
        <v>1710.62170449478</v>
      </c>
      <c r="I1180" s="3">
        <v>56.75</v>
      </c>
      <c r="J1180" s="3">
        <v>57.66</v>
      </c>
      <c r="K1180" s="3">
        <v>55.74</v>
      </c>
      <c r="L1180" s="3">
        <v>1454.13722923053</v>
      </c>
    </row>
    <row r="1181" spans="1:12" ht="15" customHeight="1" x14ac:dyDescent="0.2">
      <c r="A1181" s="2">
        <v>44336</v>
      </c>
      <c r="B1181" s="3">
        <v>56.05</v>
      </c>
      <c r="C1181" s="1">
        <v>928314</v>
      </c>
      <c r="D1181" s="3">
        <v>-1.55</v>
      </c>
      <c r="E1181" s="3">
        <v>-2.6909722222222299</v>
      </c>
      <c r="F1181" s="3">
        <v>-2.69097013958977</v>
      </c>
      <c r="G1181" s="3">
        <v>65.300110000000004</v>
      </c>
      <c r="H1181" s="3">
        <v>1719.71188853951</v>
      </c>
      <c r="I1181" s="3">
        <v>57.32</v>
      </c>
      <c r="J1181" s="3">
        <v>57.6</v>
      </c>
      <c r="K1181" s="3">
        <v>54.85</v>
      </c>
      <c r="L1181" s="3">
        <v>1461.9399623161401</v>
      </c>
    </row>
    <row r="1182" spans="1:12" ht="15" customHeight="1" x14ac:dyDescent="0.2">
      <c r="A1182" s="2">
        <v>44335</v>
      </c>
      <c r="B1182" s="3">
        <v>57.6</v>
      </c>
      <c r="C1182" s="1">
        <v>594648</v>
      </c>
      <c r="D1182" s="3">
        <v>-0.5</v>
      </c>
      <c r="E1182" s="3">
        <v>-0.86058519793459298</v>
      </c>
      <c r="F1182" s="3">
        <v>-0.86059020721858104</v>
      </c>
      <c r="G1182" s="3">
        <v>67.105909999999994</v>
      </c>
      <c r="H1182" s="3">
        <v>1770.0339435609301</v>
      </c>
      <c r="I1182" s="3">
        <v>57</v>
      </c>
      <c r="J1182" s="3">
        <v>57.77</v>
      </c>
      <c r="K1182" s="3">
        <v>55.96</v>
      </c>
      <c r="L1182" s="3">
        <v>1505.1336633257699</v>
      </c>
    </row>
    <row r="1183" spans="1:12" ht="15" customHeight="1" x14ac:dyDescent="0.2">
      <c r="A1183" s="2">
        <v>44334</v>
      </c>
      <c r="B1183" s="3">
        <v>58.1</v>
      </c>
      <c r="C1183" s="1">
        <v>445293</v>
      </c>
      <c r="D1183" s="3">
        <v>-0.80999999999999495</v>
      </c>
      <c r="E1183" s="3">
        <v>-1.3749787811916301</v>
      </c>
      <c r="F1183" s="3">
        <v>-1.3749832257816299</v>
      </c>
      <c r="G1183" s="3">
        <v>67.688429999999997</v>
      </c>
      <c r="H1183" s="3">
        <v>1786.2669724074699</v>
      </c>
      <c r="I1183" s="3">
        <v>59.24</v>
      </c>
      <c r="J1183" s="3">
        <v>59.695</v>
      </c>
      <c r="K1183" s="3">
        <v>58.01</v>
      </c>
      <c r="L1183" s="3">
        <v>1519.0671152643599</v>
      </c>
    </row>
    <row r="1184" spans="1:12" ht="15" customHeight="1" x14ac:dyDescent="0.2">
      <c r="A1184" s="2">
        <v>44333</v>
      </c>
      <c r="B1184" s="3">
        <v>58.91</v>
      </c>
      <c r="C1184" s="1">
        <v>477320</v>
      </c>
      <c r="D1184" s="3">
        <v>-0.39</v>
      </c>
      <c r="E1184" s="3">
        <v>-0.65767284991567998</v>
      </c>
      <c r="F1184" s="3">
        <v>-0.65766857099517295</v>
      </c>
      <c r="G1184" s="3">
        <v>68.632109999999997</v>
      </c>
      <c r="H1184" s="3">
        <v>1812.5644122582901</v>
      </c>
      <c r="I1184" s="3">
        <v>59.08</v>
      </c>
      <c r="J1184" s="3">
        <v>59.4</v>
      </c>
      <c r="K1184" s="3">
        <v>57.5426</v>
      </c>
      <c r="L1184" s="3">
        <v>1541.6393074048799</v>
      </c>
    </row>
    <row r="1185" spans="1:12" ht="15" customHeight="1" x14ac:dyDescent="0.2">
      <c r="A1185" s="2">
        <v>44330</v>
      </c>
      <c r="B1185" s="3">
        <v>59.3</v>
      </c>
      <c r="C1185" s="1">
        <v>465610</v>
      </c>
      <c r="D1185" s="3">
        <v>1.5999999999999901</v>
      </c>
      <c r="E1185" s="3">
        <v>2.7729636048526798</v>
      </c>
      <c r="F1185" s="3">
        <v>2.7729587836915202</v>
      </c>
      <c r="G1185" s="3">
        <v>69.086470000000006</v>
      </c>
      <c r="H1185" s="3">
        <v>1825.2260187039301</v>
      </c>
      <c r="I1185" s="3">
        <v>58.51</v>
      </c>
      <c r="J1185" s="3">
        <v>59.696300000000001</v>
      </c>
      <c r="K1185" s="3">
        <v>58.02</v>
      </c>
      <c r="L1185" s="3">
        <v>1552.5073999169899</v>
      </c>
    </row>
    <row r="1186" spans="1:12" ht="15" customHeight="1" x14ac:dyDescent="0.2">
      <c r="A1186" s="2">
        <v>44329</v>
      </c>
      <c r="B1186" s="3">
        <v>57.7</v>
      </c>
      <c r="C1186" s="1">
        <v>932125</v>
      </c>
      <c r="D1186" s="3">
        <v>0.39</v>
      </c>
      <c r="E1186" s="3">
        <v>0.68050950968416801</v>
      </c>
      <c r="F1186" s="3">
        <v>0.68050501991521095</v>
      </c>
      <c r="G1186" s="3">
        <v>67.22242</v>
      </c>
      <c r="H1186" s="3">
        <v>1773.2807165316599</v>
      </c>
      <c r="I1186" s="3">
        <v>57.37</v>
      </c>
      <c r="J1186" s="3">
        <v>58.79</v>
      </c>
      <c r="K1186" s="3">
        <v>55.615000000000002</v>
      </c>
      <c r="L1186" s="3">
        <v>1507.9203537134899</v>
      </c>
    </row>
    <row r="1187" spans="1:12" ht="15" customHeight="1" x14ac:dyDescent="0.2">
      <c r="A1187" s="2">
        <v>44328</v>
      </c>
      <c r="B1187" s="3">
        <v>57.31</v>
      </c>
      <c r="C1187" s="1">
        <v>1306072</v>
      </c>
      <c r="D1187" s="3">
        <v>-3.98999999999999</v>
      </c>
      <c r="E1187" s="3">
        <v>-6.5089722675366897</v>
      </c>
      <c r="F1187" s="3">
        <v>-6.5089605160620003</v>
      </c>
      <c r="G1187" s="3">
        <v>66.768060000000006</v>
      </c>
      <c r="H1187" s="3">
        <v>1760.6191100860301</v>
      </c>
      <c r="I1187" s="3">
        <v>60.8</v>
      </c>
      <c r="J1187" s="3">
        <v>61.13</v>
      </c>
      <c r="K1187" s="3">
        <v>56.67</v>
      </c>
      <c r="L1187" s="3">
        <v>1497.0522612013899</v>
      </c>
    </row>
    <row r="1188" spans="1:12" ht="15" customHeight="1" x14ac:dyDescent="0.2">
      <c r="A1188" s="2">
        <v>44327</v>
      </c>
      <c r="B1188" s="3">
        <v>61.3</v>
      </c>
      <c r="C1188" s="1">
        <v>538812</v>
      </c>
      <c r="D1188" s="3">
        <v>-0.41000000000000297</v>
      </c>
      <c r="E1188" s="3">
        <v>-0.66439799060120597</v>
      </c>
      <c r="F1188" s="3">
        <v>-0.66440130080034299</v>
      </c>
      <c r="G1188" s="3">
        <v>71.416533999999999</v>
      </c>
      <c r="H1188" s="3">
        <v>1890.15768821961</v>
      </c>
      <c r="I1188" s="3">
        <v>60</v>
      </c>
      <c r="J1188" s="3">
        <v>61.56</v>
      </c>
      <c r="K1188" s="3">
        <v>58.3</v>
      </c>
      <c r="L1188" s="3">
        <v>1608.2412076713499</v>
      </c>
    </row>
    <row r="1189" spans="1:12" ht="15" customHeight="1" x14ac:dyDescent="0.2">
      <c r="A1189" s="2">
        <v>44326</v>
      </c>
      <c r="B1189" s="3">
        <v>61.71</v>
      </c>
      <c r="C1189" s="1">
        <v>565493</v>
      </c>
      <c r="D1189" s="3">
        <v>-2.0699999999999998</v>
      </c>
      <c r="E1189" s="3">
        <v>-3.2455315145813701</v>
      </c>
      <c r="F1189" s="3">
        <v>-3.2455331224391202</v>
      </c>
      <c r="G1189" s="3">
        <v>71.894199999999998</v>
      </c>
      <c r="H1189" s="3">
        <v>1903.46876072701</v>
      </c>
      <c r="I1189" s="3">
        <v>63.72</v>
      </c>
      <c r="J1189" s="3">
        <v>63.77</v>
      </c>
      <c r="K1189" s="3">
        <v>61.54</v>
      </c>
      <c r="L1189" s="3">
        <v>1619.6666382609999</v>
      </c>
    </row>
    <row r="1190" spans="1:12" ht="15" customHeight="1" x14ac:dyDescent="0.2">
      <c r="A1190" s="2">
        <v>44323</v>
      </c>
      <c r="B1190" s="3">
        <v>63.78</v>
      </c>
      <c r="C1190" s="1">
        <v>794551</v>
      </c>
      <c r="D1190" s="3">
        <v>1.52</v>
      </c>
      <c r="E1190" s="3">
        <v>2.4413748795374302</v>
      </c>
      <c r="F1190" s="3">
        <v>2.4413797891626499</v>
      </c>
      <c r="G1190" s="3">
        <v>74.305819999999997</v>
      </c>
      <c r="H1190" s="3">
        <v>1970.6731434553001</v>
      </c>
      <c r="I1190" s="3">
        <v>61.61</v>
      </c>
      <c r="J1190" s="3">
        <v>64.837299999999999</v>
      </c>
      <c r="K1190" s="3">
        <v>61.61</v>
      </c>
      <c r="L1190" s="3">
        <v>1677.3511292867699</v>
      </c>
    </row>
    <row r="1191" spans="1:12" ht="15" customHeight="1" x14ac:dyDescent="0.2">
      <c r="A1191" s="2">
        <v>44322</v>
      </c>
      <c r="B1191" s="3">
        <v>62.26</v>
      </c>
      <c r="C1191" s="1">
        <v>684388</v>
      </c>
      <c r="D1191" s="3">
        <v>-0.20000000000000201</v>
      </c>
      <c r="E1191" s="3">
        <v>-0.32020493115594201</v>
      </c>
      <c r="F1191" s="3">
        <v>-0.32020816849721501</v>
      </c>
      <c r="G1191" s="3">
        <v>72.534965999999997</v>
      </c>
      <c r="H1191" s="3">
        <v>1921.32492525678</v>
      </c>
      <c r="I1191" s="3">
        <v>62.74</v>
      </c>
      <c r="J1191" s="3">
        <v>62.9</v>
      </c>
      <c r="K1191" s="3">
        <v>60.52</v>
      </c>
      <c r="L1191" s="3">
        <v>1634.99343539345</v>
      </c>
    </row>
    <row r="1192" spans="1:12" ht="15" customHeight="1" x14ac:dyDescent="0.2">
      <c r="A1192" s="2">
        <v>44321</v>
      </c>
      <c r="B1192" s="3">
        <v>62.46</v>
      </c>
      <c r="C1192" s="1">
        <v>745935</v>
      </c>
      <c r="D1192" s="3">
        <v>0.25</v>
      </c>
      <c r="E1192" s="3">
        <v>0.40186465198521698</v>
      </c>
      <c r="F1192" s="3">
        <v>0.40186699962878603</v>
      </c>
      <c r="G1192" s="3">
        <v>72.767975000000007</v>
      </c>
      <c r="H1192" s="3">
        <v>1927.8181646623</v>
      </c>
      <c r="I1192" s="3">
        <v>62.16</v>
      </c>
      <c r="J1192" s="3">
        <v>62.99</v>
      </c>
      <c r="K1192" s="3">
        <v>60.11</v>
      </c>
      <c r="L1192" s="3">
        <v>1640.56681616889</v>
      </c>
    </row>
    <row r="1193" spans="1:12" ht="15" customHeight="1" x14ac:dyDescent="0.2">
      <c r="A1193" s="2">
        <v>44320</v>
      </c>
      <c r="B1193" s="3">
        <v>62.21</v>
      </c>
      <c r="C1193" s="1">
        <v>776492</v>
      </c>
      <c r="D1193" s="3">
        <v>0.32</v>
      </c>
      <c r="E1193" s="3">
        <v>0.51704637259655195</v>
      </c>
      <c r="F1193" s="3">
        <v>0.517045505371727</v>
      </c>
      <c r="G1193" s="3">
        <v>72.476714999999999</v>
      </c>
      <c r="H1193" s="3">
        <v>1919.70165023903</v>
      </c>
      <c r="I1193" s="3">
        <v>62.1</v>
      </c>
      <c r="J1193" s="3">
        <v>62.76</v>
      </c>
      <c r="K1193" s="3">
        <v>60.517600000000002</v>
      </c>
      <c r="L1193" s="3">
        <v>1633.6000901995901</v>
      </c>
    </row>
    <row r="1194" spans="1:12" ht="15" customHeight="1" x14ac:dyDescent="0.2">
      <c r="A1194" s="2">
        <v>44319</v>
      </c>
      <c r="B1194" s="3">
        <v>61.89</v>
      </c>
      <c r="C1194" s="1">
        <v>811347</v>
      </c>
      <c r="D1194" s="3">
        <v>-0.70000000000000195</v>
      </c>
      <c r="E1194" s="3">
        <v>-1.1183895190925099</v>
      </c>
      <c r="F1194" s="3">
        <v>-1.11839190185661</v>
      </c>
      <c r="G1194" s="3">
        <v>72.103904999999997</v>
      </c>
      <c r="H1194" s="3">
        <v>1909.3125898045801</v>
      </c>
      <c r="I1194" s="3">
        <v>63.2</v>
      </c>
      <c r="J1194" s="3">
        <v>63.375</v>
      </c>
      <c r="K1194" s="3">
        <v>61.03</v>
      </c>
      <c r="L1194" s="3">
        <v>1624.6826809588899</v>
      </c>
    </row>
    <row r="1195" spans="1:12" ht="15" customHeight="1" x14ac:dyDescent="0.2">
      <c r="A1195" s="2">
        <v>44316</v>
      </c>
      <c r="B1195" s="3">
        <v>62.59</v>
      </c>
      <c r="C1195" s="1">
        <v>849004</v>
      </c>
      <c r="D1195" s="3">
        <v>-0.60999999999999899</v>
      </c>
      <c r="E1195" s="3">
        <v>-0.96518987341771501</v>
      </c>
      <c r="F1195" s="3">
        <v>-0.96519488822125399</v>
      </c>
      <c r="G1195" s="3">
        <v>72.919430000000006</v>
      </c>
      <c r="H1195" s="3">
        <v>1932.0387465890201</v>
      </c>
      <c r="I1195" s="3">
        <v>63.046999999999997</v>
      </c>
      <c r="J1195" s="3">
        <v>64.14</v>
      </c>
      <c r="K1195" s="3">
        <v>61.46</v>
      </c>
      <c r="L1195" s="3">
        <v>1644.1895136729199</v>
      </c>
    </row>
    <row r="1196" spans="1:12" ht="15" customHeight="1" x14ac:dyDescent="0.2">
      <c r="A1196" s="2">
        <v>44315</v>
      </c>
      <c r="B1196" s="3">
        <v>63.2</v>
      </c>
      <c r="C1196" s="1">
        <v>1557406</v>
      </c>
      <c r="D1196" s="3">
        <v>4.18</v>
      </c>
      <c r="E1196" s="3">
        <v>7.0823449678075301</v>
      </c>
      <c r="F1196" s="3">
        <v>7.08235251001088</v>
      </c>
      <c r="G1196" s="3">
        <v>73.630104000000003</v>
      </c>
      <c r="H1196" s="3">
        <v>1951.8430306350299</v>
      </c>
      <c r="I1196" s="3">
        <v>62.31</v>
      </c>
      <c r="J1196" s="3">
        <v>65.81</v>
      </c>
      <c r="K1196" s="3">
        <v>60.36</v>
      </c>
      <c r="L1196" s="3">
        <v>1661.1883250379999</v>
      </c>
    </row>
    <row r="1197" spans="1:12" ht="15" customHeight="1" x14ac:dyDescent="0.2">
      <c r="A1197" s="2">
        <v>44314</v>
      </c>
      <c r="B1197" s="3">
        <v>59.02</v>
      </c>
      <c r="C1197" s="1">
        <v>683902</v>
      </c>
      <c r="D1197" s="3">
        <v>1.05</v>
      </c>
      <c r="E1197" s="3">
        <v>1.8112816974297199</v>
      </c>
      <c r="F1197" s="3">
        <v>1.81127435665615</v>
      </c>
      <c r="G1197" s="3">
        <v>68.760260000000002</v>
      </c>
      <c r="H1197" s="3">
        <v>1816.1355559901499</v>
      </c>
      <c r="I1197" s="3">
        <v>58.51</v>
      </c>
      <c r="J1197" s="3">
        <v>59.19</v>
      </c>
      <c r="K1197" s="3">
        <v>56.85</v>
      </c>
      <c r="L1197" s="3">
        <v>1544.7046668313701</v>
      </c>
    </row>
    <row r="1198" spans="1:12" ht="15" customHeight="1" x14ac:dyDescent="0.2">
      <c r="A1198" s="2">
        <v>44313</v>
      </c>
      <c r="B1198" s="3">
        <v>57.97</v>
      </c>
      <c r="C1198" s="1">
        <v>528686</v>
      </c>
      <c r="D1198" s="3">
        <v>-0.35999999999999899</v>
      </c>
      <c r="E1198" s="3">
        <v>-0.61717812446425702</v>
      </c>
      <c r="F1198" s="3">
        <v>-0.61717522075554998</v>
      </c>
      <c r="G1198" s="3">
        <v>67.53698</v>
      </c>
      <c r="H1198" s="3">
        <v>1782.0465298152701</v>
      </c>
      <c r="I1198" s="3">
        <v>58.18</v>
      </c>
      <c r="J1198" s="3">
        <v>59.88</v>
      </c>
      <c r="K1198" s="3">
        <v>57.72</v>
      </c>
      <c r="L1198" s="3">
        <v>1515.44441776033</v>
      </c>
    </row>
    <row r="1199" spans="1:12" ht="15" customHeight="1" x14ac:dyDescent="0.2">
      <c r="A1199" s="2">
        <v>44312</v>
      </c>
      <c r="B1199" s="3">
        <v>58.33</v>
      </c>
      <c r="C1199" s="1">
        <v>640762</v>
      </c>
      <c r="D1199" s="3">
        <v>0.46999999999999797</v>
      </c>
      <c r="E1199" s="3">
        <v>0.81230556515727803</v>
      </c>
      <c r="F1199" s="3">
        <v>0.81229714267403397</v>
      </c>
      <c r="G1199" s="3">
        <v>67.956389999999999</v>
      </c>
      <c r="H1199" s="3">
        <v>1793.7341879703999</v>
      </c>
      <c r="I1199" s="3">
        <v>58.25</v>
      </c>
      <c r="J1199" s="3">
        <v>59.19</v>
      </c>
      <c r="K1199" s="3">
        <v>57.33</v>
      </c>
      <c r="L1199" s="3">
        <v>1525.4765031561201</v>
      </c>
    </row>
    <row r="1200" spans="1:12" ht="15" customHeight="1" x14ac:dyDescent="0.2">
      <c r="A1200" s="2">
        <v>44309</v>
      </c>
      <c r="B1200" s="3">
        <v>57.86</v>
      </c>
      <c r="C1200" s="1">
        <v>683216</v>
      </c>
      <c r="D1200" s="3">
        <v>-1.2</v>
      </c>
      <c r="E1200" s="3">
        <v>-2.0318320352184198</v>
      </c>
      <c r="F1200" s="3">
        <v>-2.0318319958457698</v>
      </c>
      <c r="G1200" s="3">
        <v>67.408829999999995</v>
      </c>
      <c r="H1200" s="3">
        <v>1778.4753860834101</v>
      </c>
      <c r="I1200" s="3">
        <v>59.58</v>
      </c>
      <c r="J1200" s="3">
        <v>59.58</v>
      </c>
      <c r="K1200" s="3">
        <v>57.65</v>
      </c>
      <c r="L1200" s="3">
        <v>1512.37905833384</v>
      </c>
    </row>
    <row r="1201" spans="1:12" ht="15" customHeight="1" x14ac:dyDescent="0.2">
      <c r="A1201" s="2">
        <v>44308</v>
      </c>
      <c r="B1201" s="3">
        <v>59.06</v>
      </c>
      <c r="C1201" s="1">
        <v>894508</v>
      </c>
      <c r="D1201" s="3">
        <v>1.45</v>
      </c>
      <c r="E1201" s="3">
        <v>2.5169241451137001</v>
      </c>
      <c r="F1201" s="3">
        <v>2.5169266408184998</v>
      </c>
      <c r="G1201" s="3">
        <v>68.806870000000004</v>
      </c>
      <c r="H1201" s="3">
        <v>1817.43443237987</v>
      </c>
      <c r="I1201" s="3">
        <v>57.91</v>
      </c>
      <c r="J1201" s="3">
        <v>59.71</v>
      </c>
      <c r="K1201" s="3">
        <v>57.45</v>
      </c>
      <c r="L1201" s="3">
        <v>1545.81934298646</v>
      </c>
    </row>
    <row r="1202" spans="1:12" ht="15" customHeight="1" x14ac:dyDescent="0.2">
      <c r="A1202" s="2">
        <v>44307</v>
      </c>
      <c r="B1202" s="3">
        <v>57.61</v>
      </c>
      <c r="C1202" s="1">
        <v>452206</v>
      </c>
      <c r="D1202" s="3">
        <v>1.7999999999999901</v>
      </c>
      <c r="E1202" s="3">
        <v>3.2252284536821301</v>
      </c>
      <c r="F1202" s="3">
        <v>3.2252284702165501</v>
      </c>
      <c r="G1202" s="3">
        <v>67.117570000000001</v>
      </c>
      <c r="H1202" s="3">
        <v>1770.35887166014</v>
      </c>
      <c r="I1202" s="3">
        <v>55.4</v>
      </c>
      <c r="J1202" s="3">
        <v>57.65</v>
      </c>
      <c r="K1202" s="3">
        <v>55.15</v>
      </c>
      <c r="L1202" s="3">
        <v>1505.4123323645399</v>
      </c>
    </row>
    <row r="1203" spans="1:12" ht="15" customHeight="1" x14ac:dyDescent="0.2">
      <c r="A1203" s="2">
        <v>44306</v>
      </c>
      <c r="B1203" s="3">
        <v>55.81</v>
      </c>
      <c r="C1203" s="1">
        <v>771948</v>
      </c>
      <c r="D1203" s="3">
        <v>-2.39</v>
      </c>
      <c r="E1203" s="3">
        <v>-4.1065292096219803</v>
      </c>
      <c r="F1203" s="3">
        <v>-4.1065297012282498</v>
      </c>
      <c r="G1203" s="3">
        <v>65.020510000000002</v>
      </c>
      <c r="H1203" s="3">
        <v>1711.92030221545</v>
      </c>
      <c r="I1203" s="3">
        <v>58.11</v>
      </c>
      <c r="J1203" s="3">
        <v>59</v>
      </c>
      <c r="K1203" s="3">
        <v>54.93</v>
      </c>
      <c r="L1203" s="3">
        <v>1455.2519053856099</v>
      </c>
    </row>
    <row r="1204" spans="1:12" ht="15" customHeight="1" x14ac:dyDescent="0.2">
      <c r="A1204" s="2">
        <v>44305</v>
      </c>
      <c r="B1204" s="3">
        <v>58.2</v>
      </c>
      <c r="C1204" s="1">
        <v>400791</v>
      </c>
      <c r="D1204" s="3">
        <v>0.35999999999999899</v>
      </c>
      <c r="E1204" s="3">
        <v>0.62240663900414706</v>
      </c>
      <c r="F1204" s="3">
        <v>0.62241858488292201</v>
      </c>
      <c r="G1204" s="3">
        <v>67.804940000000002</v>
      </c>
      <c r="H1204" s="3">
        <v>1789.5137453781999</v>
      </c>
      <c r="I1204" s="3">
        <v>57.87</v>
      </c>
      <c r="J1204" s="3">
        <v>58.61</v>
      </c>
      <c r="K1204" s="3">
        <v>57.38</v>
      </c>
      <c r="L1204" s="3">
        <v>1521.8538056520799</v>
      </c>
    </row>
    <row r="1205" spans="1:12" ht="15" customHeight="1" x14ac:dyDescent="0.2">
      <c r="A1205" s="2">
        <v>44302</v>
      </c>
      <c r="B1205" s="3">
        <v>57.84</v>
      </c>
      <c r="C1205" s="1">
        <v>370269</v>
      </c>
      <c r="D1205" s="3">
        <v>0.15000000000000499</v>
      </c>
      <c r="E1205" s="3">
        <v>0.26001040041603302</v>
      </c>
      <c r="F1205" s="3">
        <v>0.260002972737849</v>
      </c>
      <c r="G1205" s="3">
        <v>67.38552</v>
      </c>
      <c r="H1205" s="3">
        <v>1777.8258085540299</v>
      </c>
      <c r="I1205" s="3">
        <v>58.3</v>
      </c>
      <c r="J1205" s="3">
        <v>58.78</v>
      </c>
      <c r="K1205" s="3">
        <v>57.32</v>
      </c>
      <c r="L1205" s="3">
        <v>1511.8217202563001</v>
      </c>
    </row>
    <row r="1206" spans="1:12" ht="15" customHeight="1" x14ac:dyDescent="0.2">
      <c r="A1206" s="2">
        <v>44301</v>
      </c>
      <c r="B1206" s="3">
        <v>57.69</v>
      </c>
      <c r="C1206" s="1">
        <v>378334</v>
      </c>
      <c r="D1206" s="3">
        <v>-0.510000000000005</v>
      </c>
      <c r="E1206" s="3">
        <v>-0.87628865979382198</v>
      </c>
      <c r="F1206" s="3">
        <v>-0.87629308425021202</v>
      </c>
      <c r="G1206" s="3">
        <v>67.210769999999997</v>
      </c>
      <c r="H1206" s="3">
        <v>1772.9560671014899</v>
      </c>
      <c r="I1206" s="3">
        <v>59.1</v>
      </c>
      <c r="J1206" s="3">
        <v>59.1</v>
      </c>
      <c r="K1206" s="3">
        <v>57.67</v>
      </c>
      <c r="L1206" s="3">
        <v>1507.64168467472</v>
      </c>
    </row>
    <row r="1207" spans="1:12" ht="15" customHeight="1" x14ac:dyDescent="0.2">
      <c r="A1207" s="2">
        <v>44300</v>
      </c>
      <c r="B1207" s="3">
        <v>58.2</v>
      </c>
      <c r="C1207" s="1">
        <v>532678</v>
      </c>
      <c r="D1207" s="3">
        <v>0.59000000000000297</v>
      </c>
      <c r="E1207" s="3">
        <v>1.02412775559799</v>
      </c>
      <c r="F1207" s="3">
        <v>1.02412825732516</v>
      </c>
      <c r="G1207" s="3">
        <v>67.804940000000002</v>
      </c>
      <c r="H1207" s="3">
        <v>1789.5137453781999</v>
      </c>
      <c r="I1207" s="3">
        <v>57.82</v>
      </c>
      <c r="J1207" s="3">
        <v>59.571399999999997</v>
      </c>
      <c r="K1207" s="3">
        <v>57.66</v>
      </c>
      <c r="L1207" s="3">
        <v>1521.8538056520799</v>
      </c>
    </row>
    <row r="1208" spans="1:12" ht="15" customHeight="1" x14ac:dyDescent="0.2">
      <c r="A1208" s="2">
        <v>44299</v>
      </c>
      <c r="B1208" s="3">
        <v>57.61</v>
      </c>
      <c r="C1208" s="1">
        <v>558976</v>
      </c>
      <c r="D1208" s="3">
        <v>-1.50999999999999</v>
      </c>
      <c r="E1208" s="3">
        <v>-2.5541271989174499</v>
      </c>
      <c r="F1208" s="3">
        <v>-2.5541125918234302</v>
      </c>
      <c r="G1208" s="3">
        <v>67.117570000000001</v>
      </c>
      <c r="H1208" s="3">
        <v>1770.35887166014</v>
      </c>
      <c r="I1208" s="3">
        <v>58.83</v>
      </c>
      <c r="J1208" s="3">
        <v>58.93</v>
      </c>
      <c r="K1208" s="3">
        <v>57.12</v>
      </c>
      <c r="L1208" s="3">
        <v>1505.4123323645399</v>
      </c>
    </row>
    <row r="1209" spans="1:12" ht="15" customHeight="1" x14ac:dyDescent="0.2">
      <c r="A1209" s="2">
        <v>44298</v>
      </c>
      <c r="B1209" s="3">
        <v>59.12</v>
      </c>
      <c r="C1209" s="1">
        <v>404114</v>
      </c>
      <c r="D1209" s="3">
        <v>0.50999999999999801</v>
      </c>
      <c r="E1209" s="3">
        <v>0.870158675993848</v>
      </c>
      <c r="F1209" s="3">
        <v>0.87014847120643302</v>
      </c>
      <c r="G1209" s="3">
        <v>68.876760000000004</v>
      </c>
      <c r="H1209" s="3">
        <v>1819.38205029184</v>
      </c>
      <c r="I1209" s="3">
        <v>59</v>
      </c>
      <c r="J1209" s="3">
        <v>59.53</v>
      </c>
      <c r="K1209" s="3">
        <v>58.28</v>
      </c>
      <c r="L1209" s="3">
        <v>1547.4913572190901</v>
      </c>
    </row>
    <row r="1210" spans="1:12" ht="15" customHeight="1" x14ac:dyDescent="0.2">
      <c r="A1210" s="2">
        <v>44295</v>
      </c>
      <c r="B1210" s="3">
        <v>58.61</v>
      </c>
      <c r="C1210" s="1">
        <v>462184</v>
      </c>
      <c r="D1210" s="3">
        <v>-0.93999999999999695</v>
      </c>
      <c r="E1210" s="3">
        <v>-1.5785054575986499</v>
      </c>
      <c r="F1210" s="3">
        <v>-1.5785036495140401</v>
      </c>
      <c r="G1210" s="3">
        <v>68.282600000000002</v>
      </c>
      <c r="H1210" s="3">
        <v>1802.8246506841699</v>
      </c>
      <c r="I1210" s="3">
        <v>59.7</v>
      </c>
      <c r="J1210" s="3">
        <v>59.7</v>
      </c>
      <c r="K1210" s="3">
        <v>57.8</v>
      </c>
      <c r="L1210" s="3">
        <v>1533.2792362417299</v>
      </c>
    </row>
    <row r="1211" spans="1:12" ht="15" customHeight="1" x14ac:dyDescent="0.2">
      <c r="A1211" s="2">
        <v>44294</v>
      </c>
      <c r="B1211" s="3">
        <v>59.55</v>
      </c>
      <c r="C1211" s="1">
        <v>432241</v>
      </c>
      <c r="D1211" s="3">
        <v>-3.0000000000001099E-2</v>
      </c>
      <c r="E1211" s="3">
        <v>-5.0352467270897698E-2</v>
      </c>
      <c r="F1211" s="3">
        <v>-5.0351030964368403E-2</v>
      </c>
      <c r="G1211" s="3">
        <v>69.37773</v>
      </c>
      <c r="H1211" s="3">
        <v>1833.3425331271901</v>
      </c>
      <c r="I1211" s="3">
        <v>59.26</v>
      </c>
      <c r="J1211" s="3">
        <v>59.664999999999999</v>
      </c>
      <c r="K1211" s="3">
        <v>58.1</v>
      </c>
      <c r="L1211" s="3">
        <v>1559.47412588628</v>
      </c>
    </row>
    <row r="1212" spans="1:12" ht="15" customHeight="1" x14ac:dyDescent="0.2">
      <c r="A1212" s="2">
        <v>44293</v>
      </c>
      <c r="B1212" s="3">
        <v>59.58</v>
      </c>
      <c r="C1212" s="1">
        <v>414653</v>
      </c>
      <c r="D1212" s="3">
        <v>1.53</v>
      </c>
      <c r="E1212" s="3">
        <v>2.63565891472867</v>
      </c>
      <c r="F1212" s="3">
        <v>2.6356576309570499</v>
      </c>
      <c r="G1212" s="3">
        <v>69.412679999999995</v>
      </c>
      <c r="H1212" s="3">
        <v>1834.3164814177001</v>
      </c>
      <c r="I1212" s="3">
        <v>57.77</v>
      </c>
      <c r="J1212" s="3">
        <v>60.39</v>
      </c>
      <c r="K1212" s="3">
        <v>57.76</v>
      </c>
      <c r="L1212" s="3">
        <v>1560.3101330026</v>
      </c>
    </row>
    <row r="1213" spans="1:12" ht="15" customHeight="1" x14ac:dyDescent="0.2">
      <c r="A1213" s="2">
        <v>44292</v>
      </c>
      <c r="B1213" s="3">
        <v>58.05</v>
      </c>
      <c r="C1213" s="1">
        <v>627192</v>
      </c>
      <c r="D1213" s="3">
        <v>-0.5</v>
      </c>
      <c r="E1213" s="3">
        <v>-0.85397096498719405</v>
      </c>
      <c r="F1213" s="3">
        <v>-0.85397587252813401</v>
      </c>
      <c r="G1213" s="3">
        <v>67.630179999999996</v>
      </c>
      <c r="H1213" s="3">
        <v>1784.64372525662</v>
      </c>
      <c r="I1213" s="3">
        <v>58.98</v>
      </c>
      <c r="J1213" s="3">
        <v>60.15</v>
      </c>
      <c r="K1213" s="3">
        <v>57.86</v>
      </c>
      <c r="L1213" s="3">
        <v>1517.67377007051</v>
      </c>
    </row>
    <row r="1214" spans="1:12" ht="15" customHeight="1" x14ac:dyDescent="0.2">
      <c r="A1214" s="2">
        <v>44291</v>
      </c>
      <c r="B1214" s="3">
        <v>58.55</v>
      </c>
      <c r="C1214" s="1">
        <v>645649</v>
      </c>
      <c r="D1214" s="3">
        <v>-0.53000000000000103</v>
      </c>
      <c r="E1214" s="3">
        <v>-0.89708869329722096</v>
      </c>
      <c r="F1214" s="3">
        <v>-0.89709207459460705</v>
      </c>
      <c r="G1214" s="3">
        <v>68.212699999999998</v>
      </c>
      <c r="H1214" s="3">
        <v>1800.87675410316</v>
      </c>
      <c r="I1214" s="3">
        <v>59.49</v>
      </c>
      <c r="J1214" s="3">
        <v>60.08</v>
      </c>
      <c r="K1214" s="3">
        <v>57.78</v>
      </c>
      <c r="L1214" s="3">
        <v>1531.6072220091</v>
      </c>
    </row>
    <row r="1215" spans="1:12" ht="15" customHeight="1" x14ac:dyDescent="0.2">
      <c r="A1215" s="2">
        <v>44287</v>
      </c>
      <c r="B1215" s="3">
        <v>59.08</v>
      </c>
      <c r="C1215" s="1">
        <v>597637</v>
      </c>
      <c r="D1215" s="3">
        <v>0.56999999999999995</v>
      </c>
      <c r="E1215" s="3">
        <v>0.97419244573577701</v>
      </c>
      <c r="F1215" s="3">
        <v>0.97420873046993806</v>
      </c>
      <c r="G1215" s="3">
        <v>68.830169999999995</v>
      </c>
      <c r="H1215" s="3">
        <v>1818.0837312402</v>
      </c>
      <c r="I1215" s="3">
        <v>59.04</v>
      </c>
      <c r="J1215" s="3">
        <v>59.895000000000003</v>
      </c>
      <c r="K1215" s="3">
        <v>58.05</v>
      </c>
      <c r="L1215" s="3">
        <v>1546.376681064</v>
      </c>
    </row>
    <row r="1216" spans="1:12" ht="15" customHeight="1" x14ac:dyDescent="0.2">
      <c r="A1216" s="2">
        <v>44286</v>
      </c>
      <c r="B1216" s="3">
        <v>58.51</v>
      </c>
      <c r="C1216" s="1">
        <v>502086</v>
      </c>
      <c r="D1216" s="3">
        <v>-1.1200000000000001</v>
      </c>
      <c r="E1216" s="3">
        <v>-1.8782492034211</v>
      </c>
      <c r="F1216" s="3">
        <v>-1.8782532492367601</v>
      </c>
      <c r="G1216" s="3">
        <v>68.166089999999997</v>
      </c>
      <c r="H1216" s="3">
        <v>1799.5778777134401</v>
      </c>
      <c r="I1216" s="3">
        <v>59.63</v>
      </c>
      <c r="J1216" s="3">
        <v>60.76</v>
      </c>
      <c r="K1216" s="3">
        <v>58.39</v>
      </c>
      <c r="L1216" s="3">
        <v>1530.4925458540099</v>
      </c>
    </row>
    <row r="1217" spans="1:12" ht="15" customHeight="1" x14ac:dyDescent="0.2">
      <c r="A1217" s="2">
        <v>44285</v>
      </c>
      <c r="B1217" s="3">
        <v>59.63</v>
      </c>
      <c r="C1217" s="1">
        <v>387934</v>
      </c>
      <c r="D1217" s="3">
        <v>1.45</v>
      </c>
      <c r="E1217" s="3">
        <v>2.4922653832932302</v>
      </c>
      <c r="F1217" s="3">
        <v>2.4922530643991498</v>
      </c>
      <c r="G1217" s="3">
        <v>69.470929999999996</v>
      </c>
      <c r="H1217" s="3">
        <v>1835.93972856855</v>
      </c>
      <c r="I1217" s="3">
        <v>58.39</v>
      </c>
      <c r="J1217" s="3">
        <v>60.3</v>
      </c>
      <c r="K1217" s="3">
        <v>58.3</v>
      </c>
      <c r="L1217" s="3">
        <v>1561.7034781964601</v>
      </c>
    </row>
    <row r="1218" spans="1:12" ht="15" customHeight="1" x14ac:dyDescent="0.2">
      <c r="A1218" s="2">
        <v>44284</v>
      </c>
      <c r="B1218" s="3">
        <v>58.18</v>
      </c>
      <c r="C1218" s="1">
        <v>600278</v>
      </c>
      <c r="D1218" s="3">
        <v>-3.8299999999999899</v>
      </c>
      <c r="E1218" s="3">
        <v>-6.17642315755523</v>
      </c>
      <c r="F1218" s="3">
        <v>-6.1764131437878698</v>
      </c>
      <c r="G1218" s="3">
        <v>67.781639999999996</v>
      </c>
      <c r="H1218" s="3">
        <v>1788.86444651786</v>
      </c>
      <c r="I1218" s="3">
        <v>61.621000000000002</v>
      </c>
      <c r="J1218" s="3">
        <v>62.38</v>
      </c>
      <c r="K1218" s="3">
        <v>58.17</v>
      </c>
      <c r="L1218" s="3">
        <v>1521.29646757454</v>
      </c>
    </row>
    <row r="1219" spans="1:12" ht="15" customHeight="1" x14ac:dyDescent="0.2">
      <c r="A1219" s="2">
        <v>44281</v>
      </c>
      <c r="B1219" s="3">
        <v>62.01</v>
      </c>
      <c r="C1219" s="1">
        <v>828931</v>
      </c>
      <c r="D1219" s="3">
        <v>2.46</v>
      </c>
      <c r="E1219" s="3">
        <v>4.1309823677581896</v>
      </c>
      <c r="F1219" s="3">
        <v>4.1309797827054604</v>
      </c>
      <c r="G1219" s="3">
        <v>72.243709999999993</v>
      </c>
      <c r="H1219" s="3">
        <v>1913.20852230113</v>
      </c>
      <c r="I1219" s="3">
        <v>60.55</v>
      </c>
      <c r="J1219" s="3">
        <v>62.13</v>
      </c>
      <c r="K1219" s="3">
        <v>59.17</v>
      </c>
      <c r="L1219" s="3">
        <v>1628.0267094241501</v>
      </c>
    </row>
    <row r="1220" spans="1:12" ht="15" customHeight="1" x14ac:dyDescent="0.2">
      <c r="A1220" s="2">
        <v>44280</v>
      </c>
      <c r="B1220" s="3">
        <v>59.55</v>
      </c>
      <c r="C1220" s="1">
        <v>963361</v>
      </c>
      <c r="D1220" s="3">
        <v>4.6299999999999901</v>
      </c>
      <c r="E1220" s="3">
        <v>8.4304442825928501</v>
      </c>
      <c r="F1220" s="3">
        <v>8.4304477658220893</v>
      </c>
      <c r="G1220" s="3">
        <v>69.37773</v>
      </c>
      <c r="H1220" s="3">
        <v>1833.3425331271901</v>
      </c>
      <c r="I1220" s="3">
        <v>54.68</v>
      </c>
      <c r="J1220" s="3">
        <v>59.84</v>
      </c>
      <c r="K1220" s="3">
        <v>54.000500000000002</v>
      </c>
      <c r="L1220" s="3">
        <v>1559.47412588628</v>
      </c>
    </row>
    <row r="1221" spans="1:12" ht="15" customHeight="1" x14ac:dyDescent="0.2">
      <c r="A1221" s="2">
        <v>44279</v>
      </c>
      <c r="B1221" s="3">
        <v>54.92</v>
      </c>
      <c r="C1221" s="1">
        <v>828051</v>
      </c>
      <c r="D1221" s="3">
        <v>-7.0000000000000201E-2</v>
      </c>
      <c r="E1221" s="3">
        <v>-0.12729587197671799</v>
      </c>
      <c r="F1221" s="3">
        <v>-0.12730160127545301</v>
      </c>
      <c r="G1221" s="3">
        <v>63.983623999999999</v>
      </c>
      <c r="H1221" s="3">
        <v>1683.0254997218599</v>
      </c>
      <c r="I1221" s="3">
        <v>55.92</v>
      </c>
      <c r="J1221" s="3">
        <v>57.68</v>
      </c>
      <c r="K1221" s="3">
        <v>54.69</v>
      </c>
      <c r="L1221" s="3">
        <v>1430.4503609349199</v>
      </c>
    </row>
    <row r="1222" spans="1:12" ht="15" customHeight="1" x14ac:dyDescent="0.2">
      <c r="A1222" s="2">
        <v>44278</v>
      </c>
      <c r="B1222" s="3">
        <v>54.99</v>
      </c>
      <c r="C1222" s="1">
        <v>927622</v>
      </c>
      <c r="D1222" s="3">
        <v>-3.5199999999999898</v>
      </c>
      <c r="E1222" s="3">
        <v>-6.0160656298068602</v>
      </c>
      <c r="F1222" s="3">
        <v>-6.0160557837481896</v>
      </c>
      <c r="G1222" s="3">
        <v>64.065179999999998</v>
      </c>
      <c r="H1222" s="3">
        <v>1685.29821293446</v>
      </c>
      <c r="I1222" s="3">
        <v>57.204999999999998</v>
      </c>
      <c r="J1222" s="3">
        <v>59.03</v>
      </c>
      <c r="K1222" s="3">
        <v>54.84</v>
      </c>
      <c r="L1222" s="3">
        <v>1432.40104420632</v>
      </c>
    </row>
    <row r="1223" spans="1:12" ht="15" customHeight="1" x14ac:dyDescent="0.2">
      <c r="A1223" s="2">
        <v>44277</v>
      </c>
      <c r="B1223" s="3">
        <v>58.51</v>
      </c>
      <c r="C1223" s="1">
        <v>646610</v>
      </c>
      <c r="D1223" s="3">
        <v>-1.83</v>
      </c>
      <c r="E1223" s="3">
        <v>-3.0328140536957302</v>
      </c>
      <c r="F1223" s="3">
        <v>-3.03282691383879</v>
      </c>
      <c r="G1223" s="3">
        <v>68.166089999999997</v>
      </c>
      <c r="H1223" s="3">
        <v>1799.5778777134401</v>
      </c>
      <c r="I1223" s="3">
        <v>60.32</v>
      </c>
      <c r="J1223" s="3">
        <v>60.94</v>
      </c>
      <c r="K1223" s="3">
        <v>58.150100000000002</v>
      </c>
      <c r="L1223" s="3">
        <v>1530.4925458540099</v>
      </c>
    </row>
    <row r="1224" spans="1:12" ht="15" customHeight="1" x14ac:dyDescent="0.2">
      <c r="A1224" s="2">
        <v>44274</v>
      </c>
      <c r="B1224" s="3">
        <v>60.34</v>
      </c>
      <c r="C1224" s="1">
        <v>649887</v>
      </c>
      <c r="D1224" s="3">
        <v>0.53000000000000103</v>
      </c>
      <c r="E1224" s="3">
        <v>0.88613944156494795</v>
      </c>
      <c r="F1224" s="3">
        <v>0.88614283680517003</v>
      </c>
      <c r="G1224" s="3">
        <v>70.298109999999994</v>
      </c>
      <c r="H1224" s="3">
        <v>1858.9906741176801</v>
      </c>
      <c r="I1224" s="3">
        <v>59.47</v>
      </c>
      <c r="J1224" s="3">
        <v>61.29</v>
      </c>
      <c r="K1224" s="3">
        <v>58.35</v>
      </c>
      <c r="L1224" s="3">
        <v>1581.4889799492601</v>
      </c>
    </row>
    <row r="1225" spans="1:12" ht="15" customHeight="1" x14ac:dyDescent="0.2">
      <c r="A1225" s="2">
        <v>44273</v>
      </c>
      <c r="B1225" s="3">
        <v>59.81</v>
      </c>
      <c r="C1225" s="1">
        <v>443486</v>
      </c>
      <c r="D1225" s="3">
        <v>-1.21999999999999</v>
      </c>
      <c r="E1225" s="3">
        <v>-1.9990168769457499</v>
      </c>
      <c r="F1225" s="3">
        <v>-1.9990160611561001</v>
      </c>
      <c r="G1225" s="3">
        <v>69.680639999999997</v>
      </c>
      <c r="H1225" s="3">
        <v>1841.7836969806301</v>
      </c>
      <c r="I1225" s="3">
        <v>60.76</v>
      </c>
      <c r="J1225" s="3">
        <v>61.91</v>
      </c>
      <c r="K1225" s="3">
        <v>59.58</v>
      </c>
      <c r="L1225" s="3">
        <v>1566.7195208943499</v>
      </c>
    </row>
    <row r="1226" spans="1:12" ht="15" customHeight="1" x14ac:dyDescent="0.2">
      <c r="A1226" s="2">
        <v>44272</v>
      </c>
      <c r="B1226" s="3">
        <v>61.03</v>
      </c>
      <c r="C1226" s="1">
        <v>420228</v>
      </c>
      <c r="D1226" s="3">
        <v>0.95000000000000195</v>
      </c>
      <c r="E1226" s="3">
        <v>1.5812250332889399</v>
      </c>
      <c r="F1226" s="3">
        <v>1.5812227124145599</v>
      </c>
      <c r="G1226" s="3">
        <v>71.101979999999998</v>
      </c>
      <c r="H1226" s="3">
        <v>1881.3920421374301</v>
      </c>
      <c r="I1226" s="3">
        <v>60.09</v>
      </c>
      <c r="J1226" s="3">
        <v>61.465000000000003</v>
      </c>
      <c r="K1226" s="3">
        <v>59.695</v>
      </c>
      <c r="L1226" s="3">
        <v>1600.7171436245101</v>
      </c>
    </row>
    <row r="1227" spans="1:12" ht="15" customHeight="1" x14ac:dyDescent="0.2">
      <c r="A1227" s="2">
        <v>44271</v>
      </c>
      <c r="B1227" s="3">
        <v>60.08</v>
      </c>
      <c r="C1227" s="1">
        <v>508733</v>
      </c>
      <c r="D1227" s="3">
        <v>-2.3999999999999901</v>
      </c>
      <c r="E1227" s="3">
        <v>-3.8412291933418601</v>
      </c>
      <c r="F1227" s="3">
        <v>-3.8412227289602998</v>
      </c>
      <c r="G1227" s="3">
        <v>69.995199999999997</v>
      </c>
      <c r="H1227" s="3">
        <v>1850.5495102642401</v>
      </c>
      <c r="I1227" s="3">
        <v>62.08</v>
      </c>
      <c r="J1227" s="3">
        <v>62.27</v>
      </c>
      <c r="K1227" s="3">
        <v>59.42</v>
      </c>
      <c r="L1227" s="3">
        <v>1574.24358494119</v>
      </c>
    </row>
    <row r="1228" spans="1:12" ht="15" customHeight="1" x14ac:dyDescent="0.2">
      <c r="A1228" s="2">
        <v>44270</v>
      </c>
      <c r="B1228" s="3">
        <v>62.48</v>
      </c>
      <c r="C1228" s="1">
        <v>738138</v>
      </c>
      <c r="D1228" s="3">
        <v>0.72999999999999599</v>
      </c>
      <c r="E1228" s="3">
        <v>1.1821862348178001</v>
      </c>
      <c r="F1228" s="3">
        <v>1.1821872984453901</v>
      </c>
      <c r="G1228" s="3">
        <v>72.791274999999999</v>
      </c>
      <c r="H1228" s="3">
        <v>1928.4674635226399</v>
      </c>
      <c r="I1228" s="3">
        <v>62.49</v>
      </c>
      <c r="J1228" s="3">
        <v>63.2</v>
      </c>
      <c r="K1228" s="3">
        <v>61</v>
      </c>
      <c r="L1228" s="3">
        <v>1641.12415424643</v>
      </c>
    </row>
    <row r="1229" spans="1:12" ht="15" customHeight="1" x14ac:dyDescent="0.2">
      <c r="A1229" s="2">
        <v>44267</v>
      </c>
      <c r="B1229" s="3">
        <v>61.75</v>
      </c>
      <c r="C1229" s="1">
        <v>902648</v>
      </c>
      <c r="D1229" s="3">
        <v>4.1099999999999897</v>
      </c>
      <c r="E1229" s="3">
        <v>7.1304649548924202</v>
      </c>
      <c r="F1229" s="3">
        <v>7.1304546724381996</v>
      </c>
      <c r="G1229" s="3">
        <v>71.940799999999996</v>
      </c>
      <c r="H1229" s="3">
        <v>1904.76735844769</v>
      </c>
      <c r="I1229" s="3">
        <v>58.29</v>
      </c>
      <c r="J1229" s="3">
        <v>61.96</v>
      </c>
      <c r="K1229" s="3">
        <v>58</v>
      </c>
      <c r="L1229" s="3">
        <v>1620.78131441609</v>
      </c>
    </row>
    <row r="1230" spans="1:12" ht="15" customHeight="1" x14ac:dyDescent="0.2">
      <c r="A1230" s="2">
        <v>44266</v>
      </c>
      <c r="B1230" s="3">
        <v>57.64</v>
      </c>
      <c r="C1230" s="1">
        <v>747764</v>
      </c>
      <c r="D1230" s="3">
        <v>-1.3699999999999899</v>
      </c>
      <c r="E1230" s="3">
        <v>-2.3216403999322099</v>
      </c>
      <c r="F1230" s="3">
        <v>-2.3216323937313099</v>
      </c>
      <c r="G1230" s="3">
        <v>67.152519999999996</v>
      </c>
      <c r="H1230" s="3">
        <v>1771.33281995065</v>
      </c>
      <c r="I1230" s="3">
        <v>58.9</v>
      </c>
      <c r="J1230" s="3">
        <v>59.578699999999998</v>
      </c>
      <c r="K1230" s="3">
        <v>57.153700000000001</v>
      </c>
      <c r="L1230" s="3">
        <v>1506.2483394808601</v>
      </c>
    </row>
    <row r="1231" spans="1:12" ht="15" customHeight="1" x14ac:dyDescent="0.2">
      <c r="A1231" s="2">
        <v>44265</v>
      </c>
      <c r="B1231" s="3">
        <v>59.01</v>
      </c>
      <c r="C1231" s="1">
        <v>587830</v>
      </c>
      <c r="D1231" s="3">
        <v>0.92999999999999905</v>
      </c>
      <c r="E1231" s="3">
        <v>1.6012396694214901</v>
      </c>
      <c r="F1231" s="3">
        <v>1.6012383335404601</v>
      </c>
      <c r="G1231" s="3">
        <v>68.748609999999999</v>
      </c>
      <c r="H1231" s="3">
        <v>1815.8109065599799</v>
      </c>
      <c r="I1231" s="3">
        <v>58.84</v>
      </c>
      <c r="J1231" s="3">
        <v>59.52</v>
      </c>
      <c r="K1231" s="3">
        <v>57.7</v>
      </c>
      <c r="L1231" s="3">
        <v>1544.4259977925999</v>
      </c>
    </row>
    <row r="1232" spans="1:12" ht="15" customHeight="1" x14ac:dyDescent="0.2">
      <c r="A1232" s="2">
        <v>44264</v>
      </c>
      <c r="B1232" s="3">
        <v>58.08</v>
      </c>
      <c r="C1232" s="1">
        <v>689586</v>
      </c>
      <c r="D1232" s="3">
        <v>-0.85999999999999899</v>
      </c>
      <c r="E1232" s="3">
        <v>-1.4591109602986001</v>
      </c>
      <c r="F1232" s="3">
        <v>-1.4591130011973701</v>
      </c>
      <c r="G1232" s="3">
        <v>67.665130000000005</v>
      </c>
      <c r="H1232" s="3">
        <v>1785.6176735471299</v>
      </c>
      <c r="I1232" s="3">
        <v>59</v>
      </c>
      <c r="J1232" s="3">
        <v>59.61</v>
      </c>
      <c r="K1232" s="3">
        <v>57.12</v>
      </c>
      <c r="L1232" s="3">
        <v>1518.50977718682</v>
      </c>
    </row>
    <row r="1233" spans="1:12" ht="15" customHeight="1" x14ac:dyDescent="0.2">
      <c r="A1233" s="2">
        <v>44263</v>
      </c>
      <c r="B1233" s="3">
        <v>58.94</v>
      </c>
      <c r="C1233" s="1">
        <v>806332</v>
      </c>
      <c r="D1233" s="3">
        <v>2.82</v>
      </c>
      <c r="E1233" s="3">
        <v>5.0249465431218798</v>
      </c>
      <c r="F1233" s="3">
        <v>5.0249404764362904</v>
      </c>
      <c r="G1233" s="3">
        <v>68.667060000000006</v>
      </c>
      <c r="H1233" s="3">
        <v>1813.5383605488</v>
      </c>
      <c r="I1233" s="3">
        <v>57</v>
      </c>
      <c r="J1233" s="3">
        <v>59.68</v>
      </c>
      <c r="K1233" s="3">
        <v>56.23</v>
      </c>
      <c r="L1233" s="3">
        <v>1542.4753145212001</v>
      </c>
    </row>
    <row r="1234" spans="1:12" ht="15" customHeight="1" x14ac:dyDescent="0.2">
      <c r="A1234" s="2">
        <v>44260</v>
      </c>
      <c r="B1234" s="3">
        <v>56.12</v>
      </c>
      <c r="C1234" s="1">
        <v>967338</v>
      </c>
      <c r="D1234" s="3">
        <v>0.41999999999999399</v>
      </c>
      <c r="E1234" s="3">
        <v>0.75403949730699005</v>
      </c>
      <c r="F1234" s="3">
        <v>0.75403329452035095</v>
      </c>
      <c r="G1234" s="3">
        <v>65.38167</v>
      </c>
      <c r="H1234" s="3">
        <v>1721.9847132197399</v>
      </c>
      <c r="I1234" s="3">
        <v>56.65</v>
      </c>
      <c r="J1234" s="3">
        <v>56.77</v>
      </c>
      <c r="K1234" s="3">
        <v>52.39</v>
      </c>
      <c r="L1234" s="3">
        <v>1463.8906455875399</v>
      </c>
    </row>
    <row r="1235" spans="1:12" ht="15" customHeight="1" x14ac:dyDescent="0.2">
      <c r="A1235" s="2">
        <v>44259</v>
      </c>
      <c r="B1235" s="3">
        <v>55.7</v>
      </c>
      <c r="C1235" s="1">
        <v>1201108</v>
      </c>
      <c r="D1235" s="3">
        <v>-2.4099999999999899</v>
      </c>
      <c r="E1235" s="3">
        <v>-4.1473068318705897</v>
      </c>
      <c r="F1235" s="3">
        <v>-4.1472919972915898</v>
      </c>
      <c r="G1235" s="3">
        <v>64.892359999999996</v>
      </c>
      <c r="H1235" s="3">
        <v>1708.3491584835899</v>
      </c>
      <c r="I1235" s="3">
        <v>58.8</v>
      </c>
      <c r="J1235" s="3">
        <v>59.6</v>
      </c>
      <c r="K1235" s="3">
        <v>53.5</v>
      </c>
      <c r="L1235" s="3">
        <v>1452.1865459591199</v>
      </c>
    </row>
    <row r="1236" spans="1:12" ht="15" customHeight="1" x14ac:dyDescent="0.2">
      <c r="A1236" s="2">
        <v>44258</v>
      </c>
      <c r="B1236" s="3">
        <v>58.11</v>
      </c>
      <c r="C1236" s="1">
        <v>1062434</v>
      </c>
      <c r="D1236" s="3">
        <v>1.67</v>
      </c>
      <c r="E1236" s="3">
        <v>2.9588944011339402</v>
      </c>
      <c r="F1236" s="3">
        <v>2.9588858432155498</v>
      </c>
      <c r="G1236" s="3">
        <v>67.70008</v>
      </c>
      <c r="H1236" s="3">
        <v>1786.5916218376401</v>
      </c>
      <c r="I1236" s="3">
        <v>57</v>
      </c>
      <c r="J1236" s="3">
        <v>59.72</v>
      </c>
      <c r="K1236" s="3">
        <v>56.5</v>
      </c>
      <c r="L1236" s="3">
        <v>1519.3457843031399</v>
      </c>
    </row>
    <row r="1237" spans="1:12" ht="15" customHeight="1" x14ac:dyDescent="0.2">
      <c r="A1237" s="2">
        <v>44257</v>
      </c>
      <c r="B1237" s="3">
        <v>56.44</v>
      </c>
      <c r="C1237" s="1">
        <v>520961</v>
      </c>
      <c r="D1237" s="3">
        <v>0.97999999999999599</v>
      </c>
      <c r="E1237" s="3">
        <v>1.76703930760908</v>
      </c>
      <c r="F1237" s="3">
        <v>1.7670351439924701</v>
      </c>
      <c r="G1237" s="3">
        <v>65.754480000000001</v>
      </c>
      <c r="H1237" s="3">
        <v>1732.37377365419</v>
      </c>
      <c r="I1237" s="3">
        <v>55.7</v>
      </c>
      <c r="J1237" s="3">
        <v>56.790599999999998</v>
      </c>
      <c r="K1237" s="3">
        <v>55.04</v>
      </c>
      <c r="L1237" s="3">
        <v>1472.8080548282401</v>
      </c>
    </row>
    <row r="1238" spans="1:12" ht="15" customHeight="1" x14ac:dyDescent="0.2">
      <c r="A1238" s="2">
        <v>44256</v>
      </c>
      <c r="B1238" s="3">
        <v>55.46</v>
      </c>
      <c r="C1238" s="1">
        <v>695845</v>
      </c>
      <c r="D1238" s="3">
        <v>0.50999999999999801</v>
      </c>
      <c r="E1238" s="3">
        <v>0.92811646951773596</v>
      </c>
      <c r="F1238" s="3">
        <v>0.92812117981999598</v>
      </c>
      <c r="G1238" s="3">
        <v>64.612750000000005</v>
      </c>
      <c r="H1238" s="3">
        <v>1700.5572934904901</v>
      </c>
      <c r="I1238" s="3">
        <v>55.8</v>
      </c>
      <c r="J1238" s="3">
        <v>57.1</v>
      </c>
      <c r="K1238" s="3">
        <v>55.4</v>
      </c>
      <c r="L1238" s="3">
        <v>1445.4984890286</v>
      </c>
    </row>
    <row r="1239" spans="1:12" ht="15" customHeight="1" x14ac:dyDescent="0.2">
      <c r="A1239" s="2">
        <v>44253</v>
      </c>
      <c r="B1239" s="3">
        <v>54.95</v>
      </c>
      <c r="C1239" s="1">
        <v>862973</v>
      </c>
      <c r="D1239" s="3">
        <v>0.42000000000000098</v>
      </c>
      <c r="E1239" s="3">
        <v>0.77021822849807597</v>
      </c>
      <c r="F1239" s="3">
        <v>0.77022300730924498</v>
      </c>
      <c r="G1239" s="3">
        <v>64.01858</v>
      </c>
      <c r="H1239" s="3">
        <v>1683.9996152137901</v>
      </c>
      <c r="I1239" s="3">
        <v>54.17</v>
      </c>
      <c r="J1239" s="3">
        <v>55.69</v>
      </c>
      <c r="K1239" s="3">
        <v>51.92</v>
      </c>
      <c r="L1239" s="3">
        <v>1431.2863680512401</v>
      </c>
    </row>
    <row r="1240" spans="1:12" ht="15" customHeight="1" x14ac:dyDescent="0.2">
      <c r="A1240" s="2">
        <v>44252</v>
      </c>
      <c r="B1240" s="3">
        <v>54.53</v>
      </c>
      <c r="C1240" s="1">
        <v>1009835</v>
      </c>
      <c r="D1240" s="3">
        <v>-0.99000000000000199</v>
      </c>
      <c r="E1240" s="3">
        <v>-1.78314121037463</v>
      </c>
      <c r="F1240" s="3">
        <v>-1.7831474127915099</v>
      </c>
      <c r="G1240" s="3">
        <v>63.529263</v>
      </c>
      <c r="H1240" s="3">
        <v>1670.3638654093099</v>
      </c>
      <c r="I1240" s="3">
        <v>55.16</v>
      </c>
      <c r="J1240" s="3">
        <v>55.7</v>
      </c>
      <c r="K1240" s="3">
        <v>52.28</v>
      </c>
      <c r="L1240" s="3">
        <v>1419.5822684228201</v>
      </c>
    </row>
    <row r="1241" spans="1:12" ht="15" customHeight="1" x14ac:dyDescent="0.2">
      <c r="A1241" s="2">
        <v>44251</v>
      </c>
      <c r="B1241" s="3">
        <v>55.52</v>
      </c>
      <c r="C1241" s="1">
        <v>1106565</v>
      </c>
      <c r="D1241" s="3">
        <v>1.73</v>
      </c>
      <c r="E1241" s="3">
        <v>3.2162111916713201</v>
      </c>
      <c r="F1241" s="3">
        <v>3.2162150690138098</v>
      </c>
      <c r="G1241" s="3">
        <v>64.682649999999995</v>
      </c>
      <c r="H1241" s="3">
        <v>1702.50519007151</v>
      </c>
      <c r="I1241" s="3">
        <v>54.35</v>
      </c>
      <c r="J1241" s="3">
        <v>56.48</v>
      </c>
      <c r="K1241" s="3">
        <v>54</v>
      </c>
      <c r="L1241" s="3">
        <v>1447.1705032612299</v>
      </c>
    </row>
    <row r="1242" spans="1:12" ht="15" customHeight="1" x14ac:dyDescent="0.2">
      <c r="A1242" s="2">
        <v>44250</v>
      </c>
      <c r="B1242" s="3">
        <v>53.79</v>
      </c>
      <c r="C1242" s="1">
        <v>1368541</v>
      </c>
      <c r="D1242" s="3">
        <v>-0.189999999999997</v>
      </c>
      <c r="E1242" s="3">
        <v>-0.35198221563541499</v>
      </c>
      <c r="F1242" s="3">
        <v>-0.35198170425318998</v>
      </c>
      <c r="G1242" s="3">
        <v>62.667140000000003</v>
      </c>
      <c r="H1242" s="3">
        <v>1646.3391666380101</v>
      </c>
      <c r="I1242" s="3">
        <v>53.88</v>
      </c>
      <c r="J1242" s="3">
        <v>54.64</v>
      </c>
      <c r="K1242" s="3">
        <v>51.74</v>
      </c>
      <c r="L1242" s="3">
        <v>1398.9607595537</v>
      </c>
    </row>
    <row r="1243" spans="1:12" ht="15" customHeight="1" x14ac:dyDescent="0.2">
      <c r="A1243" s="2">
        <v>44249</v>
      </c>
      <c r="B1243" s="3">
        <v>53.98</v>
      </c>
      <c r="C1243" s="1">
        <v>1734576</v>
      </c>
      <c r="D1243" s="3">
        <v>1.22999999999999</v>
      </c>
      <c r="E1243" s="3">
        <v>2.33175355450236</v>
      </c>
      <c r="F1243" s="3">
        <v>2.3317536809761701</v>
      </c>
      <c r="G1243" s="3">
        <v>62.888496000000004</v>
      </c>
      <c r="H1243" s="3">
        <v>1652.50767301264</v>
      </c>
      <c r="I1243" s="3">
        <v>52.231000000000002</v>
      </c>
      <c r="J1243" s="3">
        <v>55.11</v>
      </c>
      <c r="K1243" s="3">
        <v>51.62</v>
      </c>
      <c r="L1243" s="3">
        <v>1404.25547129037</v>
      </c>
    </row>
    <row r="1244" spans="1:12" ht="15" customHeight="1" x14ac:dyDescent="0.2">
      <c r="A1244" s="2">
        <v>44246</v>
      </c>
      <c r="B1244" s="3">
        <v>52.75</v>
      </c>
      <c r="C1244" s="1">
        <v>1133148</v>
      </c>
      <c r="D1244" s="3">
        <v>1.5499999999999901</v>
      </c>
      <c r="E1244" s="3">
        <v>3.02734375</v>
      </c>
      <c r="F1244" s="3">
        <v>3.0273427677025699</v>
      </c>
      <c r="G1244" s="3">
        <v>61.455505000000002</v>
      </c>
      <c r="H1244" s="3">
        <v>1612.5746505587699</v>
      </c>
      <c r="I1244" s="3">
        <v>51.2</v>
      </c>
      <c r="J1244" s="3">
        <v>53</v>
      </c>
      <c r="K1244" s="3">
        <v>51.01</v>
      </c>
      <c r="L1244" s="3">
        <v>1369.9791795214301</v>
      </c>
    </row>
    <row r="1245" spans="1:12" ht="15" customHeight="1" x14ac:dyDescent="0.2">
      <c r="A1245" s="2">
        <v>44245</v>
      </c>
      <c r="B1245" s="3">
        <v>51.2</v>
      </c>
      <c r="C1245" s="1">
        <v>1945544</v>
      </c>
      <c r="D1245" s="3">
        <v>3.87</v>
      </c>
      <c r="E1245" s="3">
        <v>8.1766321571941702</v>
      </c>
      <c r="F1245" s="3">
        <v>8.1766305908054893</v>
      </c>
      <c r="G1245" s="3">
        <v>59.649704</v>
      </c>
      <c r="H1245" s="3">
        <v>1562.2525676704499</v>
      </c>
      <c r="I1245" s="3">
        <v>48.932000000000002</v>
      </c>
      <c r="J1245" s="3">
        <v>51.651899999999998</v>
      </c>
      <c r="K1245" s="3">
        <v>47.55</v>
      </c>
      <c r="L1245" s="3">
        <v>1326.7854785118</v>
      </c>
    </row>
    <row r="1246" spans="1:12" ht="15" customHeight="1" x14ac:dyDescent="0.2">
      <c r="A1246" s="2">
        <v>44244</v>
      </c>
      <c r="B1246" s="3">
        <v>47.33</v>
      </c>
      <c r="C1246" s="1">
        <v>1265297</v>
      </c>
      <c r="D1246" s="3">
        <v>-2.71999999999999</v>
      </c>
      <c r="E1246" s="3">
        <v>-5.43456543456543</v>
      </c>
      <c r="F1246" s="3">
        <v>-5.4345612651735404</v>
      </c>
      <c r="G1246" s="3">
        <v>55.141025999999997</v>
      </c>
      <c r="H1246" s="3">
        <v>1436.6096712312799</v>
      </c>
      <c r="I1246" s="3">
        <v>49.87</v>
      </c>
      <c r="J1246" s="3">
        <v>49.87</v>
      </c>
      <c r="K1246" s="3">
        <v>47.08</v>
      </c>
      <c r="L1246" s="3">
        <v>1218.9405605070999</v>
      </c>
    </row>
    <row r="1247" spans="1:12" ht="15" customHeight="1" x14ac:dyDescent="0.2">
      <c r="A1247" s="2">
        <v>44243</v>
      </c>
      <c r="B1247" s="3">
        <v>50.05</v>
      </c>
      <c r="C1247" s="1">
        <v>717018</v>
      </c>
      <c r="D1247" s="3">
        <v>3.9999999999999099E-2</v>
      </c>
      <c r="E1247" s="3">
        <v>7.9984003199351505E-2</v>
      </c>
      <c r="F1247" s="3">
        <v>7.9983436575270503E-2</v>
      </c>
      <c r="G1247" s="3">
        <v>58.309913999999999</v>
      </c>
      <c r="H1247" s="3">
        <v>1524.9167685248401</v>
      </c>
      <c r="I1247" s="3">
        <v>50</v>
      </c>
      <c r="J1247" s="3">
        <v>50.43</v>
      </c>
      <c r="K1247" s="3">
        <v>49.39</v>
      </c>
      <c r="L1247" s="3">
        <v>1294.7385390530401</v>
      </c>
    </row>
    <row r="1248" spans="1:12" ht="15" customHeight="1" x14ac:dyDescent="0.2">
      <c r="A1248" s="2">
        <v>44239</v>
      </c>
      <c r="B1248" s="3">
        <v>50.01</v>
      </c>
      <c r="C1248" s="1">
        <v>555704</v>
      </c>
      <c r="D1248" s="3">
        <v>-1.6</v>
      </c>
      <c r="E1248" s="3">
        <v>-3.1001743848091499</v>
      </c>
      <c r="F1248" s="3">
        <v>-3.1001805001615699</v>
      </c>
      <c r="G1248" s="3">
        <v>58.263312999999997</v>
      </c>
      <c r="H1248" s="3">
        <v>1523.61814293726</v>
      </c>
      <c r="I1248" s="3">
        <v>51.16</v>
      </c>
      <c r="J1248" s="3">
        <v>51.26</v>
      </c>
      <c r="K1248" s="3">
        <v>49.505000000000003</v>
      </c>
      <c r="L1248" s="3">
        <v>1293.6238628979499</v>
      </c>
    </row>
    <row r="1249" spans="1:12" ht="15" customHeight="1" x14ac:dyDescent="0.2">
      <c r="A1249" s="2">
        <v>44238</v>
      </c>
      <c r="B1249" s="3">
        <v>51.61</v>
      </c>
      <c r="C1249" s="1">
        <v>1326381</v>
      </c>
      <c r="D1249" s="3">
        <v>0.75</v>
      </c>
      <c r="E1249" s="3">
        <v>1.4746362563900799</v>
      </c>
      <c r="F1249" s="3">
        <v>1.4746396897821801</v>
      </c>
      <c r="G1249" s="3">
        <v>60.127369999999999</v>
      </c>
      <c r="H1249" s="3">
        <v>1575.5636401778499</v>
      </c>
      <c r="I1249" s="3">
        <v>51.195999999999998</v>
      </c>
      <c r="J1249" s="3">
        <v>51.62</v>
      </c>
      <c r="K1249" s="3">
        <v>49.3</v>
      </c>
      <c r="L1249" s="3">
        <v>1338.2109091014399</v>
      </c>
    </row>
    <row r="1250" spans="1:12" ht="15" customHeight="1" x14ac:dyDescent="0.2">
      <c r="A1250" s="2">
        <v>44237</v>
      </c>
      <c r="B1250" s="3">
        <v>50.86</v>
      </c>
      <c r="C1250" s="1">
        <v>1221971</v>
      </c>
      <c r="D1250" s="3">
        <v>0.83999999999999597</v>
      </c>
      <c r="E1250" s="3">
        <v>1.6793282686925199</v>
      </c>
      <c r="F1250" s="3">
        <v>1.6793318255731799</v>
      </c>
      <c r="G1250" s="3">
        <v>59.253593000000002</v>
      </c>
      <c r="H1250" s="3">
        <v>1551.2141805087599</v>
      </c>
      <c r="I1250" s="3">
        <v>50.28</v>
      </c>
      <c r="J1250" s="3">
        <v>52.4</v>
      </c>
      <c r="K1250" s="3">
        <v>50.029800000000002</v>
      </c>
      <c r="L1250" s="3">
        <v>1317.3107311935601</v>
      </c>
    </row>
    <row r="1251" spans="1:12" ht="15" customHeight="1" x14ac:dyDescent="0.2">
      <c r="A1251" s="2">
        <v>44236</v>
      </c>
      <c r="B1251" s="3">
        <v>50.02</v>
      </c>
      <c r="C1251" s="1">
        <v>647078</v>
      </c>
      <c r="D1251" s="3">
        <v>1.26</v>
      </c>
      <c r="E1251" s="3">
        <v>2.5840853158326502</v>
      </c>
      <c r="F1251" s="3">
        <v>2.58408731878558</v>
      </c>
      <c r="G1251" s="3">
        <v>58.274963</v>
      </c>
      <c r="H1251" s="3">
        <v>1523.94279236743</v>
      </c>
      <c r="I1251" s="3">
        <v>48.75</v>
      </c>
      <c r="J1251" s="3">
        <v>50.37</v>
      </c>
      <c r="K1251" s="3">
        <v>47.87</v>
      </c>
      <c r="L1251" s="3">
        <v>1293.9025319367199</v>
      </c>
    </row>
    <row r="1252" spans="1:12" ht="15" customHeight="1" x14ac:dyDescent="0.2">
      <c r="A1252" s="2">
        <v>44235</v>
      </c>
      <c r="B1252" s="3">
        <v>48.76</v>
      </c>
      <c r="C1252" s="1">
        <v>593344</v>
      </c>
      <c r="D1252" s="3">
        <v>1.3799999999999899</v>
      </c>
      <c r="E1252" s="3">
        <v>2.9126213592232899</v>
      </c>
      <c r="F1252" s="3">
        <v>2.9126179118726201</v>
      </c>
      <c r="G1252" s="3">
        <v>56.807020000000001</v>
      </c>
      <c r="H1252" s="3">
        <v>1483.0357658892401</v>
      </c>
      <c r="I1252" s="3">
        <v>47.9</v>
      </c>
      <c r="J1252" s="3">
        <v>48.91</v>
      </c>
      <c r="K1252" s="3">
        <v>47</v>
      </c>
      <c r="L1252" s="3">
        <v>1258.7902330514701</v>
      </c>
    </row>
    <row r="1253" spans="1:12" ht="15" customHeight="1" x14ac:dyDescent="0.2">
      <c r="A1253" s="2">
        <v>44232</v>
      </c>
      <c r="B1253" s="3">
        <v>47.38</v>
      </c>
      <c r="C1253" s="1">
        <v>522655.99999999901</v>
      </c>
      <c r="D1253" s="3">
        <v>1.26</v>
      </c>
      <c r="E1253" s="3">
        <v>2.7320034692107602</v>
      </c>
      <c r="F1253" s="3">
        <v>2.7320017267391501</v>
      </c>
      <c r="G1253" s="3">
        <v>55.199275999999998</v>
      </c>
      <c r="H1253" s="3">
        <v>1438.23291838213</v>
      </c>
      <c r="I1253" s="3">
        <v>46.68</v>
      </c>
      <c r="J1253" s="3">
        <v>47.85</v>
      </c>
      <c r="K1253" s="3">
        <v>46.49</v>
      </c>
      <c r="L1253" s="3">
        <v>1220.33390570096</v>
      </c>
    </row>
    <row r="1254" spans="1:12" ht="15" customHeight="1" x14ac:dyDescent="0.2">
      <c r="A1254" s="2">
        <v>44231</v>
      </c>
      <c r="B1254" s="3">
        <v>46.12</v>
      </c>
      <c r="C1254" s="1">
        <v>523280.99999999901</v>
      </c>
      <c r="D1254" s="3">
        <v>0.39999999999999802</v>
      </c>
      <c r="E1254" s="3">
        <v>0.87489063867016703</v>
      </c>
      <c r="F1254" s="3">
        <v>0.87488625808416198</v>
      </c>
      <c r="G1254" s="3">
        <v>53.731335000000001</v>
      </c>
      <c r="H1254" s="3">
        <v>1397.32594763775</v>
      </c>
      <c r="I1254" s="3">
        <v>46</v>
      </c>
      <c r="J1254" s="3">
        <v>46.6</v>
      </c>
      <c r="K1254" s="3">
        <v>45.64</v>
      </c>
      <c r="L1254" s="3">
        <v>1185.2216068156999</v>
      </c>
    </row>
    <row r="1255" spans="1:12" ht="15" customHeight="1" x14ac:dyDescent="0.2">
      <c r="A1255" s="2">
        <v>44230</v>
      </c>
      <c r="B1255" s="3">
        <v>45.72</v>
      </c>
      <c r="C1255" s="1">
        <v>834440</v>
      </c>
      <c r="D1255" s="3">
        <v>2.3399999999999901</v>
      </c>
      <c r="E1255" s="3">
        <v>5.3941908713692701</v>
      </c>
      <c r="F1255" s="3">
        <v>5.3941971275610996</v>
      </c>
      <c r="G1255" s="3">
        <v>53.265324</v>
      </c>
      <c r="H1255" s="3">
        <v>1384.3396638950401</v>
      </c>
      <c r="I1255" s="3">
        <v>43.47</v>
      </c>
      <c r="J1255" s="3">
        <v>46.31</v>
      </c>
      <c r="K1255" s="3">
        <v>43.04</v>
      </c>
      <c r="L1255" s="3">
        <v>1174.0748452648299</v>
      </c>
    </row>
    <row r="1256" spans="1:12" ht="15" customHeight="1" x14ac:dyDescent="0.2">
      <c r="A1256" s="2">
        <v>44229</v>
      </c>
      <c r="B1256" s="3">
        <v>43.38</v>
      </c>
      <c r="C1256" s="1">
        <v>1548176</v>
      </c>
      <c r="D1256" s="3">
        <v>-1.5799999999999901</v>
      </c>
      <c r="E1256" s="3">
        <v>-3.51423487544483</v>
      </c>
      <c r="F1256" s="3">
        <v>-3.5142320066550701</v>
      </c>
      <c r="G1256" s="3">
        <v>50.539143000000003</v>
      </c>
      <c r="H1256" s="3">
        <v>1308.3694400162301</v>
      </c>
      <c r="I1256" s="3">
        <v>45.147500000000001</v>
      </c>
      <c r="J1256" s="3">
        <v>45.419800000000002</v>
      </c>
      <c r="K1256" s="3">
        <v>42.71</v>
      </c>
      <c r="L1256" s="3">
        <v>1108.86629019222</v>
      </c>
    </row>
    <row r="1257" spans="1:12" ht="15" customHeight="1" x14ac:dyDescent="0.2">
      <c r="A1257" s="2">
        <v>44228</v>
      </c>
      <c r="B1257" s="3">
        <v>44.96</v>
      </c>
      <c r="C1257" s="1">
        <v>890515</v>
      </c>
      <c r="D1257" s="3">
        <v>-9.9999999999980105E-3</v>
      </c>
      <c r="E1257" s="3">
        <v>-2.2237046920159299E-2</v>
      </c>
      <c r="F1257" s="3">
        <v>-2.22478624892774E-2</v>
      </c>
      <c r="G1257" s="3">
        <v>52.379894</v>
      </c>
      <c r="H1257" s="3">
        <v>1359.66547119506</v>
      </c>
      <c r="I1257" s="3">
        <v>45.86</v>
      </c>
      <c r="J1257" s="3">
        <v>45.86</v>
      </c>
      <c r="K1257" s="3">
        <v>44.14</v>
      </c>
      <c r="L1257" s="3">
        <v>1152.8959983181701</v>
      </c>
    </row>
    <row r="1258" spans="1:12" ht="15" customHeight="1" x14ac:dyDescent="0.2">
      <c r="A1258" s="2">
        <v>44225</v>
      </c>
      <c r="B1258" s="3">
        <v>44.97</v>
      </c>
      <c r="C1258" s="1">
        <v>2085424</v>
      </c>
      <c r="D1258" s="3">
        <v>-3.5000000000003598E-2</v>
      </c>
      <c r="E1258" s="3">
        <v>-7.7769136762595406E-2</v>
      </c>
      <c r="F1258" s="3">
        <v>-7.7763100444727604E-2</v>
      </c>
      <c r="G1258" s="3">
        <v>52.391550000000002</v>
      </c>
      <c r="H1258" s="3">
        <v>1359.9902878266601</v>
      </c>
      <c r="I1258" s="3">
        <v>45.81</v>
      </c>
      <c r="J1258" s="3">
        <v>49.055</v>
      </c>
      <c r="K1258" s="3">
        <v>44.15</v>
      </c>
      <c r="L1258" s="3">
        <v>1153.1746673569401</v>
      </c>
    </row>
    <row r="1259" spans="1:12" ht="15" customHeight="1" x14ac:dyDescent="0.2">
      <c r="A1259" s="2">
        <v>44224</v>
      </c>
      <c r="B1259" s="3">
        <v>45.005000000000003</v>
      </c>
      <c r="C1259" s="1">
        <v>2921371</v>
      </c>
      <c r="D1259" s="3">
        <v>-4.9049999999999896</v>
      </c>
      <c r="E1259" s="3">
        <v>-9.8276898417150704</v>
      </c>
      <c r="F1259" s="3">
        <v>-9.8276878817599798</v>
      </c>
      <c r="G1259" s="3">
        <v>52.432322999999997</v>
      </c>
      <c r="H1259" s="3">
        <v>1361.12650509844</v>
      </c>
      <c r="I1259" s="3">
        <v>47.61</v>
      </c>
      <c r="J1259" s="3">
        <v>50.58</v>
      </c>
      <c r="K1259" s="3">
        <v>44.67</v>
      </c>
      <c r="L1259" s="3">
        <v>1154.1500089926401</v>
      </c>
    </row>
    <row r="1260" spans="1:12" ht="15" customHeight="1" x14ac:dyDescent="0.2">
      <c r="A1260" s="2">
        <v>44223</v>
      </c>
      <c r="B1260" s="3">
        <v>49.91</v>
      </c>
      <c r="C1260" s="1">
        <v>5267153</v>
      </c>
      <c r="D1260" s="3">
        <v>4</v>
      </c>
      <c r="E1260" s="3">
        <v>8.7126987584404194</v>
      </c>
      <c r="F1260" s="3">
        <v>8.7127027432533506</v>
      </c>
      <c r="G1260" s="3">
        <v>58.146810000000002</v>
      </c>
      <c r="H1260" s="3">
        <v>1520.3715650348599</v>
      </c>
      <c r="I1260" s="3">
        <v>45.06</v>
      </c>
      <c r="J1260" s="3">
        <v>57.2</v>
      </c>
      <c r="K1260" s="3">
        <v>45</v>
      </c>
      <c r="L1260" s="3">
        <v>1290.8371725102299</v>
      </c>
    </row>
    <row r="1261" spans="1:12" ht="15" customHeight="1" x14ac:dyDescent="0.2">
      <c r="A1261" s="2">
        <v>44222</v>
      </c>
      <c r="B1261" s="3">
        <v>45.91</v>
      </c>
      <c r="C1261" s="1">
        <v>1676584</v>
      </c>
      <c r="D1261" s="3">
        <v>0.91999999999999404</v>
      </c>
      <c r="E1261" s="3">
        <v>2.0448988664147398</v>
      </c>
      <c r="F1261" s="3">
        <v>2.04488804222466</v>
      </c>
      <c r="G1261" s="3">
        <v>53.486674999999998</v>
      </c>
      <c r="H1261" s="3">
        <v>1390.5080309351599</v>
      </c>
      <c r="I1261" s="3">
        <v>45.18</v>
      </c>
      <c r="J1261" s="3">
        <v>46.75</v>
      </c>
      <c r="K1261" s="3">
        <v>44.41</v>
      </c>
      <c r="L1261" s="3">
        <v>1179.3695570015</v>
      </c>
    </row>
    <row r="1262" spans="1:12" ht="15" customHeight="1" x14ac:dyDescent="0.2">
      <c r="A1262" s="2">
        <v>44221</v>
      </c>
      <c r="B1262" s="3">
        <v>44.99</v>
      </c>
      <c r="C1262" s="1">
        <v>1801260</v>
      </c>
      <c r="D1262" s="3">
        <v>2.63</v>
      </c>
      <c r="E1262" s="3">
        <v>6.20868744098206</v>
      </c>
      <c r="F1262" s="3">
        <v>6.2086924206512499</v>
      </c>
      <c r="G1262" s="3">
        <v>52.414850000000001</v>
      </c>
      <c r="H1262" s="3">
        <v>1360.63958668699</v>
      </c>
      <c r="I1262" s="3">
        <v>43.02</v>
      </c>
      <c r="J1262" s="3">
        <v>47.59</v>
      </c>
      <c r="K1262" s="3">
        <v>42.762500000000003</v>
      </c>
      <c r="L1262" s="3">
        <v>1153.73200543449</v>
      </c>
    </row>
    <row r="1263" spans="1:12" ht="15" customHeight="1" x14ac:dyDescent="0.2">
      <c r="A1263" s="2">
        <v>44218</v>
      </c>
      <c r="B1263" s="3">
        <v>42.36</v>
      </c>
      <c r="C1263" s="1">
        <v>839810</v>
      </c>
      <c r="D1263" s="3">
        <v>-0.619999999999997</v>
      </c>
      <c r="E1263" s="3">
        <v>-1.4425314099581099</v>
      </c>
      <c r="F1263" s="3">
        <v>-1.4425262188533401</v>
      </c>
      <c r="G1263" s="3">
        <v>49.350810000000003</v>
      </c>
      <c r="H1263" s="3">
        <v>1275.25427853115</v>
      </c>
      <c r="I1263" s="3">
        <v>42.42</v>
      </c>
      <c r="J1263" s="3">
        <v>42.6</v>
      </c>
      <c r="K1263" s="3">
        <v>41.51</v>
      </c>
      <c r="L1263" s="3">
        <v>1080.4420482374901</v>
      </c>
    </row>
    <row r="1264" spans="1:12" ht="15" customHeight="1" x14ac:dyDescent="0.2">
      <c r="A1264" s="2">
        <v>44217</v>
      </c>
      <c r="B1264" s="3">
        <v>42.98</v>
      </c>
      <c r="C1264" s="1">
        <v>1091322</v>
      </c>
      <c r="D1264" s="3">
        <v>-0.46</v>
      </c>
      <c r="E1264" s="3">
        <v>-1.05893186003683</v>
      </c>
      <c r="F1264" s="3">
        <v>-1.0589313060118499</v>
      </c>
      <c r="G1264" s="3">
        <v>50.073127999999997</v>
      </c>
      <c r="H1264" s="3">
        <v>1295.38304480591</v>
      </c>
      <c r="I1264" s="3">
        <v>43.55</v>
      </c>
      <c r="J1264" s="3">
        <v>43.7</v>
      </c>
      <c r="K1264" s="3">
        <v>42.52</v>
      </c>
      <c r="L1264" s="3">
        <v>1097.7195286413501</v>
      </c>
    </row>
    <row r="1265" spans="1:12" ht="15" customHeight="1" x14ac:dyDescent="0.2">
      <c r="A1265" s="2">
        <v>44216</v>
      </c>
      <c r="B1265" s="3">
        <v>43.44</v>
      </c>
      <c r="C1265" s="1">
        <v>1433002</v>
      </c>
      <c r="D1265" s="3">
        <v>1.69999999999999</v>
      </c>
      <c r="E1265" s="3">
        <v>4.0728318160038102</v>
      </c>
      <c r="F1265" s="3">
        <v>4.0728243875143901</v>
      </c>
      <c r="G1265" s="3">
        <v>50.609043</v>
      </c>
      <c r="H1265" s="3">
        <v>1310.31733659725</v>
      </c>
      <c r="I1265" s="3">
        <v>41.91</v>
      </c>
      <c r="J1265" s="3">
        <v>43.86</v>
      </c>
      <c r="K1265" s="3">
        <v>41.8</v>
      </c>
      <c r="L1265" s="3">
        <v>1110.5383044248499</v>
      </c>
    </row>
    <row r="1266" spans="1:12" ht="15" customHeight="1" x14ac:dyDescent="0.2">
      <c r="A1266" s="2">
        <v>44215</v>
      </c>
      <c r="B1266" s="3">
        <v>41.74</v>
      </c>
      <c r="C1266" s="1">
        <v>728386</v>
      </c>
      <c r="D1266" s="3">
        <v>0.52000000000000302</v>
      </c>
      <c r="E1266" s="3">
        <v>1.26152353226589</v>
      </c>
      <c r="F1266" s="3">
        <v>1.2615291902761701</v>
      </c>
      <c r="G1266" s="3">
        <v>48.628489999999999</v>
      </c>
      <c r="H1266" s="3">
        <v>1255.12545652258</v>
      </c>
      <c r="I1266" s="3">
        <v>41.44</v>
      </c>
      <c r="J1266" s="3">
        <v>42.24</v>
      </c>
      <c r="K1266" s="3">
        <v>40.64</v>
      </c>
      <c r="L1266" s="3">
        <v>1063.1645678336399</v>
      </c>
    </row>
    <row r="1267" spans="1:12" ht="15" customHeight="1" x14ac:dyDescent="0.2">
      <c r="A1267" s="2">
        <v>44211</v>
      </c>
      <c r="B1267" s="3">
        <v>41.22</v>
      </c>
      <c r="C1267" s="1">
        <v>1214229</v>
      </c>
      <c r="D1267" s="3">
        <v>0.369999999999997</v>
      </c>
      <c r="E1267" s="3">
        <v>0.90575275397794996</v>
      </c>
      <c r="F1267" s="3">
        <v>0.90575636384282399</v>
      </c>
      <c r="G1267" s="3">
        <v>48.022669999999998</v>
      </c>
      <c r="H1267" s="3">
        <v>1238.24312881571</v>
      </c>
      <c r="I1267" s="3">
        <v>40.700000000000003</v>
      </c>
      <c r="J1267" s="3">
        <v>42.2</v>
      </c>
      <c r="K1267" s="3">
        <v>40.109400000000001</v>
      </c>
      <c r="L1267" s="3">
        <v>1048.6737778175</v>
      </c>
    </row>
    <row r="1268" spans="1:12" ht="15" customHeight="1" x14ac:dyDescent="0.2">
      <c r="A1268" s="2">
        <v>44210</v>
      </c>
      <c r="B1268" s="3">
        <v>40.85</v>
      </c>
      <c r="C1268" s="1">
        <v>767724</v>
      </c>
      <c r="D1268" s="3">
        <v>0.46</v>
      </c>
      <c r="E1268" s="3">
        <v>1.13889576627879</v>
      </c>
      <c r="F1268" s="3">
        <v>1.1388865896040801</v>
      </c>
      <c r="G1268" s="3">
        <v>47.591605999999999</v>
      </c>
      <c r="H1268" s="3">
        <v>1226.23070976279</v>
      </c>
      <c r="I1268" s="3">
        <v>40.659999999999997</v>
      </c>
      <c r="J1268" s="3">
        <v>41.4</v>
      </c>
      <c r="K1268" s="3">
        <v>39.9</v>
      </c>
      <c r="L1268" s="3">
        <v>1038.3630233829499</v>
      </c>
    </row>
    <row r="1269" spans="1:12" ht="15" customHeight="1" x14ac:dyDescent="0.2">
      <c r="A1269" s="2">
        <v>44209</v>
      </c>
      <c r="B1269" s="3">
        <v>40.39</v>
      </c>
      <c r="C1269" s="1">
        <v>926283</v>
      </c>
      <c r="D1269" s="3">
        <v>0.82999999999999796</v>
      </c>
      <c r="E1269" s="3">
        <v>2.0980788675429598</v>
      </c>
      <c r="F1269" s="3">
        <v>2.0980730209040299</v>
      </c>
      <c r="G1269" s="3">
        <v>47.055695</v>
      </c>
      <c r="H1269" s="3">
        <v>1211.2965294390699</v>
      </c>
      <c r="I1269" s="3">
        <v>39.520000000000003</v>
      </c>
      <c r="J1269" s="3">
        <v>41.09</v>
      </c>
      <c r="K1269" s="3">
        <v>39.270000000000003</v>
      </c>
      <c r="L1269" s="3">
        <v>1025.54424759944</v>
      </c>
    </row>
    <row r="1270" spans="1:12" ht="15" customHeight="1" x14ac:dyDescent="0.2">
      <c r="A1270" s="2">
        <v>44208</v>
      </c>
      <c r="B1270" s="3">
        <v>39.56</v>
      </c>
      <c r="C1270" s="1">
        <v>642218</v>
      </c>
      <c r="D1270" s="3">
        <v>1.1599999999999999</v>
      </c>
      <c r="E1270" s="3">
        <v>3.0208333333333299</v>
      </c>
      <c r="F1270" s="3">
        <v>3.0208409192888199</v>
      </c>
      <c r="G1270" s="3">
        <v>46.088720000000002</v>
      </c>
      <c r="H1270" s="3">
        <v>1184.3499300624301</v>
      </c>
      <c r="I1270" s="3">
        <v>38.590000000000003</v>
      </c>
      <c r="J1270" s="3">
        <v>39.630000000000003</v>
      </c>
      <c r="K1270" s="3">
        <v>38.49</v>
      </c>
      <c r="L1270" s="3">
        <v>1002.41471738138</v>
      </c>
    </row>
    <row r="1271" spans="1:12" ht="15" customHeight="1" x14ac:dyDescent="0.2">
      <c r="A1271" s="2">
        <v>44207</v>
      </c>
      <c r="B1271" s="3">
        <v>38.4</v>
      </c>
      <c r="C1271" s="1">
        <v>559538</v>
      </c>
      <c r="D1271" s="3">
        <v>0.26999999999999602</v>
      </c>
      <c r="E1271" s="3">
        <v>0.70810385523209995</v>
      </c>
      <c r="F1271" s="3">
        <v>0.70810615415293199</v>
      </c>
      <c r="G1271" s="3">
        <v>44.737278000000003</v>
      </c>
      <c r="H1271" s="3">
        <v>1146.68942575284</v>
      </c>
      <c r="I1271" s="3">
        <v>37.590000000000003</v>
      </c>
      <c r="J1271" s="3">
        <v>38.43</v>
      </c>
      <c r="K1271" s="3">
        <v>37.340000000000003</v>
      </c>
      <c r="L1271" s="3">
        <v>970.08910888385196</v>
      </c>
    </row>
    <row r="1272" spans="1:12" ht="15" customHeight="1" x14ac:dyDescent="0.2">
      <c r="A1272" s="2">
        <v>44204</v>
      </c>
      <c r="B1272" s="3">
        <v>38.130000000000003</v>
      </c>
      <c r="C1272" s="1">
        <v>994191</v>
      </c>
      <c r="D1272" s="3">
        <v>0.90000000000000502</v>
      </c>
      <c r="E1272" s="3">
        <v>2.4174053182917099</v>
      </c>
      <c r="F1272" s="3">
        <v>2.4174078467453501</v>
      </c>
      <c r="G1272" s="3">
        <v>44.422718000000003</v>
      </c>
      <c r="H1272" s="3">
        <v>1137.92361246923</v>
      </c>
      <c r="I1272" s="3">
        <v>37.4</v>
      </c>
      <c r="J1272" s="3">
        <v>38.68</v>
      </c>
      <c r="K1272" s="3">
        <v>37.200000000000003</v>
      </c>
      <c r="L1272" s="3">
        <v>962.56504483701201</v>
      </c>
    </row>
    <row r="1273" spans="1:12" ht="15" customHeight="1" x14ac:dyDescent="0.2">
      <c r="A1273" s="2">
        <v>44203</v>
      </c>
      <c r="B1273" s="3">
        <v>37.229999999999997</v>
      </c>
      <c r="C1273" s="1">
        <v>978322</v>
      </c>
      <c r="D1273" s="3">
        <v>-0.14000000000000001</v>
      </c>
      <c r="E1273" s="3">
        <v>-0.37463205780037201</v>
      </c>
      <c r="F1273" s="3">
        <v>-0.37463285497867299</v>
      </c>
      <c r="G1273" s="3">
        <v>43.374186999999999</v>
      </c>
      <c r="H1273" s="3">
        <v>1108.70429987998</v>
      </c>
      <c r="I1273" s="3">
        <v>36.450000000000003</v>
      </c>
      <c r="J1273" s="3">
        <v>38.369999999999997</v>
      </c>
      <c r="K1273" s="3">
        <v>36.450000000000003</v>
      </c>
      <c r="L1273" s="3">
        <v>937.48483134754599</v>
      </c>
    </row>
    <row r="1274" spans="1:12" ht="15" customHeight="1" x14ac:dyDescent="0.2">
      <c r="A1274" s="2">
        <v>44202</v>
      </c>
      <c r="B1274" s="3">
        <v>37.369999999999997</v>
      </c>
      <c r="C1274" s="1">
        <v>1129608</v>
      </c>
      <c r="D1274" s="3">
        <v>1.89</v>
      </c>
      <c r="E1274" s="3">
        <v>5.3269447576099296</v>
      </c>
      <c r="F1274" s="3">
        <v>5.3269426820317101</v>
      </c>
      <c r="G1274" s="3">
        <v>43.537292000000001</v>
      </c>
      <c r="H1274" s="3">
        <v>1113.2495312368701</v>
      </c>
      <c r="I1274" s="3">
        <v>36.15</v>
      </c>
      <c r="J1274" s="3">
        <v>38.07</v>
      </c>
      <c r="K1274" s="3">
        <v>35.450000000000003</v>
      </c>
      <c r="L1274" s="3">
        <v>941.38619789035204</v>
      </c>
    </row>
    <row r="1275" spans="1:12" ht="15" customHeight="1" x14ac:dyDescent="0.2">
      <c r="A1275" s="2">
        <v>44201</v>
      </c>
      <c r="B1275" s="3">
        <v>35.479999999999997</v>
      </c>
      <c r="C1275" s="1">
        <v>803545</v>
      </c>
      <c r="D1275" s="3">
        <v>7.0000000000000201E-2</v>
      </c>
      <c r="E1275" s="3">
        <v>0.197684269980236</v>
      </c>
      <c r="F1275" s="3">
        <v>0.19768833077447001</v>
      </c>
      <c r="G1275" s="3">
        <v>41.335380000000001</v>
      </c>
      <c r="H1275" s="3">
        <v>1051.8890611868501</v>
      </c>
      <c r="I1275" s="3">
        <v>35.03</v>
      </c>
      <c r="J1275" s="3">
        <v>36.6</v>
      </c>
      <c r="K1275" s="3">
        <v>35.010100000000001</v>
      </c>
      <c r="L1275" s="3">
        <v>888.71774956247498</v>
      </c>
    </row>
    <row r="1276" spans="1:12" ht="15" customHeight="1" x14ac:dyDescent="0.2">
      <c r="A1276" s="2">
        <v>44200</v>
      </c>
      <c r="B1276" s="3">
        <v>35.409999999999997</v>
      </c>
      <c r="C1276" s="1">
        <v>1719835</v>
      </c>
      <c r="D1276" s="3">
        <v>-1.65</v>
      </c>
      <c r="E1276" s="3">
        <v>-4.4522396114409197</v>
      </c>
      <c r="F1276" s="3">
        <v>-4.4522511231667501</v>
      </c>
      <c r="G1276" s="3">
        <v>41.253825999999997</v>
      </c>
      <c r="H1276" s="3">
        <v>1049.61640370805</v>
      </c>
      <c r="I1276" s="3">
        <v>37.19</v>
      </c>
      <c r="J1276" s="3">
        <v>37.43</v>
      </c>
      <c r="K1276" s="3">
        <v>34.64</v>
      </c>
      <c r="L1276" s="3">
        <v>886.76706629107196</v>
      </c>
    </row>
    <row r="1277" spans="1:12" ht="15" customHeight="1" x14ac:dyDescent="0.2">
      <c r="A1277" s="2">
        <v>44196</v>
      </c>
      <c r="B1277" s="3">
        <v>37.06</v>
      </c>
      <c r="C1277" s="1">
        <v>900733</v>
      </c>
      <c r="D1277" s="3">
        <v>0.59000000000000297</v>
      </c>
      <c r="E1277" s="3">
        <v>1.6177680285166001</v>
      </c>
      <c r="F1277" s="3">
        <v>1.61776880034596</v>
      </c>
      <c r="G1277" s="3">
        <v>43.176136</v>
      </c>
      <c r="H1277" s="3">
        <v>1103.1852317001999</v>
      </c>
      <c r="I1277" s="3">
        <v>36.39</v>
      </c>
      <c r="J1277" s="3">
        <v>37.784999999999997</v>
      </c>
      <c r="K1277" s="3">
        <v>35.9</v>
      </c>
      <c r="L1277" s="3">
        <v>932.74745768842502</v>
      </c>
    </row>
    <row r="1278" spans="1:12" ht="15" customHeight="1" x14ac:dyDescent="0.2">
      <c r="A1278" s="2">
        <v>44195</v>
      </c>
      <c r="B1278" s="3">
        <v>36.47</v>
      </c>
      <c r="C1278" s="1">
        <v>558546</v>
      </c>
      <c r="D1278" s="3">
        <v>-0.50999999999999801</v>
      </c>
      <c r="E1278" s="3">
        <v>-1.37912385073012</v>
      </c>
      <c r="F1278" s="3">
        <v>-1.37911239458934</v>
      </c>
      <c r="G1278" s="3">
        <v>42.488765999999998</v>
      </c>
      <c r="H1278" s="3">
        <v>1084.03035798214</v>
      </c>
      <c r="I1278" s="3">
        <v>36.979999999999997</v>
      </c>
      <c r="J1278" s="3">
        <v>37.6</v>
      </c>
      <c r="K1278" s="3">
        <v>36.119999999999997</v>
      </c>
      <c r="L1278" s="3">
        <v>916.30598440088704</v>
      </c>
    </row>
    <row r="1279" spans="1:12" ht="15" customHeight="1" x14ac:dyDescent="0.2">
      <c r="A1279" s="2">
        <v>44194</v>
      </c>
      <c r="B1279" s="3">
        <v>36.979999999999997</v>
      </c>
      <c r="C1279" s="1">
        <v>622786</v>
      </c>
      <c r="D1279" s="3">
        <v>-0.37000000000000399</v>
      </c>
      <c r="E1279" s="3">
        <v>-0.99062918340028205</v>
      </c>
      <c r="F1279" s="3">
        <v>-0.990633081883174</v>
      </c>
      <c r="G1279" s="3">
        <v>43.082928000000003</v>
      </c>
      <c r="H1279" s="3">
        <v>1100.5878133236199</v>
      </c>
      <c r="I1279" s="3">
        <v>37.72</v>
      </c>
      <c r="J1279" s="3">
        <v>37.72</v>
      </c>
      <c r="K1279" s="3">
        <v>36.61</v>
      </c>
      <c r="L1279" s="3">
        <v>930.51810537825099</v>
      </c>
    </row>
    <row r="1280" spans="1:12" ht="15" customHeight="1" x14ac:dyDescent="0.2">
      <c r="A1280" s="2">
        <v>44193</v>
      </c>
      <c r="B1280" s="3">
        <v>37.35</v>
      </c>
      <c r="C1280" s="1">
        <v>715325</v>
      </c>
      <c r="D1280" s="3">
        <v>0.14000000000000001</v>
      </c>
      <c r="E1280" s="3">
        <v>0.37624294544478198</v>
      </c>
      <c r="F1280" s="3">
        <v>0.37624374329412402</v>
      </c>
      <c r="G1280" s="3">
        <v>43.513992000000002</v>
      </c>
      <c r="H1280" s="3">
        <v>1112.6002323765299</v>
      </c>
      <c r="I1280" s="3">
        <v>37.58</v>
      </c>
      <c r="J1280" s="3">
        <v>38.090000000000003</v>
      </c>
      <c r="K1280" s="3">
        <v>37.1</v>
      </c>
      <c r="L1280" s="3">
        <v>940.82885981280901</v>
      </c>
    </row>
    <row r="1281" spans="1:12" ht="15" customHeight="1" x14ac:dyDescent="0.2">
      <c r="A1281" s="2">
        <v>44189</v>
      </c>
      <c r="B1281" s="3">
        <v>37.21</v>
      </c>
      <c r="C1281" s="1">
        <v>372189</v>
      </c>
      <c r="D1281" s="3">
        <v>-0.28000000000000103</v>
      </c>
      <c r="E1281" s="3">
        <v>-0.74686583088824299</v>
      </c>
      <c r="F1281" s="3">
        <v>-0.74686740284044495</v>
      </c>
      <c r="G1281" s="3">
        <v>43.350887</v>
      </c>
      <c r="H1281" s="3">
        <v>1108.05500101965</v>
      </c>
      <c r="I1281" s="3">
        <v>37.36</v>
      </c>
      <c r="J1281" s="3">
        <v>37.83</v>
      </c>
      <c r="K1281" s="3">
        <v>36.72</v>
      </c>
      <c r="L1281" s="3">
        <v>936.92749327000297</v>
      </c>
    </row>
    <row r="1282" spans="1:12" ht="15" customHeight="1" x14ac:dyDescent="0.2">
      <c r="A1282" s="2">
        <v>44188</v>
      </c>
      <c r="B1282" s="3">
        <v>37.49</v>
      </c>
      <c r="C1282" s="1">
        <v>613776</v>
      </c>
      <c r="D1282" s="3">
        <v>0.46</v>
      </c>
      <c r="E1282" s="3">
        <v>1.24223602484472</v>
      </c>
      <c r="F1282" s="3">
        <v>1.2422353193753499</v>
      </c>
      <c r="G1282" s="3">
        <v>43.677097000000003</v>
      </c>
      <c r="H1282" s="3">
        <v>1117.14546373342</v>
      </c>
      <c r="I1282" s="3">
        <v>37.369999999999997</v>
      </c>
      <c r="J1282" s="3">
        <v>38.08</v>
      </c>
      <c r="K1282" s="3">
        <v>37</v>
      </c>
      <c r="L1282" s="3">
        <v>944.73022635561404</v>
      </c>
    </row>
    <row r="1283" spans="1:12" ht="15" customHeight="1" x14ac:dyDescent="0.2">
      <c r="A1283" s="2">
        <v>44187</v>
      </c>
      <c r="B1283" s="3">
        <v>37.03</v>
      </c>
      <c r="C1283" s="1">
        <v>583552</v>
      </c>
      <c r="D1283" s="3">
        <v>-0.310000000000002</v>
      </c>
      <c r="E1283" s="3">
        <v>-0.83020889126942299</v>
      </c>
      <c r="F1283" s="3">
        <v>-0.83020817591843399</v>
      </c>
      <c r="G1283" s="3">
        <v>43.141182000000001</v>
      </c>
      <c r="H1283" s="3">
        <v>1102.21117194208</v>
      </c>
      <c r="I1283" s="3">
        <v>37.44</v>
      </c>
      <c r="J1283" s="3">
        <v>37.520000000000003</v>
      </c>
      <c r="K1283" s="3">
        <v>36.72</v>
      </c>
      <c r="L1283" s="3">
        <v>931.91145057210997</v>
      </c>
    </row>
    <row r="1284" spans="1:12" ht="15" customHeight="1" x14ac:dyDescent="0.2">
      <c r="A1284" s="2">
        <v>44186</v>
      </c>
      <c r="B1284" s="3">
        <v>37.340000000000003</v>
      </c>
      <c r="C1284" s="1">
        <v>834138</v>
      </c>
      <c r="D1284" s="3">
        <v>-0.109999999999999</v>
      </c>
      <c r="E1284" s="3">
        <v>-0.29372496662216602</v>
      </c>
      <c r="F1284" s="3">
        <v>-0.29372803156471</v>
      </c>
      <c r="G1284" s="3">
        <v>43.502341999999999</v>
      </c>
      <c r="H1284" s="3">
        <v>1112.2755829463599</v>
      </c>
      <c r="I1284" s="3">
        <v>36.69</v>
      </c>
      <c r="J1284" s="3">
        <v>37.619999999999997</v>
      </c>
      <c r="K1284" s="3">
        <v>35.78</v>
      </c>
      <c r="L1284" s="3">
        <v>940.55019077403699</v>
      </c>
    </row>
    <row r="1285" spans="1:12" ht="15" customHeight="1" x14ac:dyDescent="0.2">
      <c r="A1285" s="2">
        <v>44183</v>
      </c>
      <c r="B1285" s="3">
        <v>37.450000000000003</v>
      </c>
      <c r="C1285" s="1">
        <v>1565647</v>
      </c>
      <c r="D1285" s="3">
        <v>0.20000000000000201</v>
      </c>
      <c r="E1285" s="3">
        <v>0.53691275167786401</v>
      </c>
      <c r="F1285" s="3">
        <v>0.53691817369705397</v>
      </c>
      <c r="G1285" s="3">
        <v>43.630496999999998</v>
      </c>
      <c r="H1285" s="3">
        <v>1115.8468660127401</v>
      </c>
      <c r="I1285" s="3">
        <v>37</v>
      </c>
      <c r="J1285" s="3">
        <v>38.19</v>
      </c>
      <c r="K1285" s="3">
        <v>36.774000000000001</v>
      </c>
      <c r="L1285" s="3">
        <v>943.61555020052697</v>
      </c>
    </row>
    <row r="1286" spans="1:12" ht="15" customHeight="1" x14ac:dyDescent="0.2">
      <c r="A1286" s="2">
        <v>44182</v>
      </c>
      <c r="B1286" s="3">
        <v>37.25</v>
      </c>
      <c r="C1286" s="1">
        <v>807320</v>
      </c>
      <c r="D1286" s="3">
        <v>0.47999999999999599</v>
      </c>
      <c r="E1286" s="3">
        <v>1.3054120206690001</v>
      </c>
      <c r="F1286" s="3">
        <v>1.30541213240347</v>
      </c>
      <c r="G1286" s="3">
        <v>43.397488000000003</v>
      </c>
      <c r="H1286" s="3">
        <v>1109.3536266072299</v>
      </c>
      <c r="I1286" s="3">
        <v>37.409999999999997</v>
      </c>
      <c r="J1286" s="3">
        <v>37.46</v>
      </c>
      <c r="K1286" s="3">
        <v>36.61</v>
      </c>
      <c r="L1286" s="3">
        <v>938.04216942509004</v>
      </c>
    </row>
    <row r="1287" spans="1:12" ht="15" customHeight="1" x14ac:dyDescent="0.2">
      <c r="A1287" s="2">
        <v>44181</v>
      </c>
      <c r="B1287" s="3">
        <v>36.770000000000003</v>
      </c>
      <c r="C1287" s="1">
        <v>921036</v>
      </c>
      <c r="D1287" s="3">
        <v>-0.59999999999999398</v>
      </c>
      <c r="E1287" s="3">
        <v>-1.6055659620015801</v>
      </c>
      <c r="F1287" s="3">
        <v>-1.60556609722073</v>
      </c>
      <c r="G1287" s="3">
        <v>42.838272000000003</v>
      </c>
      <c r="H1287" s="3">
        <v>1093.77000808864</v>
      </c>
      <c r="I1287" s="3">
        <v>36.71</v>
      </c>
      <c r="J1287" s="3">
        <v>38.1</v>
      </c>
      <c r="K1287" s="3">
        <v>36.58</v>
      </c>
      <c r="L1287" s="3">
        <v>924.66605556404204</v>
      </c>
    </row>
    <row r="1288" spans="1:12" ht="15" customHeight="1" x14ac:dyDescent="0.2">
      <c r="A1288" s="2">
        <v>44180</v>
      </c>
      <c r="B1288" s="3">
        <v>37.369999999999997</v>
      </c>
      <c r="C1288" s="1">
        <v>1008861</v>
      </c>
      <c r="D1288" s="3">
        <v>1.97999999999999</v>
      </c>
      <c r="E1288" s="3">
        <v>5.5948007911839497</v>
      </c>
      <c r="F1288" s="3">
        <v>5.5948012887344802</v>
      </c>
      <c r="G1288" s="3">
        <v>43.537292000000001</v>
      </c>
      <c r="H1288" s="3">
        <v>1113.2495312368701</v>
      </c>
      <c r="I1288" s="3">
        <v>35.57</v>
      </c>
      <c r="J1288" s="3">
        <v>37.39</v>
      </c>
      <c r="K1288" s="3">
        <v>35.44</v>
      </c>
      <c r="L1288" s="3">
        <v>941.38619789035204</v>
      </c>
    </row>
    <row r="1289" spans="1:12" ht="15" customHeight="1" x14ac:dyDescent="0.2">
      <c r="A1289" s="2">
        <v>44179</v>
      </c>
      <c r="B1289" s="3">
        <v>35.39</v>
      </c>
      <c r="C1289" s="1">
        <v>1310984</v>
      </c>
      <c r="D1289" s="3">
        <v>-1.78</v>
      </c>
      <c r="E1289" s="3">
        <v>-4.78880817863869</v>
      </c>
      <c r="F1289" s="3">
        <v>-4.7888034539216404</v>
      </c>
      <c r="G1289" s="3">
        <v>41.230525999999998</v>
      </c>
      <c r="H1289" s="3">
        <v>1048.9671048477201</v>
      </c>
      <c r="I1289" s="3">
        <v>37.33</v>
      </c>
      <c r="J1289" s="3">
        <v>37.619999999999997</v>
      </c>
      <c r="K1289" s="3">
        <v>35.375</v>
      </c>
      <c r="L1289" s="3">
        <v>886.20972821352905</v>
      </c>
    </row>
    <row r="1290" spans="1:12" ht="15" customHeight="1" x14ac:dyDescent="0.2">
      <c r="A1290" s="2">
        <v>44176</v>
      </c>
      <c r="B1290" s="3">
        <v>37.17</v>
      </c>
      <c r="C1290" s="1">
        <v>589686</v>
      </c>
      <c r="D1290" s="3">
        <v>-0.93999999999999695</v>
      </c>
      <c r="E1290" s="3">
        <v>-2.46654421411702</v>
      </c>
      <c r="F1290" s="3">
        <v>-2.4665526021084201</v>
      </c>
      <c r="G1290" s="3">
        <v>43.304282999999998</v>
      </c>
      <c r="H1290" s="3">
        <v>1106.7562918313499</v>
      </c>
      <c r="I1290" s="3">
        <v>37.6</v>
      </c>
      <c r="J1290" s="3">
        <v>38.11</v>
      </c>
      <c r="K1290" s="3">
        <v>36.31</v>
      </c>
      <c r="L1290" s="3">
        <v>935.81281711491602</v>
      </c>
    </row>
    <row r="1291" spans="1:12" ht="15" customHeight="1" x14ac:dyDescent="0.2">
      <c r="A1291" s="2">
        <v>44175</v>
      </c>
      <c r="B1291" s="3">
        <v>38.11</v>
      </c>
      <c r="C1291" s="1">
        <v>509794</v>
      </c>
      <c r="D1291" s="3">
        <v>0.26999999999999602</v>
      </c>
      <c r="E1291" s="3">
        <v>0.71353065539110305</v>
      </c>
      <c r="F1291" s="3">
        <v>0.71353297769496304</v>
      </c>
      <c r="G1291" s="3">
        <v>44.399417999999997</v>
      </c>
      <c r="H1291" s="3">
        <v>1137.27431360889</v>
      </c>
      <c r="I1291" s="3">
        <v>37.06</v>
      </c>
      <c r="J1291" s="3">
        <v>38.185000000000002</v>
      </c>
      <c r="K1291" s="3">
        <v>36.83</v>
      </c>
      <c r="L1291" s="3">
        <v>962.00770675946796</v>
      </c>
    </row>
    <row r="1292" spans="1:12" ht="15" customHeight="1" x14ac:dyDescent="0.2">
      <c r="A1292" s="2">
        <v>44174</v>
      </c>
      <c r="B1292" s="3">
        <v>37.840000000000003</v>
      </c>
      <c r="C1292" s="1">
        <v>739856</v>
      </c>
      <c r="D1292" s="3">
        <v>0.40000000000000502</v>
      </c>
      <c r="E1292" s="3">
        <v>1.0683760683760799</v>
      </c>
      <c r="F1292" s="3">
        <v>1.06838001182194</v>
      </c>
      <c r="G1292" s="3">
        <v>44.084857999999997</v>
      </c>
      <c r="H1292" s="3">
        <v>1128.50850032529</v>
      </c>
      <c r="I1292" s="3">
        <v>37.78</v>
      </c>
      <c r="J1292" s="3">
        <v>38.384999999999998</v>
      </c>
      <c r="K1292" s="3">
        <v>37.218299999999999</v>
      </c>
      <c r="L1292" s="3">
        <v>954.48364271262903</v>
      </c>
    </row>
    <row r="1293" spans="1:12" ht="15" customHeight="1" x14ac:dyDescent="0.2">
      <c r="A1293" s="2">
        <v>44173</v>
      </c>
      <c r="B1293" s="3">
        <v>37.44</v>
      </c>
      <c r="C1293" s="1">
        <v>792808</v>
      </c>
      <c r="D1293" s="3">
        <v>0.78999999999999904</v>
      </c>
      <c r="E1293" s="3">
        <v>2.15552523874487</v>
      </c>
      <c r="F1293" s="3">
        <v>2.1555175162013902</v>
      </c>
      <c r="G1293" s="3">
        <v>43.618842999999998</v>
      </c>
      <c r="H1293" s="3">
        <v>1115.5221051149599</v>
      </c>
      <c r="I1293" s="3">
        <v>36.22</v>
      </c>
      <c r="J1293" s="3">
        <v>37.700000000000003</v>
      </c>
      <c r="K1293" s="3">
        <v>36.168599999999998</v>
      </c>
      <c r="L1293" s="3">
        <v>943.33688116175495</v>
      </c>
    </row>
    <row r="1294" spans="1:12" ht="15" customHeight="1" x14ac:dyDescent="0.2">
      <c r="A1294" s="2">
        <v>44172</v>
      </c>
      <c r="B1294" s="3">
        <v>36.65</v>
      </c>
      <c r="C1294" s="1">
        <v>1316213</v>
      </c>
      <c r="D1294" s="3">
        <v>-1.96999999999999</v>
      </c>
      <c r="E1294" s="3">
        <v>-5.1009839461418904</v>
      </c>
      <c r="F1294" s="3">
        <v>-5.10098061981458</v>
      </c>
      <c r="G1294" s="3">
        <v>42.69847</v>
      </c>
      <c r="H1294" s="3">
        <v>1089.8741591928001</v>
      </c>
      <c r="I1294" s="3">
        <v>38.15</v>
      </c>
      <c r="J1294" s="3">
        <v>38.436399999999999</v>
      </c>
      <c r="K1294" s="3">
        <v>36.19</v>
      </c>
      <c r="L1294" s="3">
        <v>921.32202709878004</v>
      </c>
    </row>
    <row r="1295" spans="1:12" ht="15" customHeight="1" x14ac:dyDescent="0.2">
      <c r="A1295" s="2">
        <v>44169</v>
      </c>
      <c r="B1295" s="3">
        <v>38.619999999999997</v>
      </c>
      <c r="C1295" s="1">
        <v>1025516</v>
      </c>
      <c r="D1295" s="3">
        <v>-0.81000000000000205</v>
      </c>
      <c r="E1295" s="3">
        <v>-2.0542733958914501</v>
      </c>
      <c r="F1295" s="3">
        <v>-2.0542778092808902</v>
      </c>
      <c r="G1295" s="3">
        <v>44.993583999999998</v>
      </c>
      <c r="H1295" s="3">
        <v>1153.8318804179801</v>
      </c>
      <c r="I1295" s="3">
        <v>39.5</v>
      </c>
      <c r="J1295" s="3">
        <v>40.24</v>
      </c>
      <c r="K1295" s="3">
        <v>38.409999999999997</v>
      </c>
      <c r="L1295" s="3">
        <v>976.21982773683203</v>
      </c>
    </row>
    <row r="1296" spans="1:12" ht="15" customHeight="1" x14ac:dyDescent="0.2">
      <c r="A1296" s="2">
        <v>44168</v>
      </c>
      <c r="B1296" s="3">
        <v>39.43</v>
      </c>
      <c r="C1296" s="1">
        <v>971128</v>
      </c>
      <c r="D1296" s="3">
        <v>0.630000000000002</v>
      </c>
      <c r="E1296" s="3">
        <v>1.6237113402062</v>
      </c>
      <c r="F1296" s="3">
        <v>1.6237158843969099</v>
      </c>
      <c r="G1296" s="3">
        <v>45.937263000000002</v>
      </c>
      <c r="H1296" s="3">
        <v>1180.1292924019001</v>
      </c>
      <c r="I1296" s="3">
        <v>38.82</v>
      </c>
      <c r="J1296" s="3">
        <v>39.950000000000003</v>
      </c>
      <c r="K1296" s="3">
        <v>38.18</v>
      </c>
      <c r="L1296" s="3">
        <v>998.79201987735098</v>
      </c>
    </row>
    <row r="1297" spans="1:12" ht="15" customHeight="1" x14ac:dyDescent="0.2">
      <c r="A1297" s="2">
        <v>44167</v>
      </c>
      <c r="B1297" s="3">
        <v>38.799999999999997</v>
      </c>
      <c r="C1297" s="1">
        <v>736295</v>
      </c>
      <c r="D1297" s="3">
        <v>3.9999999999999099E-2</v>
      </c>
      <c r="E1297" s="3">
        <v>0.103199174406598</v>
      </c>
      <c r="F1297" s="3">
        <v>0.10319622629559801</v>
      </c>
      <c r="G1297" s="3">
        <v>45.203290000000003</v>
      </c>
      <c r="H1297" s="3">
        <v>1159.67573736245</v>
      </c>
      <c r="I1297" s="3">
        <v>38.31</v>
      </c>
      <c r="J1297" s="3">
        <v>38.89</v>
      </c>
      <c r="K1297" s="3">
        <v>37.734999999999999</v>
      </c>
      <c r="L1297" s="3">
        <v>981.23587043472503</v>
      </c>
    </row>
    <row r="1298" spans="1:12" ht="15" customHeight="1" x14ac:dyDescent="0.2">
      <c r="A1298" s="2">
        <v>44166</v>
      </c>
      <c r="B1298" s="3">
        <v>38.76</v>
      </c>
      <c r="C1298" s="1">
        <v>1369447</v>
      </c>
      <c r="D1298" s="3">
        <v>1.28</v>
      </c>
      <c r="E1298" s="3">
        <v>3.4151547491995702</v>
      </c>
      <c r="F1298" s="3">
        <v>3.4151556950739499</v>
      </c>
      <c r="G1298" s="3">
        <v>45.156689999999998</v>
      </c>
      <c r="H1298" s="3">
        <v>1158.3771396417701</v>
      </c>
      <c r="I1298" s="3">
        <v>38.020000000000003</v>
      </c>
      <c r="J1298" s="3">
        <v>39.1</v>
      </c>
      <c r="K1298" s="3">
        <v>37.905000000000001</v>
      </c>
      <c r="L1298" s="3">
        <v>980.12119427963796</v>
      </c>
    </row>
    <row r="1299" spans="1:12" ht="15" customHeight="1" x14ac:dyDescent="0.2">
      <c r="A1299" s="2">
        <v>44165</v>
      </c>
      <c r="B1299" s="3">
        <v>37.479999999999997</v>
      </c>
      <c r="C1299" s="1">
        <v>1701678</v>
      </c>
      <c r="D1299" s="3">
        <v>0.25999999999999801</v>
      </c>
      <c r="E1299" s="3">
        <v>0.69854916711444803</v>
      </c>
      <c r="F1299" s="3">
        <v>0.69854533429083399</v>
      </c>
      <c r="G1299" s="3">
        <v>43.665447</v>
      </c>
      <c r="H1299" s="3">
        <v>1116.82081430325</v>
      </c>
      <c r="I1299" s="3">
        <v>36.85</v>
      </c>
      <c r="J1299" s="3">
        <v>38.200000000000003</v>
      </c>
      <c r="K1299" s="3">
        <v>36.479999999999997</v>
      </c>
      <c r="L1299" s="3">
        <v>944.45155731684201</v>
      </c>
    </row>
    <row r="1300" spans="1:12" ht="15" customHeight="1" x14ac:dyDescent="0.2">
      <c r="A1300" s="2">
        <v>44162</v>
      </c>
      <c r="B1300" s="3">
        <v>37.22</v>
      </c>
      <c r="C1300" s="1">
        <v>411749</v>
      </c>
      <c r="D1300" s="3">
        <v>-0.21</v>
      </c>
      <c r="E1300" s="3">
        <v>-0.56104728827144301</v>
      </c>
      <c r="F1300" s="3">
        <v>-0.56104729684871502</v>
      </c>
      <c r="G1300" s="3">
        <v>43.362540000000003</v>
      </c>
      <c r="H1300" s="3">
        <v>1108.37973405053</v>
      </c>
      <c r="I1300" s="3">
        <v>37.479999999999997</v>
      </c>
      <c r="J1300" s="3">
        <v>37.69</v>
      </c>
      <c r="K1300" s="3">
        <v>36.96</v>
      </c>
      <c r="L1300" s="3">
        <v>937.20616230877499</v>
      </c>
    </row>
    <row r="1301" spans="1:12" ht="15" customHeight="1" x14ac:dyDescent="0.2">
      <c r="A1301" s="2">
        <v>44160</v>
      </c>
      <c r="B1301" s="3">
        <v>37.43</v>
      </c>
      <c r="C1301" s="1">
        <v>850806</v>
      </c>
      <c r="D1301" s="3">
        <v>-0.22999999999999601</v>
      </c>
      <c r="E1301" s="3">
        <v>-0.61072756240041404</v>
      </c>
      <c r="F1301" s="3">
        <v>-0.61072379622242301</v>
      </c>
      <c r="G1301" s="3">
        <v>43.607196999999999</v>
      </c>
      <c r="H1301" s="3">
        <v>1115.1975671524101</v>
      </c>
      <c r="I1301" s="3">
        <v>37.08</v>
      </c>
      <c r="J1301" s="3">
        <v>37.89</v>
      </c>
      <c r="K1301" s="3">
        <v>36.619999999999997</v>
      </c>
      <c r="L1301" s="3">
        <v>943.05821212298304</v>
      </c>
    </row>
    <row r="1302" spans="1:12" ht="15" customHeight="1" x14ac:dyDescent="0.2">
      <c r="A1302" s="2">
        <v>44159</v>
      </c>
      <c r="B1302" s="3">
        <v>37.659999999999997</v>
      </c>
      <c r="C1302" s="1">
        <v>1484557</v>
      </c>
      <c r="D1302" s="3">
        <v>2.6099999999999901</v>
      </c>
      <c r="E1302" s="3">
        <v>7.4465049928673404</v>
      </c>
      <c r="F1302" s="3">
        <v>7.4465080496439002</v>
      </c>
      <c r="G1302" s="3">
        <v>43.875152999999997</v>
      </c>
      <c r="H1302" s="3">
        <v>1122.66467124772</v>
      </c>
      <c r="I1302" s="3">
        <v>35.79</v>
      </c>
      <c r="J1302" s="3">
        <v>37.94</v>
      </c>
      <c r="K1302" s="3">
        <v>35.5</v>
      </c>
      <c r="L1302" s="3">
        <v>949.46760001473501</v>
      </c>
    </row>
    <row r="1303" spans="1:12" ht="15" customHeight="1" x14ac:dyDescent="0.2">
      <c r="A1303" s="2">
        <v>44158</v>
      </c>
      <c r="B1303" s="3">
        <v>35.049999999999997</v>
      </c>
      <c r="C1303" s="1">
        <v>1307463</v>
      </c>
      <c r="D1303" s="3">
        <v>0.25</v>
      </c>
      <c r="E1303" s="3">
        <v>0.71839080459770099</v>
      </c>
      <c r="F1303" s="3">
        <v>0.71839251981271601</v>
      </c>
      <c r="G1303" s="3">
        <v>40.834415</v>
      </c>
      <c r="H1303" s="3">
        <v>1037.92871768602</v>
      </c>
      <c r="I1303" s="3">
        <v>35.46</v>
      </c>
      <c r="J1303" s="3">
        <v>35.65</v>
      </c>
      <c r="K1303" s="3">
        <v>34.380000000000003</v>
      </c>
      <c r="L1303" s="3">
        <v>876.73498089528596</v>
      </c>
    </row>
    <row r="1304" spans="1:12" ht="15" customHeight="1" x14ac:dyDescent="0.2">
      <c r="A1304" s="2">
        <v>44155</v>
      </c>
      <c r="B1304" s="3">
        <v>34.799999999999997</v>
      </c>
      <c r="C1304" s="1">
        <v>1564879</v>
      </c>
      <c r="D1304" s="3">
        <v>-1.26</v>
      </c>
      <c r="E1304" s="3">
        <v>-3.4941763727121602</v>
      </c>
      <c r="F1304" s="3">
        <v>-3.4941812997041102</v>
      </c>
      <c r="G1304" s="3">
        <v>40.543156000000003</v>
      </c>
      <c r="H1304" s="3">
        <v>1029.8122311296599</v>
      </c>
      <c r="I1304" s="3">
        <v>35.72</v>
      </c>
      <c r="J1304" s="3">
        <v>35.840000000000003</v>
      </c>
      <c r="K1304" s="3">
        <v>34.29</v>
      </c>
      <c r="L1304" s="3">
        <v>869.76825492599005</v>
      </c>
    </row>
    <row r="1305" spans="1:12" ht="15" customHeight="1" x14ac:dyDescent="0.2">
      <c r="A1305" s="2">
        <v>44154</v>
      </c>
      <c r="B1305" s="3">
        <v>36.06</v>
      </c>
      <c r="C1305" s="1">
        <v>999504</v>
      </c>
      <c r="D1305" s="3">
        <v>-8.9999999999996305E-2</v>
      </c>
      <c r="E1305" s="3">
        <v>-0.24896265560164699</v>
      </c>
      <c r="F1305" s="3">
        <v>-0.24896740439579401</v>
      </c>
      <c r="G1305" s="3">
        <v>42.011099999999999</v>
      </c>
      <c r="H1305" s="3">
        <v>1070.71928547474</v>
      </c>
      <c r="I1305" s="3">
        <v>35.9</v>
      </c>
      <c r="J1305" s="3">
        <v>36.33</v>
      </c>
      <c r="K1305" s="3">
        <v>35.325000000000003</v>
      </c>
      <c r="L1305" s="3">
        <v>904.88055381124195</v>
      </c>
    </row>
    <row r="1306" spans="1:12" ht="15" customHeight="1" x14ac:dyDescent="0.2">
      <c r="A1306" s="2">
        <v>44153</v>
      </c>
      <c r="B1306" s="3">
        <v>36.15</v>
      </c>
      <c r="C1306" s="1">
        <v>949393</v>
      </c>
      <c r="D1306" s="3">
        <v>0.25</v>
      </c>
      <c r="E1306" s="3">
        <v>0.69637883008355494</v>
      </c>
      <c r="F1306" s="3">
        <v>0.69638043513810999</v>
      </c>
      <c r="G1306" s="3">
        <v>42.115955</v>
      </c>
      <c r="H1306" s="3">
        <v>1073.6412696807899</v>
      </c>
      <c r="I1306" s="3">
        <v>36.159999999999997</v>
      </c>
      <c r="J1306" s="3">
        <v>37.095399999999998</v>
      </c>
      <c r="K1306" s="3">
        <v>35.72</v>
      </c>
      <c r="L1306" s="3">
        <v>907.388575160188</v>
      </c>
    </row>
    <row r="1307" spans="1:12" ht="15" customHeight="1" x14ac:dyDescent="0.2">
      <c r="A1307" s="2">
        <v>44152</v>
      </c>
      <c r="B1307" s="3">
        <v>35.9</v>
      </c>
      <c r="C1307" s="1">
        <v>783487</v>
      </c>
      <c r="D1307" s="3">
        <v>-0.56999999999999995</v>
      </c>
      <c r="E1307" s="3">
        <v>-1.5629284343295899</v>
      </c>
      <c r="F1307" s="3">
        <v>-1.56293077563136</v>
      </c>
      <c r="G1307" s="3">
        <v>41.824696000000003</v>
      </c>
      <c r="H1307" s="3">
        <v>1065.5247831244201</v>
      </c>
      <c r="I1307" s="3">
        <v>35.83</v>
      </c>
      <c r="J1307" s="3">
        <v>36.56</v>
      </c>
      <c r="K1307" s="3">
        <v>35.299999999999997</v>
      </c>
      <c r="L1307" s="3">
        <v>900.42184919089198</v>
      </c>
    </row>
    <row r="1308" spans="1:12" ht="15" customHeight="1" x14ac:dyDescent="0.2">
      <c r="A1308" s="2">
        <v>44151</v>
      </c>
      <c r="B1308" s="3">
        <v>36.47</v>
      </c>
      <c r="C1308" s="1">
        <v>2068259</v>
      </c>
      <c r="D1308" s="3">
        <v>1.3599999999999901</v>
      </c>
      <c r="E1308" s="3">
        <v>3.8735403019082901</v>
      </c>
      <c r="F1308" s="3">
        <v>3.8735419632938499</v>
      </c>
      <c r="G1308" s="3">
        <v>42.488765999999998</v>
      </c>
      <c r="H1308" s="3">
        <v>1084.03035798214</v>
      </c>
      <c r="I1308" s="3">
        <v>37.47</v>
      </c>
      <c r="J1308" s="3">
        <v>37.75</v>
      </c>
      <c r="K1308" s="3">
        <v>36.14</v>
      </c>
      <c r="L1308" s="3">
        <v>916.30598440088704</v>
      </c>
    </row>
    <row r="1309" spans="1:12" ht="15" customHeight="1" x14ac:dyDescent="0.2">
      <c r="A1309" s="2">
        <v>44148</v>
      </c>
      <c r="B1309" s="3">
        <v>35.11</v>
      </c>
      <c r="C1309" s="1">
        <v>1184235</v>
      </c>
      <c r="D1309" s="3">
        <v>1.35</v>
      </c>
      <c r="E1309" s="3">
        <v>3.9988151658767901</v>
      </c>
      <c r="F1309" s="3">
        <v>3.99882842056447</v>
      </c>
      <c r="G1309" s="3">
        <v>40.904319999999998</v>
      </c>
      <c r="H1309" s="3">
        <v>1039.87675360156</v>
      </c>
      <c r="I1309" s="3">
        <v>34.6</v>
      </c>
      <c r="J1309" s="3">
        <v>35.130000000000003</v>
      </c>
      <c r="K1309" s="3">
        <v>34.07</v>
      </c>
      <c r="L1309" s="3">
        <v>878.40699512791696</v>
      </c>
    </row>
    <row r="1310" spans="1:12" ht="15" customHeight="1" x14ac:dyDescent="0.2">
      <c r="A1310" s="2">
        <v>44147</v>
      </c>
      <c r="B1310" s="3">
        <v>33.76</v>
      </c>
      <c r="C1310" s="1">
        <v>1426527</v>
      </c>
      <c r="D1310" s="3">
        <v>-1.6499999999999899</v>
      </c>
      <c r="E1310" s="3">
        <v>-4.6597006495340203</v>
      </c>
      <c r="F1310" s="3">
        <v>-4.6597035630101304</v>
      </c>
      <c r="G1310" s="3">
        <v>39.331519999999998</v>
      </c>
      <c r="H1310" s="3">
        <v>996.047687183525</v>
      </c>
      <c r="I1310" s="3">
        <v>34.43</v>
      </c>
      <c r="J1310" s="3">
        <v>35.15</v>
      </c>
      <c r="K1310" s="3">
        <v>33.178899999999999</v>
      </c>
      <c r="L1310" s="3">
        <v>840.78667489371901</v>
      </c>
    </row>
    <row r="1311" spans="1:12" ht="15" customHeight="1" x14ac:dyDescent="0.2">
      <c r="A1311" s="2">
        <v>44146</v>
      </c>
      <c r="B1311" s="3">
        <v>35.409999999999997</v>
      </c>
      <c r="C1311" s="1">
        <v>1369780</v>
      </c>
      <c r="D1311" s="3">
        <v>-2.3199999999999998</v>
      </c>
      <c r="E1311" s="3">
        <v>-6.1489530877286001</v>
      </c>
      <c r="F1311" s="3">
        <v>-6.1489529822106901</v>
      </c>
      <c r="G1311" s="3">
        <v>41.253825999999997</v>
      </c>
      <c r="H1311" s="3">
        <v>1049.61640370805</v>
      </c>
      <c r="I1311" s="3">
        <v>37.6</v>
      </c>
      <c r="J1311" s="3">
        <v>37.979999999999997</v>
      </c>
      <c r="K1311" s="3">
        <v>35.049999999999997</v>
      </c>
      <c r="L1311" s="3">
        <v>886.76706629107196</v>
      </c>
    </row>
    <row r="1312" spans="1:12" ht="15" customHeight="1" x14ac:dyDescent="0.2">
      <c r="A1312" s="2">
        <v>44145</v>
      </c>
      <c r="B1312" s="3">
        <v>37.729999999999997</v>
      </c>
      <c r="C1312" s="1">
        <v>1333435</v>
      </c>
      <c r="D1312" s="3">
        <v>0.739999999999994</v>
      </c>
      <c r="E1312" s="3">
        <v>2.0005406866720499</v>
      </c>
      <c r="F1312" s="3">
        <v>2.00053695847597</v>
      </c>
      <c r="G1312" s="3">
        <v>43.956702999999997</v>
      </c>
      <c r="H1312" s="3">
        <v>1124.9372172589001</v>
      </c>
      <c r="I1312" s="3">
        <v>37.549999999999997</v>
      </c>
      <c r="J1312" s="3">
        <v>37.96</v>
      </c>
      <c r="K1312" s="3">
        <v>36.020000000000003</v>
      </c>
      <c r="L1312" s="3">
        <v>951.41828328613803</v>
      </c>
    </row>
    <row r="1313" spans="1:12" ht="15" customHeight="1" x14ac:dyDescent="0.2">
      <c r="A1313" s="2">
        <v>44144</v>
      </c>
      <c r="B1313" s="3">
        <v>36.99</v>
      </c>
      <c r="C1313" s="1">
        <v>4391088</v>
      </c>
      <c r="D1313" s="3">
        <v>5.93</v>
      </c>
      <c r="E1313" s="3">
        <v>19.0920798454604</v>
      </c>
      <c r="F1313" s="3">
        <v>19.0920825253305</v>
      </c>
      <c r="G1313" s="3">
        <v>43.094580000000001</v>
      </c>
      <c r="H1313" s="3">
        <v>1100.9125184876</v>
      </c>
      <c r="I1313" s="3">
        <v>35.42</v>
      </c>
      <c r="J1313" s="3">
        <v>39.549999999999997</v>
      </c>
      <c r="K1313" s="3">
        <v>34.799999999999997</v>
      </c>
      <c r="L1313" s="3">
        <v>930.79677441702302</v>
      </c>
    </row>
    <row r="1314" spans="1:12" ht="15" customHeight="1" x14ac:dyDescent="0.2">
      <c r="A1314" s="2">
        <v>44141</v>
      </c>
      <c r="B1314" s="3">
        <v>31.06</v>
      </c>
      <c r="C1314" s="1">
        <v>741378</v>
      </c>
      <c r="D1314" s="3">
        <v>-0.86000000000000298</v>
      </c>
      <c r="E1314" s="3">
        <v>-2.6942355889724299</v>
      </c>
      <c r="F1314" s="3">
        <v>-2.69423931927036</v>
      </c>
      <c r="G1314" s="3">
        <v>36.185932000000001</v>
      </c>
      <c r="H1314" s="3">
        <v>908.38988875030304</v>
      </c>
      <c r="I1314" s="3">
        <v>31.74</v>
      </c>
      <c r="J1314" s="3">
        <v>32.349899999999998</v>
      </c>
      <c r="K1314" s="3">
        <v>30.97</v>
      </c>
      <c r="L1314" s="3">
        <v>765.546034425323</v>
      </c>
    </row>
    <row r="1315" spans="1:12" ht="15" customHeight="1" x14ac:dyDescent="0.2">
      <c r="A1315" s="2">
        <v>44140</v>
      </c>
      <c r="B1315" s="3">
        <v>31.92</v>
      </c>
      <c r="C1315" s="1">
        <v>750823</v>
      </c>
      <c r="D1315" s="3">
        <v>0.59000000000000297</v>
      </c>
      <c r="E1315" s="3">
        <v>1.8831790616023101</v>
      </c>
      <c r="F1315" s="3">
        <v>1.8831800952162601</v>
      </c>
      <c r="G1315" s="3">
        <v>37.187862000000003</v>
      </c>
      <c r="H1315" s="3">
        <v>936.31057575196996</v>
      </c>
      <c r="I1315" s="3">
        <v>31.82</v>
      </c>
      <c r="J1315" s="3">
        <v>32.75</v>
      </c>
      <c r="K1315" s="3">
        <v>31.35</v>
      </c>
      <c r="L1315" s="3">
        <v>789.51157175970195</v>
      </c>
    </row>
    <row r="1316" spans="1:12" ht="15" customHeight="1" x14ac:dyDescent="0.2">
      <c r="A1316" s="2">
        <v>44139</v>
      </c>
      <c r="B1316" s="3">
        <v>31.33</v>
      </c>
      <c r="C1316" s="1">
        <v>649363</v>
      </c>
      <c r="D1316" s="3">
        <v>0.47999999999999599</v>
      </c>
      <c r="E1316" s="3">
        <v>1.55591572123174</v>
      </c>
      <c r="F1316" s="3">
        <v>1.55591299663615</v>
      </c>
      <c r="G1316" s="3">
        <v>36.500492000000001</v>
      </c>
      <c r="H1316" s="3">
        <v>917.15570203390996</v>
      </c>
      <c r="I1316" s="3">
        <v>30.56</v>
      </c>
      <c r="J1316" s="3">
        <v>31.89</v>
      </c>
      <c r="K1316" s="3">
        <v>30.38</v>
      </c>
      <c r="L1316" s="3">
        <v>773.07009847216295</v>
      </c>
    </row>
    <row r="1317" spans="1:12" ht="15" customHeight="1" x14ac:dyDescent="0.2">
      <c r="A1317" s="2">
        <v>44138</v>
      </c>
      <c r="B1317" s="3">
        <v>30.85</v>
      </c>
      <c r="C1317" s="1">
        <v>707504</v>
      </c>
      <c r="D1317" s="3">
        <v>0.94000000000000095</v>
      </c>
      <c r="E1317" s="3">
        <v>3.1427616181878899</v>
      </c>
      <c r="F1317" s="3">
        <v>3.1427607517916001</v>
      </c>
      <c r="G1317" s="3">
        <v>35.941276999999999</v>
      </c>
      <c r="H1317" s="3">
        <v>901.57211138223101</v>
      </c>
      <c r="I1317" s="3">
        <v>30.25</v>
      </c>
      <c r="J1317" s="3">
        <v>31.05</v>
      </c>
      <c r="K1317" s="3">
        <v>30.04</v>
      </c>
      <c r="L1317" s="3">
        <v>759.69398461111496</v>
      </c>
    </row>
    <row r="1318" spans="1:12" ht="15" customHeight="1" x14ac:dyDescent="0.2">
      <c r="A1318" s="2">
        <v>44137</v>
      </c>
      <c r="B1318" s="3">
        <v>29.91</v>
      </c>
      <c r="C1318" s="1">
        <v>1249279</v>
      </c>
      <c r="D1318" s="3">
        <v>0.190000000000001</v>
      </c>
      <c r="E1318" s="3">
        <v>0.63930013458950397</v>
      </c>
      <c r="F1318" s="3">
        <v>0.63931081046968397</v>
      </c>
      <c r="G1318" s="3">
        <v>34.846145999999997</v>
      </c>
      <c r="H1318" s="3">
        <v>871.05420107230702</v>
      </c>
      <c r="I1318" s="3">
        <v>30.01</v>
      </c>
      <c r="J1318" s="3">
        <v>30.24</v>
      </c>
      <c r="K1318" s="3">
        <v>29.15</v>
      </c>
      <c r="L1318" s="3">
        <v>733.49909496656198</v>
      </c>
    </row>
    <row r="1319" spans="1:12" ht="15" customHeight="1" x14ac:dyDescent="0.2">
      <c r="A1319" s="2">
        <v>44134</v>
      </c>
      <c r="B1319" s="3">
        <v>29.72</v>
      </c>
      <c r="C1319" s="1">
        <v>2261254</v>
      </c>
      <c r="D1319" s="3">
        <v>-0.220000000000002</v>
      </c>
      <c r="E1319" s="3">
        <v>-0.73480293921176498</v>
      </c>
      <c r="F1319" s="3">
        <v>-0.73481062636334604</v>
      </c>
      <c r="G1319" s="3">
        <v>34.624786</v>
      </c>
      <c r="H1319" s="3">
        <v>864.88558323005395</v>
      </c>
      <c r="I1319" s="3">
        <v>31.71</v>
      </c>
      <c r="J1319" s="3">
        <v>32.49</v>
      </c>
      <c r="K1319" s="3">
        <v>29.19</v>
      </c>
      <c r="L1319" s="3">
        <v>728.20438322989696</v>
      </c>
    </row>
    <row r="1320" spans="1:12" ht="15" customHeight="1" x14ac:dyDescent="0.2">
      <c r="A1320" s="2">
        <v>44133</v>
      </c>
      <c r="B1320" s="3">
        <v>29.94</v>
      </c>
      <c r="C1320" s="1">
        <v>1386273</v>
      </c>
      <c r="D1320" s="3">
        <v>0.89</v>
      </c>
      <c r="E1320" s="3">
        <v>3.0636833046471601</v>
      </c>
      <c r="F1320" s="3">
        <v>3.06368754601045</v>
      </c>
      <c r="G1320" s="3">
        <v>34.881095999999999</v>
      </c>
      <c r="H1320" s="3">
        <v>872.02814936281402</v>
      </c>
      <c r="I1320" s="3">
        <v>29.06</v>
      </c>
      <c r="J1320" s="3">
        <v>30.13</v>
      </c>
      <c r="K1320" s="3">
        <v>28.5</v>
      </c>
      <c r="L1320" s="3">
        <v>734.33510208287805</v>
      </c>
    </row>
    <row r="1321" spans="1:12" ht="15" customHeight="1" x14ac:dyDescent="0.2">
      <c r="A1321" s="2">
        <v>44132</v>
      </c>
      <c r="B1321" s="3">
        <v>29.05</v>
      </c>
      <c r="C1321" s="1">
        <v>1085187</v>
      </c>
      <c r="D1321" s="3">
        <v>-1.3799999999999899</v>
      </c>
      <c r="E1321" s="3">
        <v>-4.5349983568846399</v>
      </c>
      <c r="F1321" s="3">
        <v>-4.5349960904841398</v>
      </c>
      <c r="G1321" s="3">
        <v>33.844214999999998</v>
      </c>
      <c r="H1321" s="3">
        <v>843.13348620373597</v>
      </c>
      <c r="I1321" s="3">
        <v>29.312999999999999</v>
      </c>
      <c r="J1321" s="3">
        <v>30.18</v>
      </c>
      <c r="K1321" s="3">
        <v>28.95</v>
      </c>
      <c r="L1321" s="3">
        <v>709.53355763218406</v>
      </c>
    </row>
    <row r="1322" spans="1:12" ht="15" customHeight="1" x14ac:dyDescent="0.2">
      <c r="A1322" s="2">
        <v>44131</v>
      </c>
      <c r="B1322" s="3">
        <v>30.43</v>
      </c>
      <c r="C1322" s="1">
        <v>1163124</v>
      </c>
      <c r="D1322" s="3">
        <v>-0.21</v>
      </c>
      <c r="E1322" s="3">
        <v>-0.68537859007833302</v>
      </c>
      <c r="F1322" s="3">
        <v>-0.685378673278769</v>
      </c>
      <c r="G1322" s="3">
        <v>35.45196</v>
      </c>
      <c r="H1322" s="3">
        <v>887.93636157775904</v>
      </c>
      <c r="I1322" s="3">
        <v>30.64</v>
      </c>
      <c r="J1322" s="3">
        <v>31.51</v>
      </c>
      <c r="K1322" s="3">
        <v>30.1</v>
      </c>
      <c r="L1322" s="3">
        <v>747.98988498269796</v>
      </c>
    </row>
    <row r="1323" spans="1:12" ht="15" customHeight="1" x14ac:dyDescent="0.2">
      <c r="A1323" s="2">
        <v>44130</v>
      </c>
      <c r="B1323" s="3">
        <v>30.64</v>
      </c>
      <c r="C1323" s="1">
        <v>1254231</v>
      </c>
      <c r="D1323" s="3">
        <v>-2.0799999999999899</v>
      </c>
      <c r="E1323" s="3">
        <v>-6.3569682151589202</v>
      </c>
      <c r="F1323" s="3">
        <v>-6.3569779451094703</v>
      </c>
      <c r="G1323" s="3">
        <v>35.696617000000003</v>
      </c>
      <c r="H1323" s="3">
        <v>894.754194679639</v>
      </c>
      <c r="I1323" s="3">
        <v>32.19</v>
      </c>
      <c r="J1323" s="3">
        <v>32.35</v>
      </c>
      <c r="K1323" s="3">
        <v>30.01</v>
      </c>
      <c r="L1323" s="3">
        <v>753.841934796906</v>
      </c>
    </row>
    <row r="1324" spans="1:12" ht="15" customHeight="1" x14ac:dyDescent="0.2">
      <c r="A1324" s="2">
        <v>44127</v>
      </c>
      <c r="B1324" s="3">
        <v>32.72</v>
      </c>
      <c r="C1324" s="1">
        <v>1431287</v>
      </c>
      <c r="D1324" s="3">
        <v>-0.67000000000000104</v>
      </c>
      <c r="E1324" s="3">
        <v>-2.00658879904163</v>
      </c>
      <c r="F1324" s="3">
        <v>-2.00658295557432</v>
      </c>
      <c r="G1324" s="3">
        <v>38.119889999999998</v>
      </c>
      <c r="H1324" s="3">
        <v>962.28331043881303</v>
      </c>
      <c r="I1324" s="3">
        <v>33.695</v>
      </c>
      <c r="J1324" s="3">
        <v>33.8065</v>
      </c>
      <c r="K1324" s="3">
        <v>31.64</v>
      </c>
      <c r="L1324" s="3">
        <v>811.80509486144797</v>
      </c>
    </row>
    <row r="1325" spans="1:12" ht="15" customHeight="1" x14ac:dyDescent="0.2">
      <c r="A1325" s="2">
        <v>44126</v>
      </c>
      <c r="B1325" s="3">
        <v>33.39</v>
      </c>
      <c r="C1325" s="1">
        <v>937615</v>
      </c>
      <c r="D1325" s="3">
        <v>1.53999999999999</v>
      </c>
      <c r="E1325" s="3">
        <v>4.8351648351648402</v>
      </c>
      <c r="F1325" s="3">
        <v>4.8351614590618199</v>
      </c>
      <c r="G1325" s="3">
        <v>38.900460000000002</v>
      </c>
      <c r="H1325" s="3">
        <v>984.035379598227</v>
      </c>
      <c r="I1325" s="3">
        <v>31.83</v>
      </c>
      <c r="J1325" s="3">
        <v>33.465000000000003</v>
      </c>
      <c r="K1325" s="3">
        <v>31.83</v>
      </c>
      <c r="L1325" s="3">
        <v>830.47592045916099</v>
      </c>
    </row>
    <row r="1326" spans="1:12" ht="15" customHeight="1" x14ac:dyDescent="0.2">
      <c r="A1326" s="2">
        <v>44125</v>
      </c>
      <c r="B1326" s="3">
        <v>31.85</v>
      </c>
      <c r="C1326" s="1">
        <v>1473477</v>
      </c>
      <c r="D1326" s="3">
        <v>-0.68999999999999695</v>
      </c>
      <c r="E1326" s="3">
        <v>-2.12046711739396</v>
      </c>
      <c r="F1326" s="3">
        <v>-2.1204672106172699</v>
      </c>
      <c r="G1326" s="3">
        <v>37.106310000000001</v>
      </c>
      <c r="H1326" s="3">
        <v>934.03797400697795</v>
      </c>
      <c r="I1326" s="3">
        <v>32.5</v>
      </c>
      <c r="J1326" s="3">
        <v>32.92</v>
      </c>
      <c r="K1326" s="3">
        <v>31.31</v>
      </c>
      <c r="L1326" s="3">
        <v>787.56088848829904</v>
      </c>
    </row>
    <row r="1327" spans="1:12" ht="15" customHeight="1" x14ac:dyDescent="0.2">
      <c r="A1327" s="2">
        <v>44124</v>
      </c>
      <c r="B1327" s="3">
        <v>32.54</v>
      </c>
      <c r="C1327" s="1">
        <v>1288335</v>
      </c>
      <c r="D1327" s="3">
        <v>0.24000000000000199</v>
      </c>
      <c r="E1327" s="3">
        <v>0.74303405572755299</v>
      </c>
      <c r="F1327" s="3">
        <v>0.74303944295508395</v>
      </c>
      <c r="G1327" s="3">
        <v>37.910183000000004</v>
      </c>
      <c r="H1327" s="3">
        <v>956.43942562744098</v>
      </c>
      <c r="I1327" s="3">
        <v>32.686</v>
      </c>
      <c r="J1327" s="3">
        <v>32.99</v>
      </c>
      <c r="K1327" s="3">
        <v>31.99</v>
      </c>
      <c r="L1327" s="3">
        <v>806.78905216355497</v>
      </c>
    </row>
    <row r="1328" spans="1:12" ht="15" customHeight="1" x14ac:dyDescent="0.2">
      <c r="A1328" s="2">
        <v>44123</v>
      </c>
      <c r="B1328" s="3">
        <v>32.299999999999997</v>
      </c>
      <c r="C1328" s="1">
        <v>2801081</v>
      </c>
      <c r="D1328" s="3">
        <v>1.8199999999999901</v>
      </c>
      <c r="E1328" s="3">
        <v>5.9711286089238804</v>
      </c>
      <c r="F1328" s="3">
        <v>5.9711302202307204</v>
      </c>
      <c r="G1328" s="3">
        <v>37.630572999999998</v>
      </c>
      <c r="H1328" s="3">
        <v>948.64756063434197</v>
      </c>
      <c r="I1328" s="3">
        <v>30.97</v>
      </c>
      <c r="J1328" s="3">
        <v>33.49</v>
      </c>
      <c r="K1328" s="3">
        <v>30.774999999999999</v>
      </c>
      <c r="L1328" s="3">
        <v>800.10099523303097</v>
      </c>
    </row>
    <row r="1329" spans="1:12" ht="15" customHeight="1" x14ac:dyDescent="0.2">
      <c r="A1329" s="2">
        <v>44120</v>
      </c>
      <c r="B1329" s="3">
        <v>30.48</v>
      </c>
      <c r="C1329" s="1">
        <v>683753</v>
      </c>
      <c r="D1329" s="3">
        <v>-0.37000000000000099</v>
      </c>
      <c r="E1329" s="3">
        <v>-1.1993517017828199</v>
      </c>
      <c r="F1329" s="3">
        <v>-1.19935916578589</v>
      </c>
      <c r="G1329" s="3">
        <v>35.510212000000003</v>
      </c>
      <c r="H1329" s="3">
        <v>889.55966446241302</v>
      </c>
      <c r="I1329" s="3">
        <v>31.08</v>
      </c>
      <c r="J1329" s="3">
        <v>31.17</v>
      </c>
      <c r="K1329" s="3">
        <v>30.31</v>
      </c>
      <c r="L1329" s="3">
        <v>749.38323017655705</v>
      </c>
    </row>
    <row r="1330" spans="1:12" ht="15" customHeight="1" x14ac:dyDescent="0.2">
      <c r="A1330" s="2">
        <v>44119</v>
      </c>
      <c r="B1330" s="3">
        <v>30.85</v>
      </c>
      <c r="C1330" s="1">
        <v>1697227</v>
      </c>
      <c r="D1330" s="3">
        <v>0.72000000000000197</v>
      </c>
      <c r="E1330" s="3">
        <v>2.3896448722203698</v>
      </c>
      <c r="F1330" s="3">
        <v>2.38965371362969</v>
      </c>
      <c r="G1330" s="3">
        <v>35.941276999999999</v>
      </c>
      <c r="H1330" s="3">
        <v>901.57211138223101</v>
      </c>
      <c r="I1330" s="3">
        <v>29.3</v>
      </c>
      <c r="J1330" s="3">
        <v>31.17</v>
      </c>
      <c r="K1330" s="3">
        <v>29.25</v>
      </c>
      <c r="L1330" s="3">
        <v>759.69398461111496</v>
      </c>
    </row>
    <row r="1331" spans="1:12" ht="15" customHeight="1" x14ac:dyDescent="0.2">
      <c r="A1331" s="2">
        <v>44118</v>
      </c>
      <c r="B1331" s="3">
        <v>30.13</v>
      </c>
      <c r="C1331" s="1">
        <v>980577</v>
      </c>
      <c r="D1331" s="3">
        <v>0.39</v>
      </c>
      <c r="E1331" s="3">
        <v>1.3113651647612601</v>
      </c>
      <c r="F1331" s="3">
        <v>1.31135655673948</v>
      </c>
      <c r="G1331" s="3">
        <v>35.102449999999997</v>
      </c>
      <c r="H1331" s="3">
        <v>878.19660000364502</v>
      </c>
      <c r="I1331" s="3">
        <v>29.8</v>
      </c>
      <c r="J1331" s="3">
        <v>30.24</v>
      </c>
      <c r="K1331" s="3">
        <v>29.71</v>
      </c>
      <c r="L1331" s="3">
        <v>739.62981381954296</v>
      </c>
    </row>
    <row r="1332" spans="1:12" ht="15" customHeight="1" x14ac:dyDescent="0.2">
      <c r="A1332" s="2">
        <v>44117</v>
      </c>
      <c r="B1332" s="3">
        <v>29.74</v>
      </c>
      <c r="C1332" s="1">
        <v>1401442</v>
      </c>
      <c r="D1332" s="3">
        <v>-0.47000000000000203</v>
      </c>
      <c r="E1332" s="3">
        <v>-1.5557762330354199</v>
      </c>
      <c r="F1332" s="3">
        <v>-1.55576603610013</v>
      </c>
      <c r="G1332" s="3">
        <v>34.648090000000003</v>
      </c>
      <c r="H1332" s="3">
        <v>865.53499355800795</v>
      </c>
      <c r="I1332" s="3">
        <v>29.916</v>
      </c>
      <c r="J1332" s="3">
        <v>30</v>
      </c>
      <c r="K1332" s="3">
        <v>29.21</v>
      </c>
      <c r="L1332" s="3">
        <v>728.76172130744101</v>
      </c>
    </row>
    <row r="1333" spans="1:12" ht="15" customHeight="1" x14ac:dyDescent="0.2">
      <c r="A1333" s="2">
        <v>44116</v>
      </c>
      <c r="B1333" s="3">
        <v>30.21</v>
      </c>
      <c r="C1333" s="1">
        <v>1605818</v>
      </c>
      <c r="D1333" s="3">
        <v>-1.46</v>
      </c>
      <c r="E1333" s="3">
        <v>-4.6100410483107002</v>
      </c>
      <c r="F1333" s="3">
        <v>-4.6100477054757496</v>
      </c>
      <c r="G1333" s="3">
        <v>35.195652000000003</v>
      </c>
      <c r="H1333" s="3">
        <v>880.79385117880599</v>
      </c>
      <c r="I1333" s="3">
        <v>31.85</v>
      </c>
      <c r="J1333" s="3">
        <v>31.85</v>
      </c>
      <c r="K1333" s="3">
        <v>29.95</v>
      </c>
      <c r="L1333" s="3">
        <v>741.85916612971698</v>
      </c>
    </row>
    <row r="1334" spans="1:12" ht="15" customHeight="1" x14ac:dyDescent="0.2">
      <c r="A1334" s="2">
        <v>44113</v>
      </c>
      <c r="B1334" s="3">
        <v>31.67</v>
      </c>
      <c r="C1334" s="1">
        <v>1511526</v>
      </c>
      <c r="D1334" s="3">
        <v>0.55000000000000004</v>
      </c>
      <c r="E1334" s="3">
        <v>1.76735218508998</v>
      </c>
      <c r="F1334" s="3">
        <v>1.7673485725167</v>
      </c>
      <c r="G1334" s="3">
        <v>36.896602999999999</v>
      </c>
      <c r="H1334" s="3">
        <v>928.19408919560499</v>
      </c>
      <c r="I1334" s="3">
        <v>31.5</v>
      </c>
      <c r="J1334" s="3">
        <v>32.1</v>
      </c>
      <c r="K1334" s="3">
        <v>31.45</v>
      </c>
      <c r="L1334" s="3">
        <v>782.54484579040604</v>
      </c>
    </row>
    <row r="1335" spans="1:12" ht="15" customHeight="1" x14ac:dyDescent="0.2">
      <c r="A1335" s="2">
        <v>44112</v>
      </c>
      <c r="B1335" s="3">
        <v>31.12</v>
      </c>
      <c r="C1335" s="1">
        <v>1015506</v>
      </c>
      <c r="D1335" s="3">
        <v>1.33</v>
      </c>
      <c r="E1335" s="3">
        <v>4.4645854313528099</v>
      </c>
      <c r="F1335" s="3">
        <v>4.4645906194660903</v>
      </c>
      <c r="G1335" s="3">
        <v>36.255836000000002</v>
      </c>
      <c r="H1335" s="3">
        <v>910.33789679893403</v>
      </c>
      <c r="I1335" s="3">
        <v>30.24</v>
      </c>
      <c r="J1335" s="3">
        <v>31.25</v>
      </c>
      <c r="K1335" s="3">
        <v>29.58</v>
      </c>
      <c r="L1335" s="3">
        <v>767.218048657954</v>
      </c>
    </row>
    <row r="1336" spans="1:12" ht="15" customHeight="1" x14ac:dyDescent="0.2">
      <c r="A1336" s="2">
        <v>44111</v>
      </c>
      <c r="B1336" s="3">
        <v>29.79</v>
      </c>
      <c r="C1336" s="1">
        <v>1177670</v>
      </c>
      <c r="D1336" s="3">
        <v>0.55000000000000004</v>
      </c>
      <c r="E1336" s="3">
        <v>1.8809849521203901</v>
      </c>
      <c r="F1336" s="3">
        <v>1.88099010232325</v>
      </c>
      <c r="G1336" s="3">
        <v>34.706339999999997</v>
      </c>
      <c r="H1336" s="3">
        <v>867.15824070885299</v>
      </c>
      <c r="I1336" s="3">
        <v>29.71</v>
      </c>
      <c r="J1336" s="3">
        <v>30.1</v>
      </c>
      <c r="K1336" s="3">
        <v>29.02</v>
      </c>
      <c r="L1336" s="3">
        <v>730.15506650129998</v>
      </c>
    </row>
    <row r="1337" spans="1:12" ht="15" customHeight="1" x14ac:dyDescent="0.2">
      <c r="A1337" s="2">
        <v>44110</v>
      </c>
      <c r="B1337" s="3">
        <v>29.24</v>
      </c>
      <c r="C1337" s="1">
        <v>1449536</v>
      </c>
      <c r="D1337" s="3">
        <v>-0.28000000000000103</v>
      </c>
      <c r="E1337" s="3">
        <v>-0.94850948509485</v>
      </c>
      <c r="F1337" s="3">
        <v>-0.94851153386069598</v>
      </c>
      <c r="G1337" s="3">
        <v>34.065570000000001</v>
      </c>
      <c r="H1337" s="3">
        <v>849.30196471146996</v>
      </c>
      <c r="I1337" s="3">
        <v>29.5</v>
      </c>
      <c r="J1337" s="3">
        <v>30.73</v>
      </c>
      <c r="K1337" s="3">
        <v>29.19</v>
      </c>
      <c r="L1337" s="3">
        <v>714.82826936884896</v>
      </c>
    </row>
    <row r="1338" spans="1:12" ht="15" customHeight="1" x14ac:dyDescent="0.2">
      <c r="A1338" s="2">
        <v>44109</v>
      </c>
      <c r="B1338" s="3">
        <v>29.52</v>
      </c>
      <c r="C1338" s="1">
        <v>1143967</v>
      </c>
      <c r="D1338" s="3">
        <v>0.23</v>
      </c>
      <c r="E1338" s="3">
        <v>0.78525093888699404</v>
      </c>
      <c r="F1338" s="3">
        <v>0.78524315489252305</v>
      </c>
      <c r="G1338" s="3">
        <v>34.391779999999997</v>
      </c>
      <c r="H1338" s="3">
        <v>858.39242742524596</v>
      </c>
      <c r="I1338" s="3">
        <v>29.6</v>
      </c>
      <c r="J1338" s="3">
        <v>29.93</v>
      </c>
      <c r="K1338" s="3">
        <v>29.03</v>
      </c>
      <c r="L1338" s="3">
        <v>722.63100245446105</v>
      </c>
    </row>
    <row r="1339" spans="1:12" ht="15" customHeight="1" x14ac:dyDescent="0.2">
      <c r="A1339" s="2">
        <v>44106</v>
      </c>
      <c r="B1339" s="3">
        <v>29.29</v>
      </c>
      <c r="C1339" s="1">
        <v>1300479</v>
      </c>
      <c r="D1339" s="3">
        <v>0.68999999999999695</v>
      </c>
      <c r="E1339" s="3">
        <v>2.4125874125874001</v>
      </c>
      <c r="F1339" s="3">
        <v>2.4125936563530201</v>
      </c>
      <c r="G1339" s="3">
        <v>34.123824999999997</v>
      </c>
      <c r="H1339" s="3">
        <v>850.925351196836</v>
      </c>
      <c r="I1339" s="3">
        <v>27.63</v>
      </c>
      <c r="J1339" s="3">
        <v>29.43</v>
      </c>
      <c r="K1339" s="3">
        <v>27.33</v>
      </c>
      <c r="L1339" s="3">
        <v>716.22161456270896</v>
      </c>
    </row>
    <row r="1340" spans="1:12" ht="15" customHeight="1" x14ac:dyDescent="0.2">
      <c r="A1340" s="2">
        <v>44105</v>
      </c>
      <c r="B1340" s="3">
        <v>28.6</v>
      </c>
      <c r="C1340" s="1">
        <v>1184406</v>
      </c>
      <c r="D1340" s="3">
        <v>0.86000000000000298</v>
      </c>
      <c r="E1340" s="3">
        <v>3.1002162941600599</v>
      </c>
      <c r="F1340" s="3">
        <v>3.1002081067827501</v>
      </c>
      <c r="G1340" s="3">
        <v>33.319949999999999</v>
      </c>
      <c r="H1340" s="3">
        <v>828.52384384256504</v>
      </c>
      <c r="I1340" s="3">
        <v>28</v>
      </c>
      <c r="J1340" s="3">
        <v>28.64</v>
      </c>
      <c r="K1340" s="3">
        <v>27.52</v>
      </c>
      <c r="L1340" s="3">
        <v>696.99345088745201</v>
      </c>
    </row>
    <row r="1341" spans="1:12" ht="15" customHeight="1" x14ac:dyDescent="0.2">
      <c r="A1341" s="2">
        <v>44104</v>
      </c>
      <c r="B1341" s="3">
        <v>27.74</v>
      </c>
      <c r="C1341" s="1">
        <v>1624036</v>
      </c>
      <c r="D1341" s="3">
        <v>0.68999999999999695</v>
      </c>
      <c r="E1341" s="3">
        <v>2.5508317929759698</v>
      </c>
      <c r="F1341" s="3">
        <v>2.5508383551781701</v>
      </c>
      <c r="G1341" s="3">
        <v>32.318024000000001</v>
      </c>
      <c r="H1341" s="3">
        <v>800.60326830851398</v>
      </c>
      <c r="I1341" s="3">
        <v>27.31</v>
      </c>
      <c r="J1341" s="3">
        <v>28.25</v>
      </c>
      <c r="K1341" s="3">
        <v>27.31</v>
      </c>
      <c r="L1341" s="3">
        <v>673.02791355307397</v>
      </c>
    </row>
    <row r="1342" spans="1:12" ht="15" customHeight="1" x14ac:dyDescent="0.2">
      <c r="A1342" s="2">
        <v>44103</v>
      </c>
      <c r="B1342" s="3">
        <v>27.05</v>
      </c>
      <c r="C1342" s="1">
        <v>1467422</v>
      </c>
      <c r="D1342" s="3">
        <v>-1.0599999999999901</v>
      </c>
      <c r="E1342" s="3">
        <v>-3.7709000355745199</v>
      </c>
      <c r="F1342" s="3">
        <v>-3.7708993631699799</v>
      </c>
      <c r="G1342" s="3">
        <v>31.514149</v>
      </c>
      <c r="H1342" s="3">
        <v>778.20176095424301</v>
      </c>
      <c r="I1342" s="3">
        <v>28.11</v>
      </c>
      <c r="J1342" s="3">
        <v>28.14</v>
      </c>
      <c r="K1342" s="3">
        <v>26.52</v>
      </c>
      <c r="L1342" s="3">
        <v>653.79974987781702</v>
      </c>
    </row>
    <row r="1343" spans="1:12" ht="15" customHeight="1" x14ac:dyDescent="0.2">
      <c r="A1343" s="2">
        <v>44102</v>
      </c>
      <c r="B1343" s="3">
        <v>28.11</v>
      </c>
      <c r="C1343" s="1">
        <v>2143953</v>
      </c>
      <c r="D1343" s="3">
        <v>1.3499999999999901</v>
      </c>
      <c r="E1343" s="3">
        <v>5.0448430493273504</v>
      </c>
      <c r="F1343" s="3">
        <v>5.0448401653949198</v>
      </c>
      <c r="G1343" s="3">
        <v>32.749084000000003</v>
      </c>
      <c r="H1343" s="3">
        <v>812.61557589381198</v>
      </c>
      <c r="I1343" s="3">
        <v>27.18</v>
      </c>
      <c r="J1343" s="3">
        <v>28.31</v>
      </c>
      <c r="K1343" s="3">
        <v>26.6</v>
      </c>
      <c r="L1343" s="3">
        <v>683.33866798763199</v>
      </c>
    </row>
    <row r="1344" spans="1:12" ht="15" customHeight="1" x14ac:dyDescent="0.2">
      <c r="A1344" s="2">
        <v>44099</v>
      </c>
      <c r="B1344" s="3">
        <v>26.76</v>
      </c>
      <c r="C1344" s="1">
        <v>2608851</v>
      </c>
      <c r="D1344" s="3">
        <v>-1.50999999999999</v>
      </c>
      <c r="E1344" s="3">
        <v>-5.3413512557481297</v>
      </c>
      <c r="F1344" s="3">
        <v>-5.3413506220797098</v>
      </c>
      <c r="G1344" s="3">
        <v>31.176290000000002</v>
      </c>
      <c r="H1344" s="3">
        <v>768.78667667720094</v>
      </c>
      <c r="I1344" s="3">
        <v>28.21</v>
      </c>
      <c r="J1344" s="3">
        <v>28.24</v>
      </c>
      <c r="K1344" s="3">
        <v>26.47</v>
      </c>
      <c r="L1344" s="3">
        <v>645.71834775343405</v>
      </c>
    </row>
    <row r="1345" spans="1:12" ht="15" customHeight="1" x14ac:dyDescent="0.2">
      <c r="A1345" s="2">
        <v>44098</v>
      </c>
      <c r="B1345" s="3">
        <v>28.27</v>
      </c>
      <c r="C1345" s="1">
        <v>1457755</v>
      </c>
      <c r="D1345" s="3">
        <v>0.35999999999999899</v>
      </c>
      <c r="E1345" s="3">
        <v>1.2898602651379301</v>
      </c>
      <c r="F1345" s="3">
        <v>1.2898541275577899</v>
      </c>
      <c r="G1345" s="3">
        <v>32.935490000000001</v>
      </c>
      <c r="H1345" s="3">
        <v>817.810133977943</v>
      </c>
      <c r="I1345" s="3">
        <v>27.86</v>
      </c>
      <c r="J1345" s="3">
        <v>29.035</v>
      </c>
      <c r="K1345" s="3">
        <v>27.35</v>
      </c>
      <c r="L1345" s="3">
        <v>687.79737260798095</v>
      </c>
    </row>
    <row r="1346" spans="1:12" ht="15" customHeight="1" x14ac:dyDescent="0.2">
      <c r="A1346" s="2">
        <v>44097</v>
      </c>
      <c r="B1346" s="3">
        <v>27.91</v>
      </c>
      <c r="C1346" s="1">
        <v>1026961</v>
      </c>
      <c r="D1346" s="3">
        <v>-0.48</v>
      </c>
      <c r="E1346" s="3">
        <v>-1.6907361747094001</v>
      </c>
      <c r="F1346" s="3">
        <v>-1.69073024717482</v>
      </c>
      <c r="G1346" s="3">
        <v>32.516080000000002</v>
      </c>
      <c r="H1346" s="3">
        <v>806.12247582281304</v>
      </c>
      <c r="I1346" s="3">
        <v>28.62</v>
      </c>
      <c r="J1346" s="3">
        <v>29.16</v>
      </c>
      <c r="K1346" s="3">
        <v>27.89</v>
      </c>
      <c r="L1346" s="3">
        <v>677.76528721219495</v>
      </c>
    </row>
    <row r="1347" spans="1:12" ht="15" customHeight="1" x14ac:dyDescent="0.2">
      <c r="A1347" s="2">
        <v>44096</v>
      </c>
      <c r="B1347" s="3">
        <v>28.39</v>
      </c>
      <c r="C1347" s="1">
        <v>1143051</v>
      </c>
      <c r="D1347" s="3">
        <v>0.53000000000000103</v>
      </c>
      <c r="E1347" s="3">
        <v>1.9023689877961201</v>
      </c>
      <c r="F1347" s="3">
        <v>1.90235761293962</v>
      </c>
      <c r="G1347" s="3">
        <v>33.075294</v>
      </c>
      <c r="H1347" s="3">
        <v>821.70603860758797</v>
      </c>
      <c r="I1347" s="3">
        <v>27.85</v>
      </c>
      <c r="J1347" s="3">
        <v>28.425000000000001</v>
      </c>
      <c r="K1347" s="3">
        <v>27.29</v>
      </c>
      <c r="L1347" s="3">
        <v>691.14140107324295</v>
      </c>
    </row>
    <row r="1348" spans="1:12" ht="15" customHeight="1" x14ac:dyDescent="0.2">
      <c r="A1348" s="2">
        <v>44095</v>
      </c>
      <c r="B1348" s="3">
        <v>27.86</v>
      </c>
      <c r="C1348" s="1">
        <v>1244361</v>
      </c>
      <c r="D1348" s="3">
        <v>-1.46</v>
      </c>
      <c r="E1348" s="3">
        <v>-4.9795361527967197</v>
      </c>
      <c r="F1348" s="3">
        <v>-4.9795257587545096</v>
      </c>
      <c r="G1348" s="3">
        <v>32.457830000000001</v>
      </c>
      <c r="H1348" s="3">
        <v>804.49922867196699</v>
      </c>
      <c r="I1348" s="3">
        <v>28.18</v>
      </c>
      <c r="J1348" s="3">
        <v>28.4</v>
      </c>
      <c r="K1348" s="3">
        <v>26.76</v>
      </c>
      <c r="L1348" s="3">
        <v>676.37194201833597</v>
      </c>
    </row>
    <row r="1349" spans="1:12" ht="15" customHeight="1" x14ac:dyDescent="0.2">
      <c r="A1349" s="2">
        <v>44092</v>
      </c>
      <c r="B1349" s="3">
        <v>29.32</v>
      </c>
      <c r="C1349" s="1">
        <v>1634668</v>
      </c>
      <c r="D1349" s="3">
        <v>3.9999999999999099E-2</v>
      </c>
      <c r="E1349" s="3">
        <v>0.13661202185792901</v>
      </c>
      <c r="F1349" s="3">
        <v>0.13660811718982899</v>
      </c>
      <c r="G1349" s="3">
        <v>34.158774999999999</v>
      </c>
      <c r="H1349" s="3">
        <v>851.899299487343</v>
      </c>
      <c r="I1349" s="3">
        <v>29.56</v>
      </c>
      <c r="J1349" s="3">
        <v>30.43</v>
      </c>
      <c r="K1349" s="3">
        <v>29.04</v>
      </c>
      <c r="L1349" s="3">
        <v>717.05762167902401</v>
      </c>
    </row>
    <row r="1350" spans="1:12" ht="15" customHeight="1" x14ac:dyDescent="0.2">
      <c r="A1350" s="2">
        <v>44091</v>
      </c>
      <c r="B1350" s="3">
        <v>29.28</v>
      </c>
      <c r="C1350" s="1">
        <v>1526752</v>
      </c>
      <c r="D1350" s="3">
        <v>-1.71999999999999</v>
      </c>
      <c r="E1350" s="3">
        <v>-5.5483870967741797</v>
      </c>
      <c r="F1350" s="3">
        <v>-5.54838114820482</v>
      </c>
      <c r="G1350" s="3">
        <v>34.112175000000001</v>
      </c>
      <c r="H1350" s="3">
        <v>850.60070176666602</v>
      </c>
      <c r="I1350" s="3">
        <v>30.31</v>
      </c>
      <c r="J1350" s="3">
        <v>30.57</v>
      </c>
      <c r="K1350" s="3">
        <v>28.86</v>
      </c>
      <c r="L1350" s="3">
        <v>715.94294552393706</v>
      </c>
    </row>
    <row r="1351" spans="1:12" ht="15" customHeight="1" x14ac:dyDescent="0.2">
      <c r="A1351" s="2">
        <v>44090</v>
      </c>
      <c r="B1351" s="3">
        <v>31</v>
      </c>
      <c r="C1351" s="1">
        <v>1033137</v>
      </c>
      <c r="D1351" s="3"/>
      <c r="E1351" s="3"/>
      <c r="F1351" s="3"/>
      <c r="G1351" s="3">
        <v>36.116030000000002</v>
      </c>
      <c r="H1351" s="3">
        <v>906.44193643547999</v>
      </c>
      <c r="I1351" s="3">
        <v>31</v>
      </c>
      <c r="J1351" s="3">
        <v>31.49</v>
      </c>
      <c r="K1351" s="3">
        <v>30.71</v>
      </c>
      <c r="L1351" s="3">
        <v>763.87402019269302</v>
      </c>
    </row>
    <row r="1352" spans="1:12" ht="15" customHeight="1" x14ac:dyDescent="0.2">
      <c r="A1352" s="2">
        <v>44089</v>
      </c>
      <c r="B1352" s="3">
        <v>31</v>
      </c>
      <c r="C1352" s="1">
        <v>1366038</v>
      </c>
      <c r="D1352" s="3">
        <v>0.32999999999999802</v>
      </c>
      <c r="E1352" s="3">
        <v>1.07597000326051</v>
      </c>
      <c r="F1352" s="3">
        <v>1.0759672748776601</v>
      </c>
      <c r="G1352" s="3">
        <v>36.116030000000002</v>
      </c>
      <c r="H1352" s="3">
        <v>906.44193643547999</v>
      </c>
      <c r="I1352" s="3">
        <v>30.67</v>
      </c>
      <c r="J1352" s="3">
        <v>31.05</v>
      </c>
      <c r="K1352" s="3">
        <v>30.01</v>
      </c>
      <c r="L1352" s="3">
        <v>763.87402019269302</v>
      </c>
    </row>
    <row r="1353" spans="1:12" ht="15" customHeight="1" x14ac:dyDescent="0.2">
      <c r="A1353" s="2">
        <v>44088</v>
      </c>
      <c r="B1353" s="3">
        <v>30.67</v>
      </c>
      <c r="C1353" s="1">
        <v>1947382</v>
      </c>
      <c r="D1353" s="3">
        <v>2.46</v>
      </c>
      <c r="E1353" s="3">
        <v>8.7203119461183896</v>
      </c>
      <c r="F1353" s="3">
        <v>8.7203059491705393</v>
      </c>
      <c r="G1353" s="3">
        <v>35.731569999999998</v>
      </c>
      <c r="H1353" s="3">
        <v>895.72822657085806</v>
      </c>
      <c r="I1353" s="3">
        <v>28.55</v>
      </c>
      <c r="J1353" s="3">
        <v>30.76</v>
      </c>
      <c r="K1353" s="3">
        <v>28.53</v>
      </c>
      <c r="L1353" s="3">
        <v>754.67794191322196</v>
      </c>
    </row>
    <row r="1354" spans="1:12" ht="15" customHeight="1" x14ac:dyDescent="0.2">
      <c r="A1354" s="2">
        <v>44085</v>
      </c>
      <c r="B1354" s="3">
        <v>28.21</v>
      </c>
      <c r="C1354" s="1">
        <v>1831738</v>
      </c>
      <c r="D1354" s="3">
        <v>-1.43999999999999</v>
      </c>
      <c r="E1354" s="3">
        <v>-4.8566610455311796</v>
      </c>
      <c r="F1354" s="3">
        <v>-4.8566555837443897</v>
      </c>
      <c r="G1354" s="3">
        <v>32.865589999999997</v>
      </c>
      <c r="H1354" s="3">
        <v>815.86223739692798</v>
      </c>
      <c r="I1354" s="3">
        <v>29.99</v>
      </c>
      <c r="J1354" s="3">
        <v>29.99</v>
      </c>
      <c r="K1354" s="3">
        <v>27.67</v>
      </c>
      <c r="L1354" s="3">
        <v>686.12535837534995</v>
      </c>
    </row>
    <row r="1355" spans="1:12" ht="15" customHeight="1" x14ac:dyDescent="0.2">
      <c r="A1355" s="2">
        <v>44084</v>
      </c>
      <c r="B1355" s="3">
        <v>29.65</v>
      </c>
      <c r="C1355" s="1">
        <v>1484653</v>
      </c>
      <c r="D1355" s="3">
        <v>-1.39</v>
      </c>
      <c r="E1355" s="3">
        <v>-4.4780927835051596</v>
      </c>
      <c r="F1355" s="3">
        <v>-4.4780921919621299</v>
      </c>
      <c r="G1355" s="3">
        <v>34.543236</v>
      </c>
      <c r="H1355" s="3">
        <v>862.61303721886895</v>
      </c>
      <c r="I1355" s="3">
        <v>31.13</v>
      </c>
      <c r="J1355" s="3">
        <v>31.545000000000002</v>
      </c>
      <c r="K1355" s="3">
        <v>29.59</v>
      </c>
      <c r="L1355" s="3">
        <v>726.25369995849496</v>
      </c>
    </row>
    <row r="1356" spans="1:12" ht="15" customHeight="1" x14ac:dyDescent="0.2">
      <c r="A1356" s="2">
        <v>44083</v>
      </c>
      <c r="B1356" s="3">
        <v>31.04</v>
      </c>
      <c r="C1356" s="1">
        <v>1453493</v>
      </c>
      <c r="D1356" s="3">
        <v>-8.9999999999999802E-2</v>
      </c>
      <c r="E1356" s="3">
        <v>-0.28911018310311398</v>
      </c>
      <c r="F1356" s="3">
        <v>-0.28910470572219799</v>
      </c>
      <c r="G1356" s="3">
        <v>36.162632000000002</v>
      </c>
      <c r="H1356" s="3">
        <v>907.74058988996501</v>
      </c>
      <c r="I1356" s="3">
        <v>31.15</v>
      </c>
      <c r="J1356" s="3">
        <v>31.35</v>
      </c>
      <c r="K1356" s="3">
        <v>30.027000000000001</v>
      </c>
      <c r="L1356" s="3">
        <v>764.98869634777998</v>
      </c>
    </row>
    <row r="1357" spans="1:12" ht="15" customHeight="1" x14ac:dyDescent="0.2">
      <c r="A1357" s="2">
        <v>44082</v>
      </c>
      <c r="B1357" s="3">
        <v>31.13</v>
      </c>
      <c r="C1357" s="1">
        <v>1491472</v>
      </c>
      <c r="D1357" s="3">
        <v>-7.0000000000000201E-2</v>
      </c>
      <c r="E1357" s="3">
        <v>-0.22435897435897301</v>
      </c>
      <c r="F1357" s="3">
        <v>-0.22436357805023499</v>
      </c>
      <c r="G1357" s="3">
        <v>36.267482999999999</v>
      </c>
      <c r="H1357" s="3">
        <v>910.66246262839104</v>
      </c>
      <c r="I1357" s="3">
        <v>30.7</v>
      </c>
      <c r="J1357" s="3">
        <v>31.655000000000001</v>
      </c>
      <c r="K1357" s="3">
        <v>30.58</v>
      </c>
      <c r="L1357" s="3">
        <v>767.49671769672602</v>
      </c>
    </row>
    <row r="1358" spans="1:12" ht="15" customHeight="1" x14ac:dyDescent="0.2">
      <c r="A1358" s="2">
        <v>44078</v>
      </c>
      <c r="B1358" s="3">
        <v>31.2</v>
      </c>
      <c r="C1358" s="1">
        <v>1176411</v>
      </c>
      <c r="D1358" s="3">
        <v>-0.21</v>
      </c>
      <c r="E1358" s="3">
        <v>-0.66857688634193102</v>
      </c>
      <c r="F1358" s="3">
        <v>-0.66857422671169298</v>
      </c>
      <c r="G1358" s="3">
        <v>36.349037000000003</v>
      </c>
      <c r="H1358" s="3">
        <v>912.93512010719098</v>
      </c>
      <c r="I1358" s="3">
        <v>32.06</v>
      </c>
      <c r="J1358" s="3">
        <v>32.35</v>
      </c>
      <c r="K1358" s="3">
        <v>30.72</v>
      </c>
      <c r="L1358" s="3">
        <v>769.44740096812905</v>
      </c>
    </row>
    <row r="1359" spans="1:12" ht="15" customHeight="1" x14ac:dyDescent="0.2">
      <c r="A1359" s="2">
        <v>44077</v>
      </c>
      <c r="B1359" s="3">
        <v>31.41</v>
      </c>
      <c r="C1359" s="1">
        <v>1467816</v>
      </c>
      <c r="D1359" s="3">
        <v>0.12000000000000099</v>
      </c>
      <c r="E1359" s="3">
        <v>0.38350910834132801</v>
      </c>
      <c r="F1359" s="3">
        <v>0.38350639671102998</v>
      </c>
      <c r="G1359" s="3">
        <v>36.593693000000002</v>
      </c>
      <c r="H1359" s="3">
        <v>919.75292534216806</v>
      </c>
      <c r="I1359" s="3">
        <v>31.48</v>
      </c>
      <c r="J1359" s="3">
        <v>32.634999999999998</v>
      </c>
      <c r="K1359" s="3">
        <v>30.76</v>
      </c>
      <c r="L1359" s="3">
        <v>775.299450782338</v>
      </c>
    </row>
    <row r="1360" spans="1:12" ht="15" customHeight="1" x14ac:dyDescent="0.2">
      <c r="A1360" s="2">
        <v>44076</v>
      </c>
      <c r="B1360" s="3">
        <v>31.29</v>
      </c>
      <c r="C1360" s="1">
        <v>1328903</v>
      </c>
      <c r="D1360" s="3">
        <v>0.53999999999999904</v>
      </c>
      <c r="E1360" s="3">
        <v>1.75609756097561</v>
      </c>
      <c r="F1360" s="3">
        <v>1.75610338880054</v>
      </c>
      <c r="G1360" s="3">
        <v>36.453890000000001</v>
      </c>
      <c r="H1360" s="3">
        <v>915.85704857942596</v>
      </c>
      <c r="I1360" s="3">
        <v>30.77</v>
      </c>
      <c r="J1360" s="3">
        <v>31.73</v>
      </c>
      <c r="K1360" s="3">
        <v>30.65</v>
      </c>
      <c r="L1360" s="3">
        <v>771.955422317076</v>
      </c>
    </row>
    <row r="1361" spans="1:12" ht="15" customHeight="1" x14ac:dyDescent="0.2">
      <c r="A1361" s="2">
        <v>44075</v>
      </c>
      <c r="B1361" s="3">
        <v>30.75</v>
      </c>
      <c r="C1361" s="1">
        <v>1354984</v>
      </c>
      <c r="D1361" s="3">
        <v>1.21999999999999</v>
      </c>
      <c r="E1361" s="3">
        <v>4.1313918049441201</v>
      </c>
      <c r="F1361" s="3">
        <v>4.13137525366289</v>
      </c>
      <c r="G1361" s="3">
        <v>35.824770000000001</v>
      </c>
      <c r="H1361" s="3">
        <v>898.32542201221202</v>
      </c>
      <c r="I1361" s="3">
        <v>29.22</v>
      </c>
      <c r="J1361" s="3">
        <v>30.76</v>
      </c>
      <c r="K1361" s="3">
        <v>29.03</v>
      </c>
      <c r="L1361" s="3">
        <v>756.907294223397</v>
      </c>
    </row>
    <row r="1362" spans="1:12" ht="15" customHeight="1" x14ac:dyDescent="0.2">
      <c r="A1362" s="2">
        <v>44074</v>
      </c>
      <c r="B1362" s="3">
        <v>29.53</v>
      </c>
      <c r="C1362" s="1">
        <v>1869500</v>
      </c>
      <c r="D1362" s="3">
        <v>-1.25999999999999</v>
      </c>
      <c r="E1362" s="3">
        <v>-4.0922377395258103</v>
      </c>
      <c r="F1362" s="3">
        <v>-4.0922349898147097</v>
      </c>
      <c r="G1362" s="3">
        <v>34.403435000000002</v>
      </c>
      <c r="H1362" s="3">
        <v>858.71721618993502</v>
      </c>
      <c r="I1362" s="3">
        <v>30.64</v>
      </c>
      <c r="J1362" s="3">
        <v>30.69</v>
      </c>
      <c r="K1362" s="3">
        <v>29.42</v>
      </c>
      <c r="L1362" s="3">
        <v>722.90967149323296</v>
      </c>
    </row>
    <row r="1363" spans="1:12" ht="15" customHeight="1" x14ac:dyDescent="0.2">
      <c r="A1363" s="2">
        <v>44071</v>
      </c>
      <c r="B1363" s="3">
        <v>30.79</v>
      </c>
      <c r="C1363" s="1">
        <v>3150294</v>
      </c>
      <c r="D1363" s="3">
        <v>2.3699999999999899</v>
      </c>
      <c r="E1363" s="3">
        <v>8.3391977480647306</v>
      </c>
      <c r="F1363" s="3">
        <v>8.3392043761681496</v>
      </c>
      <c r="G1363" s="3">
        <v>35.871375999999998</v>
      </c>
      <c r="H1363" s="3">
        <v>899.62418693431198</v>
      </c>
      <c r="I1363" s="3">
        <v>28.81</v>
      </c>
      <c r="J1363" s="3">
        <v>31.569800000000001</v>
      </c>
      <c r="K1363" s="3">
        <v>28.77</v>
      </c>
      <c r="L1363" s="3">
        <v>758.02197037848396</v>
      </c>
    </row>
    <row r="1364" spans="1:12" ht="15" customHeight="1" x14ac:dyDescent="0.2">
      <c r="A1364" s="2">
        <v>44070</v>
      </c>
      <c r="B1364" s="3">
        <v>28.42</v>
      </c>
      <c r="C1364" s="1">
        <v>1686066</v>
      </c>
      <c r="D1364" s="3">
        <v>1.33</v>
      </c>
      <c r="E1364" s="3">
        <v>4.90956072351422</v>
      </c>
      <c r="F1364" s="3">
        <v>4.90955997846818</v>
      </c>
      <c r="G1364" s="3">
        <v>33.110244999999999</v>
      </c>
      <c r="H1364" s="3">
        <v>822.68001476500001</v>
      </c>
      <c r="I1364" s="3">
        <v>27.25</v>
      </c>
      <c r="J1364" s="3">
        <v>28.59</v>
      </c>
      <c r="K1364" s="3">
        <v>27.25</v>
      </c>
      <c r="L1364" s="3">
        <v>691.97740818955901</v>
      </c>
    </row>
    <row r="1365" spans="1:12" ht="15" customHeight="1" x14ac:dyDescent="0.2">
      <c r="A1365" s="2">
        <v>44069</v>
      </c>
      <c r="B1365" s="3">
        <v>27.09</v>
      </c>
      <c r="C1365" s="1">
        <v>1145280</v>
      </c>
      <c r="D1365" s="3">
        <v>-0.23999999999999799</v>
      </c>
      <c r="E1365" s="3">
        <v>-0.87815587266739603</v>
      </c>
      <c r="F1365" s="3">
        <v>-0.878155927827317</v>
      </c>
      <c r="G1365" s="3">
        <v>31.560751</v>
      </c>
      <c r="H1365" s="3">
        <v>779.50041440872701</v>
      </c>
      <c r="I1365" s="3">
        <v>27.4</v>
      </c>
      <c r="J1365" s="3">
        <v>27.66</v>
      </c>
      <c r="K1365" s="3">
        <v>26.86</v>
      </c>
      <c r="L1365" s="3">
        <v>654.91442603290398</v>
      </c>
    </row>
    <row r="1366" spans="1:12" ht="15" customHeight="1" x14ac:dyDescent="0.2">
      <c r="A1366" s="2">
        <v>44068</v>
      </c>
      <c r="B1366" s="3">
        <v>27.33</v>
      </c>
      <c r="C1366" s="1">
        <v>1462446</v>
      </c>
      <c r="D1366" s="3">
        <v>6.9999999999996704E-2</v>
      </c>
      <c r="E1366" s="3">
        <v>0.25678650036682299</v>
      </c>
      <c r="F1366" s="3">
        <v>0.25678862108355899</v>
      </c>
      <c r="G1366" s="3">
        <v>31.840358999999999</v>
      </c>
      <c r="H1366" s="3">
        <v>787.29222366801901</v>
      </c>
      <c r="I1366" s="3">
        <v>27.35</v>
      </c>
      <c r="J1366" s="3">
        <v>28.2</v>
      </c>
      <c r="K1366" s="3">
        <v>26.7</v>
      </c>
      <c r="L1366" s="3">
        <v>661.60248296342797</v>
      </c>
    </row>
    <row r="1367" spans="1:12" ht="15" customHeight="1" x14ac:dyDescent="0.2">
      <c r="A1367" s="2">
        <v>44067</v>
      </c>
      <c r="B1367" s="3">
        <v>27.26</v>
      </c>
      <c r="C1367" s="1">
        <v>1449420</v>
      </c>
      <c r="D1367" s="3">
        <v>1.22</v>
      </c>
      <c r="E1367" s="3">
        <v>4.6850998463901803</v>
      </c>
      <c r="F1367" s="3">
        <v>4.6850945070661298</v>
      </c>
      <c r="G1367" s="3">
        <v>31.758806</v>
      </c>
      <c r="H1367" s="3">
        <v>785.01959405612297</v>
      </c>
      <c r="I1367" s="3">
        <v>26.57</v>
      </c>
      <c r="J1367" s="3">
        <v>27.27</v>
      </c>
      <c r="K1367" s="3">
        <v>25.79</v>
      </c>
      <c r="L1367" s="3">
        <v>659.65179969202597</v>
      </c>
    </row>
    <row r="1368" spans="1:12" ht="15" customHeight="1" x14ac:dyDescent="0.2">
      <c r="A1368" s="2">
        <v>44064</v>
      </c>
      <c r="B1368" s="3">
        <v>26.04</v>
      </c>
      <c r="C1368" s="1">
        <v>959173</v>
      </c>
      <c r="D1368" s="3">
        <v>0.26999999999999902</v>
      </c>
      <c r="E1368" s="3">
        <v>1.0477299185098901</v>
      </c>
      <c r="F1368" s="3">
        <v>1.04773331909531</v>
      </c>
      <c r="G1368" s="3">
        <v>30.337467</v>
      </c>
      <c r="H1368" s="3">
        <v>745.41127676623</v>
      </c>
      <c r="I1368" s="3">
        <v>25.69</v>
      </c>
      <c r="J1368" s="3">
        <v>26.28</v>
      </c>
      <c r="K1368" s="3">
        <v>25.62</v>
      </c>
      <c r="L1368" s="3">
        <v>625.65417696186205</v>
      </c>
    </row>
    <row r="1369" spans="1:12" ht="15" customHeight="1" x14ac:dyDescent="0.2">
      <c r="A1369" s="2">
        <v>44063</v>
      </c>
      <c r="B1369" s="3">
        <v>25.77</v>
      </c>
      <c r="C1369" s="1">
        <v>1568818</v>
      </c>
      <c r="D1369" s="3">
        <v>0.19999999999999901</v>
      </c>
      <c r="E1369" s="3">
        <v>0.78216660148611095</v>
      </c>
      <c r="F1369" s="3">
        <v>0.78216778169781698</v>
      </c>
      <c r="G1369" s="3">
        <v>30.022907</v>
      </c>
      <c r="H1369" s="3">
        <v>736.64546348262297</v>
      </c>
      <c r="I1369" s="3">
        <v>25.2</v>
      </c>
      <c r="J1369" s="3">
        <v>25.9</v>
      </c>
      <c r="K1369" s="3">
        <v>24.86</v>
      </c>
      <c r="L1369" s="3">
        <v>618.13011291502198</v>
      </c>
    </row>
    <row r="1370" spans="1:12" ht="15" customHeight="1" x14ac:dyDescent="0.2">
      <c r="A1370" s="2">
        <v>44062</v>
      </c>
      <c r="B1370" s="3">
        <v>25.57</v>
      </c>
      <c r="C1370" s="1">
        <v>1025388.99999999</v>
      </c>
      <c r="D1370" s="3">
        <v>-0.46</v>
      </c>
      <c r="E1370" s="3">
        <v>-1.7671917018824399</v>
      </c>
      <c r="F1370" s="3">
        <v>-1.76719723659877</v>
      </c>
      <c r="G1370" s="3">
        <v>29.789899999999999</v>
      </c>
      <c r="H1370" s="3">
        <v>730.15227981091198</v>
      </c>
      <c r="I1370" s="3">
        <v>25.86</v>
      </c>
      <c r="J1370" s="3">
        <v>26.2</v>
      </c>
      <c r="K1370" s="3">
        <v>25.5</v>
      </c>
      <c r="L1370" s="3">
        <v>612.55673213958505</v>
      </c>
    </row>
    <row r="1371" spans="1:12" ht="15" customHeight="1" x14ac:dyDescent="0.2">
      <c r="A1371" s="2">
        <v>44061</v>
      </c>
      <c r="B1371" s="3">
        <v>26.03</v>
      </c>
      <c r="C1371" s="1">
        <v>1258501</v>
      </c>
      <c r="D1371" s="3">
        <v>-0.189999999999997</v>
      </c>
      <c r="E1371" s="3">
        <v>-0.72463768115941196</v>
      </c>
      <c r="F1371" s="3">
        <v>-0.72462686396154097</v>
      </c>
      <c r="G1371" s="3">
        <v>30.325817000000001</v>
      </c>
      <c r="H1371" s="3">
        <v>745.08662733606104</v>
      </c>
      <c r="I1371" s="3">
        <v>26.22</v>
      </c>
      <c r="J1371" s="3">
        <v>26.221499999999999</v>
      </c>
      <c r="K1371" s="3">
        <v>25.33</v>
      </c>
      <c r="L1371" s="3">
        <v>625.37550792309003</v>
      </c>
    </row>
    <row r="1372" spans="1:12" ht="15" customHeight="1" x14ac:dyDescent="0.2">
      <c r="A1372" s="2">
        <v>44060</v>
      </c>
      <c r="B1372" s="3">
        <v>26.22</v>
      </c>
      <c r="C1372" s="1">
        <v>1572159</v>
      </c>
      <c r="D1372" s="3">
        <v>-0.96</v>
      </c>
      <c r="E1372" s="3">
        <v>-3.5320088300220802</v>
      </c>
      <c r="F1372" s="3">
        <v>-3.5320153691052201</v>
      </c>
      <c r="G1372" s="3">
        <v>30.547170000000001</v>
      </c>
      <c r="H1372" s="3">
        <v>751.255050109987</v>
      </c>
      <c r="I1372" s="3">
        <v>27.1</v>
      </c>
      <c r="J1372" s="3">
        <v>27.18</v>
      </c>
      <c r="K1372" s="3">
        <v>25.86</v>
      </c>
      <c r="L1372" s="3">
        <v>630.67021965975505</v>
      </c>
    </row>
    <row r="1373" spans="1:12" ht="15" customHeight="1" x14ac:dyDescent="0.2">
      <c r="A1373" s="2">
        <v>44057</v>
      </c>
      <c r="B1373" s="3">
        <v>27.18</v>
      </c>
      <c r="C1373" s="1">
        <v>972364</v>
      </c>
      <c r="D1373" s="3">
        <v>0.17999999999999899</v>
      </c>
      <c r="E1373" s="3">
        <v>0.66666666666665897</v>
      </c>
      <c r="F1373" s="3">
        <v>0.66666670905404202</v>
      </c>
      <c r="G1373" s="3">
        <v>31.665603999999998</v>
      </c>
      <c r="H1373" s="3">
        <v>782.42234288096097</v>
      </c>
      <c r="I1373" s="3">
        <v>26.7</v>
      </c>
      <c r="J1373" s="3">
        <v>27.41</v>
      </c>
      <c r="K1373" s="3">
        <v>26.31</v>
      </c>
      <c r="L1373" s="3">
        <v>657.42244738185104</v>
      </c>
    </row>
    <row r="1374" spans="1:12" ht="15" customHeight="1" x14ac:dyDescent="0.2">
      <c r="A1374" s="2">
        <v>44056</v>
      </c>
      <c r="B1374" s="3">
        <v>27</v>
      </c>
      <c r="C1374" s="1">
        <v>1019667</v>
      </c>
      <c r="D1374" s="3">
        <v>-0.16</v>
      </c>
      <c r="E1374" s="3">
        <v>-0.58910162002945299</v>
      </c>
      <c r="F1374" s="3">
        <v>-0.58910061002828096</v>
      </c>
      <c r="G1374" s="3">
        <v>31.455898000000001</v>
      </c>
      <c r="H1374" s="3">
        <v>776.57848593649305</v>
      </c>
      <c r="I1374" s="3">
        <v>27.07</v>
      </c>
      <c r="J1374" s="3">
        <v>27.57</v>
      </c>
      <c r="K1374" s="3">
        <v>26.81</v>
      </c>
      <c r="L1374" s="3">
        <v>652.40640468395804</v>
      </c>
    </row>
    <row r="1375" spans="1:12" ht="15" customHeight="1" x14ac:dyDescent="0.2">
      <c r="A1375" s="2">
        <v>44055</v>
      </c>
      <c r="B1375" s="3">
        <v>27.16</v>
      </c>
      <c r="C1375" s="1">
        <v>1384957</v>
      </c>
      <c r="D1375" s="3">
        <v>0.190000000000001</v>
      </c>
      <c r="E1375" s="3">
        <v>0.70448646644420898</v>
      </c>
      <c r="F1375" s="3">
        <v>0.70448865543386496</v>
      </c>
      <c r="G1375" s="3">
        <v>31.642302999999998</v>
      </c>
      <c r="H1375" s="3">
        <v>781.77301615371903</v>
      </c>
      <c r="I1375" s="3">
        <v>27.51</v>
      </c>
      <c r="J1375" s="3">
        <v>27.69</v>
      </c>
      <c r="K1375" s="3">
        <v>26.66</v>
      </c>
      <c r="L1375" s="3">
        <v>656.865109304307</v>
      </c>
    </row>
    <row r="1376" spans="1:12" ht="15" customHeight="1" x14ac:dyDescent="0.2">
      <c r="A1376" s="2">
        <v>44054</v>
      </c>
      <c r="B1376" s="3">
        <v>26.97</v>
      </c>
      <c r="C1376" s="1">
        <v>2438679</v>
      </c>
      <c r="D1376" s="3">
        <v>0.62999999999999901</v>
      </c>
      <c r="E1376" s="3">
        <v>2.3917995444191198</v>
      </c>
      <c r="F1376" s="3">
        <v>2.39179977824468</v>
      </c>
      <c r="G1376" s="3">
        <v>31.420946000000001</v>
      </c>
      <c r="H1376" s="3">
        <v>775.60448191217699</v>
      </c>
      <c r="I1376" s="3">
        <v>27.35</v>
      </c>
      <c r="J1376" s="3">
        <v>28</v>
      </c>
      <c r="K1376" s="3">
        <v>26.85</v>
      </c>
      <c r="L1376" s="3">
        <v>651.57039756764198</v>
      </c>
    </row>
    <row r="1377" spans="1:12" ht="15" customHeight="1" x14ac:dyDescent="0.2">
      <c r="A1377" s="2">
        <v>44053</v>
      </c>
      <c r="B1377" s="3">
        <v>26.34</v>
      </c>
      <c r="C1377" s="1">
        <v>1107942</v>
      </c>
      <c r="D1377" s="3">
        <v>0.5</v>
      </c>
      <c r="E1377" s="3">
        <v>1.93498452012383</v>
      </c>
      <c r="F1377" s="3">
        <v>1.9349790695465101</v>
      </c>
      <c r="G1377" s="3">
        <v>30.686975</v>
      </c>
      <c r="H1377" s="3">
        <v>755.15098260653701</v>
      </c>
      <c r="I1377" s="3">
        <v>26.37</v>
      </c>
      <c r="J1377" s="3">
        <v>26.9436</v>
      </c>
      <c r="K1377" s="3">
        <v>25.98</v>
      </c>
      <c r="L1377" s="3">
        <v>634.01424812501705</v>
      </c>
    </row>
    <row r="1378" spans="1:12" ht="15" customHeight="1" x14ac:dyDescent="0.2">
      <c r="A1378" s="2">
        <v>44050</v>
      </c>
      <c r="B1378" s="3">
        <v>25.84</v>
      </c>
      <c r="C1378" s="1">
        <v>1363680</v>
      </c>
      <c r="D1378" s="3">
        <v>0.76999999999999902</v>
      </c>
      <c r="E1378" s="3">
        <v>3.0714000797766201</v>
      </c>
      <c r="F1378" s="3">
        <v>3.0714013963044402</v>
      </c>
      <c r="G1378" s="3">
        <v>30.10446</v>
      </c>
      <c r="H1378" s="3">
        <v>738.91809309451901</v>
      </c>
      <c r="I1378" s="3">
        <v>24.88</v>
      </c>
      <c r="J1378" s="3">
        <v>25.87</v>
      </c>
      <c r="K1378" s="3">
        <v>24.64</v>
      </c>
      <c r="L1378" s="3">
        <v>620.080796186425</v>
      </c>
    </row>
    <row r="1379" spans="1:12" ht="15" customHeight="1" x14ac:dyDescent="0.2">
      <c r="A1379" s="2">
        <v>44049</v>
      </c>
      <c r="B1379" s="3">
        <v>25.07</v>
      </c>
      <c r="C1379" s="1">
        <v>1784765</v>
      </c>
      <c r="D1379" s="3">
        <v>0.92000000000000104</v>
      </c>
      <c r="E1379" s="3">
        <v>3.8095238095238102</v>
      </c>
      <c r="F1379" s="3">
        <v>3.8095252650623301</v>
      </c>
      <c r="G1379" s="3">
        <v>29.207384000000001</v>
      </c>
      <c r="H1379" s="3">
        <v>713.91936243199098</v>
      </c>
      <c r="I1379" s="3">
        <v>24.15</v>
      </c>
      <c r="J1379" s="3">
        <v>25.31</v>
      </c>
      <c r="K1379" s="3">
        <v>23.81</v>
      </c>
      <c r="L1379" s="3">
        <v>598.62328020099403</v>
      </c>
    </row>
    <row r="1380" spans="1:12" ht="15" customHeight="1" x14ac:dyDescent="0.2">
      <c r="A1380" s="2">
        <v>44048</v>
      </c>
      <c r="B1380" s="3">
        <v>24.15</v>
      </c>
      <c r="C1380" s="1">
        <v>1346574</v>
      </c>
      <c r="D1380" s="3">
        <v>0.35999999999999899</v>
      </c>
      <c r="E1380" s="3">
        <v>1.51324085750315</v>
      </c>
      <c r="F1380" s="3">
        <v>1.5132336414918901</v>
      </c>
      <c r="G1380" s="3">
        <v>28.135553000000002</v>
      </c>
      <c r="H1380" s="3">
        <v>684.05075098240502</v>
      </c>
      <c r="I1380" s="3">
        <v>24.35</v>
      </c>
      <c r="J1380" s="3">
        <v>24.629300000000001</v>
      </c>
      <c r="K1380" s="3">
        <v>23.87</v>
      </c>
      <c r="L1380" s="3">
        <v>572.98572863398499</v>
      </c>
    </row>
    <row r="1381" spans="1:12" ht="15" customHeight="1" x14ac:dyDescent="0.2">
      <c r="A1381" s="2">
        <v>44047</v>
      </c>
      <c r="B1381" s="3">
        <v>23.79</v>
      </c>
      <c r="C1381" s="1">
        <v>1712366</v>
      </c>
      <c r="D1381" s="3">
        <v>0.53999999999999904</v>
      </c>
      <c r="E1381" s="3">
        <v>2.3225806451612798</v>
      </c>
      <c r="F1381" s="3">
        <v>2.3225882002610501</v>
      </c>
      <c r="G1381" s="3">
        <v>27.716142999999999</v>
      </c>
      <c r="H1381" s="3">
        <v>672.36309282727598</v>
      </c>
      <c r="I1381" s="3">
        <v>23.41</v>
      </c>
      <c r="J1381" s="3">
        <v>24.5</v>
      </c>
      <c r="K1381" s="3">
        <v>23.4</v>
      </c>
      <c r="L1381" s="3">
        <v>562.95364323819797</v>
      </c>
    </row>
    <row r="1382" spans="1:12" ht="15" customHeight="1" x14ac:dyDescent="0.2">
      <c r="A1382" s="2">
        <v>44046</v>
      </c>
      <c r="B1382" s="3">
        <v>23.25</v>
      </c>
      <c r="C1382" s="1">
        <v>1982956</v>
      </c>
      <c r="D1382" s="3">
        <v>-0.75</v>
      </c>
      <c r="E1382" s="3">
        <v>-3.125</v>
      </c>
      <c r="F1382" s="3">
        <v>-3.12500022352725</v>
      </c>
      <c r="G1382" s="3">
        <v>27.087022999999999</v>
      </c>
      <c r="H1382" s="3">
        <v>654.83146626006203</v>
      </c>
      <c r="I1382" s="3">
        <v>23.37</v>
      </c>
      <c r="J1382" s="3">
        <v>23.57</v>
      </c>
      <c r="K1382" s="3">
        <v>22.75</v>
      </c>
      <c r="L1382" s="3">
        <v>547.90551514451897</v>
      </c>
    </row>
    <row r="1383" spans="1:12" ht="15" customHeight="1" x14ac:dyDescent="0.2">
      <c r="A1383" s="2">
        <v>44043</v>
      </c>
      <c r="B1383" s="3">
        <v>24</v>
      </c>
      <c r="C1383" s="1">
        <v>2115763</v>
      </c>
      <c r="D1383" s="3">
        <v>-1.44</v>
      </c>
      <c r="E1383" s="3">
        <v>-5.6603773584905701</v>
      </c>
      <c r="F1383" s="3">
        <v>-5.6603809234674101</v>
      </c>
      <c r="G1383" s="3">
        <v>27.960798</v>
      </c>
      <c r="H1383" s="3">
        <v>679.18087019534801</v>
      </c>
      <c r="I1383" s="3">
        <v>25.47</v>
      </c>
      <c r="J1383" s="3">
        <v>25.73</v>
      </c>
      <c r="K1383" s="3">
        <v>23.67</v>
      </c>
      <c r="L1383" s="3">
        <v>568.80569305240704</v>
      </c>
    </row>
    <row r="1384" spans="1:12" ht="15" customHeight="1" x14ac:dyDescent="0.2">
      <c r="A1384" s="2">
        <v>44042</v>
      </c>
      <c r="B1384" s="3">
        <v>25.44</v>
      </c>
      <c r="C1384" s="1">
        <v>3077210</v>
      </c>
      <c r="D1384" s="3">
        <v>-1.1299999999999899</v>
      </c>
      <c r="E1384" s="3">
        <v>-4.2529168234851298</v>
      </c>
      <c r="F1384" s="3">
        <v>-4.2529118056886102</v>
      </c>
      <c r="G1384" s="3">
        <v>29.638446999999999</v>
      </c>
      <c r="H1384" s="3">
        <v>725.93175361800104</v>
      </c>
      <c r="I1384" s="3">
        <v>25</v>
      </c>
      <c r="J1384" s="3">
        <v>25.7</v>
      </c>
      <c r="K1384" s="3">
        <v>24.39</v>
      </c>
      <c r="L1384" s="3">
        <v>608.93403463555103</v>
      </c>
    </row>
    <row r="1385" spans="1:12" ht="15" customHeight="1" x14ac:dyDescent="0.2">
      <c r="A1385" s="2">
        <v>44041</v>
      </c>
      <c r="B1385" s="3">
        <v>26.57</v>
      </c>
      <c r="C1385" s="1">
        <v>3650100</v>
      </c>
      <c r="D1385" s="3">
        <v>1.25</v>
      </c>
      <c r="E1385" s="3">
        <v>4.9368088467614397</v>
      </c>
      <c r="F1385" s="3">
        <v>4.9368069214847203</v>
      </c>
      <c r="G1385" s="3">
        <v>30.954933</v>
      </c>
      <c r="H1385" s="3">
        <v>762.61814243565902</v>
      </c>
      <c r="I1385" s="3">
        <v>25.6</v>
      </c>
      <c r="J1385" s="3">
        <v>27.28</v>
      </c>
      <c r="K1385" s="3">
        <v>25.6</v>
      </c>
      <c r="L1385" s="3">
        <v>640.42363601676902</v>
      </c>
    </row>
    <row r="1386" spans="1:12" ht="15" customHeight="1" x14ac:dyDescent="0.2">
      <c r="A1386" s="2">
        <v>44040</v>
      </c>
      <c r="B1386" s="3">
        <v>25.32</v>
      </c>
      <c r="C1386" s="1">
        <v>2136208</v>
      </c>
      <c r="D1386" s="3">
        <v>0.60999999999999899</v>
      </c>
      <c r="E1386" s="3">
        <v>2.4686361796843301</v>
      </c>
      <c r="F1386" s="3">
        <v>2.4686387241393302</v>
      </c>
      <c r="G1386" s="3">
        <v>29.498642</v>
      </c>
      <c r="H1386" s="3">
        <v>722.03582112145205</v>
      </c>
      <c r="I1386" s="3">
        <v>24.57</v>
      </c>
      <c r="J1386" s="3">
        <v>25.63</v>
      </c>
      <c r="K1386" s="3">
        <v>24.52</v>
      </c>
      <c r="L1386" s="3">
        <v>605.59000617028903</v>
      </c>
    </row>
    <row r="1387" spans="1:12" ht="15" customHeight="1" x14ac:dyDescent="0.2">
      <c r="A1387" s="2">
        <v>44039</v>
      </c>
      <c r="B1387" s="3">
        <v>24.71</v>
      </c>
      <c r="C1387" s="1">
        <v>2028085</v>
      </c>
      <c r="D1387" s="3">
        <v>-9.9999999999997799E-2</v>
      </c>
      <c r="E1387" s="3">
        <v>-0.40306328093510002</v>
      </c>
      <c r="F1387" s="3">
        <v>-0.40306216954510898</v>
      </c>
      <c r="G1387" s="3">
        <v>28.787970999999999</v>
      </c>
      <c r="H1387" s="3">
        <v>702.23162067614999</v>
      </c>
      <c r="I1387" s="3">
        <v>24.68</v>
      </c>
      <c r="J1387" s="3">
        <v>25.07</v>
      </c>
      <c r="K1387" s="3">
        <v>24.26</v>
      </c>
      <c r="L1387" s="3">
        <v>588.59119480520701</v>
      </c>
    </row>
    <row r="1388" spans="1:12" ht="15" customHeight="1" x14ac:dyDescent="0.2">
      <c r="A1388" s="2">
        <v>44036</v>
      </c>
      <c r="B1388" s="3">
        <v>24.81</v>
      </c>
      <c r="C1388" s="1">
        <v>2322193</v>
      </c>
      <c r="D1388" s="3">
        <v>0.81499999999999695</v>
      </c>
      <c r="E1388" s="3">
        <v>3.3965409460304099</v>
      </c>
      <c r="F1388" s="3">
        <v>3.3965369954032898</v>
      </c>
      <c r="G1388" s="3">
        <v>28.904474</v>
      </c>
      <c r="H1388" s="3">
        <v>705.47819857855302</v>
      </c>
      <c r="I1388" s="3">
        <v>24.364999999999998</v>
      </c>
      <c r="J1388" s="3">
        <v>25</v>
      </c>
      <c r="K1388" s="3">
        <v>23.75</v>
      </c>
      <c r="L1388" s="3">
        <v>591.37788519292599</v>
      </c>
    </row>
    <row r="1389" spans="1:12" ht="15" customHeight="1" x14ac:dyDescent="0.2">
      <c r="A1389" s="2">
        <v>44035</v>
      </c>
      <c r="B1389" s="3">
        <v>23.995000000000001</v>
      </c>
      <c r="C1389" s="1">
        <v>2237545</v>
      </c>
      <c r="D1389" s="3">
        <v>0.39499999999999902</v>
      </c>
      <c r="E1389" s="3">
        <v>1.67372881355931</v>
      </c>
      <c r="F1389" s="3">
        <v>1.6737283088411099</v>
      </c>
      <c r="G1389" s="3">
        <v>27.954972999999999</v>
      </c>
      <c r="H1389" s="3">
        <v>679.01854548026301</v>
      </c>
      <c r="I1389" s="3">
        <v>23.42</v>
      </c>
      <c r="J1389" s="3">
        <v>24.1</v>
      </c>
      <c r="K1389" s="3">
        <v>22.92</v>
      </c>
      <c r="L1389" s="3">
        <v>568.66635853302103</v>
      </c>
    </row>
    <row r="1390" spans="1:12" ht="15" customHeight="1" x14ac:dyDescent="0.2">
      <c r="A1390" s="2">
        <v>44034</v>
      </c>
      <c r="B1390" s="3">
        <v>23.6</v>
      </c>
      <c r="C1390" s="1">
        <v>2447326</v>
      </c>
      <c r="D1390" s="3">
        <v>1.0049999999999999</v>
      </c>
      <c r="E1390" s="3">
        <v>4.44788670059748</v>
      </c>
      <c r="F1390" s="3">
        <v>4.4478929338994799</v>
      </c>
      <c r="G1390" s="3">
        <v>27.494785</v>
      </c>
      <c r="H1390" s="3">
        <v>666.19453071883004</v>
      </c>
      <c r="I1390" s="3">
        <v>22.1</v>
      </c>
      <c r="J1390" s="3">
        <v>23.954999999999998</v>
      </c>
      <c r="K1390" s="3">
        <v>22.1</v>
      </c>
      <c r="L1390" s="3">
        <v>557.65893150153397</v>
      </c>
    </row>
    <row r="1391" spans="1:12" ht="15" customHeight="1" x14ac:dyDescent="0.2">
      <c r="A1391" s="2">
        <v>44033</v>
      </c>
      <c r="B1391" s="3">
        <v>22.594999999999999</v>
      </c>
      <c r="C1391" s="1">
        <v>1469931</v>
      </c>
      <c r="D1391" s="3">
        <v>0.61499999999999799</v>
      </c>
      <c r="E1391" s="3">
        <v>2.7979981801637699</v>
      </c>
      <c r="F1391" s="3">
        <v>2.7979925045976</v>
      </c>
      <c r="G1391" s="3">
        <v>26.323924999999999</v>
      </c>
      <c r="H1391" s="3">
        <v>633.56628764519098</v>
      </c>
      <c r="I1391" s="3">
        <v>22.17</v>
      </c>
      <c r="J1391" s="3">
        <v>22.83</v>
      </c>
      <c r="K1391" s="3">
        <v>22.02</v>
      </c>
      <c r="L1391" s="3">
        <v>529.65269310496399</v>
      </c>
    </row>
    <row r="1392" spans="1:12" ht="15" customHeight="1" x14ac:dyDescent="0.2">
      <c r="A1392" s="2">
        <v>44032</v>
      </c>
      <c r="B1392" s="3">
        <v>21.98</v>
      </c>
      <c r="C1392" s="1">
        <v>1704428</v>
      </c>
      <c r="D1392" s="3">
        <v>-0.59999999999999698</v>
      </c>
      <c r="E1392" s="3">
        <v>-2.6572187776793399</v>
      </c>
      <c r="F1392" s="3">
        <v>-2.6572226463682802</v>
      </c>
      <c r="G1392" s="3">
        <v>25.607430999999998</v>
      </c>
      <c r="H1392" s="3">
        <v>613.59981821861197</v>
      </c>
      <c r="I1392" s="3">
        <v>22.38</v>
      </c>
      <c r="J1392" s="3">
        <v>22.75</v>
      </c>
      <c r="K1392" s="3">
        <v>21.38</v>
      </c>
      <c r="L1392" s="3">
        <v>512.51454722049596</v>
      </c>
    </row>
    <row r="1393" spans="1:12" ht="15" customHeight="1" x14ac:dyDescent="0.2">
      <c r="A1393" s="2">
        <v>44029</v>
      </c>
      <c r="B1393" s="3">
        <v>22.58</v>
      </c>
      <c r="C1393" s="1">
        <v>1704058</v>
      </c>
      <c r="D1393" s="3">
        <v>-6.0000000000002197E-2</v>
      </c>
      <c r="E1393" s="3">
        <v>-0.26501766784453501</v>
      </c>
      <c r="F1393" s="3">
        <v>-0.26501011208828101</v>
      </c>
      <c r="G1393" s="3">
        <v>26.306452</v>
      </c>
      <c r="H1393" s="3">
        <v>633.07936923374496</v>
      </c>
      <c r="I1393" s="3">
        <v>22.26</v>
      </c>
      <c r="J1393" s="3">
        <v>23.05</v>
      </c>
      <c r="K1393" s="3">
        <v>22.26</v>
      </c>
      <c r="L1393" s="3">
        <v>529.23468954680595</v>
      </c>
    </row>
    <row r="1394" spans="1:12" ht="15" customHeight="1" x14ac:dyDescent="0.2">
      <c r="A1394" s="2">
        <v>44028</v>
      </c>
      <c r="B1394" s="3">
        <v>22.64</v>
      </c>
      <c r="C1394" s="1">
        <v>1696939</v>
      </c>
      <c r="D1394" s="3">
        <v>-0.62999999999999901</v>
      </c>
      <c r="E1394" s="3">
        <v>-2.7073485174043799</v>
      </c>
      <c r="F1394" s="3">
        <v>-2.7073559612435401</v>
      </c>
      <c r="G1394" s="3">
        <v>26.376352000000001</v>
      </c>
      <c r="H1394" s="3">
        <v>635.02726581475997</v>
      </c>
      <c r="I1394" s="3">
        <v>22.6</v>
      </c>
      <c r="J1394" s="3">
        <v>23.11</v>
      </c>
      <c r="K1394" s="3">
        <v>22.11</v>
      </c>
      <c r="L1394" s="3">
        <v>530.90670377943695</v>
      </c>
    </row>
    <row r="1395" spans="1:12" ht="15" customHeight="1" x14ac:dyDescent="0.2">
      <c r="A1395" s="2">
        <v>44027</v>
      </c>
      <c r="B1395" s="3">
        <v>23.27</v>
      </c>
      <c r="C1395" s="1">
        <v>4021184</v>
      </c>
      <c r="D1395" s="3">
        <v>2.69999999999999</v>
      </c>
      <c r="E1395" s="3">
        <v>13.1259115216334</v>
      </c>
      <c r="F1395" s="3">
        <v>13.125921327811101</v>
      </c>
      <c r="G1395" s="3">
        <v>27.110325</v>
      </c>
      <c r="H1395" s="3">
        <v>655.48082085420799</v>
      </c>
      <c r="I1395" s="3">
        <v>21.74</v>
      </c>
      <c r="J1395" s="3">
        <v>23.41</v>
      </c>
      <c r="K1395" s="3">
        <v>21.68</v>
      </c>
      <c r="L1395" s="3">
        <v>548.46285322206302</v>
      </c>
    </row>
    <row r="1396" spans="1:12" ht="15" customHeight="1" x14ac:dyDescent="0.2">
      <c r="A1396" s="2">
        <v>44026</v>
      </c>
      <c r="B1396" s="3">
        <v>20.57</v>
      </c>
      <c r="C1396" s="1">
        <v>1961965</v>
      </c>
      <c r="D1396" s="3">
        <v>-0.44999999999999901</v>
      </c>
      <c r="E1396" s="3">
        <v>-2.1408182683158898</v>
      </c>
      <c r="F1396" s="3">
        <v>-2.1408264935277099</v>
      </c>
      <c r="G1396" s="3">
        <v>23.964732999999999</v>
      </c>
      <c r="H1396" s="3">
        <v>567.82291095336996</v>
      </c>
      <c r="I1396" s="3">
        <v>20.99</v>
      </c>
      <c r="J1396" s="3">
        <v>21.19</v>
      </c>
      <c r="K1396" s="3">
        <v>20.25</v>
      </c>
      <c r="L1396" s="3">
        <v>473.22221275366701</v>
      </c>
    </row>
    <row r="1397" spans="1:12" ht="15" customHeight="1" x14ac:dyDescent="0.2">
      <c r="A1397" s="2">
        <v>44025</v>
      </c>
      <c r="B1397" s="3">
        <v>21.02</v>
      </c>
      <c r="C1397" s="1">
        <v>2592235</v>
      </c>
      <c r="D1397" s="3">
        <v>-0.67000000000000104</v>
      </c>
      <c r="E1397" s="3">
        <v>-3.0889810972798601</v>
      </c>
      <c r="F1397" s="3">
        <v>-3.0889760653237701</v>
      </c>
      <c r="G1397" s="3">
        <v>24.489000000000001</v>
      </c>
      <c r="H1397" s="3">
        <v>582.43260904834995</v>
      </c>
      <c r="I1397" s="3">
        <v>21.91</v>
      </c>
      <c r="J1397" s="3">
        <v>22.25</v>
      </c>
      <c r="K1397" s="3">
        <v>20.89</v>
      </c>
      <c r="L1397" s="3">
        <v>485.76231949840002</v>
      </c>
    </row>
    <row r="1398" spans="1:12" ht="15" customHeight="1" x14ac:dyDescent="0.2">
      <c r="A1398" s="2">
        <v>44022</v>
      </c>
      <c r="B1398" s="3">
        <v>21.69</v>
      </c>
      <c r="C1398" s="1">
        <v>2506236</v>
      </c>
      <c r="D1398" s="3">
        <v>0.76000000000000101</v>
      </c>
      <c r="E1398" s="3">
        <v>3.63115145723842</v>
      </c>
      <c r="F1398" s="3">
        <v>3.63115033842069</v>
      </c>
      <c r="G1398" s="3">
        <v>25.269570999999999</v>
      </c>
      <c r="H1398" s="3">
        <v>604.18470607466702</v>
      </c>
      <c r="I1398" s="3">
        <v>20.84</v>
      </c>
      <c r="J1398" s="3">
        <v>21.72</v>
      </c>
      <c r="K1398" s="3">
        <v>20.380099999999999</v>
      </c>
      <c r="L1398" s="3">
        <v>504.43314509611298</v>
      </c>
    </row>
    <row r="1399" spans="1:12" ht="15" customHeight="1" x14ac:dyDescent="0.2">
      <c r="A1399" s="2">
        <v>44021</v>
      </c>
      <c r="B1399" s="3">
        <v>20.93</v>
      </c>
      <c r="C1399" s="1">
        <v>2147956</v>
      </c>
      <c r="D1399" s="3">
        <v>-0.51999999999999902</v>
      </c>
      <c r="E1399" s="3">
        <v>-2.4242424242424101</v>
      </c>
      <c r="F1399" s="3">
        <v>-2.4242451889886598</v>
      </c>
      <c r="G1399" s="3">
        <v>24.384146000000001</v>
      </c>
      <c r="H1399" s="3">
        <v>579.51065270921197</v>
      </c>
      <c r="I1399" s="3">
        <v>21.23</v>
      </c>
      <c r="J1399" s="3">
        <v>21.6126</v>
      </c>
      <c r="K1399" s="3">
        <v>20.350000000000001</v>
      </c>
      <c r="L1399" s="3">
        <v>483.25429814945301</v>
      </c>
    </row>
    <row r="1400" spans="1:12" ht="15" customHeight="1" x14ac:dyDescent="0.2">
      <c r="A1400" s="2">
        <v>44020</v>
      </c>
      <c r="B1400" s="3">
        <v>21.45</v>
      </c>
      <c r="C1400" s="1">
        <v>1610504</v>
      </c>
      <c r="D1400" s="3">
        <v>0.33999999999999903</v>
      </c>
      <c r="E1400" s="3">
        <v>1.6106110847939401</v>
      </c>
      <c r="F1400" s="3">
        <v>1.6106097731006299</v>
      </c>
      <c r="G1400" s="3">
        <v>24.989964000000001</v>
      </c>
      <c r="H1400" s="3">
        <v>596.39292468227904</v>
      </c>
      <c r="I1400" s="3">
        <v>20.973500000000001</v>
      </c>
      <c r="J1400" s="3">
        <v>21.45</v>
      </c>
      <c r="K1400" s="3">
        <v>20.619900000000001</v>
      </c>
      <c r="L1400" s="3">
        <v>497.74508816558898</v>
      </c>
    </row>
    <row r="1401" spans="1:12" ht="15" customHeight="1" x14ac:dyDescent="0.2">
      <c r="A1401" s="2">
        <v>44019</v>
      </c>
      <c r="B1401" s="3">
        <v>21.11</v>
      </c>
      <c r="C1401" s="1">
        <v>2339096</v>
      </c>
      <c r="D1401" s="3">
        <v>-0.92000000000000104</v>
      </c>
      <c r="E1401" s="3">
        <v>-4.17612346799819</v>
      </c>
      <c r="F1401" s="3">
        <v>-4.1761248209866402</v>
      </c>
      <c r="G1401" s="3">
        <v>24.593852999999999</v>
      </c>
      <c r="H1401" s="3">
        <v>585.35453752058402</v>
      </c>
      <c r="I1401" s="3">
        <v>21.4</v>
      </c>
      <c r="J1401" s="3">
        <v>21.630099999999999</v>
      </c>
      <c r="K1401" s="3">
        <v>20.930099999999999</v>
      </c>
      <c r="L1401" s="3">
        <v>488.27034084734601</v>
      </c>
    </row>
    <row r="1402" spans="1:12" ht="15" customHeight="1" x14ac:dyDescent="0.2">
      <c r="A1402" s="2">
        <v>44018</v>
      </c>
      <c r="B1402" s="3">
        <v>22.03</v>
      </c>
      <c r="C1402" s="1">
        <v>2991664</v>
      </c>
      <c r="D1402" s="3">
        <v>0.47000000000000203</v>
      </c>
      <c r="E1402" s="3">
        <v>2.1799628942486202</v>
      </c>
      <c r="F1402" s="3">
        <v>2.17997241512857</v>
      </c>
      <c r="G1402" s="3">
        <v>25.665683999999999</v>
      </c>
      <c r="H1402" s="3">
        <v>615.22314897016997</v>
      </c>
      <c r="I1402" s="3">
        <v>22.27</v>
      </c>
      <c r="J1402" s="3">
        <v>22.45</v>
      </c>
      <c r="K1402" s="3">
        <v>21.12</v>
      </c>
      <c r="L1402" s="3">
        <v>513.90789241435505</v>
      </c>
    </row>
    <row r="1403" spans="1:12" ht="15" customHeight="1" x14ac:dyDescent="0.2">
      <c r="A1403" s="2">
        <v>44014</v>
      </c>
      <c r="B1403" s="3">
        <v>21.56</v>
      </c>
      <c r="C1403" s="1">
        <v>2329025</v>
      </c>
      <c r="D1403" s="3">
        <v>-0.190000000000001</v>
      </c>
      <c r="E1403" s="3">
        <v>-0.87356321839081597</v>
      </c>
      <c r="F1403" s="3">
        <v>-0.87356983021825696</v>
      </c>
      <c r="G1403" s="3">
        <v>25.118116000000001</v>
      </c>
      <c r="H1403" s="3">
        <v>599.96412414794804</v>
      </c>
      <c r="I1403" s="3">
        <v>22.46</v>
      </c>
      <c r="J1403" s="3">
        <v>22.51</v>
      </c>
      <c r="K1403" s="3">
        <v>21.32</v>
      </c>
      <c r="L1403" s="3">
        <v>500.81044759207902</v>
      </c>
    </row>
    <row r="1404" spans="1:12" ht="15" customHeight="1" x14ac:dyDescent="0.2">
      <c r="A1404" s="2">
        <v>44013</v>
      </c>
      <c r="B1404" s="3">
        <v>21.75</v>
      </c>
      <c r="C1404" s="1">
        <v>4017115</v>
      </c>
      <c r="D1404" s="3">
        <v>-1.17</v>
      </c>
      <c r="E1404" s="3">
        <v>-5.1047120418848202</v>
      </c>
      <c r="F1404" s="3">
        <v>-5.10470867926455</v>
      </c>
      <c r="G1404" s="3">
        <v>25.339473999999999</v>
      </c>
      <c r="H1404" s="3">
        <v>606.13268625639398</v>
      </c>
      <c r="I1404" s="3">
        <v>23.05</v>
      </c>
      <c r="J1404" s="3">
        <v>23.64</v>
      </c>
      <c r="K1404" s="3">
        <v>21.62</v>
      </c>
      <c r="L1404" s="3">
        <v>506.10515932874398</v>
      </c>
    </row>
    <row r="1405" spans="1:12" ht="15" customHeight="1" x14ac:dyDescent="0.2">
      <c r="A1405" s="2">
        <v>44012</v>
      </c>
      <c r="B1405" s="3">
        <v>22.92</v>
      </c>
      <c r="C1405" s="1">
        <v>3055248</v>
      </c>
      <c r="D1405" s="3">
        <v>0.18000000000000299</v>
      </c>
      <c r="E1405" s="3">
        <v>0.79155672823221201</v>
      </c>
      <c r="F1405" s="3">
        <v>0.79155298350796999</v>
      </c>
      <c r="G1405" s="3">
        <v>26.702562</v>
      </c>
      <c r="H1405" s="3">
        <v>644.11772852853596</v>
      </c>
      <c r="I1405" s="3">
        <v>22.69</v>
      </c>
      <c r="J1405" s="3">
        <v>23.18</v>
      </c>
      <c r="K1405" s="3">
        <v>22.15</v>
      </c>
      <c r="L1405" s="3">
        <v>538.70943686504904</v>
      </c>
    </row>
    <row r="1406" spans="1:12" ht="15" customHeight="1" x14ac:dyDescent="0.2">
      <c r="A1406" s="2">
        <v>44011</v>
      </c>
      <c r="B1406" s="3">
        <v>22.74</v>
      </c>
      <c r="C1406" s="1">
        <v>4488866</v>
      </c>
      <c r="D1406" s="3">
        <v>2.5999999999999899</v>
      </c>
      <c r="E1406" s="3">
        <v>12.909632571995999</v>
      </c>
      <c r="F1406" s="3">
        <v>12.9096347262183</v>
      </c>
      <c r="G1406" s="3">
        <v>26.492857000000001</v>
      </c>
      <c r="H1406" s="3">
        <v>638.27389945097104</v>
      </c>
      <c r="I1406" s="3">
        <v>20.57</v>
      </c>
      <c r="J1406" s="3">
        <v>22.869900000000001</v>
      </c>
      <c r="K1406" s="3">
        <v>20.41</v>
      </c>
      <c r="L1406" s="3">
        <v>533.69339416715502</v>
      </c>
    </row>
    <row r="1407" spans="1:12" ht="15" customHeight="1" x14ac:dyDescent="0.2">
      <c r="A1407" s="2">
        <v>44008</v>
      </c>
      <c r="B1407" s="3">
        <v>20.14</v>
      </c>
      <c r="C1407" s="1">
        <v>5726444</v>
      </c>
      <c r="D1407" s="3">
        <v>-1.8299999999999901</v>
      </c>
      <c r="E1407" s="3">
        <v>-8.3295402822029896</v>
      </c>
      <c r="F1407" s="3">
        <v>-8.3295371346370395</v>
      </c>
      <c r="G1407" s="3">
        <v>23.46377</v>
      </c>
      <c r="H1407" s="3">
        <v>553.86262318634499</v>
      </c>
      <c r="I1407" s="3">
        <v>21.713000000000001</v>
      </c>
      <c r="J1407" s="3">
        <v>22.29</v>
      </c>
      <c r="K1407" s="3">
        <v>19.779900000000001</v>
      </c>
      <c r="L1407" s="3">
        <v>461.23944408647799</v>
      </c>
    </row>
    <row r="1408" spans="1:12" ht="15" customHeight="1" x14ac:dyDescent="0.2">
      <c r="A1408" s="2">
        <v>44007</v>
      </c>
      <c r="B1408" s="3">
        <v>21.97</v>
      </c>
      <c r="C1408" s="1">
        <v>2966870</v>
      </c>
      <c r="D1408" s="3">
        <v>-0.32</v>
      </c>
      <c r="E1408" s="3">
        <v>-1.43562135486765</v>
      </c>
      <c r="F1408" s="3">
        <v>-1.43562654455813</v>
      </c>
      <c r="G1408" s="3">
        <v>25.595780000000001</v>
      </c>
      <c r="H1408" s="3">
        <v>613.27514092153899</v>
      </c>
      <c r="I1408" s="3">
        <v>22.16</v>
      </c>
      <c r="J1408" s="3">
        <v>22.88</v>
      </c>
      <c r="K1408" s="3">
        <v>21.25</v>
      </c>
      <c r="L1408" s="3">
        <v>512.23587818172405</v>
      </c>
    </row>
    <row r="1409" spans="1:12" ht="15" customHeight="1" x14ac:dyDescent="0.2">
      <c r="A1409" s="2">
        <v>44006</v>
      </c>
      <c r="B1409" s="3">
        <v>22.29</v>
      </c>
      <c r="C1409" s="1">
        <v>5236127</v>
      </c>
      <c r="D1409" s="3">
        <v>-1.99</v>
      </c>
      <c r="E1409" s="3">
        <v>-8.1960461285008304</v>
      </c>
      <c r="F1409" s="3">
        <v>-8.1960453364314692</v>
      </c>
      <c r="G1409" s="3">
        <v>25.968592000000001</v>
      </c>
      <c r="H1409" s="3">
        <v>623.6642570898</v>
      </c>
      <c r="I1409" s="3">
        <v>23.004000000000001</v>
      </c>
      <c r="J1409" s="3">
        <v>23.215</v>
      </c>
      <c r="K1409" s="3">
        <v>21.34</v>
      </c>
      <c r="L1409" s="3">
        <v>521.15328742242298</v>
      </c>
    </row>
    <row r="1410" spans="1:12" ht="15" customHeight="1" x14ac:dyDescent="0.2">
      <c r="A1410" s="2">
        <v>44005</v>
      </c>
      <c r="B1410" s="3">
        <v>24.28</v>
      </c>
      <c r="C1410" s="1">
        <v>4327124</v>
      </c>
      <c r="D1410" s="3">
        <v>1.74</v>
      </c>
      <c r="E1410" s="3">
        <v>7.7196095829636198</v>
      </c>
      <c r="F1410" s="3">
        <v>7.7196058728589101</v>
      </c>
      <c r="G1410" s="3">
        <v>28.287008</v>
      </c>
      <c r="H1410" s="3">
        <v>688.271332909124</v>
      </c>
      <c r="I1410" s="3">
        <v>22.7</v>
      </c>
      <c r="J1410" s="3">
        <v>24.49</v>
      </c>
      <c r="K1410" s="3">
        <v>22.56</v>
      </c>
      <c r="L1410" s="3">
        <v>576.60842613801799</v>
      </c>
    </row>
    <row r="1411" spans="1:12" ht="15" customHeight="1" x14ac:dyDescent="0.2">
      <c r="A1411" s="2">
        <v>44004</v>
      </c>
      <c r="B1411" s="3">
        <v>22.54</v>
      </c>
      <c r="C1411" s="1">
        <v>2301304</v>
      </c>
      <c r="D1411" s="3">
        <v>-0.380000000000002</v>
      </c>
      <c r="E1411" s="3">
        <v>-1.6579406631762701</v>
      </c>
      <c r="F1411" s="3">
        <v>-1.6579345457563199</v>
      </c>
      <c r="G1411" s="3">
        <v>26.259851000000001</v>
      </c>
      <c r="H1411" s="3">
        <v>631.78074364616396</v>
      </c>
      <c r="I1411" s="3">
        <v>22.8</v>
      </c>
      <c r="J1411" s="3">
        <v>22.88</v>
      </c>
      <c r="K1411" s="3">
        <v>22.14</v>
      </c>
      <c r="L1411" s="3">
        <v>528.120013391719</v>
      </c>
    </row>
    <row r="1412" spans="1:12" ht="15" customHeight="1" x14ac:dyDescent="0.2">
      <c r="A1412" s="2">
        <v>44001</v>
      </c>
      <c r="B1412" s="3">
        <v>22.92</v>
      </c>
      <c r="C1412" s="1">
        <v>10184290</v>
      </c>
      <c r="D1412" s="3">
        <v>-1.6099999999999901</v>
      </c>
      <c r="E1412" s="3">
        <v>-6.5633917651854796</v>
      </c>
      <c r="F1412" s="3">
        <v>-6.56339331434594</v>
      </c>
      <c r="G1412" s="3">
        <v>26.702562</v>
      </c>
      <c r="H1412" s="3">
        <v>644.11772852853596</v>
      </c>
      <c r="I1412" s="3">
        <v>24.9</v>
      </c>
      <c r="J1412" s="3">
        <v>24.99</v>
      </c>
      <c r="K1412" s="3">
        <v>22.83</v>
      </c>
      <c r="L1412" s="3">
        <v>538.70943686504904</v>
      </c>
    </row>
    <row r="1413" spans="1:12" ht="15" customHeight="1" x14ac:dyDescent="0.2">
      <c r="A1413" s="2">
        <v>44000</v>
      </c>
      <c r="B1413" s="3">
        <v>24.53</v>
      </c>
      <c r="C1413" s="1">
        <v>2027897</v>
      </c>
      <c r="D1413" s="3">
        <v>0.39</v>
      </c>
      <c r="E1413" s="3">
        <v>1.6155758077879001</v>
      </c>
      <c r="F1413" s="3">
        <v>1.6155831298083401</v>
      </c>
      <c r="G1413" s="3">
        <v>28.578265999999999</v>
      </c>
      <c r="H1413" s="3">
        <v>696.38779159858495</v>
      </c>
      <c r="I1413" s="3">
        <v>23.45</v>
      </c>
      <c r="J1413" s="3">
        <v>24.87</v>
      </c>
      <c r="K1413" s="3">
        <v>23.35</v>
      </c>
      <c r="L1413" s="3">
        <v>583.57515210731401</v>
      </c>
    </row>
    <row r="1414" spans="1:12" ht="15" customHeight="1" x14ac:dyDescent="0.2">
      <c r="A1414" s="2">
        <v>43999</v>
      </c>
      <c r="B1414" s="3">
        <v>24.14</v>
      </c>
      <c r="C1414" s="1">
        <v>2477025</v>
      </c>
      <c r="D1414" s="3">
        <v>-0.73999999999999799</v>
      </c>
      <c r="E1414" s="3">
        <v>-2.9742765273311802</v>
      </c>
      <c r="F1414" s="3">
        <v>-2.97428136667367</v>
      </c>
      <c r="G1414" s="3">
        <v>28.123901</v>
      </c>
      <c r="H1414" s="3">
        <v>683.72604581842802</v>
      </c>
      <c r="I1414" s="3">
        <v>24.81</v>
      </c>
      <c r="J1414" s="3">
        <v>25.13</v>
      </c>
      <c r="K1414" s="3">
        <v>23.93</v>
      </c>
      <c r="L1414" s="3">
        <v>572.70705959521297</v>
      </c>
    </row>
    <row r="1415" spans="1:12" ht="15" customHeight="1" x14ac:dyDescent="0.2">
      <c r="A1415" s="2">
        <v>43998</v>
      </c>
      <c r="B1415" s="3">
        <v>24.88</v>
      </c>
      <c r="C1415" s="1">
        <v>3591883</v>
      </c>
      <c r="D1415" s="3">
        <v>-0.25</v>
      </c>
      <c r="E1415" s="3">
        <v>-0.99482690011938302</v>
      </c>
      <c r="F1415" s="3">
        <v>-0.99482585219223796</v>
      </c>
      <c r="G1415" s="3">
        <v>28.986027</v>
      </c>
      <c r="H1415" s="3">
        <v>707.75082819044906</v>
      </c>
      <c r="I1415" s="3">
        <v>26.75</v>
      </c>
      <c r="J1415" s="3">
        <v>26.85</v>
      </c>
      <c r="K1415" s="3">
        <v>24.5</v>
      </c>
      <c r="L1415" s="3">
        <v>593.32856846432901</v>
      </c>
    </row>
    <row r="1416" spans="1:12" ht="15" customHeight="1" x14ac:dyDescent="0.2">
      <c r="A1416" s="2">
        <v>43997</v>
      </c>
      <c r="B1416" s="3">
        <v>25.13</v>
      </c>
      <c r="C1416" s="1">
        <v>3830443</v>
      </c>
      <c r="D1416" s="3">
        <v>0.89999999999999802</v>
      </c>
      <c r="E1416" s="3">
        <v>3.7144036318613201</v>
      </c>
      <c r="F1416" s="3">
        <v>3.7144003086781301</v>
      </c>
      <c r="G1416" s="3">
        <v>29.277284999999999</v>
      </c>
      <c r="H1416" s="3">
        <v>715.86728687991001</v>
      </c>
      <c r="I1416" s="3">
        <v>23.1</v>
      </c>
      <c r="J1416" s="3">
        <v>25.3</v>
      </c>
      <c r="K1416" s="3">
        <v>23</v>
      </c>
      <c r="L1416" s="3">
        <v>600.29529443362401</v>
      </c>
    </row>
    <row r="1417" spans="1:12" ht="15" customHeight="1" x14ac:dyDescent="0.2">
      <c r="A1417" s="2">
        <v>43994</v>
      </c>
      <c r="B1417" s="3">
        <v>24.23</v>
      </c>
      <c r="C1417" s="1">
        <v>3454955</v>
      </c>
      <c r="D1417" s="3">
        <v>2.0299999999999998</v>
      </c>
      <c r="E1417" s="3">
        <v>9.1441441441441498</v>
      </c>
      <c r="F1417" s="3">
        <v>9.1441419200835696</v>
      </c>
      <c r="G1417" s="3">
        <v>28.228756000000001</v>
      </c>
      <c r="H1417" s="3">
        <v>686.64803002447002</v>
      </c>
      <c r="I1417" s="3">
        <v>24</v>
      </c>
      <c r="J1417" s="3">
        <v>24.26</v>
      </c>
      <c r="K1417" s="3">
        <v>22.44</v>
      </c>
      <c r="L1417" s="3">
        <v>575.21508094415901</v>
      </c>
    </row>
    <row r="1418" spans="1:12" ht="15" customHeight="1" x14ac:dyDescent="0.2">
      <c r="A1418" s="2">
        <v>43993</v>
      </c>
      <c r="B1418" s="3">
        <v>22.2</v>
      </c>
      <c r="C1418" s="1">
        <v>5779366</v>
      </c>
      <c r="D1418" s="3">
        <v>-2.76</v>
      </c>
      <c r="E1418" s="3">
        <v>-11.057692307692299</v>
      </c>
      <c r="F1418" s="3">
        <v>-11.0576896293333</v>
      </c>
      <c r="G1418" s="3">
        <v>25.863738999999999</v>
      </c>
      <c r="H1418" s="3">
        <v>620.74232861756502</v>
      </c>
      <c r="I1418" s="3">
        <v>22.5</v>
      </c>
      <c r="J1418" s="3">
        <v>23.83</v>
      </c>
      <c r="K1418" s="3">
        <v>22</v>
      </c>
      <c r="L1418" s="3">
        <v>518.64526607347602</v>
      </c>
    </row>
    <row r="1419" spans="1:12" ht="15" customHeight="1" x14ac:dyDescent="0.2">
      <c r="A1419" s="2">
        <v>43992</v>
      </c>
      <c r="B1419" s="3">
        <v>24.96</v>
      </c>
      <c r="C1419" s="1">
        <v>5170784</v>
      </c>
      <c r="D1419" s="3">
        <v>-1.9349999999999901</v>
      </c>
      <c r="E1419" s="3">
        <v>-7.1946458449525803</v>
      </c>
      <c r="F1419" s="3">
        <v>-7.1946477851071604</v>
      </c>
      <c r="G1419" s="3">
        <v>29.079229999999999</v>
      </c>
      <c r="H1419" s="3">
        <v>710.34810723251405</v>
      </c>
      <c r="I1419" s="3">
        <v>27.21</v>
      </c>
      <c r="J1419" s="3">
        <v>27.21</v>
      </c>
      <c r="K1419" s="3">
        <v>24.38</v>
      </c>
      <c r="L1419" s="3">
        <v>595.55792077450303</v>
      </c>
    </row>
    <row r="1420" spans="1:12" ht="15" customHeight="1" x14ac:dyDescent="0.2">
      <c r="A1420" s="2">
        <v>43991</v>
      </c>
      <c r="B1420" s="3">
        <v>26.895</v>
      </c>
      <c r="C1420" s="1">
        <v>4755351</v>
      </c>
      <c r="D1420" s="3">
        <v>-2.9149999999999898</v>
      </c>
      <c r="E1420" s="3">
        <v>-9.7785977859778601</v>
      </c>
      <c r="F1420" s="3">
        <v>-9.7785925797100095</v>
      </c>
      <c r="G1420" s="3">
        <v>31.333570000000002</v>
      </c>
      <c r="H1420" s="3">
        <v>773.16958331900503</v>
      </c>
      <c r="I1420" s="3">
        <v>28.45</v>
      </c>
      <c r="J1420" s="3">
        <v>28.57</v>
      </c>
      <c r="K1420" s="3">
        <v>26.82</v>
      </c>
      <c r="L1420" s="3">
        <v>649.48037977685397</v>
      </c>
    </row>
    <row r="1421" spans="1:12" ht="15" customHeight="1" x14ac:dyDescent="0.2">
      <c r="A1421" s="2">
        <v>43990</v>
      </c>
      <c r="B1421" s="3">
        <v>29.81</v>
      </c>
      <c r="C1421" s="1">
        <v>6005513</v>
      </c>
      <c r="D1421" s="3">
        <v>1.6099999999999901</v>
      </c>
      <c r="E1421" s="3">
        <v>5.7092198581560201</v>
      </c>
      <c r="F1421" s="3">
        <v>5.7092086976478296</v>
      </c>
      <c r="G1421" s="3">
        <v>34.729640000000003</v>
      </c>
      <c r="H1421" s="3">
        <v>867.80753956919204</v>
      </c>
      <c r="I1421" s="3">
        <v>29.61</v>
      </c>
      <c r="J1421" s="3">
        <v>30.41</v>
      </c>
      <c r="K1421" s="3">
        <v>28.440100000000001</v>
      </c>
      <c r="L1421" s="3">
        <v>730.71240457884403</v>
      </c>
    </row>
    <row r="1422" spans="1:12" ht="15" customHeight="1" x14ac:dyDescent="0.2">
      <c r="A1422" s="2">
        <v>43987</v>
      </c>
      <c r="B1422" s="3">
        <v>28.2</v>
      </c>
      <c r="C1422" s="1">
        <v>6835360</v>
      </c>
      <c r="D1422" s="3">
        <v>1.98</v>
      </c>
      <c r="E1422" s="3">
        <v>7.5514874141876502</v>
      </c>
      <c r="F1422" s="3">
        <v>7.5515014975200598</v>
      </c>
      <c r="G1422" s="3">
        <v>32.853940000000001</v>
      </c>
      <c r="H1422" s="3">
        <v>815.537587966758</v>
      </c>
      <c r="I1422" s="3">
        <v>29</v>
      </c>
      <c r="J1422" s="3">
        <v>29.35</v>
      </c>
      <c r="K1422" s="3">
        <v>27.26</v>
      </c>
      <c r="L1422" s="3">
        <v>685.84668933657804</v>
      </c>
    </row>
    <row r="1423" spans="1:12" ht="15" customHeight="1" x14ac:dyDescent="0.2">
      <c r="A1423" s="2">
        <v>43986</v>
      </c>
      <c r="B1423" s="3">
        <v>26.22</v>
      </c>
      <c r="C1423" s="1">
        <v>9108286</v>
      </c>
      <c r="D1423" s="3">
        <v>1.8499999999999901</v>
      </c>
      <c r="E1423" s="3">
        <v>7.5913007796470904</v>
      </c>
      <c r="F1423" s="3">
        <v>7.5912917437853196</v>
      </c>
      <c r="G1423" s="3">
        <v>30.547170000000001</v>
      </c>
      <c r="H1423" s="3">
        <v>751.255050109987</v>
      </c>
      <c r="I1423" s="3">
        <v>24.58</v>
      </c>
      <c r="J1423" s="3">
        <v>27.2</v>
      </c>
      <c r="K1423" s="3">
        <v>24.18</v>
      </c>
      <c r="L1423" s="3">
        <v>630.67021965975505</v>
      </c>
    </row>
    <row r="1424" spans="1:12" ht="15" customHeight="1" x14ac:dyDescent="0.2">
      <c r="A1424" s="2">
        <v>43985</v>
      </c>
      <c r="B1424" s="3">
        <v>24.37</v>
      </c>
      <c r="C1424" s="1">
        <v>12285250</v>
      </c>
      <c r="D1424" s="3">
        <v>3.42</v>
      </c>
      <c r="E1424" s="3">
        <v>16.324582338902101</v>
      </c>
      <c r="F1424" s="3">
        <v>16.324578464737399</v>
      </c>
      <c r="G1424" s="3">
        <v>28.391860999999999</v>
      </c>
      <c r="H1424" s="3">
        <v>691.19326138135898</v>
      </c>
      <c r="I1424" s="3">
        <v>22.77</v>
      </c>
      <c r="J1424" s="3">
        <v>25.47</v>
      </c>
      <c r="K1424" s="3">
        <v>22.76</v>
      </c>
      <c r="L1424" s="3">
        <v>579.11644748696494</v>
      </c>
    </row>
    <row r="1425" spans="1:12" ht="15" customHeight="1" x14ac:dyDescent="0.2">
      <c r="A1425" s="2">
        <v>43984</v>
      </c>
      <c r="B1425" s="3">
        <v>20.95</v>
      </c>
      <c r="C1425" s="1">
        <v>3922823</v>
      </c>
      <c r="D1425" s="3">
        <v>0.16999999999999801</v>
      </c>
      <c r="E1425" s="3">
        <v>0.81809432146293604</v>
      </c>
      <c r="F1425" s="3">
        <v>0.81809155644669795</v>
      </c>
      <c r="G1425" s="3">
        <v>24.407447999999999</v>
      </c>
      <c r="H1425" s="3">
        <v>580.16000730335804</v>
      </c>
      <c r="I1425" s="3">
        <v>21.14</v>
      </c>
      <c r="J1425" s="3">
        <v>21.31</v>
      </c>
      <c r="K1425" s="3">
        <v>20.09</v>
      </c>
      <c r="L1425" s="3">
        <v>483.811636226997</v>
      </c>
    </row>
    <row r="1426" spans="1:12" ht="15" customHeight="1" x14ac:dyDescent="0.2">
      <c r="A1426" s="2">
        <v>43983</v>
      </c>
      <c r="B1426" s="3">
        <v>20.78</v>
      </c>
      <c r="C1426" s="1">
        <v>2751159</v>
      </c>
      <c r="D1426" s="3">
        <v>-0.69999999999999896</v>
      </c>
      <c r="E1426" s="3">
        <v>-3.25884543761638</v>
      </c>
      <c r="F1426" s="3">
        <v>-3.2588363740230899</v>
      </c>
      <c r="G1426" s="3">
        <v>24.209392999999999</v>
      </c>
      <c r="H1426" s="3">
        <v>574.64082765596197</v>
      </c>
      <c r="I1426" s="3">
        <v>21.58</v>
      </c>
      <c r="J1426" s="3">
        <v>21.95</v>
      </c>
      <c r="K1426" s="3">
        <v>20.68</v>
      </c>
      <c r="L1426" s="3">
        <v>479.07426256787602</v>
      </c>
    </row>
    <row r="1427" spans="1:12" ht="15" customHeight="1" x14ac:dyDescent="0.2">
      <c r="A1427" s="2">
        <v>43980</v>
      </c>
      <c r="B1427" s="3">
        <v>21.48</v>
      </c>
      <c r="C1427" s="1">
        <v>3838374</v>
      </c>
      <c r="D1427" s="3">
        <v>-0.28999999999999898</v>
      </c>
      <c r="E1427" s="3">
        <v>-1.3321084060633801</v>
      </c>
      <c r="F1427" s="3">
        <v>-1.33210980786251</v>
      </c>
      <c r="G1427" s="3">
        <v>25.024913999999999</v>
      </c>
      <c r="H1427" s="3">
        <v>597.36687297278695</v>
      </c>
      <c r="I1427" s="3">
        <v>21.17</v>
      </c>
      <c r="J1427" s="3">
        <v>21.74</v>
      </c>
      <c r="K1427" s="3">
        <v>20.7502</v>
      </c>
      <c r="L1427" s="3">
        <v>498.58109528190403</v>
      </c>
    </row>
    <row r="1428" spans="1:12" ht="15" customHeight="1" x14ac:dyDescent="0.2">
      <c r="A1428" s="2">
        <v>43979</v>
      </c>
      <c r="B1428" s="3">
        <v>21.77</v>
      </c>
      <c r="C1428" s="1">
        <v>3520313</v>
      </c>
      <c r="D1428" s="3">
        <v>-1.78999999999999</v>
      </c>
      <c r="E1428" s="3">
        <v>-7.5976230899830099</v>
      </c>
      <c r="F1428" s="3">
        <v>-7.5976213070278504</v>
      </c>
      <c r="G1428" s="3">
        <v>25.362774000000002</v>
      </c>
      <c r="H1428" s="3">
        <v>606.78198511673202</v>
      </c>
      <c r="I1428" s="3">
        <v>23.59</v>
      </c>
      <c r="J1428" s="3">
        <v>24</v>
      </c>
      <c r="K1428" s="3">
        <v>21.51</v>
      </c>
      <c r="L1428" s="3">
        <v>506.662497406287</v>
      </c>
    </row>
    <row r="1429" spans="1:12" ht="15" customHeight="1" x14ac:dyDescent="0.2">
      <c r="A1429" s="2">
        <v>43978</v>
      </c>
      <c r="B1429" s="3">
        <v>23.56</v>
      </c>
      <c r="C1429" s="1">
        <v>5626848</v>
      </c>
      <c r="D1429" s="3">
        <v>2.25999999999999</v>
      </c>
      <c r="E1429" s="3">
        <v>10.610328638497601</v>
      </c>
      <c r="F1429" s="3">
        <v>10.6103281503826</v>
      </c>
      <c r="G1429" s="3">
        <v>27.448183</v>
      </c>
      <c r="H1429" s="3">
        <v>664.89587726434604</v>
      </c>
      <c r="I1429" s="3">
        <v>22.05</v>
      </c>
      <c r="J1429" s="3">
        <v>23.84</v>
      </c>
      <c r="K1429" s="3">
        <v>21.76</v>
      </c>
      <c r="L1429" s="3">
        <v>556.54425534644599</v>
      </c>
    </row>
    <row r="1430" spans="1:12" ht="15" customHeight="1" x14ac:dyDescent="0.2">
      <c r="A1430" s="2">
        <v>43977</v>
      </c>
      <c r="B1430" s="3">
        <v>21.3</v>
      </c>
      <c r="C1430" s="1">
        <v>3226893</v>
      </c>
      <c r="D1430" s="3">
        <v>1.33</v>
      </c>
      <c r="E1430" s="3">
        <v>6.6599899849774697</v>
      </c>
      <c r="F1430" s="3">
        <v>6.6599936137783304</v>
      </c>
      <c r="G1430" s="3">
        <v>24.815207999999998</v>
      </c>
      <c r="H1430" s="3">
        <v>591.52301602831801</v>
      </c>
      <c r="I1430" s="3">
        <v>21.04</v>
      </c>
      <c r="J1430" s="3">
        <v>21.465</v>
      </c>
      <c r="K1430" s="3">
        <v>20.67</v>
      </c>
      <c r="L1430" s="3">
        <v>493.56505258401103</v>
      </c>
    </row>
    <row r="1431" spans="1:12" ht="15" customHeight="1" x14ac:dyDescent="0.2">
      <c r="A1431" s="2">
        <v>43973</v>
      </c>
      <c r="B1431" s="3">
        <v>19.97</v>
      </c>
      <c r="C1431" s="1">
        <v>1524061</v>
      </c>
      <c r="D1431" s="3">
        <v>9.9999999999980105E-3</v>
      </c>
      <c r="E1431" s="3">
        <v>5.0100200400793299E-2</v>
      </c>
      <c r="F1431" s="3">
        <v>5.0098771986650803E-2</v>
      </c>
      <c r="G1431" s="3">
        <v>23.265713000000002</v>
      </c>
      <c r="H1431" s="3">
        <v>548.34338780514099</v>
      </c>
      <c r="I1431" s="3">
        <v>20.16</v>
      </c>
      <c r="J1431" s="3">
        <v>20.39</v>
      </c>
      <c r="K1431" s="3">
        <v>19.48</v>
      </c>
      <c r="L1431" s="3">
        <v>456.50207042735701</v>
      </c>
    </row>
    <row r="1432" spans="1:12" ht="15" customHeight="1" x14ac:dyDescent="0.2">
      <c r="A1432" s="2">
        <v>43972</v>
      </c>
      <c r="B1432" s="3">
        <v>19.96</v>
      </c>
      <c r="C1432" s="1">
        <v>1858848</v>
      </c>
      <c r="D1432" s="3"/>
      <c r="E1432" s="3"/>
      <c r="F1432" s="3"/>
      <c r="G1432" s="3">
        <v>23.254062999999999</v>
      </c>
      <c r="H1432" s="3">
        <v>548.01873837497203</v>
      </c>
      <c r="I1432" s="3">
        <v>20.04</v>
      </c>
      <c r="J1432" s="3">
        <v>20.36</v>
      </c>
      <c r="K1432" s="3">
        <v>19.66</v>
      </c>
      <c r="L1432" s="3">
        <v>456.22340138858499</v>
      </c>
    </row>
    <row r="1433" spans="1:12" ht="15" customHeight="1" x14ac:dyDescent="0.2">
      <c r="A1433" s="2">
        <v>43971</v>
      </c>
      <c r="B1433" s="3">
        <v>19.96</v>
      </c>
      <c r="C1433" s="1">
        <v>1649505</v>
      </c>
      <c r="D1433" s="3">
        <v>-0.109999999999999</v>
      </c>
      <c r="E1433" s="3">
        <v>-0.54808171400099104</v>
      </c>
      <c r="F1433" s="3">
        <v>-0.54808318646603005</v>
      </c>
      <c r="G1433" s="3">
        <v>23.254062999999999</v>
      </c>
      <c r="H1433" s="3">
        <v>548.01873837497203</v>
      </c>
      <c r="I1433" s="3">
        <v>20.49</v>
      </c>
      <c r="J1433" s="3">
        <v>20.71</v>
      </c>
      <c r="K1433" s="3">
        <v>19.82</v>
      </c>
      <c r="L1433" s="3">
        <v>456.22340138858499</v>
      </c>
    </row>
    <row r="1434" spans="1:12" ht="15" customHeight="1" x14ac:dyDescent="0.2">
      <c r="A1434" s="2">
        <v>43970</v>
      </c>
      <c r="B1434" s="3">
        <v>20.07</v>
      </c>
      <c r="C1434" s="1">
        <v>2883853</v>
      </c>
      <c r="D1434" s="3">
        <v>0.3</v>
      </c>
      <c r="E1434" s="3">
        <v>1.5174506828528</v>
      </c>
      <c r="F1434" s="3">
        <v>1.51745081461767</v>
      </c>
      <c r="G1434" s="3">
        <v>23.382217000000001</v>
      </c>
      <c r="H1434" s="3">
        <v>551.58999357444895</v>
      </c>
      <c r="I1434" s="3">
        <v>19.66</v>
      </c>
      <c r="J1434" s="3">
        <v>20.6</v>
      </c>
      <c r="K1434" s="3">
        <v>18.79</v>
      </c>
      <c r="L1434" s="3">
        <v>459.28876081507502</v>
      </c>
    </row>
    <row r="1435" spans="1:12" ht="15" customHeight="1" x14ac:dyDescent="0.2">
      <c r="A1435" s="2">
        <v>43969</v>
      </c>
      <c r="B1435" s="3">
        <v>19.77</v>
      </c>
      <c r="C1435" s="1">
        <v>2726147</v>
      </c>
      <c r="D1435" s="3">
        <v>1.2549999999999899</v>
      </c>
      <c r="E1435" s="3">
        <v>6.7782878746961801</v>
      </c>
      <c r="F1435" s="3">
        <v>6.7782843780219002</v>
      </c>
      <c r="G1435" s="3">
        <v>23.032706999999998</v>
      </c>
      <c r="H1435" s="3">
        <v>541.85023200033402</v>
      </c>
      <c r="I1435" s="3">
        <v>19.78</v>
      </c>
      <c r="J1435" s="3">
        <v>20.100000000000001</v>
      </c>
      <c r="K1435" s="3">
        <v>19.04</v>
      </c>
      <c r="L1435" s="3">
        <v>450.92868965192002</v>
      </c>
    </row>
    <row r="1436" spans="1:12" ht="15" customHeight="1" x14ac:dyDescent="0.2">
      <c r="A1436" s="2">
        <v>43966</v>
      </c>
      <c r="B1436" s="3">
        <v>18.515000000000001</v>
      </c>
      <c r="C1436" s="1">
        <v>2240418</v>
      </c>
      <c r="D1436" s="3">
        <v>0.310000000000002</v>
      </c>
      <c r="E1436" s="3">
        <v>1.7028288931612201</v>
      </c>
      <c r="F1436" s="3">
        <v>1.70283218360889</v>
      </c>
      <c r="G1436" s="3">
        <v>21.570591</v>
      </c>
      <c r="H1436" s="3">
        <v>501.10558597104199</v>
      </c>
      <c r="I1436" s="3">
        <v>17.920000000000002</v>
      </c>
      <c r="J1436" s="3">
        <v>18.829999999999998</v>
      </c>
      <c r="K1436" s="3">
        <v>17.5</v>
      </c>
      <c r="L1436" s="3">
        <v>415.95572528605499</v>
      </c>
    </row>
    <row r="1437" spans="1:12" ht="15" customHeight="1" x14ac:dyDescent="0.2">
      <c r="A1437" s="2">
        <v>43965</v>
      </c>
      <c r="B1437" s="3">
        <v>18.204999999999998</v>
      </c>
      <c r="C1437" s="1">
        <v>3482572</v>
      </c>
      <c r="D1437" s="3">
        <v>-6.5000000000001196E-2</v>
      </c>
      <c r="E1437" s="3">
        <v>-0.35577449370553998</v>
      </c>
      <c r="F1437" s="3">
        <v>-0.35577842551132099</v>
      </c>
      <c r="G1437" s="3">
        <v>21.209430000000001</v>
      </c>
      <c r="H1437" s="3">
        <v>491.04114709985498</v>
      </c>
      <c r="I1437" s="3">
        <v>17.37</v>
      </c>
      <c r="J1437" s="3">
        <v>18.64</v>
      </c>
      <c r="K1437" s="3">
        <v>16.8</v>
      </c>
      <c r="L1437" s="3">
        <v>407.31698508412802</v>
      </c>
    </row>
    <row r="1438" spans="1:12" ht="15" customHeight="1" x14ac:dyDescent="0.2">
      <c r="A1438" s="2">
        <v>43964</v>
      </c>
      <c r="B1438" s="3">
        <v>18.27</v>
      </c>
      <c r="C1438" s="1">
        <v>5406450</v>
      </c>
      <c r="D1438" s="3">
        <v>-1.07</v>
      </c>
      <c r="E1438" s="3">
        <v>-5.53257497414684</v>
      </c>
      <c r="F1438" s="3">
        <v>-5.5325766172383197</v>
      </c>
      <c r="G1438" s="3">
        <v>21.285157999999999</v>
      </c>
      <c r="H1438" s="3">
        <v>493.15145199666603</v>
      </c>
      <c r="I1438" s="3">
        <v>19.05</v>
      </c>
      <c r="J1438" s="3">
        <v>19.05</v>
      </c>
      <c r="K1438" s="3">
        <v>17.260000000000002</v>
      </c>
      <c r="L1438" s="3">
        <v>409.12833383614498</v>
      </c>
    </row>
    <row r="1439" spans="1:12" ht="15" customHeight="1" x14ac:dyDescent="0.2">
      <c r="A1439" s="2">
        <v>43963</v>
      </c>
      <c r="B1439" s="3">
        <v>19.34</v>
      </c>
      <c r="C1439" s="1">
        <v>3563835</v>
      </c>
      <c r="D1439" s="3">
        <v>-2.0150000000000001</v>
      </c>
      <c r="E1439" s="3">
        <v>-9.4357293373917095</v>
      </c>
      <c r="F1439" s="3">
        <v>-9.4357217032451395</v>
      </c>
      <c r="G1439" s="3">
        <v>22.531744</v>
      </c>
      <c r="H1439" s="3">
        <v>527.88994423330905</v>
      </c>
      <c r="I1439" s="3">
        <v>21.43</v>
      </c>
      <c r="J1439" s="3">
        <v>21.64</v>
      </c>
      <c r="K1439" s="3">
        <v>19.329999999999998</v>
      </c>
      <c r="L1439" s="3">
        <v>438.945920984731</v>
      </c>
    </row>
    <row r="1440" spans="1:12" ht="15" customHeight="1" x14ac:dyDescent="0.2">
      <c r="A1440" s="2">
        <v>43962</v>
      </c>
      <c r="B1440" s="3">
        <v>21.355</v>
      </c>
      <c r="C1440" s="1">
        <v>2956141</v>
      </c>
      <c r="D1440" s="3">
        <v>-1.085</v>
      </c>
      <c r="E1440" s="3">
        <v>-4.8351158645276202</v>
      </c>
      <c r="F1440" s="3">
        <v>-4.8351230620930004</v>
      </c>
      <c r="G1440" s="3">
        <v>24.879283999999998</v>
      </c>
      <c r="H1440" s="3">
        <v>593.30861576115296</v>
      </c>
      <c r="I1440" s="3">
        <v>21.67</v>
      </c>
      <c r="J1440" s="3">
        <v>22.35</v>
      </c>
      <c r="K1440" s="3">
        <v>21.25</v>
      </c>
      <c r="L1440" s="3">
        <v>495.09773229725602</v>
      </c>
    </row>
    <row r="1441" spans="1:12" ht="15" customHeight="1" x14ac:dyDescent="0.2">
      <c r="A1441" s="2">
        <v>43959</v>
      </c>
      <c r="B1441" s="3">
        <v>22.44</v>
      </c>
      <c r="C1441" s="1">
        <v>3689079</v>
      </c>
      <c r="D1441" s="3">
        <v>1.8399999999999901</v>
      </c>
      <c r="E1441" s="3">
        <v>8.9320388349514594</v>
      </c>
      <c r="F1441" s="3">
        <v>8.9320422330543003</v>
      </c>
      <c r="G1441" s="3">
        <v>26.143346999999999</v>
      </c>
      <c r="H1441" s="3">
        <v>628.53413787685702</v>
      </c>
      <c r="I1441" s="3">
        <v>21.27</v>
      </c>
      <c r="J1441" s="3">
        <v>22.52</v>
      </c>
      <c r="K1441" s="3">
        <v>20.91</v>
      </c>
      <c r="L1441" s="3">
        <v>525.33332300400002</v>
      </c>
    </row>
    <row r="1442" spans="1:12" ht="15" customHeight="1" x14ac:dyDescent="0.2">
      <c r="A1442" s="2">
        <v>43958</v>
      </c>
      <c r="B1442" s="3">
        <v>20.6</v>
      </c>
      <c r="C1442" s="1">
        <v>5946489</v>
      </c>
      <c r="D1442" s="3">
        <v>0.89</v>
      </c>
      <c r="E1442" s="3">
        <v>4.5154743784880704</v>
      </c>
      <c r="F1442" s="3">
        <v>4.5154762233969103</v>
      </c>
      <c r="G1442" s="3">
        <v>23.999684999999999</v>
      </c>
      <c r="H1442" s="3">
        <v>568.79691497768601</v>
      </c>
      <c r="I1442" s="3">
        <v>19.989999999999998</v>
      </c>
      <c r="J1442" s="3">
        <v>20.8399</v>
      </c>
      <c r="K1442" s="3">
        <v>19.18</v>
      </c>
      <c r="L1442" s="3">
        <v>474.05821986998302</v>
      </c>
    </row>
    <row r="1443" spans="1:12" ht="15" customHeight="1" x14ac:dyDescent="0.2">
      <c r="A1443" s="2">
        <v>43957</v>
      </c>
      <c r="B1443" s="3">
        <v>19.71</v>
      </c>
      <c r="C1443" s="1">
        <v>3747114</v>
      </c>
      <c r="D1443" s="3">
        <v>0.190000000000001</v>
      </c>
      <c r="E1443" s="3">
        <v>0.97336065573772002</v>
      </c>
      <c r="F1443" s="3">
        <v>0.97335482126248396</v>
      </c>
      <c r="G1443" s="3">
        <v>22.962804999999999</v>
      </c>
      <c r="H1443" s="3">
        <v>539.90227968551096</v>
      </c>
      <c r="I1443" s="3">
        <v>20.22</v>
      </c>
      <c r="J1443" s="3">
        <v>20.78</v>
      </c>
      <c r="K1443" s="3">
        <v>19.27</v>
      </c>
      <c r="L1443" s="3">
        <v>449.25667541928902</v>
      </c>
    </row>
    <row r="1444" spans="1:12" ht="15" customHeight="1" x14ac:dyDescent="0.2">
      <c r="A1444" s="2">
        <v>43956</v>
      </c>
      <c r="B1444" s="3">
        <v>19.52</v>
      </c>
      <c r="C1444" s="1">
        <v>3382940</v>
      </c>
      <c r="D1444" s="3">
        <v>-0.5</v>
      </c>
      <c r="E1444" s="3">
        <v>-2.4975024975025</v>
      </c>
      <c r="F1444" s="3">
        <v>-2.4975039623405402</v>
      </c>
      <c r="G1444" s="3">
        <v>22.74145</v>
      </c>
      <c r="H1444" s="3">
        <v>533.73380117777799</v>
      </c>
      <c r="I1444" s="3">
        <v>20.5</v>
      </c>
      <c r="J1444" s="3">
        <v>20.7</v>
      </c>
      <c r="K1444" s="3">
        <v>19.489999999999998</v>
      </c>
      <c r="L1444" s="3">
        <v>443.961963682624</v>
      </c>
    </row>
    <row r="1445" spans="1:12" ht="15" customHeight="1" x14ac:dyDescent="0.2">
      <c r="A1445" s="2">
        <v>43955</v>
      </c>
      <c r="B1445" s="3">
        <v>20.02</v>
      </c>
      <c r="C1445" s="1">
        <v>2370925</v>
      </c>
      <c r="D1445" s="3">
        <v>-0.109999999999999</v>
      </c>
      <c r="E1445" s="3">
        <v>-0.54644808743169404</v>
      </c>
      <c r="F1445" s="3">
        <v>-0.54643678664758599</v>
      </c>
      <c r="G1445" s="3">
        <v>23.323967</v>
      </c>
      <c r="H1445" s="3">
        <v>549.96674642360301</v>
      </c>
      <c r="I1445" s="3">
        <v>19.510000000000002</v>
      </c>
      <c r="J1445" s="3">
        <v>20.43</v>
      </c>
      <c r="K1445" s="3">
        <v>18.84</v>
      </c>
      <c r="L1445" s="3">
        <v>457.89541562121599</v>
      </c>
    </row>
    <row r="1446" spans="1:12" ht="15" customHeight="1" x14ac:dyDescent="0.2">
      <c r="A1446" s="2">
        <v>43952</v>
      </c>
      <c r="B1446" s="3">
        <v>20.13</v>
      </c>
      <c r="C1446" s="1">
        <v>3578473</v>
      </c>
      <c r="D1446" s="3">
        <v>-2.16</v>
      </c>
      <c r="E1446" s="3">
        <v>-9.6904441453566506</v>
      </c>
      <c r="F1446" s="3">
        <v>-9.6904522201280692</v>
      </c>
      <c r="G1446" s="3">
        <v>23.452117999999999</v>
      </c>
      <c r="H1446" s="3">
        <v>553.53791802236799</v>
      </c>
      <c r="I1446" s="3">
        <v>21.51</v>
      </c>
      <c r="J1446" s="3">
        <v>21.91</v>
      </c>
      <c r="K1446" s="3">
        <v>19.850000000000001</v>
      </c>
      <c r="L1446" s="3">
        <v>460.96077504770602</v>
      </c>
    </row>
    <row r="1447" spans="1:12" ht="15" customHeight="1" x14ac:dyDescent="0.2">
      <c r="A1447" s="2">
        <v>43951</v>
      </c>
      <c r="B1447" s="3">
        <v>22.29</v>
      </c>
      <c r="C1447" s="1">
        <v>4208743</v>
      </c>
      <c r="D1447" s="3">
        <v>-2.0699999999999998</v>
      </c>
      <c r="E1447" s="3">
        <v>-8.4975369458128096</v>
      </c>
      <c r="F1447" s="3">
        <v>-8.4975340210660892</v>
      </c>
      <c r="G1447" s="3">
        <v>25.968592000000001</v>
      </c>
      <c r="H1447" s="3">
        <v>623.6642570898</v>
      </c>
      <c r="I1447" s="3">
        <v>23.45</v>
      </c>
      <c r="J1447" s="3">
        <v>23.99</v>
      </c>
      <c r="K1447" s="3">
        <v>21.855</v>
      </c>
      <c r="L1447" s="3">
        <v>521.15328742242298</v>
      </c>
    </row>
    <row r="1448" spans="1:12" ht="15" customHeight="1" x14ac:dyDescent="0.2">
      <c r="A1448" s="2">
        <v>43950</v>
      </c>
      <c r="B1448" s="3">
        <v>24.36</v>
      </c>
      <c r="C1448" s="1">
        <v>5675798</v>
      </c>
      <c r="D1448" s="3">
        <v>3.03</v>
      </c>
      <c r="E1448" s="3">
        <v>14.2053445850914</v>
      </c>
      <c r="F1448" s="3">
        <v>14.2053457283713</v>
      </c>
      <c r="G1448" s="3">
        <v>28.380210000000002</v>
      </c>
      <c r="H1448" s="3">
        <v>690.868584084286</v>
      </c>
      <c r="I1448" s="3">
        <v>22.51</v>
      </c>
      <c r="J1448" s="3">
        <v>25.71</v>
      </c>
      <c r="K1448" s="3">
        <v>22.51</v>
      </c>
      <c r="L1448" s="3">
        <v>578.83777844819303</v>
      </c>
    </row>
    <row r="1449" spans="1:12" ht="15" customHeight="1" x14ac:dyDescent="0.2">
      <c r="A1449" s="2">
        <v>43949</v>
      </c>
      <c r="B1449" s="3">
        <v>21.33</v>
      </c>
      <c r="C1449" s="1">
        <v>4645902</v>
      </c>
      <c r="D1449" s="3">
        <v>1.28999999999999</v>
      </c>
      <c r="E1449" s="3">
        <v>6.4371257485029902</v>
      </c>
      <c r="F1449" s="3">
        <v>6.4371217410586103</v>
      </c>
      <c r="G1449" s="3">
        <v>24.850159000000001</v>
      </c>
      <c r="H1449" s="3">
        <v>592.49699218573005</v>
      </c>
      <c r="I1449" s="3">
        <v>21.175999999999998</v>
      </c>
      <c r="J1449" s="3">
        <v>22.27</v>
      </c>
      <c r="K1449" s="3">
        <v>20.37</v>
      </c>
      <c r="L1449" s="3">
        <v>494.40105970032698</v>
      </c>
    </row>
    <row r="1450" spans="1:12" ht="15" customHeight="1" x14ac:dyDescent="0.2">
      <c r="A1450" s="2">
        <v>43948</v>
      </c>
      <c r="B1450" s="3">
        <v>20.04</v>
      </c>
      <c r="C1450" s="1">
        <v>3816906</v>
      </c>
      <c r="D1450" s="3">
        <v>1.4450000000000001</v>
      </c>
      <c r="E1450" s="3">
        <v>7.7709061575692298</v>
      </c>
      <c r="F1450" s="3">
        <v>7.7709056871571001</v>
      </c>
      <c r="G1450" s="3">
        <v>23.347266999999999</v>
      </c>
      <c r="H1450" s="3">
        <v>550.61604528394105</v>
      </c>
      <c r="I1450" s="3">
        <v>18.84</v>
      </c>
      <c r="J1450" s="3">
        <v>20.4359</v>
      </c>
      <c r="K1450" s="3">
        <v>18.6401</v>
      </c>
      <c r="L1450" s="3">
        <v>458.45275369875998</v>
      </c>
    </row>
    <row r="1451" spans="1:12" ht="15" customHeight="1" x14ac:dyDescent="0.2">
      <c r="A1451" s="2">
        <v>43945</v>
      </c>
      <c r="B1451" s="3">
        <v>18.594999999999999</v>
      </c>
      <c r="C1451" s="1">
        <v>2515419</v>
      </c>
      <c r="D1451" s="3">
        <v>0.29499999999999799</v>
      </c>
      <c r="E1451" s="3">
        <v>1.61202185792348</v>
      </c>
      <c r="F1451" s="3">
        <v>1.6120274812866799</v>
      </c>
      <c r="G1451" s="3">
        <v>21.663793999999999</v>
      </c>
      <c r="H1451" s="3">
        <v>503.70286501310699</v>
      </c>
      <c r="I1451" s="3">
        <v>18.57</v>
      </c>
      <c r="J1451" s="3">
        <v>18.835000000000001</v>
      </c>
      <c r="K1451" s="3">
        <v>18.0501</v>
      </c>
      <c r="L1451" s="3">
        <v>418.18507759622901</v>
      </c>
    </row>
    <row r="1452" spans="1:12" ht="15" customHeight="1" x14ac:dyDescent="0.2">
      <c r="A1452" s="2">
        <v>43944</v>
      </c>
      <c r="B1452" s="3">
        <v>18.3</v>
      </c>
      <c r="C1452" s="1">
        <v>3778199</v>
      </c>
      <c r="D1452" s="3">
        <v>-1.62</v>
      </c>
      <c r="E1452" s="3">
        <v>-8.1325301204819294</v>
      </c>
      <c r="F1452" s="3">
        <v>-8.1325308213366796</v>
      </c>
      <c r="G1452" s="3">
        <v>21.320108000000001</v>
      </c>
      <c r="H1452" s="3">
        <v>494.12540028717302</v>
      </c>
      <c r="I1452" s="3">
        <v>20.13</v>
      </c>
      <c r="J1452" s="3">
        <v>20.13</v>
      </c>
      <c r="K1452" s="3">
        <v>18.29</v>
      </c>
      <c r="L1452" s="3">
        <v>409.96434095246002</v>
      </c>
    </row>
    <row r="1453" spans="1:12" ht="15" customHeight="1" x14ac:dyDescent="0.2">
      <c r="A1453" s="2">
        <v>43943</v>
      </c>
      <c r="B1453" s="3">
        <v>19.920000000000002</v>
      </c>
      <c r="C1453" s="1">
        <v>3327633</v>
      </c>
      <c r="D1453" s="3">
        <v>1.1200000000000001</v>
      </c>
      <c r="E1453" s="3">
        <v>5.9574468085106398</v>
      </c>
      <c r="F1453" s="3">
        <v>5.9574505776111604</v>
      </c>
      <c r="G1453" s="3">
        <v>23.207462</v>
      </c>
      <c r="H1453" s="3">
        <v>546.72011278739205</v>
      </c>
      <c r="I1453" s="3">
        <v>19.239999999999998</v>
      </c>
      <c r="J1453" s="3">
        <v>20.05</v>
      </c>
      <c r="K1453" s="3">
        <v>19.079999999999998</v>
      </c>
      <c r="L1453" s="3">
        <v>455.10872523349798</v>
      </c>
    </row>
    <row r="1454" spans="1:12" ht="15" customHeight="1" x14ac:dyDescent="0.2">
      <c r="A1454" s="2">
        <v>43942</v>
      </c>
      <c r="B1454" s="3">
        <v>18.8</v>
      </c>
      <c r="C1454" s="1">
        <v>2499360</v>
      </c>
      <c r="D1454" s="3">
        <v>-0.12999999999999901</v>
      </c>
      <c r="E1454" s="3">
        <v>-0.68674062334917996</v>
      </c>
      <c r="F1454" s="3">
        <v>-0.68675271483767897</v>
      </c>
      <c r="G1454" s="3">
        <v>21.902623999999999</v>
      </c>
      <c r="H1454" s="3">
        <v>510.35831766609499</v>
      </c>
      <c r="I1454" s="3">
        <v>18.32</v>
      </c>
      <c r="J1454" s="3">
        <v>19.25</v>
      </c>
      <c r="K1454" s="3">
        <v>18.32</v>
      </c>
      <c r="L1454" s="3">
        <v>423.89779289105201</v>
      </c>
    </row>
    <row r="1455" spans="1:12" ht="15" customHeight="1" x14ac:dyDescent="0.2">
      <c r="A1455" s="2">
        <v>43941</v>
      </c>
      <c r="B1455" s="3">
        <v>18.93</v>
      </c>
      <c r="C1455" s="1">
        <v>5786045</v>
      </c>
      <c r="D1455" s="3">
        <v>0.21</v>
      </c>
      <c r="E1455" s="3">
        <v>1.12179487179486</v>
      </c>
      <c r="F1455" s="3">
        <v>1.12180414501585</v>
      </c>
      <c r="G1455" s="3">
        <v>22.054081</v>
      </c>
      <c r="H1455" s="3">
        <v>514.57895532662201</v>
      </c>
      <c r="I1455" s="3">
        <v>19.100000000000001</v>
      </c>
      <c r="J1455" s="3">
        <v>20.41</v>
      </c>
      <c r="K1455" s="3">
        <v>18.53</v>
      </c>
      <c r="L1455" s="3">
        <v>427.52049039508597</v>
      </c>
    </row>
    <row r="1456" spans="1:12" ht="15" customHeight="1" x14ac:dyDescent="0.2">
      <c r="A1456" s="2">
        <v>43938</v>
      </c>
      <c r="B1456" s="3">
        <v>18.72</v>
      </c>
      <c r="C1456" s="1">
        <v>3346299</v>
      </c>
      <c r="D1456" s="3">
        <v>1.01999999999999</v>
      </c>
      <c r="E1456" s="3">
        <v>5.7627118644067696</v>
      </c>
      <c r="F1456" s="3">
        <v>5.7627021655984398</v>
      </c>
      <c r="G1456" s="3">
        <v>21.809422000000001</v>
      </c>
      <c r="H1456" s="3">
        <v>507.76106649093401</v>
      </c>
      <c r="I1456" s="3">
        <v>18.8</v>
      </c>
      <c r="J1456" s="3">
        <v>19.2</v>
      </c>
      <c r="K1456" s="3">
        <v>17.96</v>
      </c>
      <c r="L1456" s="3">
        <v>421.66844058087702</v>
      </c>
    </row>
    <row r="1457" spans="1:12" ht="15" customHeight="1" x14ac:dyDescent="0.2">
      <c r="A1457" s="2">
        <v>43937</v>
      </c>
      <c r="B1457" s="3">
        <v>17.7</v>
      </c>
      <c r="C1457" s="1">
        <v>2721675</v>
      </c>
      <c r="D1457" s="3">
        <v>0.27999999999999697</v>
      </c>
      <c r="E1457" s="3">
        <v>1.6073478760045801</v>
      </c>
      <c r="F1457" s="3">
        <v>1.60735121370512</v>
      </c>
      <c r="G1457" s="3">
        <v>20.621089999999999</v>
      </c>
      <c r="H1457" s="3">
        <v>474.64593287275198</v>
      </c>
      <c r="I1457" s="3">
        <v>17.510000000000002</v>
      </c>
      <c r="J1457" s="3">
        <v>17.77</v>
      </c>
      <c r="K1457" s="3">
        <v>16.63</v>
      </c>
      <c r="L1457" s="3">
        <v>393.24419862615002</v>
      </c>
    </row>
    <row r="1458" spans="1:12" ht="15" customHeight="1" x14ac:dyDescent="0.2">
      <c r="A1458" s="2">
        <v>43936</v>
      </c>
      <c r="B1458" s="3">
        <v>17.420000000000002</v>
      </c>
      <c r="C1458" s="1">
        <v>3148340</v>
      </c>
      <c r="D1458" s="3">
        <v>-1.5599999999999901</v>
      </c>
      <c r="E1458" s="3">
        <v>-8.2191780821917693</v>
      </c>
      <c r="F1458" s="3">
        <v>-8.2191741793300803</v>
      </c>
      <c r="G1458" s="3">
        <v>20.294879999999999</v>
      </c>
      <c r="H1458" s="3">
        <v>465.55547015897599</v>
      </c>
      <c r="I1458" s="3">
        <v>18.12</v>
      </c>
      <c r="J1458" s="3">
        <v>18.549800000000001</v>
      </c>
      <c r="K1458" s="3">
        <v>17.12</v>
      </c>
      <c r="L1458" s="3">
        <v>385.44146554053901</v>
      </c>
    </row>
    <row r="1459" spans="1:12" ht="15" customHeight="1" x14ac:dyDescent="0.2">
      <c r="A1459" s="2">
        <v>43935</v>
      </c>
      <c r="B1459" s="3">
        <v>18.98</v>
      </c>
      <c r="C1459" s="1">
        <v>2960471</v>
      </c>
      <c r="D1459" s="3">
        <v>0.100000000000001</v>
      </c>
      <c r="E1459" s="3">
        <v>0.52966101694915602</v>
      </c>
      <c r="F1459" s="3">
        <v>0.52966410401391595</v>
      </c>
      <c r="G1459" s="3">
        <v>22.112331000000001</v>
      </c>
      <c r="H1459" s="3">
        <v>516.20220247746795</v>
      </c>
      <c r="I1459" s="3">
        <v>19.45</v>
      </c>
      <c r="J1459" s="3">
        <v>20.439900000000002</v>
      </c>
      <c r="K1459" s="3">
        <v>18.54</v>
      </c>
      <c r="L1459" s="3">
        <v>428.91383558894501</v>
      </c>
    </row>
    <row r="1460" spans="1:12" ht="15" customHeight="1" x14ac:dyDescent="0.2">
      <c r="A1460" s="2">
        <v>43934</v>
      </c>
      <c r="B1460" s="3">
        <v>18.88</v>
      </c>
      <c r="C1460" s="1">
        <v>3449690</v>
      </c>
      <c r="D1460" s="3">
        <v>-1.32</v>
      </c>
      <c r="E1460" s="3">
        <v>-6.5346534653465396</v>
      </c>
      <c r="F1460" s="3">
        <v>-6.5346580848071598</v>
      </c>
      <c r="G1460" s="3">
        <v>21.995826999999998</v>
      </c>
      <c r="H1460" s="3">
        <v>512.95559670815999</v>
      </c>
      <c r="I1460" s="3">
        <v>20.65</v>
      </c>
      <c r="J1460" s="3">
        <v>20.65</v>
      </c>
      <c r="K1460" s="3">
        <v>18.28</v>
      </c>
      <c r="L1460" s="3">
        <v>426.12714520122699</v>
      </c>
    </row>
    <row r="1461" spans="1:12" ht="15" customHeight="1" x14ac:dyDescent="0.2">
      <c r="A1461" s="2">
        <v>43930</v>
      </c>
      <c r="B1461" s="3">
        <v>20.2</v>
      </c>
      <c r="C1461" s="1">
        <v>5190770</v>
      </c>
      <c r="D1461" s="3">
        <v>1.71999999999999</v>
      </c>
      <c r="E1461" s="3">
        <v>9.3073593073593095</v>
      </c>
      <c r="F1461" s="3">
        <v>9.3073632684425398</v>
      </c>
      <c r="G1461" s="3">
        <v>23.533671999999999</v>
      </c>
      <c r="H1461" s="3">
        <v>555.81057550116805</v>
      </c>
      <c r="I1461" s="3">
        <v>19.399999999999999</v>
      </c>
      <c r="J1461" s="3">
        <v>21.22</v>
      </c>
      <c r="K1461" s="3">
        <v>19.05</v>
      </c>
      <c r="L1461" s="3">
        <v>462.91145831910899</v>
      </c>
    </row>
    <row r="1462" spans="1:12" ht="15" customHeight="1" x14ac:dyDescent="0.2">
      <c r="A1462" s="2">
        <v>43929</v>
      </c>
      <c r="B1462" s="3">
        <v>18.48</v>
      </c>
      <c r="C1462" s="1">
        <v>5933619</v>
      </c>
      <c r="D1462" s="3">
        <v>2.14</v>
      </c>
      <c r="E1462" s="3">
        <v>13.096695226438101</v>
      </c>
      <c r="F1462" s="3">
        <v>13.0966886810511</v>
      </c>
      <c r="G1462" s="3">
        <v>21.529813999999998</v>
      </c>
      <c r="H1462" s="3">
        <v>499.96925723164202</v>
      </c>
      <c r="I1462" s="3">
        <v>16.61</v>
      </c>
      <c r="J1462" s="3">
        <v>18.64</v>
      </c>
      <c r="K1462" s="3">
        <v>16</v>
      </c>
      <c r="L1462" s="3">
        <v>414.98038365035302</v>
      </c>
    </row>
    <row r="1463" spans="1:12" ht="15" customHeight="1" x14ac:dyDescent="0.2">
      <c r="A1463" s="2">
        <v>43928</v>
      </c>
      <c r="B1463" s="3">
        <v>16.34</v>
      </c>
      <c r="C1463" s="1">
        <v>4587218</v>
      </c>
      <c r="D1463" s="3">
        <v>-0.44999999999999901</v>
      </c>
      <c r="E1463" s="3">
        <v>-2.6801667659320998</v>
      </c>
      <c r="F1463" s="3">
        <v>-2.6801718324965398</v>
      </c>
      <c r="G1463" s="3">
        <v>19.036643999999999</v>
      </c>
      <c r="H1463" s="3">
        <v>430.49232849216401</v>
      </c>
      <c r="I1463" s="3">
        <v>18</v>
      </c>
      <c r="J1463" s="3">
        <v>18.435099999999998</v>
      </c>
      <c r="K1463" s="3">
        <v>16.079999999999998</v>
      </c>
      <c r="L1463" s="3">
        <v>355.34520935318</v>
      </c>
    </row>
    <row r="1464" spans="1:12" ht="15" customHeight="1" x14ac:dyDescent="0.2">
      <c r="A1464" s="2">
        <v>43927</v>
      </c>
      <c r="B1464" s="3">
        <v>16.79</v>
      </c>
      <c r="C1464" s="1">
        <v>4035224</v>
      </c>
      <c r="D1464" s="3">
        <v>1.27999999999999</v>
      </c>
      <c r="E1464" s="3">
        <v>8.2527401676337693</v>
      </c>
      <c r="F1464" s="3">
        <v>8.2527480032004803</v>
      </c>
      <c r="G1464" s="3">
        <v>19.56091</v>
      </c>
      <c r="H1464" s="3">
        <v>445.10199872023998</v>
      </c>
      <c r="I1464" s="3">
        <v>16.600000000000001</v>
      </c>
      <c r="J1464" s="3">
        <v>17.29</v>
      </c>
      <c r="K1464" s="3">
        <v>16.170000000000002</v>
      </c>
      <c r="L1464" s="3">
        <v>367.88531609791301</v>
      </c>
    </row>
    <row r="1465" spans="1:12" ht="15" customHeight="1" x14ac:dyDescent="0.2">
      <c r="A1465" s="2">
        <v>43924</v>
      </c>
      <c r="B1465" s="3">
        <v>15.51</v>
      </c>
      <c r="C1465" s="1">
        <v>2351614</v>
      </c>
      <c r="D1465" s="3">
        <v>0.41</v>
      </c>
      <c r="E1465" s="3">
        <v>2.7152317880794601</v>
      </c>
      <c r="F1465" s="3">
        <v>2.7152280499270298</v>
      </c>
      <c r="G1465" s="3">
        <v>18.069666000000002</v>
      </c>
      <c r="H1465" s="3">
        <v>403.54564551481297</v>
      </c>
      <c r="I1465" s="3">
        <v>15.37</v>
      </c>
      <c r="J1465" s="3">
        <v>15.82</v>
      </c>
      <c r="K1465" s="3">
        <v>14.76</v>
      </c>
      <c r="L1465" s="3">
        <v>332.21567913511802</v>
      </c>
    </row>
    <row r="1466" spans="1:12" ht="15" customHeight="1" x14ac:dyDescent="0.2">
      <c r="A1466" s="2">
        <v>43923</v>
      </c>
      <c r="B1466" s="3">
        <v>15.1</v>
      </c>
      <c r="C1466" s="1">
        <v>3520507</v>
      </c>
      <c r="D1466" s="3">
        <v>-0.62000000000000099</v>
      </c>
      <c r="E1466" s="3">
        <v>-3.9440203562341001</v>
      </c>
      <c r="F1466" s="3">
        <v>-3.9440169314475999</v>
      </c>
      <c r="G1466" s="3">
        <v>17.592002999999998</v>
      </c>
      <c r="H1466" s="3">
        <v>390.23465660812599</v>
      </c>
      <c r="I1466" s="3">
        <v>15.54</v>
      </c>
      <c r="J1466" s="3">
        <v>16.059999999999999</v>
      </c>
      <c r="K1466" s="3">
        <v>14.63</v>
      </c>
      <c r="L1466" s="3">
        <v>320.79024854547299</v>
      </c>
    </row>
    <row r="1467" spans="1:12" ht="15" customHeight="1" x14ac:dyDescent="0.2">
      <c r="A1467" s="2">
        <v>43922</v>
      </c>
      <c r="B1467" s="3">
        <v>15.72</v>
      </c>
      <c r="C1467" s="1">
        <v>3555676</v>
      </c>
      <c r="D1467" s="3">
        <v>-1.3599999999999901</v>
      </c>
      <c r="E1467" s="3">
        <v>-7.9625292740046696</v>
      </c>
      <c r="F1467" s="3">
        <v>-7.9625235071097498</v>
      </c>
      <c r="G1467" s="3">
        <v>18.314323000000002</v>
      </c>
      <c r="H1467" s="3">
        <v>410.36347861669299</v>
      </c>
      <c r="I1467" s="3">
        <v>16.149999999999999</v>
      </c>
      <c r="J1467" s="3">
        <v>16.7</v>
      </c>
      <c r="K1467" s="3">
        <v>15.52</v>
      </c>
      <c r="L1467" s="3">
        <v>338.06772894932601</v>
      </c>
    </row>
    <row r="1468" spans="1:12" ht="15" customHeight="1" x14ac:dyDescent="0.2">
      <c r="A1468" s="2">
        <v>43921</v>
      </c>
      <c r="B1468" s="3">
        <v>17.079999999999998</v>
      </c>
      <c r="C1468" s="1">
        <v>3755980</v>
      </c>
      <c r="D1468" s="3">
        <v>0.57999999999999796</v>
      </c>
      <c r="E1468" s="3">
        <v>3.5151515151515098</v>
      </c>
      <c r="F1468" s="3">
        <v>3.5151393769458901</v>
      </c>
      <c r="G1468" s="3">
        <v>19.898766999999999</v>
      </c>
      <c r="H1468" s="3">
        <v>454.51702726347298</v>
      </c>
      <c r="I1468" s="3">
        <v>16.68</v>
      </c>
      <c r="J1468" s="3">
        <v>17.940000000000001</v>
      </c>
      <c r="K1468" s="3">
        <v>16.55</v>
      </c>
      <c r="L1468" s="3">
        <v>375.96671822229598</v>
      </c>
    </row>
    <row r="1469" spans="1:12" ht="15" customHeight="1" x14ac:dyDescent="0.2">
      <c r="A1469" s="2">
        <v>43920</v>
      </c>
      <c r="B1469" s="3">
        <v>16.5</v>
      </c>
      <c r="C1469" s="1">
        <v>5469068</v>
      </c>
      <c r="D1469" s="3">
        <v>0.32</v>
      </c>
      <c r="E1469" s="3">
        <v>1.97775030902349</v>
      </c>
      <c r="F1469" s="3">
        <v>1.97775211232071</v>
      </c>
      <c r="G1469" s="3">
        <v>19.223050000000001</v>
      </c>
      <c r="H1469" s="3">
        <v>435.68688657629502</v>
      </c>
      <c r="I1469" s="3">
        <v>18.260000000000002</v>
      </c>
      <c r="J1469" s="3">
        <v>18.286200000000001</v>
      </c>
      <c r="K1469" s="3">
        <v>16.27</v>
      </c>
      <c r="L1469" s="3">
        <v>359.80391397352997</v>
      </c>
    </row>
    <row r="1470" spans="1:12" ht="15" customHeight="1" x14ac:dyDescent="0.2">
      <c r="A1470" s="2">
        <v>43917</v>
      </c>
      <c r="B1470" s="3">
        <v>16.18</v>
      </c>
      <c r="C1470" s="1">
        <v>6858610</v>
      </c>
      <c r="D1470" s="3">
        <v>-3.48</v>
      </c>
      <c r="E1470" s="3">
        <v>-17.700915564598098</v>
      </c>
      <c r="F1470" s="3">
        <v>-17.700912229070202</v>
      </c>
      <c r="G1470" s="3">
        <v>18.850238999999998</v>
      </c>
      <c r="H1470" s="3">
        <v>425.29779827493797</v>
      </c>
      <c r="I1470" s="3">
        <v>18.04</v>
      </c>
      <c r="J1470" s="3">
        <v>18.47</v>
      </c>
      <c r="K1470" s="3">
        <v>16.059999999999999</v>
      </c>
      <c r="L1470" s="3">
        <v>350.88650473283099</v>
      </c>
    </row>
    <row r="1471" spans="1:12" ht="15" customHeight="1" x14ac:dyDescent="0.2">
      <c r="A1471" s="2">
        <v>43916</v>
      </c>
      <c r="B1471" s="3">
        <v>19.66</v>
      </c>
      <c r="C1471" s="1">
        <v>9616736</v>
      </c>
      <c r="D1471" s="3">
        <v>0.78999999999999904</v>
      </c>
      <c r="E1471" s="3">
        <v>4.1865394806571201</v>
      </c>
      <c r="F1471" s="3">
        <v>4.1865334156895297</v>
      </c>
      <c r="G1471" s="3">
        <v>22.904554000000001</v>
      </c>
      <c r="H1471" s="3">
        <v>538.27900466776202</v>
      </c>
      <c r="I1471" s="3">
        <v>17</v>
      </c>
      <c r="J1471" s="3">
        <v>21.13</v>
      </c>
      <c r="K1471" s="3">
        <v>16.535</v>
      </c>
      <c r="L1471" s="3">
        <v>447.86333022542999</v>
      </c>
    </row>
    <row r="1472" spans="1:12" ht="15" customHeight="1" x14ac:dyDescent="0.2">
      <c r="A1472" s="2">
        <v>43915</v>
      </c>
      <c r="B1472" s="3">
        <v>18.87</v>
      </c>
      <c r="C1472" s="1">
        <v>7038281</v>
      </c>
      <c r="D1472" s="3">
        <v>-0.34999999999999698</v>
      </c>
      <c r="E1472" s="3">
        <v>-1.8210197710717799</v>
      </c>
      <c r="F1472" s="3">
        <v>-1.8210168480265601</v>
      </c>
      <c r="G1472" s="3">
        <v>21.984179000000001</v>
      </c>
      <c r="H1472" s="3">
        <v>512.63100301179895</v>
      </c>
      <c r="I1472" s="3">
        <v>20.38</v>
      </c>
      <c r="J1472" s="3">
        <v>22.09</v>
      </c>
      <c r="K1472" s="3">
        <v>17.8</v>
      </c>
      <c r="L1472" s="3">
        <v>425.84847616245497</v>
      </c>
    </row>
    <row r="1473" spans="1:12" ht="15" customHeight="1" x14ac:dyDescent="0.2">
      <c r="A1473" s="2">
        <v>43914</v>
      </c>
      <c r="B1473" s="3">
        <v>19.22</v>
      </c>
      <c r="C1473" s="1">
        <v>2894802</v>
      </c>
      <c r="D1473" s="3">
        <v>3.50999999999999</v>
      </c>
      <c r="E1473" s="3">
        <v>22.342457033736402</v>
      </c>
      <c r="F1473" s="3">
        <v>22.342457847550399</v>
      </c>
      <c r="G1473" s="3">
        <v>22.391940000000002</v>
      </c>
      <c r="H1473" s="3">
        <v>523.99403960366305</v>
      </c>
      <c r="I1473" s="3">
        <v>17.84</v>
      </c>
      <c r="J1473" s="3">
        <v>19.82</v>
      </c>
      <c r="K1473" s="3">
        <v>17.5</v>
      </c>
      <c r="L1473" s="3">
        <v>435.601892519469</v>
      </c>
    </row>
    <row r="1474" spans="1:12" ht="15" customHeight="1" x14ac:dyDescent="0.2">
      <c r="A1474" s="2">
        <v>43913</v>
      </c>
      <c r="B1474" s="3">
        <v>15.71</v>
      </c>
      <c r="C1474" s="1">
        <v>3114604</v>
      </c>
      <c r="D1474" s="3">
        <v>-0.12999999999999901</v>
      </c>
      <c r="E1474" s="3">
        <v>-0.82070707070705995</v>
      </c>
      <c r="F1474" s="3">
        <v>-0.82069993452954504</v>
      </c>
      <c r="G1474" s="3">
        <v>18.302672999999999</v>
      </c>
      <c r="H1474" s="3">
        <v>410.03882918652403</v>
      </c>
      <c r="I1474" s="3">
        <v>16.07</v>
      </c>
      <c r="J1474" s="3">
        <v>16.7</v>
      </c>
      <c r="K1474" s="3">
        <v>15</v>
      </c>
      <c r="L1474" s="3">
        <v>337.78905991055501</v>
      </c>
    </row>
    <row r="1475" spans="1:12" ht="15" customHeight="1" x14ac:dyDescent="0.2">
      <c r="A1475" s="2">
        <v>43910</v>
      </c>
      <c r="B1475" s="3">
        <v>15.84</v>
      </c>
      <c r="C1475" s="1">
        <v>4615764</v>
      </c>
      <c r="D1475" s="3">
        <v>-4.67</v>
      </c>
      <c r="E1475" s="3">
        <v>-22.769380789858602</v>
      </c>
      <c r="F1475" s="3">
        <v>-22.769387005132</v>
      </c>
      <c r="G1475" s="3">
        <v>18.454125999999999</v>
      </c>
      <c r="H1475" s="3">
        <v>414.25935537943502</v>
      </c>
      <c r="I1475" s="3">
        <v>20.84</v>
      </c>
      <c r="J1475" s="3">
        <v>22</v>
      </c>
      <c r="K1475" s="3">
        <v>15.75</v>
      </c>
      <c r="L1475" s="3">
        <v>341.41175741458801</v>
      </c>
    </row>
    <row r="1476" spans="1:12" ht="15" customHeight="1" x14ac:dyDescent="0.2">
      <c r="A1476" s="2">
        <v>43909</v>
      </c>
      <c r="B1476" s="3">
        <v>20.51</v>
      </c>
      <c r="C1476" s="1">
        <v>6709609</v>
      </c>
      <c r="D1476" s="3">
        <v>-0.33999999999999903</v>
      </c>
      <c r="E1476" s="3">
        <v>-1.63069544364508</v>
      </c>
      <c r="F1476" s="3">
        <v>-1.63069008889444</v>
      </c>
      <c r="G1476" s="3">
        <v>23.894832999999998</v>
      </c>
      <c r="H1476" s="3">
        <v>565.87501437235505</v>
      </c>
      <c r="I1476" s="3">
        <v>19.02</v>
      </c>
      <c r="J1476" s="3">
        <v>23.3</v>
      </c>
      <c r="K1476" s="3">
        <v>17.04</v>
      </c>
      <c r="L1476" s="3">
        <v>471.55019852103601</v>
      </c>
    </row>
    <row r="1477" spans="1:12" ht="15" customHeight="1" x14ac:dyDescent="0.2">
      <c r="A1477" s="2">
        <v>43908</v>
      </c>
      <c r="B1477" s="3">
        <v>20.85</v>
      </c>
      <c r="C1477" s="1">
        <v>3951241</v>
      </c>
      <c r="D1477" s="3">
        <v>2.14</v>
      </c>
      <c r="E1477" s="3">
        <v>11.437733832175301</v>
      </c>
      <c r="F1477" s="3">
        <v>11.4377382898462</v>
      </c>
      <c r="G1477" s="3">
        <v>24.290942999999999</v>
      </c>
      <c r="H1477" s="3">
        <v>576.91337366714595</v>
      </c>
      <c r="I1477" s="3">
        <v>16.809999999999999</v>
      </c>
      <c r="J1477" s="3">
        <v>20.88</v>
      </c>
      <c r="K1477" s="3">
        <v>14.94</v>
      </c>
      <c r="L1477" s="3">
        <v>481.02494583927898</v>
      </c>
    </row>
    <row r="1478" spans="1:12" ht="15" customHeight="1" x14ac:dyDescent="0.2">
      <c r="A1478" s="2">
        <v>43907</v>
      </c>
      <c r="B1478" s="3">
        <v>18.71</v>
      </c>
      <c r="C1478" s="1">
        <v>3737563</v>
      </c>
      <c r="D1478" s="3">
        <v>1.8</v>
      </c>
      <c r="E1478" s="3">
        <v>10.644589000591299</v>
      </c>
      <c r="F1478" s="3">
        <v>10.644584825157599</v>
      </c>
      <c r="G1478" s="3">
        <v>21.797771000000001</v>
      </c>
      <c r="H1478" s="3">
        <v>507.43638919386098</v>
      </c>
      <c r="I1478" s="3">
        <v>17.510000000000002</v>
      </c>
      <c r="J1478" s="3">
        <v>19.079999999999998</v>
      </c>
      <c r="K1478" s="3">
        <v>14.52</v>
      </c>
      <c r="L1478" s="3">
        <v>421.389771542105</v>
      </c>
    </row>
    <row r="1479" spans="1:12" ht="15" customHeight="1" x14ac:dyDescent="0.2">
      <c r="A1479" s="2">
        <v>43906</v>
      </c>
      <c r="B1479" s="3">
        <v>16.91</v>
      </c>
      <c r="C1479" s="1">
        <v>3123207</v>
      </c>
      <c r="D1479" s="3">
        <v>-6.6</v>
      </c>
      <c r="E1479" s="3">
        <v>-28.0731603572947</v>
      </c>
      <c r="F1479" s="3">
        <v>-28.073164691567499</v>
      </c>
      <c r="G1479" s="3">
        <v>19.700711999999999</v>
      </c>
      <c r="H1479" s="3">
        <v>448.99784761607799</v>
      </c>
      <c r="I1479" s="3">
        <v>20.010000000000002</v>
      </c>
      <c r="J1479" s="3">
        <v>20.69</v>
      </c>
      <c r="K1479" s="3">
        <v>16.87</v>
      </c>
      <c r="L1479" s="3">
        <v>371.229344563175</v>
      </c>
    </row>
    <row r="1480" spans="1:12" ht="15" customHeight="1" x14ac:dyDescent="0.2">
      <c r="A1480" s="2">
        <v>43903</v>
      </c>
      <c r="B1480" s="3">
        <v>23.51</v>
      </c>
      <c r="C1480" s="1">
        <v>2549290</v>
      </c>
      <c r="D1480" s="3">
        <v>2.0299999999999998</v>
      </c>
      <c r="E1480" s="3">
        <v>9.4506517690875196</v>
      </c>
      <c r="F1480" s="3">
        <v>9.4506578524105898</v>
      </c>
      <c r="G1480" s="3">
        <v>27.389932999999999</v>
      </c>
      <c r="H1480" s="3">
        <v>663.27263011349999</v>
      </c>
      <c r="I1480" s="3">
        <v>23.07</v>
      </c>
      <c r="J1480" s="3">
        <v>23.99</v>
      </c>
      <c r="K1480" s="3">
        <v>20.870100000000001</v>
      </c>
      <c r="L1480" s="3">
        <v>555.15091015258702</v>
      </c>
    </row>
    <row r="1481" spans="1:12" ht="15" customHeight="1" x14ac:dyDescent="0.2">
      <c r="A1481" s="2">
        <v>43902</v>
      </c>
      <c r="B1481" s="3">
        <v>21.48</v>
      </c>
      <c r="C1481" s="1">
        <v>3592664</v>
      </c>
      <c r="D1481" s="3">
        <v>-3.73</v>
      </c>
      <c r="E1481" s="3">
        <v>-14.7957159857199</v>
      </c>
      <c r="F1481" s="3">
        <v>-14.7957131252198</v>
      </c>
      <c r="G1481" s="3">
        <v>25.024913999999999</v>
      </c>
      <c r="H1481" s="3">
        <v>597.36687297278695</v>
      </c>
      <c r="I1481" s="3">
        <v>23.07</v>
      </c>
      <c r="J1481" s="3">
        <v>23.07</v>
      </c>
      <c r="K1481" s="3">
        <v>19.5</v>
      </c>
      <c r="L1481" s="3">
        <v>498.58109528190403</v>
      </c>
    </row>
    <row r="1482" spans="1:12" ht="15" customHeight="1" x14ac:dyDescent="0.2">
      <c r="A1482" s="2">
        <v>43901</v>
      </c>
      <c r="B1482" s="3">
        <v>25.21</v>
      </c>
      <c r="C1482" s="1">
        <v>2668588</v>
      </c>
      <c r="D1482" s="3">
        <v>-3.5399999999999898</v>
      </c>
      <c r="E1482" s="3">
        <v>-12.3130434782608</v>
      </c>
      <c r="F1482" s="3">
        <v>-12.313044703633</v>
      </c>
      <c r="G1482" s="3">
        <v>29.370487000000001</v>
      </c>
      <c r="H1482" s="3">
        <v>718.46453805507099</v>
      </c>
      <c r="I1482" s="3">
        <v>27.93</v>
      </c>
      <c r="J1482" s="3">
        <v>27.99</v>
      </c>
      <c r="K1482" s="3">
        <v>24.51</v>
      </c>
      <c r="L1482" s="3">
        <v>602.52464674379905</v>
      </c>
    </row>
    <row r="1483" spans="1:12" ht="15" customHeight="1" x14ac:dyDescent="0.2">
      <c r="A1483" s="2">
        <v>43900</v>
      </c>
      <c r="B1483" s="3">
        <v>28.75</v>
      </c>
      <c r="C1483" s="1">
        <v>1960782</v>
      </c>
      <c r="D1483" s="3">
        <v>-0.26000000000000101</v>
      </c>
      <c r="E1483" s="3">
        <v>-0.89624267493968401</v>
      </c>
      <c r="F1483" s="3">
        <v>-0.89624667302706795</v>
      </c>
      <c r="G1483" s="3">
        <v>33.494705000000003</v>
      </c>
      <c r="H1483" s="3">
        <v>833.39372462962206</v>
      </c>
      <c r="I1483" s="3">
        <v>30.13</v>
      </c>
      <c r="J1483" s="3">
        <v>31.74</v>
      </c>
      <c r="K1483" s="3">
        <v>27.05</v>
      </c>
      <c r="L1483" s="3">
        <v>701.17348646902894</v>
      </c>
    </row>
    <row r="1484" spans="1:12" ht="15" customHeight="1" x14ac:dyDescent="0.2">
      <c r="A1484" s="2">
        <v>43899</v>
      </c>
      <c r="B1484" s="3">
        <v>29.01</v>
      </c>
      <c r="C1484" s="1">
        <v>2567841</v>
      </c>
      <c r="D1484" s="3">
        <v>-2.4299999999999899</v>
      </c>
      <c r="E1484" s="3">
        <v>-7.7290076335877798</v>
      </c>
      <c r="F1484" s="3">
        <v>-7.7290105747012596</v>
      </c>
      <c r="G1484" s="3">
        <v>33.797615</v>
      </c>
      <c r="H1484" s="3">
        <v>841.83488848306001</v>
      </c>
      <c r="I1484" s="3">
        <v>29.08</v>
      </c>
      <c r="J1484" s="3">
        <v>29.94</v>
      </c>
      <c r="K1484" s="3">
        <v>27.72</v>
      </c>
      <c r="L1484" s="3">
        <v>708.41888147709699</v>
      </c>
    </row>
    <row r="1485" spans="1:12" ht="15" customHeight="1" x14ac:dyDescent="0.2">
      <c r="A1485" s="2">
        <v>43896</v>
      </c>
      <c r="B1485" s="3">
        <v>31.44</v>
      </c>
      <c r="C1485" s="1">
        <v>2040340</v>
      </c>
      <c r="D1485" s="3">
        <v>-7.9999999999998295E-2</v>
      </c>
      <c r="E1485" s="3">
        <v>-0.25380710659897998</v>
      </c>
      <c r="F1485" s="3">
        <v>0.88832657184887398</v>
      </c>
      <c r="G1485" s="3">
        <v>36.628647000000001</v>
      </c>
      <c r="H1485" s="3">
        <v>920.72698510029102</v>
      </c>
      <c r="I1485" s="3">
        <v>30.06</v>
      </c>
      <c r="J1485" s="3">
        <v>32.78</v>
      </c>
      <c r="K1485" s="3">
        <v>29.45</v>
      </c>
      <c r="L1485" s="3">
        <v>776.13545789865304</v>
      </c>
    </row>
    <row r="1486" spans="1:12" ht="15" customHeight="1" x14ac:dyDescent="0.2">
      <c r="A1486" s="2">
        <v>43895</v>
      </c>
      <c r="B1486" s="3">
        <v>31.52</v>
      </c>
      <c r="C1486" s="1">
        <v>3133004</v>
      </c>
      <c r="D1486" s="3">
        <v>-4.29</v>
      </c>
      <c r="E1486" s="3">
        <v>-11.979893884389799</v>
      </c>
      <c r="F1486" s="3">
        <v>-11.979896596507499</v>
      </c>
      <c r="G1486" s="3">
        <v>36.306130000000003</v>
      </c>
      <c r="H1486" s="3">
        <v>911.73943486253302</v>
      </c>
      <c r="I1486" s="3">
        <v>34.92</v>
      </c>
      <c r="J1486" s="3">
        <v>34.92</v>
      </c>
      <c r="K1486" s="3">
        <v>31.125</v>
      </c>
      <c r="L1486" s="3">
        <v>778.36481020882798</v>
      </c>
    </row>
    <row r="1487" spans="1:12" ht="15" customHeight="1" x14ac:dyDescent="0.2">
      <c r="A1487" s="2">
        <v>43894</v>
      </c>
      <c r="B1487" s="3">
        <v>35.81</v>
      </c>
      <c r="C1487" s="1">
        <v>989717</v>
      </c>
      <c r="D1487" s="3">
        <v>1.1599999999999999</v>
      </c>
      <c r="E1487" s="3">
        <v>3.3477633477633599</v>
      </c>
      <c r="F1487" s="3">
        <v>3.3477624590706001</v>
      </c>
      <c r="G1487" s="3">
        <v>41.247543</v>
      </c>
      <c r="H1487" s="3">
        <v>1049.44131595099</v>
      </c>
      <c r="I1487" s="3">
        <v>35.18</v>
      </c>
      <c r="J1487" s="3">
        <v>35.85</v>
      </c>
      <c r="K1487" s="3">
        <v>34.53</v>
      </c>
      <c r="L1487" s="3">
        <v>897.91382784194604</v>
      </c>
    </row>
    <row r="1488" spans="1:12" ht="15" customHeight="1" x14ac:dyDescent="0.2">
      <c r="A1488" s="2">
        <v>43893</v>
      </c>
      <c r="B1488" s="3">
        <v>34.65</v>
      </c>
      <c r="C1488" s="1">
        <v>1371997</v>
      </c>
      <c r="D1488" s="3">
        <v>-1.39</v>
      </c>
      <c r="E1488" s="3">
        <v>-3.8568257491675899</v>
      </c>
      <c r="F1488" s="3">
        <v>-3.8568221892671999</v>
      </c>
      <c r="G1488" s="3">
        <v>39.911403999999997</v>
      </c>
      <c r="H1488" s="3">
        <v>1012.20725887144</v>
      </c>
      <c r="I1488" s="3">
        <v>35.94</v>
      </c>
      <c r="J1488" s="3">
        <v>36.79</v>
      </c>
      <c r="K1488" s="3">
        <v>34.32</v>
      </c>
      <c r="L1488" s="3">
        <v>865.58821934441301</v>
      </c>
    </row>
    <row r="1489" spans="1:12" ht="15" customHeight="1" x14ac:dyDescent="0.2">
      <c r="A1489" s="2">
        <v>43892</v>
      </c>
      <c r="B1489" s="3">
        <v>36.04</v>
      </c>
      <c r="C1489" s="1">
        <v>1288335</v>
      </c>
      <c r="D1489" s="3">
        <v>0.40999999999999598</v>
      </c>
      <c r="E1489" s="3">
        <v>1.1507156890260899</v>
      </c>
      <c r="F1489" s="3">
        <v>1.1507153593999599</v>
      </c>
      <c r="G1489" s="3">
        <v>41.512466000000003</v>
      </c>
      <c r="H1489" s="3">
        <v>1056.82389972685</v>
      </c>
      <c r="I1489" s="3">
        <v>35.9</v>
      </c>
      <c r="J1489" s="3">
        <v>36.21</v>
      </c>
      <c r="K1489" s="3">
        <v>34.69</v>
      </c>
      <c r="L1489" s="3">
        <v>904.32321573369802</v>
      </c>
    </row>
    <row r="1490" spans="1:12" ht="15" customHeight="1" x14ac:dyDescent="0.2">
      <c r="A1490" s="2">
        <v>43889</v>
      </c>
      <c r="B1490" s="3">
        <v>35.630000000000003</v>
      </c>
      <c r="C1490" s="1">
        <v>2057213</v>
      </c>
      <c r="D1490" s="3">
        <v>0.53000000000000103</v>
      </c>
      <c r="E1490" s="3">
        <v>1.5099715099715101</v>
      </c>
      <c r="F1490" s="3">
        <v>1.50997792960774</v>
      </c>
      <c r="G1490" s="3">
        <v>41.040210000000002</v>
      </c>
      <c r="H1490" s="3">
        <v>1043.66358716943</v>
      </c>
      <c r="I1490" s="3">
        <v>34.36</v>
      </c>
      <c r="J1490" s="3">
        <v>36.159999999999997</v>
      </c>
      <c r="K1490" s="3">
        <v>33.6</v>
      </c>
      <c r="L1490" s="3">
        <v>892.89778514405305</v>
      </c>
    </row>
    <row r="1491" spans="1:12" ht="15" customHeight="1" x14ac:dyDescent="0.2">
      <c r="A1491" s="2">
        <v>43888</v>
      </c>
      <c r="B1491" s="3">
        <v>35.1</v>
      </c>
      <c r="C1491" s="1">
        <v>2285904</v>
      </c>
      <c r="D1491" s="3">
        <v>-1.5799999999999901</v>
      </c>
      <c r="E1491" s="3">
        <v>-4.3075245365321697</v>
      </c>
      <c r="F1491" s="3">
        <v>-4.3075273176851496</v>
      </c>
      <c r="G1491" s="3">
        <v>40.429729999999999</v>
      </c>
      <c r="H1491" s="3">
        <v>1026.65139969048</v>
      </c>
      <c r="I1491" s="3">
        <v>36.01</v>
      </c>
      <c r="J1491" s="3">
        <v>37.229999999999997</v>
      </c>
      <c r="K1491" s="3">
        <v>33.700000000000003</v>
      </c>
      <c r="L1491" s="3">
        <v>878.12832608914596</v>
      </c>
    </row>
    <row r="1492" spans="1:12" ht="15" customHeight="1" x14ac:dyDescent="0.2">
      <c r="A1492" s="2">
        <v>43887</v>
      </c>
      <c r="B1492" s="3">
        <v>36.68</v>
      </c>
      <c r="C1492" s="1">
        <v>2238599</v>
      </c>
      <c r="D1492" s="3">
        <v>-2.14</v>
      </c>
      <c r="E1492" s="3">
        <v>-5.51262235960845</v>
      </c>
      <c r="F1492" s="3">
        <v>-5.51262326177548</v>
      </c>
      <c r="G1492" s="3">
        <v>42.249645000000001</v>
      </c>
      <c r="H1492" s="3">
        <v>1077.3667960601299</v>
      </c>
      <c r="I1492" s="3">
        <v>39.020000000000003</v>
      </c>
      <c r="J1492" s="3">
        <v>39.020000000000003</v>
      </c>
      <c r="K1492" s="3">
        <v>36.479999999999997</v>
      </c>
      <c r="L1492" s="3">
        <v>922.158034215096</v>
      </c>
    </row>
    <row r="1493" spans="1:12" ht="15" customHeight="1" x14ac:dyDescent="0.2">
      <c r="A1493" s="2">
        <v>43886</v>
      </c>
      <c r="B1493" s="3">
        <v>38.82</v>
      </c>
      <c r="C1493" s="1">
        <v>1400357</v>
      </c>
      <c r="D1493" s="3">
        <v>-2.8999999999999901</v>
      </c>
      <c r="E1493" s="3">
        <v>-6.9511025886864699</v>
      </c>
      <c r="F1493" s="3">
        <v>-6.9511022175867696</v>
      </c>
      <c r="G1493" s="3">
        <v>44.714592000000003</v>
      </c>
      <c r="H1493" s="3">
        <v>1146.05723717148</v>
      </c>
      <c r="I1493" s="3">
        <v>42.01</v>
      </c>
      <c r="J1493" s="3">
        <v>42.11</v>
      </c>
      <c r="K1493" s="3">
        <v>38.67</v>
      </c>
      <c r="L1493" s="3">
        <v>981.79320851226896</v>
      </c>
    </row>
    <row r="1494" spans="1:12" ht="15" customHeight="1" x14ac:dyDescent="0.2">
      <c r="A1494" s="2">
        <v>43885</v>
      </c>
      <c r="B1494" s="3">
        <v>41.72</v>
      </c>
      <c r="C1494" s="1">
        <v>1078738</v>
      </c>
      <c r="D1494" s="3">
        <v>-0.41000000000000297</v>
      </c>
      <c r="E1494" s="3">
        <v>-0.97317825777356504</v>
      </c>
      <c r="F1494" s="3">
        <v>-0.97317596865015199</v>
      </c>
      <c r="G1494" s="3">
        <v>48.054940000000002</v>
      </c>
      <c r="H1494" s="3">
        <v>1239.1423938038199</v>
      </c>
      <c r="I1494" s="3">
        <v>41.06</v>
      </c>
      <c r="J1494" s="3">
        <v>42.03</v>
      </c>
      <c r="K1494" s="3">
        <v>40.409999999999997</v>
      </c>
      <c r="L1494" s="3">
        <v>1062.6072297561</v>
      </c>
    </row>
    <row r="1495" spans="1:12" ht="15" customHeight="1" x14ac:dyDescent="0.2">
      <c r="A1495" s="2">
        <v>43882</v>
      </c>
      <c r="B1495" s="3">
        <v>42.13</v>
      </c>
      <c r="C1495" s="1">
        <v>1184947</v>
      </c>
      <c r="D1495" s="3">
        <v>-0.119999999999997</v>
      </c>
      <c r="E1495" s="3">
        <v>-0.28402366863904399</v>
      </c>
      <c r="F1495" s="3">
        <v>-0.284025101439078</v>
      </c>
      <c r="G1495" s="3">
        <v>48.527194999999999</v>
      </c>
      <c r="H1495" s="3">
        <v>1252.3026784943399</v>
      </c>
      <c r="I1495" s="3">
        <v>42.25</v>
      </c>
      <c r="J1495" s="3">
        <v>42.517499999999998</v>
      </c>
      <c r="K1495" s="3">
        <v>41.51</v>
      </c>
      <c r="L1495" s="3">
        <v>1074.0326603457399</v>
      </c>
    </row>
    <row r="1496" spans="1:12" ht="15" customHeight="1" x14ac:dyDescent="0.2">
      <c r="A1496" s="2">
        <v>43881</v>
      </c>
      <c r="B1496" s="3">
        <v>42.25</v>
      </c>
      <c r="C1496" s="1">
        <v>2548790</v>
      </c>
      <c r="D1496" s="3">
        <v>1.3699999999999899</v>
      </c>
      <c r="E1496" s="3">
        <v>3.35127201565557</v>
      </c>
      <c r="F1496" s="3">
        <v>3.3512730266001198</v>
      </c>
      <c r="G1496" s="3">
        <v>48.665416999999998</v>
      </c>
      <c r="H1496" s="3">
        <v>1256.1544976820501</v>
      </c>
      <c r="I1496" s="3">
        <v>39.799999999999997</v>
      </c>
      <c r="J1496" s="3">
        <v>43</v>
      </c>
      <c r="K1496" s="3">
        <v>39.35</v>
      </c>
      <c r="L1496" s="3">
        <v>1077.3766888109999</v>
      </c>
    </row>
    <row r="1497" spans="1:12" ht="15" customHeight="1" x14ac:dyDescent="0.2">
      <c r="A1497" s="2">
        <v>43880</v>
      </c>
      <c r="B1497" s="3">
        <v>40.880000000000003</v>
      </c>
      <c r="C1497" s="1">
        <v>1665979</v>
      </c>
      <c r="D1497" s="3">
        <v>0.72000000000000597</v>
      </c>
      <c r="E1497" s="3">
        <v>1.7928286852589801</v>
      </c>
      <c r="F1497" s="3">
        <v>1.7928335083658899</v>
      </c>
      <c r="G1497" s="3">
        <v>47.087389999999999</v>
      </c>
      <c r="H1497" s="3">
        <v>1212.17977095745</v>
      </c>
      <c r="I1497" s="3">
        <v>40.24</v>
      </c>
      <c r="J1497" s="3">
        <v>41.37</v>
      </c>
      <c r="K1497" s="3">
        <v>40.055</v>
      </c>
      <c r="L1497" s="3">
        <v>1039.1990304992601</v>
      </c>
    </row>
    <row r="1498" spans="1:12" ht="15" customHeight="1" x14ac:dyDescent="0.2">
      <c r="A1498" s="2">
        <v>43879</v>
      </c>
      <c r="B1498" s="3">
        <v>40.159999999999997</v>
      </c>
      <c r="C1498" s="1">
        <v>865660</v>
      </c>
      <c r="D1498" s="3">
        <v>-0.15000000000000499</v>
      </c>
      <c r="E1498" s="3">
        <v>-0.37211610022328501</v>
      </c>
      <c r="F1498" s="3">
        <v>-0.37212335594187701</v>
      </c>
      <c r="G1498" s="3">
        <v>46.25806</v>
      </c>
      <c r="H1498" s="3">
        <v>1189.06891156499</v>
      </c>
      <c r="I1498" s="3">
        <v>39.96</v>
      </c>
      <c r="J1498" s="3">
        <v>40.380000000000003</v>
      </c>
      <c r="K1498" s="3">
        <v>39.369999999999997</v>
      </c>
      <c r="L1498" s="3">
        <v>1019.13485970769</v>
      </c>
    </row>
    <row r="1499" spans="1:12" ht="15" customHeight="1" x14ac:dyDescent="0.2">
      <c r="A1499" s="2">
        <v>43875</v>
      </c>
      <c r="B1499" s="3">
        <v>40.31</v>
      </c>
      <c r="C1499" s="1">
        <v>437913</v>
      </c>
      <c r="D1499" s="3">
        <v>0.35999999999999899</v>
      </c>
      <c r="E1499" s="3">
        <v>0.90112640801001098</v>
      </c>
      <c r="F1499" s="3">
        <v>0.90113098059827401</v>
      </c>
      <c r="G1499" s="3">
        <v>46.430840000000003</v>
      </c>
      <c r="H1499" s="3">
        <v>1193.88375521689</v>
      </c>
      <c r="I1499" s="3">
        <v>40.04</v>
      </c>
      <c r="J1499" s="3">
        <v>40.4</v>
      </c>
      <c r="K1499" s="3">
        <v>39.76</v>
      </c>
      <c r="L1499" s="3">
        <v>1023.31489528927</v>
      </c>
    </row>
    <row r="1500" spans="1:12" ht="15" customHeight="1" x14ac:dyDescent="0.2">
      <c r="A1500" s="2">
        <v>43874</v>
      </c>
      <c r="B1500" s="3">
        <v>39.950000000000003</v>
      </c>
      <c r="C1500" s="1">
        <v>677842</v>
      </c>
      <c r="D1500" s="3">
        <v>-0.17999999999999899</v>
      </c>
      <c r="E1500" s="3">
        <v>-0.44854223772738899</v>
      </c>
      <c r="F1500" s="3">
        <v>-0.44854450355745701</v>
      </c>
      <c r="G1500" s="3">
        <v>46.016173999999999</v>
      </c>
      <c r="H1500" s="3">
        <v>1182.32829765375</v>
      </c>
      <c r="I1500" s="3">
        <v>40</v>
      </c>
      <c r="J1500" s="3">
        <v>40.384999999999998</v>
      </c>
      <c r="K1500" s="3">
        <v>39.79</v>
      </c>
      <c r="L1500" s="3">
        <v>1013.28280989348</v>
      </c>
    </row>
    <row r="1501" spans="1:12" ht="15" customHeight="1" x14ac:dyDescent="0.2">
      <c r="A1501" s="2">
        <v>43873</v>
      </c>
      <c r="B1501" s="3">
        <v>40.130000000000003</v>
      </c>
      <c r="C1501" s="1">
        <v>453377</v>
      </c>
      <c r="D1501" s="3">
        <v>7.0000000000000201E-2</v>
      </c>
      <c r="E1501" s="3">
        <v>0.17473789316027</v>
      </c>
      <c r="F1501" s="3">
        <v>0.17473334997728501</v>
      </c>
      <c r="G1501" s="3">
        <v>46.223506999999998</v>
      </c>
      <c r="H1501" s="3">
        <v>1188.10602643532</v>
      </c>
      <c r="I1501" s="3">
        <v>40.340000000000003</v>
      </c>
      <c r="J1501" s="3">
        <v>40.64</v>
      </c>
      <c r="K1501" s="3">
        <v>39.85</v>
      </c>
      <c r="L1501" s="3">
        <v>1018.29885259137</v>
      </c>
    </row>
    <row r="1502" spans="1:12" ht="15" customHeight="1" x14ac:dyDescent="0.2">
      <c r="A1502" s="2">
        <v>43872</v>
      </c>
      <c r="B1502" s="3">
        <v>40.06</v>
      </c>
      <c r="C1502" s="1">
        <v>559770</v>
      </c>
      <c r="D1502" s="3">
        <v>-0.25999999999999801</v>
      </c>
      <c r="E1502" s="3">
        <v>-0.644841269841267</v>
      </c>
      <c r="F1502" s="3">
        <v>-0.64483378061181895</v>
      </c>
      <c r="G1502" s="3">
        <v>46.142879999999998</v>
      </c>
      <c r="H1502" s="3">
        <v>1185.85920157641</v>
      </c>
      <c r="I1502" s="3">
        <v>40.450000000000003</v>
      </c>
      <c r="J1502" s="3">
        <v>40.6</v>
      </c>
      <c r="K1502" s="3">
        <v>39.89</v>
      </c>
      <c r="L1502" s="3">
        <v>1016.34816931997</v>
      </c>
    </row>
    <row r="1503" spans="1:12" ht="15" customHeight="1" x14ac:dyDescent="0.2">
      <c r="A1503" s="2">
        <v>43871</v>
      </c>
      <c r="B1503" s="3">
        <v>40.32</v>
      </c>
      <c r="C1503" s="1">
        <v>587734</v>
      </c>
      <c r="D1503" s="3">
        <v>0.81000000000000205</v>
      </c>
      <c r="E1503" s="3">
        <v>2.05011389521641</v>
      </c>
      <c r="F1503" s="3">
        <v>2.05011892059128</v>
      </c>
      <c r="G1503" s="3">
        <v>46.442355999999997</v>
      </c>
      <c r="H1503" s="3">
        <v>1194.20467048194</v>
      </c>
      <c r="I1503" s="3">
        <v>39.32</v>
      </c>
      <c r="J1503" s="3">
        <v>40.42</v>
      </c>
      <c r="K1503" s="3">
        <v>39.32</v>
      </c>
      <c r="L1503" s="3">
        <v>1023.59356432804</v>
      </c>
    </row>
    <row r="1504" spans="1:12" ht="15" customHeight="1" x14ac:dyDescent="0.2">
      <c r="A1504" s="2">
        <v>43868</v>
      </c>
      <c r="B1504" s="3">
        <v>39.51</v>
      </c>
      <c r="C1504" s="1">
        <v>451452</v>
      </c>
      <c r="D1504" s="3">
        <v>-0.89999999999999802</v>
      </c>
      <c r="E1504" s="3">
        <v>-2.22717149220489</v>
      </c>
      <c r="F1504" s="3">
        <v>-2.2271805643377802</v>
      </c>
      <c r="G1504" s="3">
        <v>45.509360000000001</v>
      </c>
      <c r="H1504" s="3">
        <v>1168.20496063214</v>
      </c>
      <c r="I1504" s="3">
        <v>40.19</v>
      </c>
      <c r="J1504" s="3">
        <v>40.43</v>
      </c>
      <c r="K1504" s="3">
        <v>39.35</v>
      </c>
      <c r="L1504" s="3">
        <v>1001.02137218752</v>
      </c>
    </row>
    <row r="1505" spans="1:12" ht="15" customHeight="1" x14ac:dyDescent="0.2">
      <c r="A1505" s="2">
        <v>43867</v>
      </c>
      <c r="B1505" s="3">
        <v>40.409999999999997</v>
      </c>
      <c r="C1505" s="1">
        <v>375297</v>
      </c>
      <c r="D1505" s="3">
        <v>0.40999999999999598</v>
      </c>
      <c r="E1505" s="3">
        <v>1.0249999999999799</v>
      </c>
      <c r="F1505" s="3">
        <v>1.0249953498487201</v>
      </c>
      <c r="G1505" s="3">
        <v>46.546024000000003</v>
      </c>
      <c r="H1505" s="3">
        <v>1197.09357667308</v>
      </c>
      <c r="I1505" s="3">
        <v>40.07</v>
      </c>
      <c r="J1505" s="3">
        <v>40.479999999999997</v>
      </c>
      <c r="K1505" s="3">
        <v>39.72</v>
      </c>
      <c r="L1505" s="3">
        <v>1026.10158567699</v>
      </c>
    </row>
    <row r="1506" spans="1:12" ht="15" customHeight="1" x14ac:dyDescent="0.2">
      <c r="A1506" s="2">
        <v>43866</v>
      </c>
      <c r="B1506" s="3">
        <v>40</v>
      </c>
      <c r="C1506" s="1">
        <v>514614</v>
      </c>
      <c r="D1506" s="3">
        <v>1.06</v>
      </c>
      <c r="E1506" s="3">
        <v>2.7221366204417099</v>
      </c>
      <c r="F1506" s="3">
        <v>2.7221482890369799</v>
      </c>
      <c r="G1506" s="3">
        <v>46.073770000000003</v>
      </c>
      <c r="H1506" s="3">
        <v>1183.9333198494601</v>
      </c>
      <c r="I1506" s="3">
        <v>39.25</v>
      </c>
      <c r="J1506" s="3">
        <v>40.14</v>
      </c>
      <c r="K1506" s="3">
        <v>39.11</v>
      </c>
      <c r="L1506" s="3">
        <v>1014.67615508734</v>
      </c>
    </row>
    <row r="1507" spans="1:12" ht="15" customHeight="1" x14ac:dyDescent="0.2">
      <c r="A1507" s="2">
        <v>43865</v>
      </c>
      <c r="B1507" s="3">
        <v>38.94</v>
      </c>
      <c r="C1507" s="1">
        <v>720965</v>
      </c>
      <c r="D1507" s="3">
        <v>1.00999999999999</v>
      </c>
      <c r="E1507" s="3">
        <v>2.6627998945425602</v>
      </c>
      <c r="F1507" s="3">
        <v>2.6627938781559299</v>
      </c>
      <c r="G1507" s="3">
        <v>44.852809999999998</v>
      </c>
      <c r="H1507" s="3">
        <v>1149.9089448915799</v>
      </c>
      <c r="I1507" s="3">
        <v>38.35</v>
      </c>
      <c r="J1507" s="3">
        <v>39.18</v>
      </c>
      <c r="K1507" s="3">
        <v>38.26</v>
      </c>
      <c r="L1507" s="3">
        <v>985.13723697753096</v>
      </c>
    </row>
    <row r="1508" spans="1:12" ht="15" customHeight="1" x14ac:dyDescent="0.2">
      <c r="A1508" s="2">
        <v>43864</v>
      </c>
      <c r="B1508" s="3">
        <v>37.93</v>
      </c>
      <c r="C1508" s="1">
        <v>733196</v>
      </c>
      <c r="D1508" s="3">
        <v>-0.46999999999999797</v>
      </c>
      <c r="E1508" s="3">
        <v>-1.2239583333333299</v>
      </c>
      <c r="F1508" s="3">
        <v>-1.2239655516221499</v>
      </c>
      <c r="G1508" s="3">
        <v>43.689450000000001</v>
      </c>
      <c r="H1508" s="3">
        <v>1117.48970359702</v>
      </c>
      <c r="I1508" s="3">
        <v>38.5</v>
      </c>
      <c r="J1508" s="3">
        <v>38.695</v>
      </c>
      <c r="K1508" s="3">
        <v>37.729999999999997</v>
      </c>
      <c r="L1508" s="3">
        <v>956.99166406157497</v>
      </c>
    </row>
    <row r="1509" spans="1:12" ht="15" customHeight="1" x14ac:dyDescent="0.2">
      <c r="A1509" s="2">
        <v>43861</v>
      </c>
      <c r="B1509" s="3">
        <v>38.4</v>
      </c>
      <c r="C1509" s="1">
        <v>709251</v>
      </c>
      <c r="D1509" s="3">
        <v>-0.59000000000000297</v>
      </c>
      <c r="E1509" s="3">
        <v>-1.5132085150038601</v>
      </c>
      <c r="F1509" s="3">
        <v>-1.5132082523053301</v>
      </c>
      <c r="G1509" s="3">
        <v>44.230820000000001</v>
      </c>
      <c r="H1509" s="3">
        <v>1132.5760093490101</v>
      </c>
      <c r="I1509" s="3">
        <v>38.869999999999997</v>
      </c>
      <c r="J1509" s="3">
        <v>39.07</v>
      </c>
      <c r="K1509" s="3">
        <v>38.22</v>
      </c>
      <c r="L1509" s="3">
        <v>970.08910888385196</v>
      </c>
    </row>
    <row r="1510" spans="1:12" ht="15" customHeight="1" x14ac:dyDescent="0.2">
      <c r="A1510" s="2">
        <v>43860</v>
      </c>
      <c r="B1510" s="3">
        <v>38.99</v>
      </c>
      <c r="C1510" s="1">
        <v>815517</v>
      </c>
      <c r="D1510" s="3">
        <v>5.4999999999999702E-2</v>
      </c>
      <c r="E1510" s="3">
        <v>0.14126107615255401</v>
      </c>
      <c r="F1510" s="3">
        <v>0.14126680428105901</v>
      </c>
      <c r="G1510" s="3">
        <v>44.910407999999997</v>
      </c>
      <c r="H1510" s="3">
        <v>1151.5140228210901</v>
      </c>
      <c r="I1510" s="3">
        <v>38.81</v>
      </c>
      <c r="J1510" s="3">
        <v>39.479999999999997</v>
      </c>
      <c r="K1510" s="3">
        <v>38.520000000000003</v>
      </c>
      <c r="L1510" s="3">
        <v>986.53058217139005</v>
      </c>
    </row>
    <row r="1511" spans="1:12" ht="15" customHeight="1" x14ac:dyDescent="0.2">
      <c r="A1511" s="2">
        <v>43859</v>
      </c>
      <c r="B1511" s="3">
        <v>38.935000000000002</v>
      </c>
      <c r="C1511" s="1">
        <v>659676</v>
      </c>
      <c r="D1511" s="3">
        <v>0.36500000000000199</v>
      </c>
      <c r="E1511" s="3">
        <v>0.9463313456054</v>
      </c>
      <c r="F1511" s="3">
        <v>0.94633331405060594</v>
      </c>
      <c r="G1511" s="3">
        <v>44.847054</v>
      </c>
      <c r="H1511" s="3">
        <v>1149.7485429928599</v>
      </c>
      <c r="I1511" s="3">
        <v>38.51</v>
      </c>
      <c r="J1511" s="3">
        <v>39.369999999999997</v>
      </c>
      <c r="K1511" s="3">
        <v>38.090000000000003</v>
      </c>
      <c r="L1511" s="3">
        <v>984.99790245814495</v>
      </c>
    </row>
    <row r="1512" spans="1:12" ht="15" customHeight="1" x14ac:dyDescent="0.2">
      <c r="A1512" s="2">
        <v>43858</v>
      </c>
      <c r="B1512" s="3">
        <v>38.57</v>
      </c>
      <c r="C1512" s="1">
        <v>403018</v>
      </c>
      <c r="D1512" s="3">
        <v>9.0000000000003397E-2</v>
      </c>
      <c r="E1512" s="3">
        <v>0.233887733887749</v>
      </c>
      <c r="F1512" s="3">
        <v>0.23388778782935599</v>
      </c>
      <c r="G1512" s="3">
        <v>44.426630000000003</v>
      </c>
      <c r="H1512" s="3">
        <v>1138.0326277971999</v>
      </c>
      <c r="I1512" s="3">
        <v>38.799999999999997</v>
      </c>
      <c r="J1512" s="3">
        <v>39.229999999999997</v>
      </c>
      <c r="K1512" s="3">
        <v>38.479999999999997</v>
      </c>
      <c r="L1512" s="3">
        <v>974.82648254297305</v>
      </c>
    </row>
    <row r="1513" spans="1:12" ht="15" customHeight="1" x14ac:dyDescent="0.2">
      <c r="A1513" s="2">
        <v>43857</v>
      </c>
      <c r="B1513" s="3">
        <v>38.479999999999997</v>
      </c>
      <c r="C1513" s="1">
        <v>786080</v>
      </c>
      <c r="D1513" s="3">
        <v>-1</v>
      </c>
      <c r="E1513" s="3">
        <v>-2.5329280648429502</v>
      </c>
      <c r="F1513" s="3">
        <v>-2.5329276816298001</v>
      </c>
      <c r="G1513" s="3">
        <v>44.322963999999999</v>
      </c>
      <c r="H1513" s="3">
        <v>1135.14377733987</v>
      </c>
      <c r="I1513" s="3">
        <v>39.04</v>
      </c>
      <c r="J1513" s="3">
        <v>39.299999999999997</v>
      </c>
      <c r="K1513" s="3">
        <v>38.4</v>
      </c>
      <c r="L1513" s="3">
        <v>972.31846119402599</v>
      </c>
    </row>
    <row r="1514" spans="1:12" ht="15" customHeight="1" x14ac:dyDescent="0.2">
      <c r="A1514" s="2">
        <v>43854</v>
      </c>
      <c r="B1514" s="3">
        <v>39.479999999999997</v>
      </c>
      <c r="C1514" s="1">
        <v>561356</v>
      </c>
      <c r="D1514" s="3">
        <v>-0.130000000000002</v>
      </c>
      <c r="E1514" s="3">
        <v>-0.32819994950770098</v>
      </c>
      <c r="F1514" s="3">
        <v>-0.32820488092484201</v>
      </c>
      <c r="G1514" s="3">
        <v>45.474808000000003</v>
      </c>
      <c r="H1514" s="3">
        <v>1167.2421033693799</v>
      </c>
      <c r="I1514" s="3">
        <v>39.74</v>
      </c>
      <c r="J1514" s="3">
        <v>39.93</v>
      </c>
      <c r="K1514" s="3">
        <v>39.340000000000003</v>
      </c>
      <c r="L1514" s="3">
        <v>1000.18536507121</v>
      </c>
    </row>
    <row r="1515" spans="1:12" ht="15" customHeight="1" x14ac:dyDescent="0.2">
      <c r="A1515" s="2">
        <v>43853</v>
      </c>
      <c r="B1515" s="3">
        <v>39.61</v>
      </c>
      <c r="C1515" s="1">
        <v>520451</v>
      </c>
      <c r="D1515" s="3">
        <v>0.51999999999999602</v>
      </c>
      <c r="E1515" s="3">
        <v>1.3302634944998699</v>
      </c>
      <c r="F1515" s="3">
        <v>1.3302657444355499</v>
      </c>
      <c r="G1515" s="3">
        <v>45.624549999999999</v>
      </c>
      <c r="H1515" s="3">
        <v>1171.41494928975</v>
      </c>
      <c r="I1515" s="3">
        <v>38.76</v>
      </c>
      <c r="J1515" s="3">
        <v>39.770000000000003</v>
      </c>
      <c r="K1515" s="3">
        <v>38.76</v>
      </c>
      <c r="L1515" s="3">
        <v>1003.80806257524</v>
      </c>
    </row>
    <row r="1516" spans="1:12" ht="15" customHeight="1" x14ac:dyDescent="0.2">
      <c r="A1516" s="2">
        <v>43852</v>
      </c>
      <c r="B1516" s="3">
        <v>39.090000000000003</v>
      </c>
      <c r="C1516" s="1">
        <v>541145</v>
      </c>
      <c r="D1516" s="3">
        <v>-0.33999999999999603</v>
      </c>
      <c r="E1516" s="3">
        <v>-0.86228759827541301</v>
      </c>
      <c r="F1516" s="3">
        <v>-0.86228753294153004</v>
      </c>
      <c r="G1516" s="3">
        <v>45.025590000000001</v>
      </c>
      <c r="H1516" s="3">
        <v>1154.7237885434799</v>
      </c>
      <c r="I1516" s="3">
        <v>39.4</v>
      </c>
      <c r="J1516" s="3">
        <v>39.950000000000003</v>
      </c>
      <c r="K1516" s="3">
        <v>38.909999999999997</v>
      </c>
      <c r="L1516" s="3">
        <v>989.31727255910801</v>
      </c>
    </row>
    <row r="1517" spans="1:12" ht="15" customHeight="1" x14ac:dyDescent="0.2">
      <c r="A1517" s="2">
        <v>43851</v>
      </c>
      <c r="B1517" s="3">
        <v>39.43</v>
      </c>
      <c r="C1517" s="1">
        <v>856996</v>
      </c>
      <c r="D1517" s="3">
        <v>0.58999999999999597</v>
      </c>
      <c r="E1517" s="3">
        <v>1.51905252317197</v>
      </c>
      <c r="F1517" s="3">
        <v>1.51905007037698</v>
      </c>
      <c r="G1517" s="3">
        <v>45.417217000000001</v>
      </c>
      <c r="H1517" s="3">
        <v>1165.63722050819</v>
      </c>
      <c r="I1517" s="3">
        <v>38.729999999999997</v>
      </c>
      <c r="J1517" s="3">
        <v>39.46</v>
      </c>
      <c r="K1517" s="3">
        <v>38.4</v>
      </c>
      <c r="L1517" s="3">
        <v>998.79201987735098</v>
      </c>
    </row>
    <row r="1518" spans="1:12" ht="15" customHeight="1" x14ac:dyDescent="0.2">
      <c r="A1518" s="2">
        <v>43847</v>
      </c>
      <c r="B1518" s="3">
        <v>38.840000000000003</v>
      </c>
      <c r="C1518" s="1">
        <v>1067671</v>
      </c>
      <c r="D1518" s="3">
        <v>-1.6799999999999899</v>
      </c>
      <c r="E1518" s="3">
        <v>-4.1461006910167804</v>
      </c>
      <c r="F1518" s="3">
        <v>-4.1460959447708099</v>
      </c>
      <c r="G1518" s="3">
        <v>44.737630000000003</v>
      </c>
      <c r="H1518" s="3">
        <v>1146.6992349029999</v>
      </c>
      <c r="I1518" s="3">
        <v>39.869999999999997</v>
      </c>
      <c r="J1518" s="3">
        <v>40.024999999999999</v>
      </c>
      <c r="K1518" s="3">
        <v>38.79</v>
      </c>
      <c r="L1518" s="3">
        <v>982.35054658981198</v>
      </c>
    </row>
    <row r="1519" spans="1:12" ht="15" customHeight="1" x14ac:dyDescent="0.2">
      <c r="A1519" s="2">
        <v>43846</v>
      </c>
      <c r="B1519" s="3">
        <v>40.520000000000003</v>
      </c>
      <c r="C1519" s="1">
        <v>799199</v>
      </c>
      <c r="D1519" s="3">
        <v>1.24</v>
      </c>
      <c r="E1519" s="3">
        <v>3.15682281059064</v>
      </c>
      <c r="F1519" s="3">
        <v>3.1568210370158201</v>
      </c>
      <c r="G1519" s="3">
        <v>46.672725999999997</v>
      </c>
      <c r="H1519" s="3">
        <v>1200.62436912812</v>
      </c>
      <c r="I1519" s="3">
        <v>39.4</v>
      </c>
      <c r="J1519" s="3">
        <v>40.840000000000003</v>
      </c>
      <c r="K1519" s="3">
        <v>39.4</v>
      </c>
      <c r="L1519" s="3">
        <v>1029.16694510348</v>
      </c>
    </row>
    <row r="1520" spans="1:12" ht="15" customHeight="1" x14ac:dyDescent="0.2">
      <c r="A1520" s="2">
        <v>43845</v>
      </c>
      <c r="B1520" s="3">
        <v>39.28</v>
      </c>
      <c r="C1520" s="1">
        <v>466144</v>
      </c>
      <c r="D1520" s="3">
        <v>-0.28000000000000103</v>
      </c>
      <c r="E1520" s="3">
        <v>-0.70778564206269701</v>
      </c>
      <c r="F1520" s="3">
        <v>-0.70778482547747501</v>
      </c>
      <c r="G1520" s="3">
        <v>45.244439999999997</v>
      </c>
      <c r="H1520" s="3">
        <v>1160.822460457</v>
      </c>
      <c r="I1520" s="3">
        <v>39.36</v>
      </c>
      <c r="J1520" s="3">
        <v>39.79</v>
      </c>
      <c r="K1520" s="3">
        <v>39.130000000000003</v>
      </c>
      <c r="L1520" s="3">
        <v>994.61198429577303</v>
      </c>
    </row>
    <row r="1521" spans="1:12" ht="15" customHeight="1" x14ac:dyDescent="0.2">
      <c r="A1521" s="2">
        <v>43844</v>
      </c>
      <c r="B1521" s="3">
        <v>39.56</v>
      </c>
      <c r="C1521" s="1">
        <v>787067</v>
      </c>
      <c r="D1521" s="3">
        <v>0.160000000000003</v>
      </c>
      <c r="E1521" s="3">
        <v>0.40609137055838102</v>
      </c>
      <c r="F1521" s="3">
        <v>0.40608457890440802</v>
      </c>
      <c r="G1521" s="3">
        <v>45.566955999999998</v>
      </c>
      <c r="H1521" s="3">
        <v>1169.80998282785</v>
      </c>
      <c r="I1521" s="3">
        <v>39.369999999999997</v>
      </c>
      <c r="J1521" s="3">
        <v>39.61</v>
      </c>
      <c r="K1521" s="3">
        <v>38.909999999999997</v>
      </c>
      <c r="L1521" s="3">
        <v>1002.41471738138</v>
      </c>
    </row>
    <row r="1522" spans="1:12" ht="15" customHeight="1" x14ac:dyDescent="0.2">
      <c r="A1522" s="2">
        <v>43843</v>
      </c>
      <c r="B1522" s="3">
        <v>39.4</v>
      </c>
      <c r="C1522" s="1">
        <v>460268</v>
      </c>
      <c r="D1522" s="3">
        <v>-3.9999999999999099E-2</v>
      </c>
      <c r="E1522" s="3">
        <v>-0.10141987829613799</v>
      </c>
      <c r="F1522" s="3">
        <v>-0.10141158677237</v>
      </c>
      <c r="G1522" s="3">
        <v>45.382663999999998</v>
      </c>
      <c r="H1522" s="3">
        <v>1164.67433537852</v>
      </c>
      <c r="I1522" s="3">
        <v>39.340000000000003</v>
      </c>
      <c r="J1522" s="3">
        <v>39.770000000000003</v>
      </c>
      <c r="K1522" s="3">
        <v>39.25</v>
      </c>
      <c r="L1522" s="3">
        <v>997.95601276103503</v>
      </c>
    </row>
    <row r="1523" spans="1:12" ht="15" customHeight="1" x14ac:dyDescent="0.2">
      <c r="A1523" s="2">
        <v>43840</v>
      </c>
      <c r="B1523" s="3">
        <v>39.44</v>
      </c>
      <c r="C1523" s="1">
        <v>609968</v>
      </c>
      <c r="D1523" s="3">
        <v>-0.30000000000000399</v>
      </c>
      <c r="E1523" s="3">
        <v>-0.75490689481632001</v>
      </c>
      <c r="F1523" s="3">
        <v>-0.75491285610328396</v>
      </c>
      <c r="G1523" s="3">
        <v>45.428733999999999</v>
      </c>
      <c r="H1523" s="3">
        <v>1165.9581636401399</v>
      </c>
      <c r="I1523" s="3">
        <v>39.590000000000003</v>
      </c>
      <c r="J1523" s="3">
        <v>39.71</v>
      </c>
      <c r="K1523" s="3">
        <v>39.22</v>
      </c>
      <c r="L1523" s="3">
        <v>999.07068891612198</v>
      </c>
    </row>
    <row r="1524" spans="1:12" ht="15" customHeight="1" x14ac:dyDescent="0.2">
      <c r="A1524" s="2">
        <v>43839</v>
      </c>
      <c r="B1524" s="3">
        <v>39.74</v>
      </c>
      <c r="C1524" s="1">
        <v>343030</v>
      </c>
      <c r="D1524" s="3">
        <v>0.100000000000001</v>
      </c>
      <c r="E1524" s="3">
        <v>0.25227043390514398</v>
      </c>
      <c r="F1524" s="3">
        <v>0.25227609048736799</v>
      </c>
      <c r="G1524" s="3">
        <v>45.774290000000001</v>
      </c>
      <c r="H1524" s="3">
        <v>1175.5877394763199</v>
      </c>
      <c r="I1524" s="3">
        <v>39.81</v>
      </c>
      <c r="J1524" s="3">
        <v>40.020000000000003</v>
      </c>
      <c r="K1524" s="3">
        <v>39.65</v>
      </c>
      <c r="L1524" s="3">
        <v>1007.43076007927</v>
      </c>
    </row>
    <row r="1525" spans="1:12" ht="15" customHeight="1" x14ac:dyDescent="0.2">
      <c r="A1525" s="2">
        <v>43838</v>
      </c>
      <c r="B1525" s="3">
        <v>39.64</v>
      </c>
      <c r="C1525" s="1">
        <v>490256</v>
      </c>
      <c r="D1525" s="3">
        <v>0.25999999999999801</v>
      </c>
      <c r="E1525" s="3">
        <v>0.66023362112748096</v>
      </c>
      <c r="F1525" s="3">
        <v>0.66022588765997003</v>
      </c>
      <c r="G1525" s="3">
        <v>45.659103000000002</v>
      </c>
      <c r="H1525" s="3">
        <v>1172.37783441942</v>
      </c>
      <c r="I1525" s="3">
        <v>39.31</v>
      </c>
      <c r="J1525" s="3">
        <v>40.06</v>
      </c>
      <c r="K1525" s="3">
        <v>39.21</v>
      </c>
      <c r="L1525" s="3">
        <v>1004.64406969155</v>
      </c>
    </row>
    <row r="1526" spans="1:12" ht="15" customHeight="1" x14ac:dyDescent="0.2">
      <c r="A1526" s="2">
        <v>43837</v>
      </c>
      <c r="B1526" s="3">
        <v>39.380000000000003</v>
      </c>
      <c r="C1526" s="1">
        <v>745743</v>
      </c>
      <c r="D1526" s="3">
        <v>-0.32999999999999802</v>
      </c>
      <c r="E1526" s="3">
        <v>-0.83102493074791395</v>
      </c>
      <c r="F1526" s="3">
        <v>-0.83101277598270895</v>
      </c>
      <c r="G1526" s="3">
        <v>45.359627000000003</v>
      </c>
      <c r="H1526" s="3">
        <v>1164.0323655139</v>
      </c>
      <c r="I1526" s="3">
        <v>39.520000000000003</v>
      </c>
      <c r="J1526" s="3">
        <v>39.9</v>
      </c>
      <c r="K1526" s="3">
        <v>39.14</v>
      </c>
      <c r="L1526" s="3">
        <v>997.39867468349098</v>
      </c>
    </row>
    <row r="1527" spans="1:12" ht="15" customHeight="1" x14ac:dyDescent="0.2">
      <c r="A1527" s="2">
        <v>43836</v>
      </c>
      <c r="B1527" s="3">
        <v>39.71</v>
      </c>
      <c r="C1527" s="1">
        <v>715919</v>
      </c>
      <c r="D1527" s="3">
        <v>0.96</v>
      </c>
      <c r="E1527" s="3">
        <v>2.4774193548387098</v>
      </c>
      <c r="F1527" s="3">
        <v>2.4774185396052499</v>
      </c>
      <c r="G1527" s="3">
        <v>45.739730000000002</v>
      </c>
      <c r="H1527" s="3">
        <v>1174.62465927833</v>
      </c>
      <c r="I1527" s="3">
        <v>38.53</v>
      </c>
      <c r="J1527" s="3">
        <v>39.92</v>
      </c>
      <c r="K1527" s="3">
        <v>38.520000000000003</v>
      </c>
      <c r="L1527" s="3">
        <v>1006.59475296296</v>
      </c>
    </row>
    <row r="1528" spans="1:12" ht="15" customHeight="1" x14ac:dyDescent="0.2">
      <c r="A1528" s="2">
        <v>43833</v>
      </c>
      <c r="B1528" s="3">
        <v>38.75</v>
      </c>
      <c r="C1528" s="1">
        <v>612415</v>
      </c>
      <c r="D1528" s="3">
        <v>-0.219999999999998</v>
      </c>
      <c r="E1528" s="3">
        <v>-0.56453682319732501</v>
      </c>
      <c r="F1528" s="3">
        <v>-0.56453968440607305</v>
      </c>
      <c r="G1528" s="3">
        <v>44.633960000000002</v>
      </c>
      <c r="H1528" s="3">
        <v>1143.8102729780501</v>
      </c>
      <c r="I1528" s="3">
        <v>38.729999999999997</v>
      </c>
      <c r="J1528" s="3">
        <v>39.020000000000003</v>
      </c>
      <c r="K1528" s="3">
        <v>38.4</v>
      </c>
      <c r="L1528" s="3">
        <v>979.84252524086605</v>
      </c>
    </row>
    <row r="1529" spans="1:12" ht="15" customHeight="1" x14ac:dyDescent="0.2">
      <c r="A1529" s="2">
        <v>43832</v>
      </c>
      <c r="B1529" s="3">
        <v>38.97</v>
      </c>
      <c r="C1529" s="1">
        <v>677852</v>
      </c>
      <c r="D1529" s="3">
        <v>0.109999999999999</v>
      </c>
      <c r="E1529" s="3">
        <v>0.28306742151311598</v>
      </c>
      <c r="F1529" s="3">
        <v>0.28306325915703401</v>
      </c>
      <c r="G1529" s="3">
        <v>44.887366999999998</v>
      </c>
      <c r="H1529" s="3">
        <v>1150.8719414888601</v>
      </c>
      <c r="I1529" s="3">
        <v>39.24</v>
      </c>
      <c r="J1529" s="3">
        <v>39.979999999999997</v>
      </c>
      <c r="K1529" s="3">
        <v>38.799999999999997</v>
      </c>
      <c r="L1529" s="3">
        <v>985.97324409384601</v>
      </c>
    </row>
    <row r="1530" spans="1:12" ht="15" customHeight="1" x14ac:dyDescent="0.2">
      <c r="A1530" s="2">
        <v>43830</v>
      </c>
      <c r="B1530" s="3">
        <v>38.86</v>
      </c>
      <c r="C1530" s="1">
        <v>777825</v>
      </c>
      <c r="D1530" s="3">
        <v>6.0000000000002197E-2</v>
      </c>
      <c r="E1530" s="3">
        <v>0.15463917525773099</v>
      </c>
      <c r="F1530" s="3">
        <v>0.15463995378992501</v>
      </c>
      <c r="G1530" s="3">
        <v>44.760666000000001</v>
      </c>
      <c r="H1530" s="3">
        <v>1147.34117690072</v>
      </c>
      <c r="I1530" s="3">
        <v>38.799999999999997</v>
      </c>
      <c r="J1530" s="3">
        <v>39.5</v>
      </c>
      <c r="K1530" s="3">
        <v>38.75</v>
      </c>
      <c r="L1530" s="3">
        <v>982.90788466735603</v>
      </c>
    </row>
    <row r="1531" spans="1:12" ht="15" customHeight="1" x14ac:dyDescent="0.2">
      <c r="A1531" s="2">
        <v>43829</v>
      </c>
      <c r="B1531" s="3">
        <v>38.799999999999997</v>
      </c>
      <c r="C1531" s="1">
        <v>870825</v>
      </c>
      <c r="D1531" s="3">
        <v>0.439999999999997</v>
      </c>
      <c r="E1531" s="3">
        <v>1.1470281543274099</v>
      </c>
      <c r="F1531" s="3">
        <v>1.1470317061034401</v>
      </c>
      <c r="G1531" s="3">
        <v>44.691555000000001</v>
      </c>
      <c r="H1531" s="3">
        <v>1145.41526730686</v>
      </c>
      <c r="I1531" s="3">
        <v>38.44</v>
      </c>
      <c r="J1531" s="3">
        <v>38.854799999999997</v>
      </c>
      <c r="K1531" s="3">
        <v>38.115000000000002</v>
      </c>
      <c r="L1531" s="3">
        <v>981.23587043472503</v>
      </c>
    </row>
    <row r="1532" spans="1:12" ht="15" customHeight="1" x14ac:dyDescent="0.2">
      <c r="A1532" s="2">
        <v>43826</v>
      </c>
      <c r="B1532" s="3">
        <v>38.36</v>
      </c>
      <c r="C1532" s="1">
        <v>865159</v>
      </c>
      <c r="D1532" s="3">
        <v>-0.77000000000000302</v>
      </c>
      <c r="E1532" s="3">
        <v>-1.96779964221825</v>
      </c>
      <c r="F1532" s="3">
        <v>-1.96780180930976</v>
      </c>
      <c r="G1532" s="3">
        <v>44.184742</v>
      </c>
      <c r="H1532" s="3">
        <v>1131.2919581521501</v>
      </c>
      <c r="I1532" s="3">
        <v>39.18</v>
      </c>
      <c r="J1532" s="3">
        <v>39.218200000000003</v>
      </c>
      <c r="K1532" s="3">
        <v>38.31</v>
      </c>
      <c r="L1532" s="3">
        <v>968.97443272876399</v>
      </c>
    </row>
    <row r="1533" spans="1:12" ht="15" customHeight="1" x14ac:dyDescent="0.2">
      <c r="A1533" s="2">
        <v>43825</v>
      </c>
      <c r="B1533" s="3">
        <v>39.130000000000003</v>
      </c>
      <c r="C1533" s="1">
        <v>902811</v>
      </c>
      <c r="D1533" s="3">
        <v>8.00000000000054E-2</v>
      </c>
      <c r="E1533" s="3">
        <v>0.20486555697825001</v>
      </c>
      <c r="F1533" s="3">
        <v>0.204866593159125</v>
      </c>
      <c r="G1533" s="3">
        <v>45.071663000000001</v>
      </c>
      <c r="H1533" s="3">
        <v>1156.0077004058101</v>
      </c>
      <c r="I1533" s="3">
        <v>39.270000000000003</v>
      </c>
      <c r="J1533" s="3">
        <v>39.369999999999997</v>
      </c>
      <c r="K1533" s="3">
        <v>38.82</v>
      </c>
      <c r="L1533" s="3">
        <v>990.43194871419598</v>
      </c>
    </row>
    <row r="1534" spans="1:12" ht="15" customHeight="1" x14ac:dyDescent="0.2">
      <c r="A1534" s="2">
        <v>43823</v>
      </c>
      <c r="B1534" s="3">
        <v>39.049999999999997</v>
      </c>
      <c r="C1534" s="1">
        <v>612313</v>
      </c>
      <c r="D1534" s="3">
        <v>-0.60000000000000098</v>
      </c>
      <c r="E1534" s="3">
        <v>-1.51324085750315</v>
      </c>
      <c r="F1534" s="3">
        <v>-1.5132462389828401</v>
      </c>
      <c r="G1534" s="3">
        <v>44.979514999999999</v>
      </c>
      <c r="H1534" s="3">
        <v>1153.43982094734</v>
      </c>
      <c r="I1534" s="3">
        <v>39.840000000000003</v>
      </c>
      <c r="J1534" s="3">
        <v>39.97</v>
      </c>
      <c r="K1534" s="3">
        <v>38.82</v>
      </c>
      <c r="L1534" s="3">
        <v>988.20259640402105</v>
      </c>
    </row>
    <row r="1535" spans="1:12" ht="15" customHeight="1" x14ac:dyDescent="0.2">
      <c r="A1535" s="2">
        <v>43822</v>
      </c>
      <c r="B1535" s="3">
        <v>39.65</v>
      </c>
      <c r="C1535" s="1">
        <v>1707234</v>
      </c>
      <c r="D1535" s="3">
        <v>-3.0000000000001099E-2</v>
      </c>
      <c r="E1535" s="3">
        <v>-7.5604838709675201E-2</v>
      </c>
      <c r="F1535" s="3">
        <v>-7.5599750986643496E-2</v>
      </c>
      <c r="G1535" s="3">
        <v>45.670623999999997</v>
      </c>
      <c r="H1535" s="3">
        <v>1172.69888901899</v>
      </c>
      <c r="I1535" s="3">
        <v>39.69</v>
      </c>
      <c r="J1535" s="3">
        <v>39.950000000000003</v>
      </c>
      <c r="K1535" s="3">
        <v>39.08</v>
      </c>
      <c r="L1535" s="3">
        <v>1004.92273873033</v>
      </c>
    </row>
    <row r="1536" spans="1:12" ht="15" customHeight="1" x14ac:dyDescent="0.2">
      <c r="A1536" s="2">
        <v>43819</v>
      </c>
      <c r="B1536" s="3">
        <v>39.68</v>
      </c>
      <c r="C1536" s="1">
        <v>1396202</v>
      </c>
      <c r="D1536" s="3">
        <v>0.20000000000000201</v>
      </c>
      <c r="E1536" s="3">
        <v>0.50658561296858995</v>
      </c>
      <c r="F1536" s="3">
        <v>0.50658597612989098</v>
      </c>
      <c r="G1536" s="3">
        <v>45.705176999999999</v>
      </c>
      <c r="H1536" s="3">
        <v>1173.66177414866</v>
      </c>
      <c r="I1536" s="3">
        <v>39.54</v>
      </c>
      <c r="J1536" s="3">
        <v>40.17</v>
      </c>
      <c r="K1536" s="3">
        <v>39.18</v>
      </c>
      <c r="L1536" s="3">
        <v>1005.75874584664</v>
      </c>
    </row>
    <row r="1537" spans="1:12" ht="15" customHeight="1" x14ac:dyDescent="0.2">
      <c r="A1537" s="2">
        <v>43818</v>
      </c>
      <c r="B1537" s="3">
        <v>39.479999999999997</v>
      </c>
      <c r="C1537" s="1">
        <v>800042</v>
      </c>
      <c r="D1537" s="3">
        <v>-0.53000000000000103</v>
      </c>
      <c r="E1537" s="3">
        <v>-1.3246688327917999</v>
      </c>
      <c r="F1537" s="3">
        <v>-1.32466794986728</v>
      </c>
      <c r="G1537" s="3">
        <v>45.474808000000003</v>
      </c>
      <c r="H1537" s="3">
        <v>1167.2421033693799</v>
      </c>
      <c r="I1537" s="3">
        <v>39.86</v>
      </c>
      <c r="J1537" s="3">
        <v>40.11</v>
      </c>
      <c r="K1537" s="3">
        <v>38.6</v>
      </c>
      <c r="L1537" s="3">
        <v>1000.18536507121</v>
      </c>
    </row>
    <row r="1538" spans="1:12" ht="15" customHeight="1" x14ac:dyDescent="0.2">
      <c r="A1538" s="2">
        <v>43817</v>
      </c>
      <c r="B1538" s="3">
        <v>40.01</v>
      </c>
      <c r="C1538" s="1">
        <v>679552</v>
      </c>
      <c r="D1538" s="3">
        <v>-0.46</v>
      </c>
      <c r="E1538" s="3">
        <v>-1.1366444279713299</v>
      </c>
      <c r="F1538" s="3">
        <v>-1.1366480006976301</v>
      </c>
      <c r="G1538" s="3">
        <v>46.085284999999999</v>
      </c>
      <c r="H1538" s="3">
        <v>1184.2542072476101</v>
      </c>
      <c r="I1538" s="3">
        <v>40.590000000000003</v>
      </c>
      <c r="J1538" s="3">
        <v>40.590000000000003</v>
      </c>
      <c r="K1538" s="3">
        <v>39.72</v>
      </c>
      <c r="L1538" s="3">
        <v>1014.95482412611</v>
      </c>
    </row>
    <row r="1539" spans="1:12" ht="15" customHeight="1" x14ac:dyDescent="0.2">
      <c r="A1539" s="2">
        <v>43816</v>
      </c>
      <c r="B1539" s="3">
        <v>40.47</v>
      </c>
      <c r="C1539" s="1">
        <v>750856</v>
      </c>
      <c r="D1539" s="3">
        <v>0.56999999999999995</v>
      </c>
      <c r="E1539" s="3">
        <v>1.4285714285714199</v>
      </c>
      <c r="F1539" s="3">
        <v>1.4285709933970101</v>
      </c>
      <c r="G1539" s="3">
        <v>46.615135000000002</v>
      </c>
      <c r="H1539" s="3">
        <v>1199.01948626693</v>
      </c>
      <c r="I1539" s="3">
        <v>39.89</v>
      </c>
      <c r="J1539" s="3">
        <v>40.53</v>
      </c>
      <c r="K1539" s="3">
        <v>39.020000000000003</v>
      </c>
      <c r="L1539" s="3">
        <v>1027.7735999096201</v>
      </c>
    </row>
    <row r="1540" spans="1:12" ht="15" customHeight="1" x14ac:dyDescent="0.2">
      <c r="A1540" s="2">
        <v>43815</v>
      </c>
      <c r="B1540" s="3">
        <v>39.9</v>
      </c>
      <c r="C1540" s="1">
        <v>734189</v>
      </c>
      <c r="D1540" s="3">
        <v>4.9999999999997102E-2</v>
      </c>
      <c r="E1540" s="3">
        <v>0.12547051442910401</v>
      </c>
      <c r="F1540" s="3">
        <v>0.12547441787202901</v>
      </c>
      <c r="G1540" s="3">
        <v>45.958584000000002</v>
      </c>
      <c r="H1540" s="3">
        <v>1180.72344265947</v>
      </c>
      <c r="I1540" s="3">
        <v>40.049999999999997</v>
      </c>
      <c r="J1540" s="3">
        <v>40.54</v>
      </c>
      <c r="K1540" s="3">
        <v>39.869999999999997</v>
      </c>
      <c r="L1540" s="3">
        <v>1011.88946469962</v>
      </c>
    </row>
    <row r="1541" spans="1:12" ht="15" customHeight="1" x14ac:dyDescent="0.2">
      <c r="A1541" s="2">
        <v>43812</v>
      </c>
      <c r="B1541" s="3">
        <v>39.85</v>
      </c>
      <c r="C1541" s="1">
        <v>792630</v>
      </c>
      <c r="D1541" s="3">
        <v>-0.33999999999999603</v>
      </c>
      <c r="E1541" s="3">
        <v>-0.84598158745955399</v>
      </c>
      <c r="F1541" s="3">
        <v>-0.84597512683124398</v>
      </c>
      <c r="G1541" s="3">
        <v>45.90099</v>
      </c>
      <c r="H1541" s="3">
        <v>1179.1184761975601</v>
      </c>
      <c r="I1541" s="3">
        <v>40.31</v>
      </c>
      <c r="J1541" s="3">
        <v>40.44</v>
      </c>
      <c r="K1541" s="3">
        <v>39</v>
      </c>
      <c r="L1541" s="3">
        <v>1010.49611950576</v>
      </c>
    </row>
    <row r="1542" spans="1:12" ht="15" customHeight="1" x14ac:dyDescent="0.2">
      <c r="A1542" s="2">
        <v>43811</v>
      </c>
      <c r="B1542" s="3">
        <v>40.19</v>
      </c>
      <c r="C1542" s="1">
        <v>831864</v>
      </c>
      <c r="D1542" s="3">
        <v>-0.55000000000000404</v>
      </c>
      <c r="E1542" s="3">
        <v>-1.35002454590084</v>
      </c>
      <c r="F1542" s="3">
        <v>-1.35003242969184</v>
      </c>
      <c r="G1542" s="3">
        <v>46.292614</v>
      </c>
      <c r="H1542" s="3">
        <v>1190.0318245615599</v>
      </c>
      <c r="I1542" s="3">
        <v>40.69</v>
      </c>
      <c r="J1542" s="3">
        <v>41.07</v>
      </c>
      <c r="K1542" s="3">
        <v>40.1</v>
      </c>
      <c r="L1542" s="3">
        <v>1019.97086682401</v>
      </c>
    </row>
    <row r="1543" spans="1:12" ht="15" customHeight="1" x14ac:dyDescent="0.2">
      <c r="A1543" s="2">
        <v>43810</v>
      </c>
      <c r="B1543" s="3">
        <v>40.74</v>
      </c>
      <c r="C1543" s="1">
        <v>734003</v>
      </c>
      <c r="D1543" s="3">
        <v>-0.75999999999999801</v>
      </c>
      <c r="E1543" s="3">
        <v>-1.8313253012048101</v>
      </c>
      <c r="F1543" s="3">
        <v>-1.8313241125551301</v>
      </c>
      <c r="G1543" s="3">
        <v>46.926132000000003</v>
      </c>
      <c r="H1543" s="3">
        <v>1207.68600977203</v>
      </c>
      <c r="I1543" s="3">
        <v>41.69</v>
      </c>
      <c r="J1543" s="3">
        <v>41.97</v>
      </c>
      <c r="K1543" s="3">
        <v>40.28</v>
      </c>
      <c r="L1543" s="3">
        <v>1035.2976639564599</v>
      </c>
    </row>
    <row r="1544" spans="1:12" ht="15" customHeight="1" x14ac:dyDescent="0.2">
      <c r="A1544" s="2">
        <v>43809</v>
      </c>
      <c r="B1544" s="3">
        <v>41.5</v>
      </c>
      <c r="C1544" s="1">
        <v>578353</v>
      </c>
      <c r="D1544" s="3">
        <v>-0.50999999999999801</v>
      </c>
      <c r="E1544" s="3">
        <v>-1.2139966674601199</v>
      </c>
      <c r="F1544" s="3">
        <v>-1.2139955935828599</v>
      </c>
      <c r="G1544" s="3">
        <v>47.801532999999999</v>
      </c>
      <c r="H1544" s="3">
        <v>1232.0807252930199</v>
      </c>
      <c r="I1544" s="3">
        <v>42.08</v>
      </c>
      <c r="J1544" s="3">
        <v>42.08</v>
      </c>
      <c r="K1544" s="3">
        <v>41.08</v>
      </c>
      <c r="L1544" s="3">
        <v>1056.47651090312</v>
      </c>
    </row>
    <row r="1545" spans="1:12" ht="15" customHeight="1" x14ac:dyDescent="0.2">
      <c r="A1545" s="2">
        <v>43808</v>
      </c>
      <c r="B1545" s="3">
        <v>42.01</v>
      </c>
      <c r="C1545" s="1">
        <v>614619</v>
      </c>
      <c r="D1545" s="3">
        <v>-1.21</v>
      </c>
      <c r="E1545" s="3">
        <v>-2.7996298010180398</v>
      </c>
      <c r="F1545" s="3">
        <v>-2.7996348209831199</v>
      </c>
      <c r="G1545" s="3">
        <v>48.388973</v>
      </c>
      <c r="H1545" s="3">
        <v>1248.45085930663</v>
      </c>
      <c r="I1545" s="3">
        <v>43.13</v>
      </c>
      <c r="J1545" s="3">
        <v>43.22</v>
      </c>
      <c r="K1545" s="3">
        <v>41.99</v>
      </c>
      <c r="L1545" s="3">
        <v>1070.68863188048</v>
      </c>
    </row>
    <row r="1546" spans="1:12" ht="15" customHeight="1" x14ac:dyDescent="0.2">
      <c r="A1546" s="2">
        <v>43805</v>
      </c>
      <c r="B1546" s="3">
        <v>43.22</v>
      </c>
      <c r="C1546" s="1">
        <v>610677</v>
      </c>
      <c r="D1546" s="3">
        <v>0.67000000000000104</v>
      </c>
      <c r="E1546" s="3">
        <v>1.57461809635723</v>
      </c>
      <c r="F1546" s="3">
        <v>1.5746271645690999</v>
      </c>
      <c r="G1546" s="3">
        <v>49.782707000000002</v>
      </c>
      <c r="H1546" s="3">
        <v>1287.2899107149899</v>
      </c>
      <c r="I1546" s="3">
        <v>42.98</v>
      </c>
      <c r="J1546" s="3">
        <v>43.438499999999998</v>
      </c>
      <c r="K1546" s="3">
        <v>42.795000000000002</v>
      </c>
      <c r="L1546" s="3">
        <v>1104.40758557187</v>
      </c>
    </row>
    <row r="1547" spans="1:12" ht="15" customHeight="1" x14ac:dyDescent="0.2">
      <c r="A1547" s="2">
        <v>43804</v>
      </c>
      <c r="B1547" s="3">
        <v>42.55</v>
      </c>
      <c r="C1547" s="1">
        <v>599863</v>
      </c>
      <c r="D1547" s="3">
        <v>-0.380000000000002</v>
      </c>
      <c r="E1547" s="3">
        <v>-0.88516189145120205</v>
      </c>
      <c r="F1547" s="3">
        <v>-0.88516637555671096</v>
      </c>
      <c r="G1547" s="3">
        <v>49.010967000000001</v>
      </c>
      <c r="H1547" s="3">
        <v>1265.7839063168101</v>
      </c>
      <c r="I1547" s="3">
        <v>43.21</v>
      </c>
      <c r="J1547" s="3">
        <v>43.239899999999999</v>
      </c>
      <c r="K1547" s="3">
        <v>42.5</v>
      </c>
      <c r="L1547" s="3">
        <v>1085.7367599741599</v>
      </c>
    </row>
    <row r="1548" spans="1:12" ht="15" customHeight="1" x14ac:dyDescent="0.2">
      <c r="A1548" s="2">
        <v>43803</v>
      </c>
      <c r="B1548" s="3">
        <v>42.93</v>
      </c>
      <c r="C1548" s="1">
        <v>526177</v>
      </c>
      <c r="D1548" s="3">
        <v>0.17000000000000101</v>
      </c>
      <c r="E1548" s="3">
        <v>0.39756782039288502</v>
      </c>
      <c r="F1548" s="3">
        <v>0.39757493845076203</v>
      </c>
      <c r="G1548" s="3">
        <v>49.44867</v>
      </c>
      <c r="H1548" s="3">
        <v>1277.9813337445701</v>
      </c>
      <c r="I1548" s="3">
        <v>43.11</v>
      </c>
      <c r="J1548" s="3">
        <v>43.43</v>
      </c>
      <c r="K1548" s="3">
        <v>42.81</v>
      </c>
      <c r="L1548" s="3">
        <v>1096.3261834474899</v>
      </c>
    </row>
    <row r="1549" spans="1:12" ht="15" customHeight="1" x14ac:dyDescent="0.2">
      <c r="A1549" s="2">
        <v>43802</v>
      </c>
      <c r="B1549" s="3">
        <v>42.76</v>
      </c>
      <c r="C1549" s="1">
        <v>519953</v>
      </c>
      <c r="D1549" s="3">
        <v>-1.1799999999999899</v>
      </c>
      <c r="E1549" s="3">
        <v>-2.6854802002730902</v>
      </c>
      <c r="F1549" s="3">
        <v>-2.6854820879541799</v>
      </c>
      <c r="G1549" s="3">
        <v>49.252853000000002</v>
      </c>
      <c r="H1549" s="3">
        <v>1272.5245202280501</v>
      </c>
      <c r="I1549" s="3">
        <v>43.45</v>
      </c>
      <c r="J1549" s="3">
        <v>43.45</v>
      </c>
      <c r="K1549" s="3">
        <v>42.48</v>
      </c>
      <c r="L1549" s="3">
        <v>1091.5888097883701</v>
      </c>
    </row>
    <row r="1550" spans="1:12" ht="15" customHeight="1" x14ac:dyDescent="0.2">
      <c r="A1550" s="2">
        <v>43801</v>
      </c>
      <c r="B1550" s="3">
        <v>43.94</v>
      </c>
      <c r="C1550" s="1">
        <v>504639</v>
      </c>
      <c r="D1550" s="3">
        <v>0.32999999999999802</v>
      </c>
      <c r="E1550" s="3">
        <v>0.75670717725291303</v>
      </c>
      <c r="F1550" s="3">
        <v>0.75669804100284499</v>
      </c>
      <c r="G1550" s="3">
        <v>50.612029999999997</v>
      </c>
      <c r="H1550" s="3">
        <v>1310.40057503913</v>
      </c>
      <c r="I1550" s="3">
        <v>43.61</v>
      </c>
      <c r="J1550" s="3">
        <v>44.17</v>
      </c>
      <c r="K1550" s="3">
        <v>43.41</v>
      </c>
      <c r="L1550" s="3">
        <v>1124.4717563634399</v>
      </c>
    </row>
    <row r="1551" spans="1:12" ht="15" customHeight="1" x14ac:dyDescent="0.2">
      <c r="A1551" s="2">
        <v>43798</v>
      </c>
      <c r="B1551" s="3">
        <v>43.61</v>
      </c>
      <c r="C1551" s="1">
        <v>241684</v>
      </c>
      <c r="D1551" s="3">
        <v>3.9999999999999099E-2</v>
      </c>
      <c r="E1551" s="3">
        <v>9.1806288730777993E-2</v>
      </c>
      <c r="F1551" s="3">
        <v>9.1806750635625697E-2</v>
      </c>
      <c r="G1551" s="3">
        <v>50.231926000000001</v>
      </c>
      <c r="H1551" s="3">
        <v>1299.8082534078001</v>
      </c>
      <c r="I1551" s="3">
        <v>43.58</v>
      </c>
      <c r="J1551" s="3">
        <v>44.055</v>
      </c>
      <c r="K1551" s="3">
        <v>43.4</v>
      </c>
      <c r="L1551" s="3">
        <v>1115.27567808397</v>
      </c>
    </row>
    <row r="1552" spans="1:12" ht="15" customHeight="1" x14ac:dyDescent="0.2">
      <c r="A1552" s="2">
        <v>43796</v>
      </c>
      <c r="B1552" s="3">
        <v>43.57</v>
      </c>
      <c r="C1552" s="1">
        <v>744343</v>
      </c>
      <c r="D1552" s="3">
        <v>6.0000000000002197E-2</v>
      </c>
      <c r="E1552" s="3">
        <v>0.137899333486557</v>
      </c>
      <c r="F1552" s="3">
        <v>0.13790802062791899</v>
      </c>
      <c r="G1552" s="3">
        <v>50.185851999999997</v>
      </c>
      <c r="H1552" s="3">
        <v>1298.52431367856</v>
      </c>
      <c r="I1552" s="3">
        <v>43.74</v>
      </c>
      <c r="J1552" s="3">
        <v>43.86</v>
      </c>
      <c r="K1552" s="3">
        <v>43.23</v>
      </c>
      <c r="L1552" s="3">
        <v>1114.1610019288901</v>
      </c>
    </row>
    <row r="1553" spans="1:12" ht="15" customHeight="1" x14ac:dyDescent="0.2">
      <c r="A1553" s="2">
        <v>43795</v>
      </c>
      <c r="B1553" s="3">
        <v>43.51</v>
      </c>
      <c r="C1553" s="1">
        <v>620564</v>
      </c>
      <c r="D1553" s="3">
        <v>-1</v>
      </c>
      <c r="E1553" s="3">
        <v>-2.2466861379465199</v>
      </c>
      <c r="F1553" s="3">
        <v>-2.2466840314282099</v>
      </c>
      <c r="G1553" s="3">
        <v>50.116737000000001</v>
      </c>
      <c r="H1553" s="3">
        <v>1296.59829261709</v>
      </c>
      <c r="I1553" s="3">
        <v>44.35</v>
      </c>
      <c r="J1553" s="3">
        <v>44.63</v>
      </c>
      <c r="K1553" s="3">
        <v>43.274999999999999</v>
      </c>
      <c r="L1553" s="3">
        <v>1112.48898769626</v>
      </c>
    </row>
    <row r="1554" spans="1:12" ht="15" customHeight="1" x14ac:dyDescent="0.2">
      <c r="A1554" s="2">
        <v>43794</v>
      </c>
      <c r="B1554" s="3">
        <v>44.51</v>
      </c>
      <c r="C1554" s="1">
        <v>608424</v>
      </c>
      <c r="D1554" s="3">
        <v>1.25</v>
      </c>
      <c r="E1554" s="3">
        <v>2.8895053166897799</v>
      </c>
      <c r="F1554" s="3">
        <v>2.8895009805277798</v>
      </c>
      <c r="G1554" s="3">
        <v>51.26858</v>
      </c>
      <c r="H1554" s="3">
        <v>1328.69659077969</v>
      </c>
      <c r="I1554" s="3">
        <v>43.56</v>
      </c>
      <c r="J1554" s="3">
        <v>44.66</v>
      </c>
      <c r="K1554" s="3">
        <v>43.49</v>
      </c>
      <c r="L1554" s="3">
        <v>1140.35589157344</v>
      </c>
    </row>
    <row r="1555" spans="1:12" ht="15" customHeight="1" x14ac:dyDescent="0.2">
      <c r="A1555" s="2">
        <v>43791</v>
      </c>
      <c r="B1555" s="3">
        <v>43.26</v>
      </c>
      <c r="C1555" s="1">
        <v>455801</v>
      </c>
      <c r="D1555" s="3">
        <v>0.369999999999997</v>
      </c>
      <c r="E1555" s="3">
        <v>0.86267195150384601</v>
      </c>
      <c r="F1555" s="3">
        <v>0.86266924110627297</v>
      </c>
      <c r="G1555" s="3">
        <v>49.828777000000002</v>
      </c>
      <c r="H1555" s="3">
        <v>1288.57373897661</v>
      </c>
      <c r="I1555" s="3">
        <v>43.2</v>
      </c>
      <c r="J1555" s="3">
        <v>43.59</v>
      </c>
      <c r="K1555" s="3">
        <v>42.9</v>
      </c>
      <c r="L1555" s="3">
        <v>1105.5222617269601</v>
      </c>
    </row>
    <row r="1556" spans="1:12" ht="15" customHeight="1" x14ac:dyDescent="0.2">
      <c r="A1556" s="2">
        <v>43790</v>
      </c>
      <c r="B1556" s="3">
        <v>42.89</v>
      </c>
      <c r="C1556" s="1">
        <v>429666</v>
      </c>
      <c r="D1556" s="3">
        <v>0.34000000000000302</v>
      </c>
      <c r="E1556" s="3">
        <v>0.79905992949471605</v>
      </c>
      <c r="F1556" s="3">
        <v>0.79906401357068202</v>
      </c>
      <c r="G1556" s="3">
        <v>49.402596000000003</v>
      </c>
      <c r="H1556" s="3">
        <v>1276.69739401533</v>
      </c>
      <c r="I1556" s="3">
        <v>42.76</v>
      </c>
      <c r="J1556" s="3">
        <v>43.16</v>
      </c>
      <c r="K1556" s="3">
        <v>42.46</v>
      </c>
      <c r="L1556" s="3">
        <v>1095.2115072924</v>
      </c>
    </row>
    <row r="1557" spans="1:12" ht="15" customHeight="1" x14ac:dyDescent="0.2">
      <c r="A1557" s="2">
        <v>43789</v>
      </c>
      <c r="B1557" s="3">
        <v>42.55</v>
      </c>
      <c r="C1557" s="1">
        <v>793208</v>
      </c>
      <c r="D1557" s="3">
        <v>-9.0000000000003397E-2</v>
      </c>
      <c r="E1557" s="3">
        <v>-0.21106941838650001</v>
      </c>
      <c r="F1557" s="3">
        <v>-0.21107354253980801</v>
      </c>
      <c r="G1557" s="3">
        <v>49.010967000000001</v>
      </c>
      <c r="H1557" s="3">
        <v>1265.7839063168101</v>
      </c>
      <c r="I1557" s="3">
        <v>42.69</v>
      </c>
      <c r="J1557" s="3">
        <v>42.8</v>
      </c>
      <c r="K1557" s="3">
        <v>41.94</v>
      </c>
      <c r="L1557" s="3">
        <v>1085.7367599741599</v>
      </c>
    </row>
    <row r="1558" spans="1:12" ht="15" customHeight="1" x14ac:dyDescent="0.2">
      <c r="A1558" s="2">
        <v>43788</v>
      </c>
      <c r="B1558" s="3">
        <v>42.64</v>
      </c>
      <c r="C1558" s="1">
        <v>583110</v>
      </c>
      <c r="D1558" s="3">
        <v>-1.2999999999999901</v>
      </c>
      <c r="E1558" s="3">
        <v>-2.9585798816567901</v>
      </c>
      <c r="F1558" s="3">
        <v>-2.95857526362802</v>
      </c>
      <c r="G1558" s="3">
        <v>49.114635</v>
      </c>
      <c r="H1558" s="3">
        <v>1268.6728125079501</v>
      </c>
      <c r="I1558" s="3">
        <v>43.98</v>
      </c>
      <c r="J1558" s="3">
        <v>44.04</v>
      </c>
      <c r="K1558" s="3">
        <v>42.59</v>
      </c>
      <c r="L1558" s="3">
        <v>1088.2447813231099</v>
      </c>
    </row>
    <row r="1559" spans="1:12" ht="15" customHeight="1" x14ac:dyDescent="0.2">
      <c r="A1559" s="2">
        <v>43787</v>
      </c>
      <c r="B1559" s="3">
        <v>43.94</v>
      </c>
      <c r="C1559" s="1">
        <v>602466</v>
      </c>
      <c r="D1559" s="3">
        <v>-0.109999999999999</v>
      </c>
      <c r="E1559" s="3">
        <v>-0.24971623155505199</v>
      </c>
      <c r="F1559" s="3">
        <v>-0.249720455190693</v>
      </c>
      <c r="G1559" s="3">
        <v>50.612029999999997</v>
      </c>
      <c r="H1559" s="3">
        <v>1310.40057503913</v>
      </c>
      <c r="I1559" s="3">
        <v>43.94</v>
      </c>
      <c r="J1559" s="3">
        <v>44.24</v>
      </c>
      <c r="K1559" s="3">
        <v>43.41</v>
      </c>
      <c r="L1559" s="3">
        <v>1124.4717563634399</v>
      </c>
    </row>
    <row r="1560" spans="1:12" ht="15" customHeight="1" x14ac:dyDescent="0.2">
      <c r="A1560" s="2">
        <v>43784</v>
      </c>
      <c r="B1560" s="3">
        <v>44.05</v>
      </c>
      <c r="C1560" s="1">
        <v>800884</v>
      </c>
      <c r="D1560" s="3">
        <v>0.64999999999999802</v>
      </c>
      <c r="E1560" s="3">
        <v>1.4976958525345601</v>
      </c>
      <c r="F1560" s="3">
        <v>1.49768833951722</v>
      </c>
      <c r="G1560" s="3">
        <v>50.738734999999998</v>
      </c>
      <c r="H1560" s="3">
        <v>1313.93145109489</v>
      </c>
      <c r="I1560" s="3">
        <v>43.58</v>
      </c>
      <c r="J1560" s="3">
        <v>44.19</v>
      </c>
      <c r="K1560" s="3">
        <v>43.09</v>
      </c>
      <c r="L1560" s="3">
        <v>1127.5371157899301</v>
      </c>
    </row>
    <row r="1561" spans="1:12" ht="15" customHeight="1" x14ac:dyDescent="0.2">
      <c r="A1561" s="2">
        <v>43783</v>
      </c>
      <c r="B1561" s="3">
        <v>43.4</v>
      </c>
      <c r="C1561" s="1">
        <v>732628</v>
      </c>
      <c r="D1561" s="3">
        <v>0.74000000000000199</v>
      </c>
      <c r="E1561" s="3">
        <v>1.7346460384435101</v>
      </c>
      <c r="F1561" s="3">
        <v>1.73465279348195</v>
      </c>
      <c r="G1561" s="3">
        <v>49.99004</v>
      </c>
      <c r="H1561" s="3">
        <v>1293.0676394965601</v>
      </c>
      <c r="I1561" s="3">
        <v>42.83</v>
      </c>
      <c r="J1561" s="3">
        <v>43.43</v>
      </c>
      <c r="K1561" s="3">
        <v>42.5</v>
      </c>
      <c r="L1561" s="3">
        <v>1109.42362826977</v>
      </c>
    </row>
    <row r="1562" spans="1:12" ht="15" customHeight="1" x14ac:dyDescent="0.2">
      <c r="A1562" s="2">
        <v>43782</v>
      </c>
      <c r="B1562" s="3">
        <v>42.66</v>
      </c>
      <c r="C1562" s="1">
        <v>483791</v>
      </c>
      <c r="D1562" s="3">
        <v>0.119999999999997</v>
      </c>
      <c r="E1562" s="3">
        <v>0.28208744710860301</v>
      </c>
      <c r="F1562" s="3">
        <v>0.28208888058947001</v>
      </c>
      <c r="G1562" s="3">
        <v>49.137672000000002</v>
      </c>
      <c r="H1562" s="3">
        <v>1269.3147823725701</v>
      </c>
      <c r="I1562" s="3">
        <v>42.13</v>
      </c>
      <c r="J1562" s="3">
        <v>42.92</v>
      </c>
      <c r="K1562" s="3">
        <v>41.79</v>
      </c>
      <c r="L1562" s="3">
        <v>1088.8021194006501</v>
      </c>
    </row>
    <row r="1563" spans="1:12" ht="15" customHeight="1" x14ac:dyDescent="0.2">
      <c r="A1563" s="2">
        <v>43781</v>
      </c>
      <c r="B1563" s="3">
        <v>42.54</v>
      </c>
      <c r="C1563" s="1">
        <v>634010</v>
      </c>
      <c r="D1563" s="3">
        <v>0.14000000000000001</v>
      </c>
      <c r="E1563" s="3">
        <v>0.33018867924528</v>
      </c>
      <c r="F1563" s="3">
        <v>0.33018009100909101</v>
      </c>
      <c r="G1563" s="3">
        <v>48.999450000000003</v>
      </c>
      <c r="H1563" s="3">
        <v>1265.46296318486</v>
      </c>
      <c r="I1563" s="3">
        <v>42.5</v>
      </c>
      <c r="J1563" s="3">
        <v>42.765000000000001</v>
      </c>
      <c r="K1563" s="3">
        <v>41.71</v>
      </c>
      <c r="L1563" s="3">
        <v>1085.4580909353899</v>
      </c>
    </row>
    <row r="1564" spans="1:12" ht="15" customHeight="1" x14ac:dyDescent="0.2">
      <c r="A1564" s="2">
        <v>43780</v>
      </c>
      <c r="B1564" s="3">
        <v>42.4</v>
      </c>
      <c r="C1564" s="1">
        <v>495691</v>
      </c>
      <c r="D1564" s="3">
        <v>-0.66000000000000303</v>
      </c>
      <c r="E1564" s="3">
        <v>-1.5327450069670201</v>
      </c>
      <c r="F1564" s="3">
        <v>-1.5327386502914</v>
      </c>
      <c r="G1564" s="3">
        <v>48.838196000000003</v>
      </c>
      <c r="H1564" s="3">
        <v>1260.9693134670499</v>
      </c>
      <c r="I1564" s="3">
        <v>42.93</v>
      </c>
      <c r="J1564" s="3">
        <v>42.93</v>
      </c>
      <c r="K1564" s="3">
        <v>42.1</v>
      </c>
      <c r="L1564" s="3">
        <v>1081.55672439258</v>
      </c>
    </row>
    <row r="1565" spans="1:12" ht="15" customHeight="1" x14ac:dyDescent="0.2">
      <c r="A1565" s="2">
        <v>43777</v>
      </c>
      <c r="B1565" s="3">
        <v>43.06</v>
      </c>
      <c r="C1565" s="1">
        <v>663878</v>
      </c>
      <c r="D1565" s="3">
        <v>-0.14000000000000001</v>
      </c>
      <c r="E1565" s="3">
        <v>-0.32407407407407601</v>
      </c>
      <c r="F1565" s="3">
        <v>0.50925579082072803</v>
      </c>
      <c r="G1565" s="3">
        <v>49.598410000000001</v>
      </c>
      <c r="H1565" s="3">
        <v>1282.15412393114</v>
      </c>
      <c r="I1565" s="3">
        <v>43.36</v>
      </c>
      <c r="J1565" s="3">
        <v>43.39</v>
      </c>
      <c r="K1565" s="3">
        <v>42.56</v>
      </c>
      <c r="L1565" s="3">
        <v>1099.9488809515201</v>
      </c>
    </row>
    <row r="1566" spans="1:12" ht="15" customHeight="1" x14ac:dyDescent="0.2">
      <c r="A1566" s="2">
        <v>43776</v>
      </c>
      <c r="B1566" s="3">
        <v>43.2</v>
      </c>
      <c r="C1566" s="1">
        <v>966598</v>
      </c>
      <c r="D1566" s="3">
        <v>5.4999999999999702E-2</v>
      </c>
      <c r="E1566" s="3">
        <v>0.12747711206397799</v>
      </c>
      <c r="F1566" s="3">
        <v>0.12747268738797499</v>
      </c>
      <c r="G1566" s="3">
        <v>49.347107000000001</v>
      </c>
      <c r="H1566" s="3">
        <v>1275.15108738609</v>
      </c>
      <c r="I1566" s="3">
        <v>43.71</v>
      </c>
      <c r="J1566" s="3">
        <v>43.93</v>
      </c>
      <c r="K1566" s="3">
        <v>42.91</v>
      </c>
      <c r="L1566" s="3">
        <v>1103.85024749433</v>
      </c>
    </row>
    <row r="1567" spans="1:12" ht="15" customHeight="1" x14ac:dyDescent="0.2">
      <c r="A1567" s="2">
        <v>43775</v>
      </c>
      <c r="B1567" s="3">
        <v>43.145000000000003</v>
      </c>
      <c r="C1567" s="1">
        <v>1169949</v>
      </c>
      <c r="D1567" s="3">
        <v>-1.7749999999999899</v>
      </c>
      <c r="E1567" s="3">
        <v>-3.9514692787177101</v>
      </c>
      <c r="F1567" s="3">
        <v>-3.9514595556387002</v>
      </c>
      <c r="G1567" s="3">
        <v>49.284283000000002</v>
      </c>
      <c r="H1567" s="3">
        <v>1273.4003770169099</v>
      </c>
      <c r="I1567" s="3">
        <v>45.06</v>
      </c>
      <c r="J1567" s="3">
        <v>45.24</v>
      </c>
      <c r="K1567" s="3">
        <v>42.83</v>
      </c>
      <c r="L1567" s="3">
        <v>1102.31756778108</v>
      </c>
    </row>
    <row r="1568" spans="1:12" ht="15" customHeight="1" x14ac:dyDescent="0.2">
      <c r="A1568" s="2">
        <v>43774</v>
      </c>
      <c r="B1568" s="3">
        <v>44.92</v>
      </c>
      <c r="C1568" s="1">
        <v>1232821</v>
      </c>
      <c r="D1568" s="3">
        <v>1.67</v>
      </c>
      <c r="E1568" s="3">
        <v>3.8612716763005901</v>
      </c>
      <c r="F1568" s="3">
        <v>3.8612693409591099</v>
      </c>
      <c r="G1568" s="3">
        <v>51.31185</v>
      </c>
      <c r="H1568" s="3">
        <v>1329.9023917104601</v>
      </c>
      <c r="I1568" s="3">
        <v>43.45</v>
      </c>
      <c r="J1568" s="3">
        <v>45.22</v>
      </c>
      <c r="K1568" s="3">
        <v>43.24</v>
      </c>
      <c r="L1568" s="3">
        <v>1151.7813221630799</v>
      </c>
    </row>
    <row r="1569" spans="1:12" ht="15" customHeight="1" x14ac:dyDescent="0.2">
      <c r="A1569" s="2">
        <v>43773</v>
      </c>
      <c r="B1569" s="3">
        <v>43.25</v>
      </c>
      <c r="C1569" s="1">
        <v>690102</v>
      </c>
      <c r="D1569" s="3">
        <v>1.28999999999999</v>
      </c>
      <c r="E1569" s="3">
        <v>3.07435653002858</v>
      </c>
      <c r="F1569" s="3">
        <v>3.0743578327525598</v>
      </c>
      <c r="G1569" s="3">
        <v>49.404220000000002</v>
      </c>
      <c r="H1569" s="3">
        <v>1276.7426498672301</v>
      </c>
      <c r="I1569" s="3">
        <v>42</v>
      </c>
      <c r="J1569" s="3">
        <v>43.42</v>
      </c>
      <c r="K1569" s="3">
        <v>41.76</v>
      </c>
      <c r="L1569" s="3">
        <v>1105.2435926881899</v>
      </c>
    </row>
    <row r="1570" spans="1:12" ht="15" customHeight="1" x14ac:dyDescent="0.2">
      <c r="A1570" s="2">
        <v>43770</v>
      </c>
      <c r="B1570" s="3">
        <v>41.96</v>
      </c>
      <c r="C1570" s="1">
        <v>743111</v>
      </c>
      <c r="D1570" s="3">
        <v>0.17000000000000101</v>
      </c>
      <c r="E1570" s="3">
        <v>0.40679588418281998</v>
      </c>
      <c r="F1570" s="3">
        <v>0.40678958414042099</v>
      </c>
      <c r="G1570" s="3">
        <v>47.930660000000003</v>
      </c>
      <c r="H1570" s="3">
        <v>1235.6790949899701</v>
      </c>
      <c r="I1570" s="3">
        <v>42.07</v>
      </c>
      <c r="J1570" s="3">
        <v>42.56</v>
      </c>
      <c r="K1570" s="3">
        <v>41.41</v>
      </c>
      <c r="L1570" s="3">
        <v>1069.2952866866201</v>
      </c>
    </row>
    <row r="1571" spans="1:12" ht="15" customHeight="1" x14ac:dyDescent="0.2">
      <c r="A1571" s="2">
        <v>43769</v>
      </c>
      <c r="B1571" s="3">
        <v>41.79</v>
      </c>
      <c r="C1571" s="1">
        <v>1019575</v>
      </c>
      <c r="D1571" s="3">
        <v>8.9999999999996305E-2</v>
      </c>
      <c r="E1571" s="3">
        <v>0.21582733812948099</v>
      </c>
      <c r="F1571" s="3">
        <v>0.21582633980288199</v>
      </c>
      <c r="G1571" s="3">
        <v>47.736472999999997</v>
      </c>
      <c r="H1571" s="3">
        <v>1230.2677045267701</v>
      </c>
      <c r="I1571" s="3">
        <v>41.86</v>
      </c>
      <c r="J1571" s="3">
        <v>42.87</v>
      </c>
      <c r="K1571" s="3">
        <v>41.515000000000001</v>
      </c>
      <c r="L1571" s="3">
        <v>1064.5579130275</v>
      </c>
    </row>
    <row r="1572" spans="1:12" ht="15" customHeight="1" x14ac:dyDescent="0.2">
      <c r="A1572" s="2">
        <v>43768</v>
      </c>
      <c r="B1572" s="3">
        <v>41.7</v>
      </c>
      <c r="C1572" s="1">
        <v>2136759</v>
      </c>
      <c r="D1572" s="3">
        <v>-2.0799999999999899</v>
      </c>
      <c r="E1572" s="3">
        <v>-4.7510278666057504</v>
      </c>
      <c r="F1572" s="3">
        <v>-4.75102238296635</v>
      </c>
      <c r="G1572" s="3">
        <v>47.633667000000003</v>
      </c>
      <c r="H1572" s="3">
        <v>1227.40281960677</v>
      </c>
      <c r="I1572" s="3">
        <v>44.63</v>
      </c>
      <c r="J1572" s="3">
        <v>44.74</v>
      </c>
      <c r="K1572" s="3">
        <v>40.51</v>
      </c>
      <c r="L1572" s="3">
        <v>1062.04989167855</v>
      </c>
    </row>
    <row r="1573" spans="1:12" ht="15" customHeight="1" x14ac:dyDescent="0.2">
      <c r="A1573" s="2">
        <v>43767</v>
      </c>
      <c r="B1573" s="3">
        <v>43.78</v>
      </c>
      <c r="C1573" s="1">
        <v>2028180</v>
      </c>
      <c r="D1573" s="3">
        <v>1.74</v>
      </c>
      <c r="E1573" s="3">
        <v>4.1389153187440604</v>
      </c>
      <c r="F1573" s="3">
        <v>4.1389028581662002</v>
      </c>
      <c r="G1573" s="3">
        <v>50.009636</v>
      </c>
      <c r="H1573" s="3">
        <v>1293.6137193449399</v>
      </c>
      <c r="I1573" s="3">
        <v>42.43</v>
      </c>
      <c r="J1573" s="3">
        <v>44.134999999999998</v>
      </c>
      <c r="K1573" s="3">
        <v>42.25</v>
      </c>
      <c r="L1573" s="3">
        <v>1120.01305174309</v>
      </c>
    </row>
    <row r="1574" spans="1:12" ht="15" customHeight="1" x14ac:dyDescent="0.2">
      <c r="A1574" s="2">
        <v>43766</v>
      </c>
      <c r="B1574" s="3">
        <v>42.04</v>
      </c>
      <c r="C1574" s="1">
        <v>1200422</v>
      </c>
      <c r="D1574" s="3">
        <v>7.0000000000000201E-2</v>
      </c>
      <c r="E1574" s="3">
        <v>0.16678579938051899</v>
      </c>
      <c r="F1574" s="3">
        <v>0.16679499859049099</v>
      </c>
      <c r="G1574" s="3">
        <v>48.02205</v>
      </c>
      <c r="H1574" s="3">
        <v>1238.2258513352999</v>
      </c>
      <c r="I1574" s="3">
        <v>42.1</v>
      </c>
      <c r="J1574" s="3">
        <v>42.4</v>
      </c>
      <c r="K1574" s="3">
        <v>41.48</v>
      </c>
      <c r="L1574" s="3">
        <v>1071.5246389967999</v>
      </c>
    </row>
    <row r="1575" spans="1:12" ht="15" customHeight="1" x14ac:dyDescent="0.2">
      <c r="A1575" s="2">
        <v>43763</v>
      </c>
      <c r="B1575" s="3">
        <v>41.97</v>
      </c>
      <c r="C1575" s="1">
        <v>1199802</v>
      </c>
      <c r="D1575" s="3">
        <v>1.92</v>
      </c>
      <c r="E1575" s="3">
        <v>4.7940074906366901</v>
      </c>
      <c r="F1575" s="3">
        <v>4.7940080718915796</v>
      </c>
      <c r="G1575" s="3">
        <v>47.942084999999999</v>
      </c>
      <c r="H1575" s="3">
        <v>1235.9974743667599</v>
      </c>
      <c r="I1575" s="3">
        <v>40</v>
      </c>
      <c r="J1575" s="3">
        <v>42.07</v>
      </c>
      <c r="K1575" s="3">
        <v>39.72</v>
      </c>
      <c r="L1575" s="3">
        <v>1069.5739557253901</v>
      </c>
    </row>
    <row r="1576" spans="1:12" ht="15" customHeight="1" x14ac:dyDescent="0.2">
      <c r="A1576" s="2">
        <v>43762</v>
      </c>
      <c r="B1576" s="3">
        <v>40.049999999999997</v>
      </c>
      <c r="C1576" s="1">
        <v>970530</v>
      </c>
      <c r="D1576" s="3">
        <v>-0.92000000000000104</v>
      </c>
      <c r="E1576" s="3">
        <v>-2.24554552111301</v>
      </c>
      <c r="F1576" s="3">
        <v>-2.2455505305333299</v>
      </c>
      <c r="G1576" s="3">
        <v>45.74888</v>
      </c>
      <c r="H1576" s="3">
        <v>1174.8796414487999</v>
      </c>
      <c r="I1576" s="3">
        <v>41.08</v>
      </c>
      <c r="J1576" s="3">
        <v>41.28</v>
      </c>
      <c r="K1576" s="3">
        <v>40.03</v>
      </c>
      <c r="L1576" s="3">
        <v>1016.0695002812</v>
      </c>
    </row>
    <row r="1577" spans="1:12" ht="15" customHeight="1" x14ac:dyDescent="0.2">
      <c r="A1577" s="2">
        <v>43761</v>
      </c>
      <c r="B1577" s="3">
        <v>40.97</v>
      </c>
      <c r="C1577" s="1">
        <v>963172</v>
      </c>
      <c r="D1577" s="3">
        <v>0.71999999999999797</v>
      </c>
      <c r="E1577" s="3">
        <v>1.78881987577639</v>
      </c>
      <c r="F1577" s="3">
        <v>1.78882249386329</v>
      </c>
      <c r="G1577" s="3">
        <v>46.799793000000001</v>
      </c>
      <c r="H1577" s="3">
        <v>1204.1653330030899</v>
      </c>
      <c r="I1577" s="3">
        <v>40.340000000000003</v>
      </c>
      <c r="J1577" s="3">
        <v>41.21</v>
      </c>
      <c r="K1577" s="3">
        <v>40.192799999999998</v>
      </c>
      <c r="L1577" s="3">
        <v>1041.7070518482101</v>
      </c>
    </row>
    <row r="1578" spans="1:12" ht="15" customHeight="1" x14ac:dyDescent="0.2">
      <c r="A1578" s="2">
        <v>43760</v>
      </c>
      <c r="B1578" s="3">
        <v>40.25</v>
      </c>
      <c r="C1578" s="1">
        <v>576562</v>
      </c>
      <c r="D1578" s="3">
        <v>0.77000000000000302</v>
      </c>
      <c r="E1578" s="3">
        <v>1.95035460992909</v>
      </c>
      <c r="F1578" s="3">
        <v>1.9503512091228301</v>
      </c>
      <c r="G1578" s="3">
        <v>45.977339999999998</v>
      </c>
      <c r="H1578" s="3">
        <v>1181.24611430859</v>
      </c>
      <c r="I1578" s="3">
        <v>39.56</v>
      </c>
      <c r="J1578" s="3">
        <v>40.340000000000003</v>
      </c>
      <c r="K1578" s="3">
        <v>39.03</v>
      </c>
      <c r="L1578" s="3">
        <v>1021.64288105664</v>
      </c>
    </row>
    <row r="1579" spans="1:12" ht="15" customHeight="1" x14ac:dyDescent="0.2">
      <c r="A1579" s="2">
        <v>43759</v>
      </c>
      <c r="B1579" s="3">
        <v>39.479999999999997</v>
      </c>
      <c r="C1579" s="1">
        <v>829433</v>
      </c>
      <c r="D1579" s="3">
        <v>0.93499999999999495</v>
      </c>
      <c r="E1579" s="3">
        <v>2.42573615254895</v>
      </c>
      <c r="F1579" s="3">
        <v>2.4257406268782802</v>
      </c>
      <c r="G1579" s="3">
        <v>45.097774999999999</v>
      </c>
      <c r="H1579" s="3">
        <v>1156.7353609998499</v>
      </c>
      <c r="I1579" s="3">
        <v>38.97</v>
      </c>
      <c r="J1579" s="3">
        <v>39.99</v>
      </c>
      <c r="K1579" s="3">
        <v>38.590000000000003</v>
      </c>
      <c r="L1579" s="3">
        <v>1000.18536507121</v>
      </c>
    </row>
    <row r="1580" spans="1:12" ht="15" customHeight="1" x14ac:dyDescent="0.2">
      <c r="A1580" s="2">
        <v>43756</v>
      </c>
      <c r="B1580" s="3">
        <v>38.545000000000002</v>
      </c>
      <c r="C1580" s="1">
        <v>708889</v>
      </c>
      <c r="D1580" s="3">
        <v>8.5000000000000797E-2</v>
      </c>
      <c r="E1580" s="3">
        <v>0.22100884035360899</v>
      </c>
      <c r="F1580" s="3">
        <v>0.221011115382308</v>
      </c>
      <c r="G1580" s="3">
        <v>44.029727999999999</v>
      </c>
      <c r="H1580" s="3">
        <v>1126.9721979145399</v>
      </c>
      <c r="I1580" s="3">
        <v>38.22</v>
      </c>
      <c r="J1580" s="3">
        <v>38.68</v>
      </c>
      <c r="K1580" s="3">
        <v>38.06</v>
      </c>
      <c r="L1580" s="3">
        <v>974.129809946043</v>
      </c>
    </row>
    <row r="1581" spans="1:12" ht="15" customHeight="1" x14ac:dyDescent="0.2">
      <c r="A1581" s="2">
        <v>43755</v>
      </c>
      <c r="B1581" s="3">
        <v>38.46</v>
      </c>
      <c r="C1581" s="1">
        <v>714306</v>
      </c>
      <c r="D1581" s="3">
        <v>6.0000000000002197E-2</v>
      </c>
      <c r="E1581" s="3">
        <v>0.15625000000001299</v>
      </c>
      <c r="F1581" s="3">
        <v>0.15624167171976999</v>
      </c>
      <c r="G1581" s="3">
        <v>43.932631999999998</v>
      </c>
      <c r="H1581" s="3">
        <v>1124.2664330156799</v>
      </c>
      <c r="I1581" s="3">
        <v>37.78</v>
      </c>
      <c r="J1581" s="3">
        <v>38.630000000000003</v>
      </c>
      <c r="K1581" s="3">
        <v>37.78</v>
      </c>
      <c r="L1581" s="3">
        <v>971.76112311648296</v>
      </c>
    </row>
    <row r="1582" spans="1:12" ht="15" customHeight="1" x14ac:dyDescent="0.2">
      <c r="A1582" s="2">
        <v>43754</v>
      </c>
      <c r="B1582" s="3">
        <v>38.4</v>
      </c>
      <c r="C1582" s="1">
        <v>604473</v>
      </c>
      <c r="D1582" s="3">
        <v>8.9999999999996305E-2</v>
      </c>
      <c r="E1582" s="3">
        <v>0.23492560689113401</v>
      </c>
      <c r="F1582" s="3">
        <v>0.23492908915618799</v>
      </c>
      <c r="G1582" s="3">
        <v>43.864097999999998</v>
      </c>
      <c r="H1582" s="3">
        <v>1122.35660262536</v>
      </c>
      <c r="I1582" s="3">
        <v>38.450000000000003</v>
      </c>
      <c r="J1582" s="3">
        <v>38.68</v>
      </c>
      <c r="K1582" s="3">
        <v>38.19</v>
      </c>
      <c r="L1582" s="3">
        <v>970.08910888385196</v>
      </c>
    </row>
    <row r="1583" spans="1:12" ht="15" customHeight="1" x14ac:dyDescent="0.2">
      <c r="A1583" s="2">
        <v>43753</v>
      </c>
      <c r="B1583" s="3">
        <v>38.31</v>
      </c>
      <c r="C1583" s="1">
        <v>476708</v>
      </c>
      <c r="D1583" s="3">
        <v>0.35999999999999899</v>
      </c>
      <c r="E1583" s="3">
        <v>0.94861660079050802</v>
      </c>
      <c r="F1583" s="3">
        <v>0.94861915194910296</v>
      </c>
      <c r="G1583" s="3">
        <v>43.761290000000002</v>
      </c>
      <c r="H1583" s="3">
        <v>1119.49166197155</v>
      </c>
      <c r="I1583" s="3">
        <v>38.24</v>
      </c>
      <c r="J1583" s="3">
        <v>38.53</v>
      </c>
      <c r="K1583" s="3">
        <v>37.75</v>
      </c>
      <c r="L1583" s="3">
        <v>967.58108753490501</v>
      </c>
    </row>
    <row r="1584" spans="1:12" ht="15" customHeight="1" x14ac:dyDescent="0.2">
      <c r="A1584" s="2">
        <v>43752</v>
      </c>
      <c r="B1584" s="3">
        <v>37.950000000000003</v>
      </c>
      <c r="C1584" s="1">
        <v>610671</v>
      </c>
      <c r="D1584" s="3">
        <v>-1.1199999999999899</v>
      </c>
      <c r="E1584" s="3">
        <v>-2.8666496032761599</v>
      </c>
      <c r="F1584" s="3">
        <v>-2.8666508041901402</v>
      </c>
      <c r="G1584" s="3">
        <v>43.350062999999999</v>
      </c>
      <c r="H1584" s="3">
        <v>1108.03203869085</v>
      </c>
      <c r="I1584" s="3">
        <v>39.049999999999997</v>
      </c>
      <c r="J1584" s="3">
        <v>39.22</v>
      </c>
      <c r="K1584" s="3">
        <v>37.784999999999997</v>
      </c>
      <c r="L1584" s="3">
        <v>957.54900213911901</v>
      </c>
    </row>
    <row r="1585" spans="1:12" ht="15" customHeight="1" x14ac:dyDescent="0.2">
      <c r="A1585" s="2">
        <v>43749</v>
      </c>
      <c r="B1585" s="3">
        <v>39.07</v>
      </c>
      <c r="C1585" s="1">
        <v>668994</v>
      </c>
      <c r="D1585" s="3">
        <v>0.5</v>
      </c>
      <c r="E1585" s="3">
        <v>1.2963443090484801</v>
      </c>
      <c r="F1585" s="3">
        <v>1.2963464192943399</v>
      </c>
      <c r="G1585" s="3">
        <v>44.629432999999999</v>
      </c>
      <c r="H1585" s="3">
        <v>1143.6841195042</v>
      </c>
      <c r="I1585" s="3">
        <v>39.07</v>
      </c>
      <c r="J1585" s="3">
        <v>39.57</v>
      </c>
      <c r="K1585" s="3">
        <v>38.86</v>
      </c>
      <c r="L1585" s="3">
        <v>988.75993448156498</v>
      </c>
    </row>
    <row r="1586" spans="1:12" ht="15" customHeight="1" x14ac:dyDescent="0.2">
      <c r="A1586" s="2">
        <v>43748</v>
      </c>
      <c r="B1586" s="3">
        <v>38.57</v>
      </c>
      <c r="C1586" s="1">
        <v>654924</v>
      </c>
      <c r="D1586" s="3">
        <v>0.14000000000000001</v>
      </c>
      <c r="E1586" s="3">
        <v>0.36429872495447002</v>
      </c>
      <c r="F1586" s="3">
        <v>0.36429602788168303</v>
      </c>
      <c r="G1586" s="3">
        <v>44.058284999999998</v>
      </c>
      <c r="H1586" s="3">
        <v>1127.7679930885599</v>
      </c>
      <c r="I1586" s="3">
        <v>38.659999999999997</v>
      </c>
      <c r="J1586" s="3">
        <v>39.57</v>
      </c>
      <c r="K1586" s="3">
        <v>38.39</v>
      </c>
      <c r="L1586" s="3">
        <v>974.82648254297305</v>
      </c>
    </row>
    <row r="1587" spans="1:12" ht="15" customHeight="1" x14ac:dyDescent="0.2">
      <c r="A1587" s="2">
        <v>43747</v>
      </c>
      <c r="B1587" s="3">
        <v>38.43</v>
      </c>
      <c r="C1587" s="1">
        <v>736357</v>
      </c>
      <c r="D1587" s="3">
        <v>-6.0000000000002197E-2</v>
      </c>
      <c r="E1587" s="3">
        <v>-0.15588464536243599</v>
      </c>
      <c r="F1587" s="3">
        <v>-0.155887710446933</v>
      </c>
      <c r="G1587" s="3">
        <v>43.898364999999998</v>
      </c>
      <c r="H1587" s="3">
        <v>1123.3115178205201</v>
      </c>
      <c r="I1587" s="3">
        <v>38.770000000000003</v>
      </c>
      <c r="J1587" s="3">
        <v>38.86</v>
      </c>
      <c r="K1587" s="3">
        <v>38.11</v>
      </c>
      <c r="L1587" s="3">
        <v>970.92511600016701</v>
      </c>
    </row>
    <row r="1588" spans="1:12" ht="15" customHeight="1" x14ac:dyDescent="0.2">
      <c r="A1588" s="2">
        <v>43746</v>
      </c>
      <c r="B1588" s="3">
        <v>38.49</v>
      </c>
      <c r="C1588" s="1">
        <v>947267</v>
      </c>
      <c r="D1588" s="3">
        <v>-1</v>
      </c>
      <c r="E1588" s="3">
        <v>-2.5322866548493201</v>
      </c>
      <c r="F1588" s="3">
        <v>-2.53229053053479</v>
      </c>
      <c r="G1588" s="3">
        <v>43.966904</v>
      </c>
      <c r="H1588" s="3">
        <v>1125.2214875453601</v>
      </c>
      <c r="I1588" s="3">
        <v>39.020000000000003</v>
      </c>
      <c r="J1588" s="3">
        <v>39.205199999999998</v>
      </c>
      <c r="K1588" s="3">
        <v>38.340000000000003</v>
      </c>
      <c r="L1588" s="3">
        <v>972.59713023279801</v>
      </c>
    </row>
    <row r="1589" spans="1:12" ht="15" customHeight="1" x14ac:dyDescent="0.2">
      <c r="A1589" s="2">
        <v>43745</v>
      </c>
      <c r="B1589" s="3">
        <v>39.49</v>
      </c>
      <c r="C1589" s="1">
        <v>925573</v>
      </c>
      <c r="D1589" s="3">
        <v>-0.149999999999998</v>
      </c>
      <c r="E1589" s="3">
        <v>-0.37840565085771599</v>
      </c>
      <c r="F1589" s="3">
        <v>-0.37839654739100198</v>
      </c>
      <c r="G1589" s="3">
        <v>45.109200000000001</v>
      </c>
      <c r="H1589" s="3">
        <v>1157.05374037665</v>
      </c>
      <c r="I1589" s="3">
        <v>39.65</v>
      </c>
      <c r="J1589" s="3">
        <v>39.869999999999997</v>
      </c>
      <c r="K1589" s="3">
        <v>39.369999999999997</v>
      </c>
      <c r="L1589" s="3">
        <v>1000.46403410998</v>
      </c>
    </row>
    <row r="1590" spans="1:12" ht="15" customHeight="1" x14ac:dyDescent="0.2">
      <c r="A1590" s="2">
        <v>43742</v>
      </c>
      <c r="B1590" s="3">
        <v>39.64</v>
      </c>
      <c r="C1590" s="1">
        <v>964035</v>
      </c>
      <c r="D1590" s="3">
        <v>-1.0499999999999901</v>
      </c>
      <c r="E1590" s="3">
        <v>-2.5804866060456999</v>
      </c>
      <c r="F1590" s="3">
        <v>-2.5804806227614701</v>
      </c>
      <c r="G1590" s="3">
        <v>45.280540000000002</v>
      </c>
      <c r="H1590" s="3">
        <v>1161.8284556869601</v>
      </c>
      <c r="I1590" s="3">
        <v>40.68</v>
      </c>
      <c r="J1590" s="3">
        <v>40.869999999999997</v>
      </c>
      <c r="K1590" s="3">
        <v>39.15</v>
      </c>
      <c r="L1590" s="3">
        <v>1004.64406969155</v>
      </c>
    </row>
    <row r="1591" spans="1:12" ht="15" customHeight="1" x14ac:dyDescent="0.2">
      <c r="A1591" s="2">
        <v>43741</v>
      </c>
      <c r="B1591" s="3">
        <v>40.69</v>
      </c>
      <c r="C1591" s="1">
        <v>695627</v>
      </c>
      <c r="D1591" s="3">
        <v>-0.28999999999999898</v>
      </c>
      <c r="E1591" s="3">
        <v>-0.70766227428012896</v>
      </c>
      <c r="F1591" s="3">
        <v>-0.70766803868833605</v>
      </c>
      <c r="G1591" s="3">
        <v>46.479945999999998</v>
      </c>
      <c r="H1591" s="3">
        <v>1195.25218739868</v>
      </c>
      <c r="I1591" s="3">
        <v>40.950000000000003</v>
      </c>
      <c r="J1591" s="3">
        <v>41.05</v>
      </c>
      <c r="K1591" s="3">
        <v>40.049999999999997</v>
      </c>
      <c r="L1591" s="3">
        <v>1033.9043187626</v>
      </c>
    </row>
    <row r="1592" spans="1:12" ht="15" customHeight="1" x14ac:dyDescent="0.2">
      <c r="A1592" s="2">
        <v>43740</v>
      </c>
      <c r="B1592" s="3">
        <v>40.98</v>
      </c>
      <c r="C1592" s="1">
        <v>1468367</v>
      </c>
      <c r="D1592" s="3">
        <v>-0.440000000000004</v>
      </c>
      <c r="E1592" s="3">
        <v>-1.0622887493964299</v>
      </c>
      <c r="F1592" s="3">
        <v>-1.06228995567975</v>
      </c>
      <c r="G1592" s="3">
        <v>46.811214</v>
      </c>
      <c r="H1592" s="3">
        <v>1204.48360091227</v>
      </c>
      <c r="I1592" s="3">
        <v>41</v>
      </c>
      <c r="J1592" s="3">
        <v>41.16</v>
      </c>
      <c r="K1592" s="3">
        <v>40.211399999999998</v>
      </c>
      <c r="L1592" s="3">
        <v>1041.9857208869801</v>
      </c>
    </row>
    <row r="1593" spans="1:12" ht="15" customHeight="1" x14ac:dyDescent="0.2">
      <c r="A1593" s="2">
        <v>43739</v>
      </c>
      <c r="B1593" s="3">
        <v>41.42</v>
      </c>
      <c r="C1593" s="1">
        <v>840741</v>
      </c>
      <c r="D1593" s="3">
        <v>-0.25999999999999801</v>
      </c>
      <c r="E1593" s="3">
        <v>-0.62380038387715997</v>
      </c>
      <c r="F1593" s="3">
        <v>-0.62379938005688795</v>
      </c>
      <c r="G1593" s="3">
        <v>47.313823999999997</v>
      </c>
      <c r="H1593" s="3">
        <v>1218.48978546998</v>
      </c>
      <c r="I1593" s="3">
        <v>41.86</v>
      </c>
      <c r="J1593" s="3">
        <v>42.35</v>
      </c>
      <c r="K1593" s="3">
        <v>41.36</v>
      </c>
      <c r="L1593" s="3">
        <v>1054.24715859294</v>
      </c>
    </row>
    <row r="1594" spans="1:12" ht="15" customHeight="1" x14ac:dyDescent="0.2">
      <c r="A1594" s="2">
        <v>43738</v>
      </c>
      <c r="B1594" s="3">
        <v>41.68</v>
      </c>
      <c r="C1594" s="1">
        <v>855309</v>
      </c>
      <c r="D1594" s="3">
        <v>0.78999999999999904</v>
      </c>
      <c r="E1594" s="3">
        <v>1.93201271704572</v>
      </c>
      <c r="F1594" s="3">
        <v>1.93200753354694</v>
      </c>
      <c r="G1594" s="3">
        <v>47.610819999999997</v>
      </c>
      <c r="H1594" s="3">
        <v>1226.7661444538901</v>
      </c>
      <c r="I1594" s="3">
        <v>41.1</v>
      </c>
      <c r="J1594" s="3">
        <v>41.844999999999999</v>
      </c>
      <c r="K1594" s="3">
        <v>40.79</v>
      </c>
      <c r="L1594" s="3">
        <v>1061.4925536010101</v>
      </c>
    </row>
    <row r="1595" spans="1:12" ht="15" customHeight="1" x14ac:dyDescent="0.2">
      <c r="A1595" s="2">
        <v>43735</v>
      </c>
      <c r="B1595" s="3">
        <v>40.89</v>
      </c>
      <c r="C1595" s="1">
        <v>596883</v>
      </c>
      <c r="D1595" s="3">
        <v>3.9999999999999099E-2</v>
      </c>
      <c r="E1595" s="3">
        <v>9.79192166462583E-2</v>
      </c>
      <c r="F1595" s="3">
        <v>9.7924004252125593E-2</v>
      </c>
      <c r="G1595" s="3">
        <v>46.708410000000001</v>
      </c>
      <c r="H1595" s="3">
        <v>1201.61877172608</v>
      </c>
      <c r="I1595" s="3">
        <v>40.880000000000003</v>
      </c>
      <c r="J1595" s="3">
        <v>41.32</v>
      </c>
      <c r="K1595" s="3">
        <v>40.630000000000003</v>
      </c>
      <c r="L1595" s="3">
        <v>1039.47769953803</v>
      </c>
    </row>
    <row r="1596" spans="1:12" ht="15" customHeight="1" x14ac:dyDescent="0.2">
      <c r="A1596" s="2">
        <v>43734</v>
      </c>
      <c r="B1596" s="3">
        <v>40.85</v>
      </c>
      <c r="C1596" s="1">
        <v>606575</v>
      </c>
      <c r="D1596" s="3">
        <v>0.48000000000000398</v>
      </c>
      <c r="E1596" s="3">
        <v>1.18900173396088</v>
      </c>
      <c r="F1596" s="3">
        <v>1.1890035076668399</v>
      </c>
      <c r="G1596" s="3">
        <v>46.662716000000003</v>
      </c>
      <c r="H1596" s="3">
        <v>1200.34542142031</v>
      </c>
      <c r="I1596" s="3">
        <v>40.44</v>
      </c>
      <c r="J1596" s="3">
        <v>40.93</v>
      </c>
      <c r="K1596" s="3">
        <v>40.29</v>
      </c>
      <c r="L1596" s="3">
        <v>1038.3630233829499</v>
      </c>
    </row>
    <row r="1597" spans="1:12" ht="15" customHeight="1" x14ac:dyDescent="0.2">
      <c r="A1597" s="2">
        <v>43733</v>
      </c>
      <c r="B1597" s="3">
        <v>40.369999999999997</v>
      </c>
      <c r="C1597" s="1">
        <v>722428</v>
      </c>
      <c r="D1597" s="3">
        <v>0.32</v>
      </c>
      <c r="E1597" s="3">
        <v>0.79900124843945697</v>
      </c>
      <c r="F1597" s="3">
        <v>0.79900098100762396</v>
      </c>
      <c r="G1597" s="3">
        <v>46.114413999999996</v>
      </c>
      <c r="H1597" s="3">
        <v>1185.0659422906499</v>
      </c>
      <c r="I1597" s="3">
        <v>39.909999999999997</v>
      </c>
      <c r="J1597" s="3">
        <v>40.74</v>
      </c>
      <c r="K1597" s="3">
        <v>39.909999999999997</v>
      </c>
      <c r="L1597" s="3">
        <v>1024.9869095219001</v>
      </c>
    </row>
    <row r="1598" spans="1:12" ht="15" customHeight="1" x14ac:dyDescent="0.2">
      <c r="A1598" s="2">
        <v>43732</v>
      </c>
      <c r="B1598" s="3">
        <v>40.049999999999997</v>
      </c>
      <c r="C1598" s="1">
        <v>505898</v>
      </c>
      <c r="D1598" s="3">
        <v>-4.0000000000006197E-2</v>
      </c>
      <c r="E1598" s="3">
        <v>-9.9775505113508495E-2</v>
      </c>
      <c r="F1598" s="3">
        <v>-9.9782561580719006E-2</v>
      </c>
      <c r="G1598" s="3">
        <v>45.74888</v>
      </c>
      <c r="H1598" s="3">
        <v>1174.8796414487999</v>
      </c>
      <c r="I1598" s="3">
        <v>40.33</v>
      </c>
      <c r="J1598" s="3">
        <v>40.39</v>
      </c>
      <c r="K1598" s="3">
        <v>39.83</v>
      </c>
      <c r="L1598" s="3">
        <v>1016.0695002812</v>
      </c>
    </row>
    <row r="1599" spans="1:12" ht="15" customHeight="1" x14ac:dyDescent="0.2">
      <c r="A1599" s="2">
        <v>43731</v>
      </c>
      <c r="B1599" s="3">
        <v>40.090000000000003</v>
      </c>
      <c r="C1599" s="1">
        <v>464922</v>
      </c>
      <c r="D1599" s="3">
        <v>6.0000000000002197E-2</v>
      </c>
      <c r="E1599" s="3">
        <v>0.14988758431178001</v>
      </c>
      <c r="F1599" s="3">
        <v>0.149899295875943</v>
      </c>
      <c r="G1599" s="3">
        <v>45.794575000000002</v>
      </c>
      <c r="H1599" s="3">
        <v>1176.1530196214701</v>
      </c>
      <c r="I1599" s="3">
        <v>39.869999999999997</v>
      </c>
      <c r="J1599" s="3">
        <v>40.405000000000001</v>
      </c>
      <c r="K1599" s="3">
        <v>39.82</v>
      </c>
      <c r="L1599" s="3">
        <v>1017.18417643629</v>
      </c>
    </row>
    <row r="1600" spans="1:12" ht="15" customHeight="1" x14ac:dyDescent="0.2">
      <c r="A1600" s="2">
        <v>43728</v>
      </c>
      <c r="B1600" s="3">
        <v>40.03</v>
      </c>
      <c r="C1600" s="1">
        <v>959138</v>
      </c>
      <c r="D1600" s="3">
        <v>-0.65999999999999603</v>
      </c>
      <c r="E1600" s="3">
        <v>-1.62202015237158</v>
      </c>
      <c r="F1600" s="3">
        <v>-1.6220199567357501</v>
      </c>
      <c r="G1600" s="3">
        <v>45.726031999999996</v>
      </c>
      <c r="H1600" s="3">
        <v>1174.2429384290199</v>
      </c>
      <c r="I1600" s="3">
        <v>40.630000000000003</v>
      </c>
      <c r="J1600" s="3">
        <v>41</v>
      </c>
      <c r="K1600" s="3">
        <v>39.47</v>
      </c>
      <c r="L1600" s="3">
        <v>1015.51216220366</v>
      </c>
    </row>
    <row r="1601" spans="1:12" ht="15" customHeight="1" x14ac:dyDescent="0.2">
      <c r="A1601" s="2">
        <v>43727</v>
      </c>
      <c r="B1601" s="3">
        <v>40.69</v>
      </c>
      <c r="C1601" s="1">
        <v>896611</v>
      </c>
      <c r="D1601" s="3">
        <v>-1.75</v>
      </c>
      <c r="E1601" s="3">
        <v>-4.12346842601319</v>
      </c>
      <c r="F1601" s="3">
        <v>-4.1234711254749996</v>
      </c>
      <c r="G1601" s="3">
        <v>46.479945999999998</v>
      </c>
      <c r="H1601" s="3">
        <v>1195.25218739868</v>
      </c>
      <c r="I1601" s="3">
        <v>41.81</v>
      </c>
      <c r="J1601" s="3">
        <v>41.96</v>
      </c>
      <c r="K1601" s="3">
        <v>40.61</v>
      </c>
      <c r="L1601" s="3">
        <v>1033.9043187626</v>
      </c>
    </row>
    <row r="1602" spans="1:12" ht="15" customHeight="1" x14ac:dyDescent="0.2">
      <c r="A1602" s="2">
        <v>43726</v>
      </c>
      <c r="B1602" s="3">
        <v>42.44</v>
      </c>
      <c r="C1602" s="1">
        <v>588213</v>
      </c>
      <c r="D1602" s="3">
        <v>-0.190000000000004</v>
      </c>
      <c r="E1602" s="3">
        <v>-0.44569551958715198</v>
      </c>
      <c r="F1602" s="3">
        <v>-0.44570598535570399</v>
      </c>
      <c r="G1602" s="3">
        <v>48.478962000000003</v>
      </c>
      <c r="H1602" s="3">
        <v>1250.9585741196299</v>
      </c>
      <c r="I1602" s="3">
        <v>42.75</v>
      </c>
      <c r="J1602" s="3">
        <v>42.75</v>
      </c>
      <c r="K1602" s="3">
        <v>41.92</v>
      </c>
      <c r="L1602" s="3">
        <v>1082.6714005476699</v>
      </c>
    </row>
    <row r="1603" spans="1:12" ht="15" customHeight="1" x14ac:dyDescent="0.2">
      <c r="A1603" s="2">
        <v>43725</v>
      </c>
      <c r="B1603" s="3">
        <v>42.63</v>
      </c>
      <c r="C1603" s="1">
        <v>564835</v>
      </c>
      <c r="D1603" s="3">
        <v>-0.369999999999997</v>
      </c>
      <c r="E1603" s="3">
        <v>-0.86046511627906297</v>
      </c>
      <c r="F1603" s="3">
        <v>-0.860461352256225</v>
      </c>
      <c r="G1603" s="3">
        <v>48.696002999999997</v>
      </c>
      <c r="H1603" s="3">
        <v>1257.00683480404</v>
      </c>
      <c r="I1603" s="3">
        <v>43.07</v>
      </c>
      <c r="J1603" s="3">
        <v>43.35</v>
      </c>
      <c r="K1603" s="3">
        <v>42.11</v>
      </c>
      <c r="L1603" s="3">
        <v>1087.9661122843299</v>
      </c>
    </row>
    <row r="1604" spans="1:12" ht="15" customHeight="1" x14ac:dyDescent="0.2">
      <c r="A1604" s="2">
        <v>43724</v>
      </c>
      <c r="B1604" s="3">
        <v>43</v>
      </c>
      <c r="C1604" s="1">
        <v>611699</v>
      </c>
      <c r="D1604" s="3">
        <v>0.42000000000000098</v>
      </c>
      <c r="E1604" s="3">
        <v>0.98637858149366298</v>
      </c>
      <c r="F1604" s="3">
        <v>0.98638157515329405</v>
      </c>
      <c r="G1604" s="3">
        <v>49.118650000000002</v>
      </c>
      <c r="H1604" s="3">
        <v>1268.78469812702</v>
      </c>
      <c r="I1604" s="3">
        <v>42.3</v>
      </c>
      <c r="J1604" s="3">
        <v>43.26</v>
      </c>
      <c r="K1604" s="3">
        <v>41.97</v>
      </c>
      <c r="L1604" s="3">
        <v>1098.27686671889</v>
      </c>
    </row>
    <row r="1605" spans="1:12" ht="15" customHeight="1" x14ac:dyDescent="0.2">
      <c r="A1605" s="2">
        <v>43721</v>
      </c>
      <c r="B1605" s="3">
        <v>42.58</v>
      </c>
      <c r="C1605" s="1">
        <v>684104</v>
      </c>
      <c r="D1605" s="3">
        <v>0.42000000000000098</v>
      </c>
      <c r="E1605" s="3">
        <v>0.99620493358634199</v>
      </c>
      <c r="F1605" s="3">
        <v>0.996203792917982</v>
      </c>
      <c r="G1605" s="3">
        <v>48.638885000000002</v>
      </c>
      <c r="H1605" s="3">
        <v>1255.41513298838</v>
      </c>
      <c r="I1605" s="3">
        <v>42.22</v>
      </c>
      <c r="J1605" s="3">
        <v>43.15</v>
      </c>
      <c r="K1605" s="3">
        <v>42.08</v>
      </c>
      <c r="L1605" s="3">
        <v>1086.5727670904701</v>
      </c>
    </row>
    <row r="1606" spans="1:12" ht="15" customHeight="1" x14ac:dyDescent="0.2">
      <c r="A1606" s="2">
        <v>43720</v>
      </c>
      <c r="B1606" s="3">
        <v>42.16</v>
      </c>
      <c r="C1606" s="1">
        <v>965864</v>
      </c>
      <c r="D1606" s="3">
        <v>-1.1499999999999999</v>
      </c>
      <c r="E1606" s="3">
        <v>-2.6552759178018999</v>
      </c>
      <c r="F1606" s="3">
        <v>-2.6552812504124601</v>
      </c>
      <c r="G1606" s="3">
        <v>48.159122000000004</v>
      </c>
      <c r="H1606" s="3">
        <v>1242.04562358356</v>
      </c>
      <c r="I1606" s="3">
        <v>43.46</v>
      </c>
      <c r="J1606" s="3">
        <v>43.46</v>
      </c>
      <c r="K1606" s="3">
        <v>42.08</v>
      </c>
      <c r="L1606" s="3">
        <v>1074.8686674620601</v>
      </c>
    </row>
    <row r="1607" spans="1:12" ht="15" customHeight="1" x14ac:dyDescent="0.2">
      <c r="A1607" s="2">
        <v>43719</v>
      </c>
      <c r="B1607" s="3">
        <v>43.31</v>
      </c>
      <c r="C1607" s="1">
        <v>774433</v>
      </c>
      <c r="D1607" s="3">
        <v>2.0000000000003099E-2</v>
      </c>
      <c r="E1607" s="3">
        <v>4.6200046200062198E-2</v>
      </c>
      <c r="F1607" s="3">
        <v>4.6200279769936702E-2</v>
      </c>
      <c r="G1607" s="3">
        <v>49.472763</v>
      </c>
      <c r="H1607" s="3">
        <v>1278.65273105968</v>
      </c>
      <c r="I1607" s="3">
        <v>43.26</v>
      </c>
      <c r="J1607" s="3">
        <v>43.44</v>
      </c>
      <c r="K1607" s="3">
        <v>42.53</v>
      </c>
      <c r="L1607" s="3">
        <v>1106.91560692082</v>
      </c>
    </row>
    <row r="1608" spans="1:12" ht="15" customHeight="1" x14ac:dyDescent="0.2">
      <c r="A1608" s="2">
        <v>43718</v>
      </c>
      <c r="B1608" s="3">
        <v>43.29</v>
      </c>
      <c r="C1608" s="1">
        <v>874124</v>
      </c>
      <c r="D1608" s="3">
        <v>1.28</v>
      </c>
      <c r="E1608" s="3">
        <v>3.04689359676266</v>
      </c>
      <c r="F1608" s="3">
        <v>3.04690732268597</v>
      </c>
      <c r="G1608" s="3">
        <v>49.449916999999999</v>
      </c>
      <c r="H1608" s="3">
        <v>1278.0160837737001</v>
      </c>
      <c r="I1608" s="3">
        <v>41.8</v>
      </c>
      <c r="J1608" s="3">
        <v>43.48</v>
      </c>
      <c r="K1608" s="3">
        <v>41.23</v>
      </c>
      <c r="L1608" s="3">
        <v>1106.35826884328</v>
      </c>
    </row>
    <row r="1609" spans="1:12" ht="15" customHeight="1" x14ac:dyDescent="0.2">
      <c r="A1609" s="2">
        <v>43717</v>
      </c>
      <c r="B1609" s="3">
        <v>42.01</v>
      </c>
      <c r="C1609" s="1">
        <v>1197669</v>
      </c>
      <c r="D1609" s="3">
        <v>2.0299999999999998</v>
      </c>
      <c r="E1609" s="3">
        <v>5.0775387693846996</v>
      </c>
      <c r="F1609" s="3">
        <v>5.0775319407596999</v>
      </c>
      <c r="G1609" s="3">
        <v>47.987774000000002</v>
      </c>
      <c r="H1609" s="3">
        <v>1237.27068533801</v>
      </c>
      <c r="I1609" s="3">
        <v>40.200000000000003</v>
      </c>
      <c r="J1609" s="3">
        <v>42.11</v>
      </c>
      <c r="K1609" s="3">
        <v>40.174500000000002</v>
      </c>
      <c r="L1609" s="3">
        <v>1070.68863188048</v>
      </c>
    </row>
    <row r="1610" spans="1:12" ht="15" customHeight="1" x14ac:dyDescent="0.2">
      <c r="A1610" s="2">
        <v>43714</v>
      </c>
      <c r="B1610" s="3">
        <v>39.979999999999997</v>
      </c>
      <c r="C1610" s="1">
        <v>903562</v>
      </c>
      <c r="D1610" s="3">
        <v>0.33999999999999603</v>
      </c>
      <c r="E1610" s="3">
        <v>0.85771947527748504</v>
      </c>
      <c r="F1610" s="3">
        <v>0.85771945299237795</v>
      </c>
      <c r="G1610" s="3">
        <v>45.66892</v>
      </c>
      <c r="H1610" s="3">
        <v>1172.65140381478</v>
      </c>
      <c r="I1610" s="3">
        <v>41.47</v>
      </c>
      <c r="J1610" s="3">
        <v>41.47</v>
      </c>
      <c r="K1610" s="3">
        <v>39.950000000000003</v>
      </c>
      <c r="L1610" s="3">
        <v>1014.1188170098</v>
      </c>
    </row>
    <row r="1611" spans="1:12" ht="15" customHeight="1" x14ac:dyDescent="0.2">
      <c r="A1611" s="2">
        <v>43713</v>
      </c>
      <c r="B1611" s="3">
        <v>39.64</v>
      </c>
      <c r="C1611" s="1">
        <v>709101</v>
      </c>
      <c r="D1611" s="3">
        <v>0.880000000000002</v>
      </c>
      <c r="E1611" s="3">
        <v>2.2703818369453002</v>
      </c>
      <c r="F1611" s="3">
        <v>2.2703844941154498</v>
      </c>
      <c r="G1611" s="3">
        <v>45.280540000000002</v>
      </c>
      <c r="H1611" s="3">
        <v>1161.8284556869601</v>
      </c>
      <c r="I1611" s="3">
        <v>39.369999999999997</v>
      </c>
      <c r="J1611" s="3">
        <v>40.25</v>
      </c>
      <c r="K1611" s="3">
        <v>39.229999999999997</v>
      </c>
      <c r="L1611" s="3">
        <v>1004.64406969155</v>
      </c>
    </row>
    <row r="1612" spans="1:12" ht="15" customHeight="1" x14ac:dyDescent="0.2">
      <c r="A1612" s="2">
        <v>43712</v>
      </c>
      <c r="B1612" s="3">
        <v>38.76</v>
      </c>
      <c r="C1612" s="1">
        <v>604478</v>
      </c>
      <c r="D1612" s="3">
        <v>5.9999999999995099E-2</v>
      </c>
      <c r="E1612" s="3">
        <v>0.15503875968991801</v>
      </c>
      <c r="F1612" s="3">
        <v>0.155037293711246</v>
      </c>
      <c r="G1612" s="3">
        <v>44.275320000000001</v>
      </c>
      <c r="H1612" s="3">
        <v>1133.8160865715399</v>
      </c>
      <c r="I1612" s="3">
        <v>38.82</v>
      </c>
      <c r="J1612" s="3">
        <v>39.08</v>
      </c>
      <c r="K1612" s="3">
        <v>38.31</v>
      </c>
      <c r="L1612" s="3">
        <v>980.12119427963796</v>
      </c>
    </row>
    <row r="1613" spans="1:12" ht="15" customHeight="1" x14ac:dyDescent="0.2">
      <c r="A1613" s="2">
        <v>43711</v>
      </c>
      <c r="B1613" s="3">
        <v>38.700000000000003</v>
      </c>
      <c r="C1613" s="1">
        <v>829295</v>
      </c>
      <c r="D1613" s="3">
        <v>0.71</v>
      </c>
      <c r="E1613" s="3">
        <v>1.8689128718083701</v>
      </c>
      <c r="F1613" s="3">
        <v>1.86890856331665</v>
      </c>
      <c r="G1613" s="3">
        <v>44.206783000000001</v>
      </c>
      <c r="H1613" s="3">
        <v>1131.90617258051</v>
      </c>
      <c r="I1613" s="3">
        <v>37.840000000000003</v>
      </c>
      <c r="J1613" s="3">
        <v>38.85</v>
      </c>
      <c r="K1613" s="3">
        <v>37.674999999999997</v>
      </c>
      <c r="L1613" s="3">
        <v>978.44918004700696</v>
      </c>
    </row>
    <row r="1614" spans="1:12" ht="15" customHeight="1" x14ac:dyDescent="0.2">
      <c r="A1614" s="2">
        <v>43707</v>
      </c>
      <c r="B1614" s="3">
        <v>37.99</v>
      </c>
      <c r="C1614" s="1">
        <v>793985</v>
      </c>
      <c r="D1614" s="3">
        <v>1.00000000000051E-2</v>
      </c>
      <c r="E1614" s="3">
        <v>2.6329647182743401E-2</v>
      </c>
      <c r="F1614" s="3">
        <v>2.6336698065865201E-2</v>
      </c>
      <c r="G1614" s="3">
        <v>43.395755999999999</v>
      </c>
      <c r="H1614" s="3">
        <v>1109.30536112971</v>
      </c>
      <c r="I1614" s="3">
        <v>38.26</v>
      </c>
      <c r="J1614" s="3">
        <v>38.56</v>
      </c>
      <c r="K1614" s="3">
        <v>37.82</v>
      </c>
      <c r="L1614" s="3">
        <v>958.66367829420597</v>
      </c>
    </row>
    <row r="1615" spans="1:12" ht="15" customHeight="1" x14ac:dyDescent="0.2">
      <c r="A1615" s="2">
        <v>43706</v>
      </c>
      <c r="B1615" s="3">
        <v>37.979999999999997</v>
      </c>
      <c r="C1615" s="1">
        <v>579308</v>
      </c>
      <c r="D1615" s="3">
        <v>0.66999999999999404</v>
      </c>
      <c r="E1615" s="3">
        <v>1.79576521039934</v>
      </c>
      <c r="F1615" s="3">
        <v>1.79575792916377</v>
      </c>
      <c r="G1615" s="3">
        <v>43.384329999999999</v>
      </c>
      <c r="H1615" s="3">
        <v>1108.98695388601</v>
      </c>
      <c r="I1615" s="3">
        <v>37.69</v>
      </c>
      <c r="J1615" s="3">
        <v>38.18</v>
      </c>
      <c r="K1615" s="3">
        <v>37.619999999999997</v>
      </c>
      <c r="L1615" s="3">
        <v>958.38500925543406</v>
      </c>
    </row>
    <row r="1616" spans="1:12" ht="15" customHeight="1" x14ac:dyDescent="0.2">
      <c r="A1616" s="2">
        <v>43705</v>
      </c>
      <c r="B1616" s="3">
        <v>37.31</v>
      </c>
      <c r="C1616" s="1">
        <v>885770</v>
      </c>
      <c r="D1616" s="3">
        <v>0.92999999999999905</v>
      </c>
      <c r="E1616" s="3">
        <v>2.5563496426608001</v>
      </c>
      <c r="F1616" s="3">
        <v>2.5563457162971699</v>
      </c>
      <c r="G1616" s="3">
        <v>42.618996000000003</v>
      </c>
      <c r="H1616" s="3">
        <v>1087.65946487407</v>
      </c>
      <c r="I1616" s="3">
        <v>36.36</v>
      </c>
      <c r="J1616" s="3">
        <v>37.71</v>
      </c>
      <c r="K1616" s="3">
        <v>36.229999999999997</v>
      </c>
      <c r="L1616" s="3">
        <v>939.71418365772104</v>
      </c>
    </row>
    <row r="1617" spans="1:12" ht="15" customHeight="1" x14ac:dyDescent="0.2">
      <c r="A1617" s="2">
        <v>43704</v>
      </c>
      <c r="B1617" s="3">
        <v>36.380000000000003</v>
      </c>
      <c r="C1617" s="1">
        <v>741053</v>
      </c>
      <c r="D1617" s="3">
        <v>-0.60999999999999899</v>
      </c>
      <c r="E1617" s="3">
        <v>-1.6490943498242701</v>
      </c>
      <c r="F1617" s="3">
        <v>-1.6490955629105399</v>
      </c>
      <c r="G1617" s="3">
        <v>41.556663999999998</v>
      </c>
      <c r="H1617" s="3">
        <v>1058.0555611444099</v>
      </c>
      <c r="I1617" s="3">
        <v>37.229999999999997</v>
      </c>
      <c r="J1617" s="3">
        <v>37.24</v>
      </c>
      <c r="K1617" s="3">
        <v>36.29</v>
      </c>
      <c r="L1617" s="3">
        <v>913.797963051941</v>
      </c>
    </row>
    <row r="1618" spans="1:12" ht="15" customHeight="1" x14ac:dyDescent="0.2">
      <c r="A1618" s="2">
        <v>43703</v>
      </c>
      <c r="B1618" s="3">
        <v>36.99</v>
      </c>
      <c r="C1618" s="1">
        <v>676761</v>
      </c>
      <c r="D1618" s="3">
        <v>-0.26999999999999602</v>
      </c>
      <c r="E1618" s="3">
        <v>-0.72463768115941196</v>
      </c>
      <c r="F1618" s="3">
        <v>-0.72462964511905703</v>
      </c>
      <c r="G1618" s="3">
        <v>42.253464000000001</v>
      </c>
      <c r="H1618" s="3">
        <v>1077.4732197660301</v>
      </c>
      <c r="I1618" s="3">
        <v>37.47</v>
      </c>
      <c r="J1618" s="3">
        <v>37.56</v>
      </c>
      <c r="K1618" s="3">
        <v>36.630000000000003</v>
      </c>
      <c r="L1618" s="3">
        <v>930.79677441702302</v>
      </c>
    </row>
    <row r="1619" spans="1:12" ht="15" customHeight="1" x14ac:dyDescent="0.2">
      <c r="A1619" s="2">
        <v>43700</v>
      </c>
      <c r="B1619" s="3">
        <v>37.26</v>
      </c>
      <c r="C1619" s="1">
        <v>939055</v>
      </c>
      <c r="D1619" s="3">
        <v>-0.440000000000004</v>
      </c>
      <c r="E1619" s="3">
        <v>-1.1671087533156499</v>
      </c>
      <c r="F1619" s="3">
        <v>-1.16711007143007</v>
      </c>
      <c r="G1619" s="3">
        <v>42.561880000000002</v>
      </c>
      <c r="H1619" s="3">
        <v>1086.0678187922199</v>
      </c>
      <c r="I1619" s="3">
        <v>37.51</v>
      </c>
      <c r="J1619" s="3">
        <v>38.21</v>
      </c>
      <c r="K1619" s="3">
        <v>37.130000000000003</v>
      </c>
      <c r="L1619" s="3">
        <v>938.32083846386195</v>
      </c>
    </row>
    <row r="1620" spans="1:12" ht="15" customHeight="1" x14ac:dyDescent="0.2">
      <c r="A1620" s="2">
        <v>43699</v>
      </c>
      <c r="B1620" s="3">
        <v>37.700000000000003</v>
      </c>
      <c r="C1620" s="1">
        <v>1131625</v>
      </c>
      <c r="D1620" s="3">
        <v>1.8</v>
      </c>
      <c r="E1620" s="3">
        <v>5.01392757660168</v>
      </c>
      <c r="F1620" s="3">
        <v>5.0139288671870696</v>
      </c>
      <c r="G1620" s="3">
        <v>43.064489999999999</v>
      </c>
      <c r="H1620" s="3">
        <v>1100.0740033499301</v>
      </c>
      <c r="I1620" s="3">
        <v>36.200000000000003</v>
      </c>
      <c r="J1620" s="3">
        <v>37.950000000000003</v>
      </c>
      <c r="K1620" s="3">
        <v>35.85</v>
      </c>
      <c r="L1620" s="3">
        <v>950.58227616982299</v>
      </c>
    </row>
    <row r="1621" spans="1:12" ht="15" customHeight="1" x14ac:dyDescent="0.2">
      <c r="A1621" s="2">
        <v>43698</v>
      </c>
      <c r="B1621" s="3">
        <v>35.9</v>
      </c>
      <c r="C1621" s="1">
        <v>855593</v>
      </c>
      <c r="D1621" s="3">
        <v>-0.56999999999999995</v>
      </c>
      <c r="E1621" s="3">
        <v>-1.5629284343295899</v>
      </c>
      <c r="F1621" s="3">
        <v>-1.56293394995182</v>
      </c>
      <c r="G1621" s="3">
        <v>41.008360000000003</v>
      </c>
      <c r="H1621" s="3">
        <v>1042.77602628094</v>
      </c>
      <c r="I1621" s="3">
        <v>36.909999999999997</v>
      </c>
      <c r="J1621" s="3">
        <v>36.909999999999997</v>
      </c>
      <c r="K1621" s="3">
        <v>35.83</v>
      </c>
      <c r="L1621" s="3">
        <v>900.42184919089198</v>
      </c>
    </row>
    <row r="1622" spans="1:12" ht="15" customHeight="1" x14ac:dyDescent="0.2">
      <c r="A1622" s="2">
        <v>43697</v>
      </c>
      <c r="B1622" s="3">
        <v>36.47</v>
      </c>
      <c r="C1622" s="1">
        <v>601079</v>
      </c>
      <c r="D1622" s="3">
        <v>-0.439999999999997</v>
      </c>
      <c r="E1622" s="3">
        <v>-1.19208886480628</v>
      </c>
      <c r="F1622" s="3">
        <v>-1.19209014356028</v>
      </c>
      <c r="G1622" s="3">
        <v>41.659469999999999</v>
      </c>
      <c r="H1622" s="3">
        <v>1060.92044606441</v>
      </c>
      <c r="I1622" s="3">
        <v>36.97</v>
      </c>
      <c r="J1622" s="3">
        <v>36.97</v>
      </c>
      <c r="K1622" s="3">
        <v>36.07</v>
      </c>
      <c r="L1622" s="3">
        <v>916.30598440088704</v>
      </c>
    </row>
    <row r="1623" spans="1:12" ht="15" customHeight="1" x14ac:dyDescent="0.2">
      <c r="A1623" s="2">
        <v>43696</v>
      </c>
      <c r="B1623" s="3">
        <v>36.909999999999997</v>
      </c>
      <c r="C1623" s="1">
        <v>834861</v>
      </c>
      <c r="D1623" s="3">
        <v>0.41999999999999399</v>
      </c>
      <c r="E1623" s="3">
        <v>1.1510002740476599</v>
      </c>
      <c r="F1623" s="3">
        <v>1.1510013023268799</v>
      </c>
      <c r="G1623" s="3">
        <v>42.162080000000003</v>
      </c>
      <c r="H1623" s="3">
        <v>1074.92663062212</v>
      </c>
      <c r="I1623" s="3">
        <v>37</v>
      </c>
      <c r="J1623" s="3">
        <v>37.200000000000003</v>
      </c>
      <c r="K1623" s="3">
        <v>36.25</v>
      </c>
      <c r="L1623" s="3">
        <v>928.56742210684797</v>
      </c>
    </row>
    <row r="1624" spans="1:12" ht="15" customHeight="1" x14ac:dyDescent="0.2">
      <c r="A1624" s="2">
        <v>43693</v>
      </c>
      <c r="B1624" s="3">
        <v>36.49</v>
      </c>
      <c r="C1624" s="1">
        <v>717748</v>
      </c>
      <c r="D1624" s="3">
        <v>0.25</v>
      </c>
      <c r="E1624" s="3">
        <v>0.68984547461368095</v>
      </c>
      <c r="F1624" s="3">
        <v>0.68984169382983995</v>
      </c>
      <c r="G1624" s="3">
        <v>41.682316</v>
      </c>
      <c r="H1624" s="3">
        <v>1061.55709335039</v>
      </c>
      <c r="I1624" s="3">
        <v>36.229999999999997</v>
      </c>
      <c r="J1624" s="3">
        <v>36.93</v>
      </c>
      <c r="K1624" s="3">
        <v>36.229999999999997</v>
      </c>
      <c r="L1624" s="3">
        <v>916.86332247843097</v>
      </c>
    </row>
    <row r="1625" spans="1:12" ht="15" customHeight="1" x14ac:dyDescent="0.2">
      <c r="A1625" s="2">
        <v>43692</v>
      </c>
      <c r="B1625" s="3">
        <v>36.24</v>
      </c>
      <c r="C1625" s="1">
        <v>784929</v>
      </c>
      <c r="D1625" s="3">
        <v>-1.1799999999999899</v>
      </c>
      <c r="E1625" s="3">
        <v>-3.1533939070015999</v>
      </c>
      <c r="F1625" s="3">
        <v>-3.15337753193125</v>
      </c>
      <c r="G1625" s="3">
        <v>41.396743999999998</v>
      </c>
      <c r="H1625" s="3">
        <v>1053.5990858763701</v>
      </c>
      <c r="I1625" s="3">
        <v>37.56</v>
      </c>
      <c r="J1625" s="3">
        <v>37.56</v>
      </c>
      <c r="K1625" s="3">
        <v>36.15</v>
      </c>
      <c r="L1625" s="3">
        <v>909.89659650913495</v>
      </c>
    </row>
    <row r="1626" spans="1:12" ht="15" customHeight="1" x14ac:dyDescent="0.2">
      <c r="A1626" s="2">
        <v>43691</v>
      </c>
      <c r="B1626" s="3">
        <v>37.42</v>
      </c>
      <c r="C1626" s="1">
        <v>976062</v>
      </c>
      <c r="D1626" s="3">
        <v>-1.75</v>
      </c>
      <c r="E1626" s="3">
        <v>-4.4677048761807496</v>
      </c>
      <c r="F1626" s="3">
        <v>-4.4677078272094697</v>
      </c>
      <c r="G1626" s="3">
        <v>42.744644000000001</v>
      </c>
      <c r="H1626" s="3">
        <v>1091.1608856124301</v>
      </c>
      <c r="I1626" s="3">
        <v>38.49</v>
      </c>
      <c r="J1626" s="3">
        <v>38.65</v>
      </c>
      <c r="K1626" s="3">
        <v>37.31</v>
      </c>
      <c r="L1626" s="3">
        <v>942.77954308421101</v>
      </c>
    </row>
    <row r="1627" spans="1:12" ht="15" customHeight="1" x14ac:dyDescent="0.2">
      <c r="A1627" s="2">
        <v>43690</v>
      </c>
      <c r="B1627" s="3">
        <v>39.17</v>
      </c>
      <c r="C1627" s="1">
        <v>848247</v>
      </c>
      <c r="D1627" s="3">
        <v>0.149999999999998</v>
      </c>
      <c r="E1627" s="3">
        <v>0.38441824705279698</v>
      </c>
      <c r="F1627" s="3">
        <v>1.3070116649760799</v>
      </c>
      <c r="G1627" s="3">
        <v>44.743659999999998</v>
      </c>
      <c r="H1627" s="3">
        <v>1146.86727233338</v>
      </c>
      <c r="I1627" s="3">
        <v>38.869999999999997</v>
      </c>
      <c r="J1627" s="3">
        <v>40.1</v>
      </c>
      <c r="K1627" s="3">
        <v>38.54</v>
      </c>
      <c r="L1627" s="3">
        <v>991.54662486928305</v>
      </c>
    </row>
    <row r="1628" spans="1:12" ht="15" customHeight="1" x14ac:dyDescent="0.2">
      <c r="A1628" s="2">
        <v>43689</v>
      </c>
      <c r="B1628" s="3">
        <v>39.020000000000003</v>
      </c>
      <c r="C1628" s="1">
        <v>1050188</v>
      </c>
      <c r="D1628" s="3">
        <v>-1.02999999999999</v>
      </c>
      <c r="E1628" s="3">
        <v>-2.57178526841447</v>
      </c>
      <c r="F1628" s="3">
        <v>-2.5717786533625202</v>
      </c>
      <c r="G1628" s="3">
        <v>44.166400000000003</v>
      </c>
      <c r="H1628" s="3">
        <v>1130.78082340124</v>
      </c>
      <c r="I1628" s="3">
        <v>39.99</v>
      </c>
      <c r="J1628" s="3">
        <v>40.229999999999997</v>
      </c>
      <c r="K1628" s="3">
        <v>38.799999999999997</v>
      </c>
      <c r="L1628" s="3">
        <v>987.36658928770498</v>
      </c>
    </row>
    <row r="1629" spans="1:12" ht="15" customHeight="1" x14ac:dyDescent="0.2">
      <c r="A1629" s="2">
        <v>43686</v>
      </c>
      <c r="B1629" s="3">
        <v>40.049999999999997</v>
      </c>
      <c r="C1629" s="1">
        <v>618755</v>
      </c>
      <c r="D1629" s="3">
        <v>-1.2</v>
      </c>
      <c r="E1629" s="3">
        <v>-2.9090909090909101</v>
      </c>
      <c r="F1629" s="3">
        <v>-2.9090960804738901</v>
      </c>
      <c r="G1629" s="3">
        <v>45.332245</v>
      </c>
      <c r="H1629" s="3">
        <v>1163.2693139519299</v>
      </c>
      <c r="I1629" s="3">
        <v>41.54</v>
      </c>
      <c r="J1629" s="3">
        <v>41.615000000000002</v>
      </c>
      <c r="K1629" s="3">
        <v>40</v>
      </c>
      <c r="L1629" s="3">
        <v>1016.0695002812</v>
      </c>
    </row>
    <row r="1630" spans="1:12" ht="15" customHeight="1" x14ac:dyDescent="0.2">
      <c r="A1630" s="2">
        <v>43685</v>
      </c>
      <c r="B1630" s="3">
        <v>41.25</v>
      </c>
      <c r="C1630" s="1">
        <v>637000</v>
      </c>
      <c r="D1630" s="3">
        <v>0.67000000000000104</v>
      </c>
      <c r="E1630" s="3">
        <v>1.65105963528833</v>
      </c>
      <c r="F1630" s="3">
        <v>1.65105922540094</v>
      </c>
      <c r="G1630" s="3">
        <v>46.690517</v>
      </c>
      <c r="H1630" s="3">
        <v>1201.1201492150001</v>
      </c>
      <c r="I1630" s="3">
        <v>40.840000000000003</v>
      </c>
      <c r="J1630" s="3">
        <v>41.52</v>
      </c>
      <c r="K1630" s="3">
        <v>40.726199999999999</v>
      </c>
      <c r="L1630" s="3">
        <v>1049.5097849338199</v>
      </c>
    </row>
    <row r="1631" spans="1:12" ht="15" customHeight="1" x14ac:dyDescent="0.2">
      <c r="A1631" s="2">
        <v>43684</v>
      </c>
      <c r="B1631" s="3">
        <v>40.58</v>
      </c>
      <c r="C1631" s="1">
        <v>1427926</v>
      </c>
      <c r="D1631" s="3">
        <v>-0.37000000000000399</v>
      </c>
      <c r="E1631" s="3">
        <v>-0.90354090354091099</v>
      </c>
      <c r="F1631" s="3">
        <v>-0.90354135136387903</v>
      </c>
      <c r="G1631" s="3">
        <v>45.93215</v>
      </c>
      <c r="H1631" s="3">
        <v>1179.9868089223801</v>
      </c>
      <c r="I1631" s="3">
        <v>40.67</v>
      </c>
      <c r="J1631" s="3">
        <v>40.874899999999997</v>
      </c>
      <c r="K1631" s="3">
        <v>39.799999999999997</v>
      </c>
      <c r="L1631" s="3">
        <v>1030.8389593361101</v>
      </c>
    </row>
    <row r="1632" spans="1:12" ht="15" customHeight="1" x14ac:dyDescent="0.2">
      <c r="A1632" s="2">
        <v>43683</v>
      </c>
      <c r="B1632" s="3">
        <v>40.950000000000003</v>
      </c>
      <c r="C1632" s="1">
        <v>858246</v>
      </c>
      <c r="D1632" s="3">
        <v>-1.00999999999999</v>
      </c>
      <c r="E1632" s="3">
        <v>-2.4070543374642401</v>
      </c>
      <c r="F1632" s="3">
        <v>-2.40705383567159</v>
      </c>
      <c r="G1632" s="3">
        <v>46.350949999999997</v>
      </c>
      <c r="H1632" s="3">
        <v>1191.6574682661401</v>
      </c>
      <c r="I1632" s="3">
        <v>42.18</v>
      </c>
      <c r="J1632" s="3">
        <v>42.36</v>
      </c>
      <c r="K1632" s="3">
        <v>40.89</v>
      </c>
      <c r="L1632" s="3">
        <v>1041.1497137706699</v>
      </c>
    </row>
    <row r="1633" spans="1:12" ht="15" customHeight="1" x14ac:dyDescent="0.2">
      <c r="A1633" s="2">
        <v>43682</v>
      </c>
      <c r="B1633" s="3">
        <v>41.96</v>
      </c>
      <c r="C1633" s="1">
        <v>778627</v>
      </c>
      <c r="D1633" s="3">
        <v>-0.42000000000000098</v>
      </c>
      <c r="E1633" s="3">
        <v>-0.99103350637093002</v>
      </c>
      <c r="F1633" s="3">
        <v>-0.99103483449033403</v>
      </c>
      <c r="G1633" s="3">
        <v>47.494160000000001</v>
      </c>
      <c r="H1633" s="3">
        <v>1223.51519144758</v>
      </c>
      <c r="I1633" s="3">
        <v>41.85</v>
      </c>
      <c r="J1633" s="3">
        <v>42.33</v>
      </c>
      <c r="K1633" s="3">
        <v>41.61</v>
      </c>
      <c r="L1633" s="3">
        <v>1069.2952866866201</v>
      </c>
    </row>
    <row r="1634" spans="1:12" ht="15" customHeight="1" x14ac:dyDescent="0.2">
      <c r="A1634" s="2">
        <v>43679</v>
      </c>
      <c r="B1634" s="3">
        <v>42.38</v>
      </c>
      <c r="C1634" s="1">
        <v>1115301</v>
      </c>
      <c r="D1634" s="3">
        <v>-1.8599999999999901</v>
      </c>
      <c r="E1634" s="3">
        <v>-4.2043399638336298</v>
      </c>
      <c r="F1634" s="3">
        <v>-4.2043439948676804</v>
      </c>
      <c r="G1634" s="3">
        <v>47.969555</v>
      </c>
      <c r="H1634" s="3">
        <v>1236.7629782162701</v>
      </c>
      <c r="I1634" s="3">
        <v>44</v>
      </c>
      <c r="J1634" s="3">
        <v>44.33</v>
      </c>
      <c r="K1634" s="3">
        <v>42.12</v>
      </c>
      <c r="L1634" s="3">
        <v>1080.9993863150401</v>
      </c>
    </row>
    <row r="1635" spans="1:12" ht="15" customHeight="1" x14ac:dyDescent="0.2">
      <c r="A1635" s="2">
        <v>43678</v>
      </c>
      <c r="B1635" s="3">
        <v>44.24</v>
      </c>
      <c r="C1635" s="1">
        <v>1691663</v>
      </c>
      <c r="D1635" s="3">
        <v>1.1599999999999999</v>
      </c>
      <c r="E1635" s="3">
        <v>2.6926648096564598</v>
      </c>
      <c r="F1635" s="3">
        <v>2.6926668947136498</v>
      </c>
      <c r="G1635" s="3">
        <v>50.074874999999999</v>
      </c>
      <c r="H1635" s="3">
        <v>1295.4317282869799</v>
      </c>
      <c r="I1635" s="3">
        <v>42.94</v>
      </c>
      <c r="J1635" s="3">
        <v>44.58</v>
      </c>
      <c r="K1635" s="3">
        <v>40.71</v>
      </c>
      <c r="L1635" s="3">
        <v>1132.8318275265999</v>
      </c>
    </row>
    <row r="1636" spans="1:12" ht="15" customHeight="1" x14ac:dyDescent="0.2">
      <c r="A1636" s="2">
        <v>43677</v>
      </c>
      <c r="B1636" s="3">
        <v>43.08</v>
      </c>
      <c r="C1636" s="1">
        <v>1528683</v>
      </c>
      <c r="D1636" s="3">
        <v>-1.42</v>
      </c>
      <c r="E1636" s="3">
        <v>-3.1910112359550502</v>
      </c>
      <c r="F1636" s="3">
        <v>-3.1910078952273202</v>
      </c>
      <c r="G1636" s="3">
        <v>48.761879999999998</v>
      </c>
      <c r="H1636" s="3">
        <v>1258.8426228307601</v>
      </c>
      <c r="I1636" s="3">
        <v>44.39</v>
      </c>
      <c r="J1636" s="3">
        <v>44.46</v>
      </c>
      <c r="K1636" s="3">
        <v>42.75</v>
      </c>
      <c r="L1636" s="3">
        <v>1100.5062190290701</v>
      </c>
    </row>
    <row r="1637" spans="1:12" ht="15" customHeight="1" x14ac:dyDescent="0.2">
      <c r="A1637" s="2">
        <v>43676</v>
      </c>
      <c r="B1637" s="3">
        <v>44.5</v>
      </c>
      <c r="C1637" s="1">
        <v>966248</v>
      </c>
      <c r="D1637" s="3">
        <v>-7.9999999999998295E-2</v>
      </c>
      <c r="E1637" s="3">
        <v>-0.179452669358448</v>
      </c>
      <c r="F1637" s="3">
        <v>-0.17945602033400099</v>
      </c>
      <c r="G1637" s="3">
        <v>50.369163999999998</v>
      </c>
      <c r="H1637" s="3">
        <v>1303.6326515620899</v>
      </c>
      <c r="I1637" s="3">
        <v>44.48</v>
      </c>
      <c r="J1637" s="3">
        <v>44.78</v>
      </c>
      <c r="K1637" s="3">
        <v>44.08</v>
      </c>
      <c r="L1637" s="3">
        <v>1140.07722253467</v>
      </c>
    </row>
    <row r="1638" spans="1:12" ht="15" customHeight="1" x14ac:dyDescent="0.2">
      <c r="A1638" s="2">
        <v>43675</v>
      </c>
      <c r="B1638" s="3">
        <v>44.58</v>
      </c>
      <c r="C1638" s="1">
        <v>784047</v>
      </c>
      <c r="D1638" s="3">
        <v>0.72999999999999599</v>
      </c>
      <c r="E1638" s="3">
        <v>1.6647662485746699</v>
      </c>
      <c r="F1638" s="3">
        <v>1.66477916194791</v>
      </c>
      <c r="G1638" s="3">
        <v>50.459716999999998</v>
      </c>
      <c r="H1638" s="3">
        <v>1306.1560833088799</v>
      </c>
      <c r="I1638" s="3">
        <v>43.82</v>
      </c>
      <c r="J1638" s="3">
        <v>44.61</v>
      </c>
      <c r="K1638" s="3">
        <v>43.71</v>
      </c>
      <c r="L1638" s="3">
        <v>1142.30657484484</v>
      </c>
    </row>
    <row r="1639" spans="1:12" ht="15" customHeight="1" x14ac:dyDescent="0.2">
      <c r="A1639" s="2">
        <v>43672</v>
      </c>
      <c r="B1639" s="3">
        <v>43.85</v>
      </c>
      <c r="C1639" s="1">
        <v>678452</v>
      </c>
      <c r="D1639" s="3">
        <v>0.149999999999998</v>
      </c>
      <c r="E1639" s="3">
        <v>0.34324942791761298</v>
      </c>
      <c r="F1639" s="3">
        <v>0.34324195646702099</v>
      </c>
      <c r="G1639" s="3">
        <v>49.633429999999997</v>
      </c>
      <c r="H1639" s="3">
        <v>1283.13002290492</v>
      </c>
      <c r="I1639" s="3">
        <v>43.21</v>
      </c>
      <c r="J1639" s="3">
        <v>43.98</v>
      </c>
      <c r="K1639" s="3">
        <v>42.75</v>
      </c>
      <c r="L1639" s="3">
        <v>1121.9637350144999</v>
      </c>
    </row>
    <row r="1640" spans="1:12" ht="15" customHeight="1" x14ac:dyDescent="0.2">
      <c r="A1640" s="2">
        <v>43671</v>
      </c>
      <c r="B1640" s="3">
        <v>43.7</v>
      </c>
      <c r="C1640" s="1">
        <v>638594</v>
      </c>
      <c r="D1640" s="3">
        <v>-0.619999999999997</v>
      </c>
      <c r="E1640" s="3">
        <v>-1.3989169675090201</v>
      </c>
      <c r="F1640" s="3">
        <v>-1.3989118400683</v>
      </c>
      <c r="G1640" s="3">
        <v>49.463650000000001</v>
      </c>
      <c r="H1640" s="3">
        <v>1278.39877996465</v>
      </c>
      <c r="I1640" s="3">
        <v>44.32</v>
      </c>
      <c r="J1640" s="3">
        <v>44.47</v>
      </c>
      <c r="K1640" s="3">
        <v>43.47</v>
      </c>
      <c r="L1640" s="3">
        <v>1117.78369943292</v>
      </c>
    </row>
    <row r="1641" spans="1:12" ht="15" customHeight="1" x14ac:dyDescent="0.2">
      <c r="A1641" s="2">
        <v>43670</v>
      </c>
      <c r="B1641" s="3">
        <v>44.32</v>
      </c>
      <c r="C1641" s="1">
        <v>626681</v>
      </c>
      <c r="D1641" s="3">
        <v>0.39</v>
      </c>
      <c r="E1641" s="3">
        <v>0.88777600728431305</v>
      </c>
      <c r="F1641" s="3">
        <v>0.88777278988745301</v>
      </c>
      <c r="G1641" s="3">
        <v>50.165419999999997</v>
      </c>
      <c r="H1641" s="3">
        <v>1297.9549370985401</v>
      </c>
      <c r="I1641" s="3">
        <v>43.85</v>
      </c>
      <c r="J1641" s="3">
        <v>44.48</v>
      </c>
      <c r="K1641" s="3">
        <v>43.8</v>
      </c>
      <c r="L1641" s="3">
        <v>1135.06117983677</v>
      </c>
    </row>
    <row r="1642" spans="1:12" ht="15" customHeight="1" x14ac:dyDescent="0.2">
      <c r="A1642" s="2">
        <v>43669</v>
      </c>
      <c r="B1642" s="3">
        <v>43.93</v>
      </c>
      <c r="C1642" s="1">
        <v>652022</v>
      </c>
      <c r="D1642" s="3">
        <v>0.54999999999999705</v>
      </c>
      <c r="E1642" s="3">
        <v>1.26786537574918</v>
      </c>
      <c r="F1642" s="3">
        <v>1.2678649532180599</v>
      </c>
      <c r="G1642" s="3">
        <v>49.723984000000002</v>
      </c>
      <c r="H1642" s="3">
        <v>1285.65348251861</v>
      </c>
      <c r="I1642" s="3">
        <v>43.52</v>
      </c>
      <c r="J1642" s="3">
        <v>43.93</v>
      </c>
      <c r="K1642" s="3">
        <v>43.28</v>
      </c>
      <c r="L1642" s="3">
        <v>1124.1930873246699</v>
      </c>
    </row>
    <row r="1643" spans="1:12" ht="15" customHeight="1" x14ac:dyDescent="0.2">
      <c r="A1643" s="2">
        <v>43668</v>
      </c>
      <c r="B1643" s="3">
        <v>43.38</v>
      </c>
      <c r="C1643" s="1">
        <v>916453</v>
      </c>
      <c r="D1643" s="3">
        <v>-0.56999999999999995</v>
      </c>
      <c r="E1643" s="3">
        <v>-1.2969283276450501</v>
      </c>
      <c r="F1643" s="3">
        <v>-1.2969322300142301</v>
      </c>
      <c r="G1643" s="3">
        <v>49.101444000000001</v>
      </c>
      <c r="H1643" s="3">
        <v>1268.3052201789101</v>
      </c>
      <c r="I1643" s="3">
        <v>43.61</v>
      </c>
      <c r="J1643" s="3">
        <v>44.12</v>
      </c>
      <c r="K1643" s="3">
        <v>43.29</v>
      </c>
      <c r="L1643" s="3">
        <v>1108.86629019222</v>
      </c>
    </row>
    <row r="1644" spans="1:12" ht="15" customHeight="1" x14ac:dyDescent="0.2">
      <c r="A1644" s="2">
        <v>43665</v>
      </c>
      <c r="B1644" s="3">
        <v>43.95</v>
      </c>
      <c r="C1644" s="1">
        <v>393022</v>
      </c>
      <c r="D1644" s="3">
        <v>-0.17999999999999899</v>
      </c>
      <c r="E1644" s="3">
        <v>-0.40788579197824598</v>
      </c>
      <c r="F1644" s="3">
        <v>-0.40788292169169299</v>
      </c>
      <c r="G1644" s="3">
        <v>49.746623999999997</v>
      </c>
      <c r="H1644" s="3">
        <v>1286.28438922239</v>
      </c>
      <c r="I1644" s="3">
        <v>44.06</v>
      </c>
      <c r="J1644" s="3">
        <v>44.29</v>
      </c>
      <c r="K1644" s="3">
        <v>43.89</v>
      </c>
      <c r="L1644" s="3">
        <v>1124.7504254022199</v>
      </c>
    </row>
    <row r="1645" spans="1:12" ht="15" customHeight="1" x14ac:dyDescent="0.2">
      <c r="A1645" s="2">
        <v>43664</v>
      </c>
      <c r="B1645" s="3">
        <v>44.13</v>
      </c>
      <c r="C1645" s="1">
        <v>689080</v>
      </c>
      <c r="D1645" s="3">
        <v>9.0000000000003397E-2</v>
      </c>
      <c r="E1645" s="3">
        <v>0.20435967302452299</v>
      </c>
      <c r="F1645" s="3">
        <v>0.20435521674224599</v>
      </c>
      <c r="G1645" s="3">
        <v>49.950363000000003</v>
      </c>
      <c r="H1645" s="3">
        <v>1291.96196435143</v>
      </c>
      <c r="I1645" s="3">
        <v>43.9</v>
      </c>
      <c r="J1645" s="3">
        <v>44.34</v>
      </c>
      <c r="K1645" s="3">
        <v>43.32</v>
      </c>
      <c r="L1645" s="3">
        <v>1129.7664681001099</v>
      </c>
    </row>
    <row r="1646" spans="1:12" ht="15" customHeight="1" x14ac:dyDescent="0.2">
      <c r="A1646" s="2">
        <v>43663</v>
      </c>
      <c r="B1646" s="3">
        <v>44.04</v>
      </c>
      <c r="C1646" s="1">
        <v>649336</v>
      </c>
      <c r="D1646" s="3">
        <v>0.17000000000000101</v>
      </c>
      <c r="E1646" s="3">
        <v>0.38750854798268403</v>
      </c>
      <c r="F1646" s="3">
        <v>0.38751556456240099</v>
      </c>
      <c r="G1646" s="3">
        <v>49.848495</v>
      </c>
      <c r="H1646" s="3">
        <v>1289.12321858726</v>
      </c>
      <c r="I1646" s="3">
        <v>43.87</v>
      </c>
      <c r="J1646" s="3">
        <v>44.278700000000001</v>
      </c>
      <c r="K1646" s="3">
        <v>43.63</v>
      </c>
      <c r="L1646" s="3">
        <v>1127.2584467511599</v>
      </c>
    </row>
    <row r="1647" spans="1:12" ht="15" customHeight="1" x14ac:dyDescent="0.2">
      <c r="A1647" s="2">
        <v>43662</v>
      </c>
      <c r="B1647" s="3">
        <v>43.87</v>
      </c>
      <c r="C1647" s="1">
        <v>476738</v>
      </c>
      <c r="D1647" s="3">
        <v>3.9999999999999099E-2</v>
      </c>
      <c r="E1647" s="3">
        <v>9.1261692904409594E-2</v>
      </c>
      <c r="F1647" s="3">
        <v>9.1254327334144805E-2</v>
      </c>
      <c r="G1647" s="3">
        <v>49.65607</v>
      </c>
      <c r="H1647" s="3">
        <v>1283.7609296087001</v>
      </c>
      <c r="I1647" s="3">
        <v>43.73</v>
      </c>
      <c r="J1647" s="3">
        <v>44.19</v>
      </c>
      <c r="K1647" s="3">
        <v>43.518599999999999</v>
      </c>
      <c r="L1647" s="3">
        <v>1122.5210730920401</v>
      </c>
    </row>
    <row r="1648" spans="1:12" ht="15" customHeight="1" x14ac:dyDescent="0.2">
      <c r="A1648" s="2">
        <v>43661</v>
      </c>
      <c r="B1648" s="3">
        <v>43.83</v>
      </c>
      <c r="C1648" s="1">
        <v>751063</v>
      </c>
      <c r="D1648" s="3">
        <v>0.85999999999999899</v>
      </c>
      <c r="E1648" s="3">
        <v>2.0013963230160501</v>
      </c>
      <c r="F1648" s="3">
        <v>2.0013993355315098</v>
      </c>
      <c r="G1648" s="3">
        <v>49.610798000000003</v>
      </c>
      <c r="H1648" s="3">
        <v>1282.4993391363701</v>
      </c>
      <c r="I1648" s="3">
        <v>43.04</v>
      </c>
      <c r="J1648" s="3">
        <v>44.02</v>
      </c>
      <c r="K1648" s="3">
        <v>42.83</v>
      </c>
      <c r="L1648" s="3">
        <v>1121.4063969369499</v>
      </c>
    </row>
    <row r="1649" spans="1:12" ht="15" customHeight="1" x14ac:dyDescent="0.2">
      <c r="A1649" s="2">
        <v>43658</v>
      </c>
      <c r="B1649" s="3">
        <v>42.97</v>
      </c>
      <c r="C1649" s="1">
        <v>488207</v>
      </c>
      <c r="D1649" s="3">
        <v>0.35000000000000098</v>
      </c>
      <c r="E1649" s="3">
        <v>0.82121069920224599</v>
      </c>
      <c r="F1649" s="3">
        <v>0.82121286890686196</v>
      </c>
      <c r="G1649" s="3">
        <v>48.637369999999997</v>
      </c>
      <c r="H1649" s="3">
        <v>1255.37291462901</v>
      </c>
      <c r="I1649" s="3">
        <v>42.78</v>
      </c>
      <c r="J1649" s="3">
        <v>43.24</v>
      </c>
      <c r="K1649" s="3">
        <v>42.615000000000002</v>
      </c>
      <c r="L1649" s="3">
        <v>1097.4408596025801</v>
      </c>
    </row>
    <row r="1650" spans="1:12" ht="15" customHeight="1" x14ac:dyDescent="0.2">
      <c r="A1650" s="2">
        <v>43657</v>
      </c>
      <c r="B1650" s="3">
        <v>42.62</v>
      </c>
      <c r="C1650" s="1">
        <v>710842</v>
      </c>
      <c r="D1650" s="3">
        <v>-3.0000000000001099E-2</v>
      </c>
      <c r="E1650" s="3">
        <v>-7.0339976553346298E-2</v>
      </c>
      <c r="F1650" s="3">
        <v>-7.0344657126597501E-2</v>
      </c>
      <c r="G1650" s="3">
        <v>48.241207000000003</v>
      </c>
      <c r="H1650" s="3">
        <v>1244.33307838831</v>
      </c>
      <c r="I1650" s="3">
        <v>42.68</v>
      </c>
      <c r="J1650" s="3">
        <v>43</v>
      </c>
      <c r="K1650" s="3">
        <v>42.12</v>
      </c>
      <c r="L1650" s="3">
        <v>1087.68744324556</v>
      </c>
    </row>
    <row r="1651" spans="1:12" ht="15" customHeight="1" x14ac:dyDescent="0.2">
      <c r="A1651" s="2">
        <v>43656</v>
      </c>
      <c r="B1651" s="3">
        <v>42.65</v>
      </c>
      <c r="C1651" s="1">
        <v>525698</v>
      </c>
      <c r="D1651" s="3">
        <v>-0.310000000000002</v>
      </c>
      <c r="E1651" s="3">
        <v>-0.72160148975791705</v>
      </c>
      <c r="F1651" s="3">
        <v>-0.72159675729367401</v>
      </c>
      <c r="G1651" s="3">
        <v>48.275165999999999</v>
      </c>
      <c r="H1651" s="3">
        <v>1245.2794105770799</v>
      </c>
      <c r="I1651" s="3">
        <v>43</v>
      </c>
      <c r="J1651" s="3">
        <v>43.115000000000002</v>
      </c>
      <c r="K1651" s="3">
        <v>42.14</v>
      </c>
      <c r="L1651" s="3">
        <v>1088.5234503618799</v>
      </c>
    </row>
    <row r="1652" spans="1:12" ht="15" customHeight="1" x14ac:dyDescent="0.2">
      <c r="A1652" s="2">
        <v>43655</v>
      </c>
      <c r="B1652" s="3">
        <v>42.96</v>
      </c>
      <c r="C1652" s="1">
        <v>540424</v>
      </c>
      <c r="D1652" s="3">
        <v>-0.39999999999999802</v>
      </c>
      <c r="E1652" s="3">
        <v>-0.92250922509224897</v>
      </c>
      <c r="F1652" s="3">
        <v>-0.92251221749314305</v>
      </c>
      <c r="G1652" s="3">
        <v>48.626049999999999</v>
      </c>
      <c r="H1652" s="3">
        <v>1255.05746127712</v>
      </c>
      <c r="I1652" s="3">
        <v>43.2</v>
      </c>
      <c r="J1652" s="3">
        <v>43.33</v>
      </c>
      <c r="K1652" s="3">
        <v>42.36</v>
      </c>
      <c r="L1652" s="3">
        <v>1097.1621905638001</v>
      </c>
    </row>
    <row r="1653" spans="1:12" ht="15" customHeight="1" x14ac:dyDescent="0.2">
      <c r="A1653" s="2">
        <v>43654</v>
      </c>
      <c r="B1653" s="3">
        <v>43.36</v>
      </c>
      <c r="C1653" s="1">
        <v>363626</v>
      </c>
      <c r="D1653" s="3">
        <v>-0.64999999999999802</v>
      </c>
      <c r="E1653" s="3">
        <v>-1.47693705975914</v>
      </c>
      <c r="F1653" s="3">
        <v>-1.47692842970141</v>
      </c>
      <c r="G1653" s="3">
        <v>49.078808000000002</v>
      </c>
      <c r="H1653" s="3">
        <v>1267.67442494275</v>
      </c>
      <c r="I1653" s="3">
        <v>43.86</v>
      </c>
      <c r="J1653" s="3">
        <v>44.14</v>
      </c>
      <c r="K1653" s="3">
        <v>43.06</v>
      </c>
      <c r="L1653" s="3">
        <v>1108.3089521146801</v>
      </c>
    </row>
    <row r="1654" spans="1:12" ht="15" customHeight="1" x14ac:dyDescent="0.2">
      <c r="A1654" s="2">
        <v>43651</v>
      </c>
      <c r="B1654" s="3">
        <v>44.01</v>
      </c>
      <c r="C1654" s="1">
        <v>416380</v>
      </c>
      <c r="D1654" s="3">
        <v>0.69999999999999496</v>
      </c>
      <c r="E1654" s="3">
        <v>1.61625490648809</v>
      </c>
      <c r="F1654" s="3">
        <v>1.6162469042350001</v>
      </c>
      <c r="G1654" s="3">
        <v>49.814532999999997</v>
      </c>
      <c r="H1654" s="3">
        <v>1288.1768027977901</v>
      </c>
      <c r="I1654" s="3">
        <v>43.18</v>
      </c>
      <c r="J1654" s="3">
        <v>44.16</v>
      </c>
      <c r="K1654" s="3">
        <v>43.18</v>
      </c>
      <c r="L1654" s="3">
        <v>1126.42243963485</v>
      </c>
    </row>
    <row r="1655" spans="1:12" ht="15" customHeight="1" x14ac:dyDescent="0.2">
      <c r="A1655" s="2">
        <v>43649</v>
      </c>
      <c r="B1655" s="3">
        <v>43.31</v>
      </c>
      <c r="C1655" s="1">
        <v>253715</v>
      </c>
      <c r="D1655" s="3">
        <v>0.35000000000000098</v>
      </c>
      <c r="E1655" s="3">
        <v>0.814711359404096</v>
      </c>
      <c r="F1655" s="3">
        <v>0.81471351261310698</v>
      </c>
      <c r="G1655" s="3">
        <v>49.022213000000001</v>
      </c>
      <c r="H1655" s="3">
        <v>1266.0972975178199</v>
      </c>
      <c r="I1655" s="3">
        <v>43</v>
      </c>
      <c r="J1655" s="3">
        <v>43.47</v>
      </c>
      <c r="K1655" s="3">
        <v>42.91</v>
      </c>
      <c r="L1655" s="3">
        <v>1106.91560692082</v>
      </c>
    </row>
    <row r="1656" spans="1:12" ht="15" customHeight="1" x14ac:dyDescent="0.2">
      <c r="A1656" s="2">
        <v>43648</v>
      </c>
      <c r="B1656" s="3">
        <v>42.96</v>
      </c>
      <c r="C1656" s="1">
        <v>493041</v>
      </c>
      <c r="D1656" s="3">
        <v>-0.14000000000000001</v>
      </c>
      <c r="E1656" s="3">
        <v>-0.32482598607889102</v>
      </c>
      <c r="F1656" s="3">
        <v>-0.32482643314174497</v>
      </c>
      <c r="G1656" s="3">
        <v>48.626049999999999</v>
      </c>
      <c r="H1656" s="3">
        <v>1255.05746127712</v>
      </c>
      <c r="I1656" s="3">
        <v>43.14</v>
      </c>
      <c r="J1656" s="3">
        <v>43.2</v>
      </c>
      <c r="K1656" s="3">
        <v>42.6</v>
      </c>
      <c r="L1656" s="3">
        <v>1097.1621905638001</v>
      </c>
    </row>
    <row r="1657" spans="1:12" ht="15" customHeight="1" x14ac:dyDescent="0.2">
      <c r="A1657" s="2">
        <v>43647</v>
      </c>
      <c r="B1657" s="3">
        <v>43.1</v>
      </c>
      <c r="C1657" s="1">
        <v>673160</v>
      </c>
      <c r="D1657" s="3">
        <v>-0.619999999999997</v>
      </c>
      <c r="E1657" s="3">
        <v>-1.4181152790484799</v>
      </c>
      <c r="F1657" s="3">
        <v>-1.4181200490075001</v>
      </c>
      <c r="G1657" s="3">
        <v>48.784514999999999</v>
      </c>
      <c r="H1657" s="3">
        <v>1259.47339020002</v>
      </c>
      <c r="I1657" s="3">
        <v>44.11</v>
      </c>
      <c r="J1657" s="3">
        <v>44.234999999999999</v>
      </c>
      <c r="K1657" s="3">
        <v>42.67</v>
      </c>
      <c r="L1657" s="3">
        <v>1101.06355710661</v>
      </c>
    </row>
    <row r="1658" spans="1:12" ht="15" customHeight="1" x14ac:dyDescent="0.2">
      <c r="A1658" s="2">
        <v>43644</v>
      </c>
      <c r="B1658" s="3">
        <v>43.72</v>
      </c>
      <c r="C1658" s="1">
        <v>774567</v>
      </c>
      <c r="D1658" s="3">
        <v>-0.20000000000000201</v>
      </c>
      <c r="E1658" s="3">
        <v>-0.45537340619308198</v>
      </c>
      <c r="F1658" s="3">
        <v>-0.45536885911530101</v>
      </c>
      <c r="G1658" s="3">
        <v>49.486289999999997</v>
      </c>
      <c r="H1658" s="3">
        <v>1279.02968666843</v>
      </c>
      <c r="I1658" s="3">
        <v>43.79</v>
      </c>
      <c r="J1658" s="3">
        <v>44.2</v>
      </c>
      <c r="K1658" s="3">
        <v>43.34</v>
      </c>
      <c r="L1658" s="3">
        <v>1118.34103751046</v>
      </c>
    </row>
    <row r="1659" spans="1:12" ht="15" customHeight="1" x14ac:dyDescent="0.2">
      <c r="A1659" s="2">
        <v>43643</v>
      </c>
      <c r="B1659" s="3">
        <v>43.92</v>
      </c>
      <c r="C1659" s="1">
        <v>480919</v>
      </c>
      <c r="D1659" s="3">
        <v>0.89</v>
      </c>
      <c r="E1659" s="3">
        <v>2.0683244248199002</v>
      </c>
      <c r="F1659" s="3">
        <v>2.0683301687209199</v>
      </c>
      <c r="G1659" s="3">
        <v>49.712665999999999</v>
      </c>
      <c r="H1659" s="3">
        <v>1285.33808490053</v>
      </c>
      <c r="I1659" s="3">
        <v>43.05</v>
      </c>
      <c r="J1659" s="3">
        <v>43.98</v>
      </c>
      <c r="K1659" s="3">
        <v>43</v>
      </c>
      <c r="L1659" s="3">
        <v>1123.9144182859</v>
      </c>
    </row>
    <row r="1660" spans="1:12" ht="15" customHeight="1" x14ac:dyDescent="0.2">
      <c r="A1660" s="2">
        <v>43642</v>
      </c>
      <c r="B1660" s="3">
        <v>43.03</v>
      </c>
      <c r="C1660" s="1">
        <v>505782</v>
      </c>
      <c r="D1660" s="3">
        <v>-0.54999999999999705</v>
      </c>
      <c r="E1660" s="3">
        <v>-1.2620468104635101</v>
      </c>
      <c r="F1660" s="3">
        <v>-1.2620544542974299</v>
      </c>
      <c r="G1660" s="3">
        <v>48.705280000000002</v>
      </c>
      <c r="H1660" s="3">
        <v>1257.26535607131</v>
      </c>
      <c r="I1660" s="3">
        <v>43.64</v>
      </c>
      <c r="J1660" s="3">
        <v>43.86</v>
      </c>
      <c r="K1660" s="3">
        <v>42.59</v>
      </c>
      <c r="L1660" s="3">
        <v>1099.1128738352099</v>
      </c>
    </row>
    <row r="1661" spans="1:12" ht="15" customHeight="1" x14ac:dyDescent="0.2">
      <c r="A1661" s="2">
        <v>43641</v>
      </c>
      <c r="B1661" s="3">
        <v>43.58</v>
      </c>
      <c r="C1661" s="1">
        <v>696140</v>
      </c>
      <c r="D1661" s="3">
        <v>0.17000000000000101</v>
      </c>
      <c r="E1661" s="3">
        <v>0.39161483529141999</v>
      </c>
      <c r="F1661" s="3">
        <v>0.39161376166998402</v>
      </c>
      <c r="G1661" s="3">
        <v>49.327824</v>
      </c>
      <c r="H1661" s="3">
        <v>1274.61372987863</v>
      </c>
      <c r="I1661" s="3">
        <v>43.39</v>
      </c>
      <c r="J1661" s="3">
        <v>43.91</v>
      </c>
      <c r="K1661" s="3">
        <v>43.11</v>
      </c>
      <c r="L1661" s="3">
        <v>1114.43967096766</v>
      </c>
    </row>
    <row r="1662" spans="1:12" ht="15" customHeight="1" x14ac:dyDescent="0.2">
      <c r="A1662" s="2">
        <v>43640</v>
      </c>
      <c r="B1662" s="3">
        <v>43.41</v>
      </c>
      <c r="C1662" s="1">
        <v>528233</v>
      </c>
      <c r="D1662" s="3">
        <v>-0.80000000000000404</v>
      </c>
      <c r="E1662" s="3">
        <v>-1.8095453517303901</v>
      </c>
      <c r="F1662" s="3">
        <v>-1.8095393263508199</v>
      </c>
      <c r="G1662" s="3">
        <v>49.135402999999997</v>
      </c>
      <c r="H1662" s="3">
        <v>1269.25155236768</v>
      </c>
      <c r="I1662" s="3">
        <v>44.34</v>
      </c>
      <c r="J1662" s="3">
        <v>44.65</v>
      </c>
      <c r="K1662" s="3">
        <v>43.33</v>
      </c>
      <c r="L1662" s="3">
        <v>1109.70229730854</v>
      </c>
    </row>
    <row r="1663" spans="1:12" ht="15" customHeight="1" x14ac:dyDescent="0.2">
      <c r="A1663" s="2">
        <v>43637</v>
      </c>
      <c r="B1663" s="3">
        <v>44.21</v>
      </c>
      <c r="C1663" s="1">
        <v>705225</v>
      </c>
      <c r="D1663" s="3">
        <v>-0.28000000000000103</v>
      </c>
      <c r="E1663" s="3">
        <v>-0.62935491121600595</v>
      </c>
      <c r="F1663" s="3">
        <v>-0.62935973531034195</v>
      </c>
      <c r="G1663" s="3">
        <v>50.040913000000003</v>
      </c>
      <c r="H1663" s="3">
        <v>1294.4853124975</v>
      </c>
      <c r="I1663" s="3">
        <v>44.2</v>
      </c>
      <c r="J1663" s="3">
        <v>44.65</v>
      </c>
      <c r="K1663" s="3">
        <v>44.155000000000001</v>
      </c>
      <c r="L1663" s="3">
        <v>1131.99582041028</v>
      </c>
    </row>
    <row r="1664" spans="1:12" ht="15" customHeight="1" x14ac:dyDescent="0.2">
      <c r="A1664" s="2">
        <v>43636</v>
      </c>
      <c r="B1664" s="3">
        <v>44.49</v>
      </c>
      <c r="C1664" s="1">
        <v>735023</v>
      </c>
      <c r="D1664" s="3">
        <v>5.0000000000004201E-2</v>
      </c>
      <c r="E1664" s="3">
        <v>0.112511251125124</v>
      </c>
      <c r="F1664" s="3">
        <v>0.112518085287227</v>
      </c>
      <c r="G1664" s="3">
        <v>50.357844999999998</v>
      </c>
      <c r="H1664" s="3">
        <v>1303.31722607711</v>
      </c>
      <c r="I1664" s="3">
        <v>43.5</v>
      </c>
      <c r="J1664" s="3">
        <v>44.89</v>
      </c>
      <c r="K1664" s="3">
        <v>43.04</v>
      </c>
      <c r="L1664" s="3">
        <v>1139.7985534959</v>
      </c>
    </row>
    <row r="1665" spans="1:12" ht="15" customHeight="1" x14ac:dyDescent="0.2">
      <c r="A1665" s="2">
        <v>43635</v>
      </c>
      <c r="B1665" s="3">
        <v>44.44</v>
      </c>
      <c r="C1665" s="1">
        <v>523052</v>
      </c>
      <c r="D1665" s="3">
        <v>-1.1099999999999901</v>
      </c>
      <c r="E1665" s="3">
        <v>-2.4368825466520301</v>
      </c>
      <c r="F1665" s="3">
        <v>-2.4368857943248301</v>
      </c>
      <c r="G1665" s="3">
        <v>50.301246999999996</v>
      </c>
      <c r="H1665" s="3">
        <v>1301.74001505147</v>
      </c>
      <c r="I1665" s="3">
        <v>45.6</v>
      </c>
      <c r="J1665" s="3">
        <v>45.63</v>
      </c>
      <c r="K1665" s="3">
        <v>44.18</v>
      </c>
      <c r="L1665" s="3">
        <v>1138.4052083020399</v>
      </c>
    </row>
    <row r="1666" spans="1:12" ht="15" customHeight="1" x14ac:dyDescent="0.2">
      <c r="A1666" s="2">
        <v>43634</v>
      </c>
      <c r="B1666" s="3">
        <v>45.55</v>
      </c>
      <c r="C1666" s="1">
        <v>517259</v>
      </c>
      <c r="D1666" s="3">
        <v>-0.190000000000004</v>
      </c>
      <c r="E1666" s="3">
        <v>-0.41539134236993003</v>
      </c>
      <c r="F1666" s="3">
        <v>-0.41539645114191298</v>
      </c>
      <c r="G1666" s="3">
        <v>51.557648</v>
      </c>
      <c r="H1666" s="3">
        <v>1336.7520209496599</v>
      </c>
      <c r="I1666" s="3">
        <v>46.19</v>
      </c>
      <c r="J1666" s="3">
        <v>46.26</v>
      </c>
      <c r="K1666" s="3">
        <v>45.35</v>
      </c>
      <c r="L1666" s="3">
        <v>1169.3374716057101</v>
      </c>
    </row>
    <row r="1667" spans="1:12" ht="15" customHeight="1" x14ac:dyDescent="0.2">
      <c r="A1667" s="2">
        <v>43633</v>
      </c>
      <c r="B1667" s="3">
        <v>45.74</v>
      </c>
      <c r="C1667" s="1">
        <v>732469</v>
      </c>
      <c r="D1667" s="3">
        <v>0.37000000000000399</v>
      </c>
      <c r="E1667" s="3">
        <v>0.81551686136214196</v>
      </c>
      <c r="F1667" s="3">
        <v>0.81551726051627405</v>
      </c>
      <c r="G1667" s="3">
        <v>51.772710000000004</v>
      </c>
      <c r="H1667" s="3">
        <v>1342.7451330312999</v>
      </c>
      <c r="I1667" s="3">
        <v>45.45</v>
      </c>
      <c r="J1667" s="3">
        <v>45.94</v>
      </c>
      <c r="K1667" s="3">
        <v>45.22</v>
      </c>
      <c r="L1667" s="3">
        <v>1174.6321833423799</v>
      </c>
    </row>
    <row r="1668" spans="1:12" ht="15" customHeight="1" x14ac:dyDescent="0.2">
      <c r="A1668" s="2">
        <v>43630</v>
      </c>
      <c r="B1668" s="3">
        <v>45.37</v>
      </c>
      <c r="C1668" s="1">
        <v>602016</v>
      </c>
      <c r="D1668" s="3">
        <v>-0.17999999999999899</v>
      </c>
      <c r="E1668" s="3">
        <v>-0.39517014270032902</v>
      </c>
      <c r="F1668" s="3">
        <v>-0.39516542725145298</v>
      </c>
      <c r="G1668" s="3">
        <v>51.353909999999999</v>
      </c>
      <c r="H1668" s="3">
        <v>1331.0744736875299</v>
      </c>
      <c r="I1668" s="3">
        <v>45.6</v>
      </c>
      <c r="J1668" s="3">
        <v>46.15</v>
      </c>
      <c r="K1668" s="3">
        <v>45.2</v>
      </c>
      <c r="L1668" s="3">
        <v>1164.3214289078201</v>
      </c>
    </row>
    <row r="1669" spans="1:12" ht="15" customHeight="1" x14ac:dyDescent="0.2">
      <c r="A1669" s="2">
        <v>43629</v>
      </c>
      <c r="B1669" s="3">
        <v>45.55</v>
      </c>
      <c r="C1669" s="1">
        <v>711736</v>
      </c>
      <c r="D1669" s="3">
        <v>0.209999999999993</v>
      </c>
      <c r="E1669" s="3">
        <v>0.46316718129686402</v>
      </c>
      <c r="F1669" s="3">
        <v>0.46316097633289899</v>
      </c>
      <c r="G1669" s="3">
        <v>51.557648</v>
      </c>
      <c r="H1669" s="3">
        <v>1336.7520209496599</v>
      </c>
      <c r="I1669" s="3">
        <v>45.22</v>
      </c>
      <c r="J1669" s="3">
        <v>46</v>
      </c>
      <c r="K1669" s="3">
        <v>45.22</v>
      </c>
      <c r="L1669" s="3">
        <v>1169.3374716057101</v>
      </c>
    </row>
    <row r="1670" spans="1:12" ht="15" customHeight="1" x14ac:dyDescent="0.2">
      <c r="A1670" s="2">
        <v>43628</v>
      </c>
      <c r="B1670" s="3">
        <v>45.34</v>
      </c>
      <c r="C1670" s="1">
        <v>515797</v>
      </c>
      <c r="D1670" s="3">
        <v>-0.29999999999999699</v>
      </c>
      <c r="E1670" s="3">
        <v>-0.65731814198071103</v>
      </c>
      <c r="F1670" s="3">
        <v>-0.65731543769667</v>
      </c>
      <c r="G1670" s="3">
        <v>51.319954000000003</v>
      </c>
      <c r="H1670" s="3">
        <v>1330.12822509948</v>
      </c>
      <c r="I1670" s="3">
        <v>45.64</v>
      </c>
      <c r="J1670" s="3">
        <v>45.93</v>
      </c>
      <c r="K1670" s="3">
        <v>45.05</v>
      </c>
      <c r="L1670" s="3">
        <v>1163.4854217914999</v>
      </c>
    </row>
    <row r="1671" spans="1:12" ht="15" customHeight="1" x14ac:dyDescent="0.2">
      <c r="A1671" s="2">
        <v>43627</v>
      </c>
      <c r="B1671" s="3">
        <v>45.64</v>
      </c>
      <c r="C1671" s="1">
        <v>567602</v>
      </c>
      <c r="D1671" s="3">
        <v>0.630000000000002</v>
      </c>
      <c r="E1671" s="3">
        <v>1.3996889580093199</v>
      </c>
      <c r="F1671" s="3">
        <v>1.39969386665121</v>
      </c>
      <c r="G1671" s="3">
        <v>51.659520000000001</v>
      </c>
      <c r="H1671" s="3">
        <v>1339.5908781814401</v>
      </c>
      <c r="I1671" s="3">
        <v>45.31</v>
      </c>
      <c r="J1671" s="3">
        <v>45.87</v>
      </c>
      <c r="K1671" s="3">
        <v>45.31</v>
      </c>
      <c r="L1671" s="3">
        <v>1171.8454929546599</v>
      </c>
    </row>
    <row r="1672" spans="1:12" ht="15" customHeight="1" x14ac:dyDescent="0.2">
      <c r="A1672" s="2">
        <v>43626</v>
      </c>
      <c r="B1672" s="3">
        <v>45.01</v>
      </c>
      <c r="C1672" s="1">
        <v>537691</v>
      </c>
      <c r="D1672" s="3">
        <v>0.50999999999999801</v>
      </c>
      <c r="E1672" s="3">
        <v>1.1460674157303301</v>
      </c>
      <c r="F1672" s="3">
        <v>1.14606230113329</v>
      </c>
      <c r="G1672" s="3">
        <v>50.946426000000002</v>
      </c>
      <c r="H1672" s="3">
        <v>1319.71915622804</v>
      </c>
      <c r="I1672" s="3">
        <v>44.63</v>
      </c>
      <c r="J1672" s="3">
        <v>45.585000000000001</v>
      </c>
      <c r="K1672" s="3">
        <v>44.606200000000001</v>
      </c>
      <c r="L1672" s="3">
        <v>1154.28934351203</v>
      </c>
    </row>
    <row r="1673" spans="1:12" ht="15" customHeight="1" x14ac:dyDescent="0.2">
      <c r="A1673" s="2">
        <v>43623</v>
      </c>
      <c r="B1673" s="3">
        <v>44.5</v>
      </c>
      <c r="C1673" s="1">
        <v>421806</v>
      </c>
      <c r="D1673" s="3">
        <v>-0.25999999999999801</v>
      </c>
      <c r="E1673" s="3">
        <v>-0.58087578194816403</v>
      </c>
      <c r="F1673" s="3">
        <v>-0.58086843352087503</v>
      </c>
      <c r="G1673" s="3">
        <v>50.369163999999998</v>
      </c>
      <c r="H1673" s="3">
        <v>1303.6326515620899</v>
      </c>
      <c r="I1673" s="3">
        <v>44.76</v>
      </c>
      <c r="J1673" s="3">
        <v>45.175699999999999</v>
      </c>
      <c r="K1673" s="3">
        <v>44.45</v>
      </c>
      <c r="L1673" s="3">
        <v>1140.07722253467</v>
      </c>
    </row>
    <row r="1674" spans="1:12" ht="15" customHeight="1" x14ac:dyDescent="0.2">
      <c r="A1674" s="2">
        <v>43622</v>
      </c>
      <c r="B1674" s="3">
        <v>44.76</v>
      </c>
      <c r="C1674" s="1">
        <v>605127</v>
      </c>
      <c r="D1674" s="3">
        <v>0.369999999999997</v>
      </c>
      <c r="E1674" s="3">
        <v>0.83352106330254405</v>
      </c>
      <c r="F1674" s="3">
        <v>0.83351351833318399</v>
      </c>
      <c r="G1674" s="3">
        <v>50.663451999999999</v>
      </c>
      <c r="H1674" s="3">
        <v>1311.8335469702999</v>
      </c>
      <c r="I1674" s="3">
        <v>44.24</v>
      </c>
      <c r="J1674" s="3">
        <v>44.975000000000001</v>
      </c>
      <c r="K1674" s="3">
        <v>43.92</v>
      </c>
      <c r="L1674" s="3">
        <v>1147.3226175427301</v>
      </c>
    </row>
    <row r="1675" spans="1:12" ht="15" customHeight="1" x14ac:dyDescent="0.2">
      <c r="A1675" s="2">
        <v>43621</v>
      </c>
      <c r="B1675" s="3">
        <v>44.39</v>
      </c>
      <c r="C1675" s="1">
        <v>608363</v>
      </c>
      <c r="D1675" s="3">
        <v>-0.880000000000002</v>
      </c>
      <c r="E1675" s="3">
        <v>-1.9438922023415099</v>
      </c>
      <c r="F1675" s="3">
        <v>-1.9438914987923701</v>
      </c>
      <c r="G1675" s="3">
        <v>50.244655999999999</v>
      </c>
      <c r="H1675" s="3">
        <v>1300.1629990941501</v>
      </c>
      <c r="I1675" s="3">
        <v>45.49</v>
      </c>
      <c r="J1675" s="3">
        <v>45.49</v>
      </c>
      <c r="K1675" s="3">
        <v>44.28</v>
      </c>
      <c r="L1675" s="3">
        <v>1137.01186310818</v>
      </c>
    </row>
    <row r="1676" spans="1:12" ht="15" customHeight="1" x14ac:dyDescent="0.2">
      <c r="A1676" s="2">
        <v>43620</v>
      </c>
      <c r="B1676" s="3">
        <v>45.27</v>
      </c>
      <c r="C1676" s="1">
        <v>567211</v>
      </c>
      <c r="D1676" s="3">
        <v>1.38</v>
      </c>
      <c r="E1676" s="3">
        <v>3.14422419685578</v>
      </c>
      <c r="F1676" s="3">
        <v>3.1442303842569701</v>
      </c>
      <c r="G1676" s="3">
        <v>51.240720000000003</v>
      </c>
      <c r="H1676" s="3">
        <v>1327.9202188376801</v>
      </c>
      <c r="I1676" s="3">
        <v>44.15</v>
      </c>
      <c r="J1676" s="3">
        <v>45.365000000000002</v>
      </c>
      <c r="K1676" s="3">
        <v>44.15</v>
      </c>
      <c r="L1676" s="3">
        <v>1161.5347385201001</v>
      </c>
    </row>
    <row r="1677" spans="1:12" ht="15" customHeight="1" x14ac:dyDescent="0.2">
      <c r="A1677" s="2">
        <v>43619</v>
      </c>
      <c r="B1677" s="3">
        <v>43.89</v>
      </c>
      <c r="C1677" s="1">
        <v>778709</v>
      </c>
      <c r="D1677" s="3">
        <v>0.64</v>
      </c>
      <c r="E1677" s="3">
        <v>1.47976878612716</v>
      </c>
      <c r="F1677" s="3">
        <v>1.47976173696693</v>
      </c>
      <c r="G1677" s="3">
        <v>49.678707000000003</v>
      </c>
      <c r="H1677" s="3">
        <v>1284.3917527117701</v>
      </c>
      <c r="I1677" s="3">
        <v>43.09</v>
      </c>
      <c r="J1677" s="3">
        <v>44.03</v>
      </c>
      <c r="K1677" s="3">
        <v>42.78</v>
      </c>
      <c r="L1677" s="3">
        <v>1123.07841116959</v>
      </c>
    </row>
    <row r="1678" spans="1:12" ht="15" customHeight="1" x14ac:dyDescent="0.2">
      <c r="A1678" s="2">
        <v>43616</v>
      </c>
      <c r="B1678" s="3">
        <v>43.25</v>
      </c>
      <c r="C1678" s="1">
        <v>762286</v>
      </c>
      <c r="D1678" s="3">
        <v>-0.71999999999999797</v>
      </c>
      <c r="E1678" s="3">
        <v>-1.63748010006822</v>
      </c>
      <c r="F1678" s="3">
        <v>-1.6374766271389201</v>
      </c>
      <c r="G1678" s="3">
        <v>48.954300000000003</v>
      </c>
      <c r="H1678" s="3">
        <v>1264.2047724748099</v>
      </c>
      <c r="I1678" s="3">
        <v>43.57</v>
      </c>
      <c r="J1678" s="3">
        <v>43.7</v>
      </c>
      <c r="K1678" s="3">
        <v>42.99</v>
      </c>
      <c r="L1678" s="3">
        <v>1105.2435926881899</v>
      </c>
    </row>
    <row r="1679" spans="1:12" ht="15" customHeight="1" x14ac:dyDescent="0.2">
      <c r="A1679" s="2">
        <v>43615</v>
      </c>
      <c r="B1679" s="3">
        <v>43.97</v>
      </c>
      <c r="C1679" s="1">
        <v>850509</v>
      </c>
      <c r="D1679" s="3">
        <v>0.51999999999999602</v>
      </c>
      <c r="E1679" s="3">
        <v>1.1967779056386501</v>
      </c>
      <c r="F1679" s="3">
        <v>1.1967707644546499</v>
      </c>
      <c r="G1679" s="3">
        <v>49.769260000000003</v>
      </c>
      <c r="H1679" s="3">
        <v>1286.9151844585599</v>
      </c>
      <c r="I1679" s="3">
        <v>43.46</v>
      </c>
      <c r="J1679" s="3">
        <v>44.265000000000001</v>
      </c>
      <c r="K1679" s="3">
        <v>43.43</v>
      </c>
      <c r="L1679" s="3">
        <v>1125.3077634797601</v>
      </c>
    </row>
    <row r="1680" spans="1:12" ht="15" customHeight="1" x14ac:dyDescent="0.2">
      <c r="A1680" s="2">
        <v>43614</v>
      </c>
      <c r="B1680" s="3">
        <v>43.45</v>
      </c>
      <c r="C1680" s="1">
        <v>877218</v>
      </c>
      <c r="D1680" s="3">
        <v>-1.02999999999999</v>
      </c>
      <c r="E1680" s="3">
        <v>-2.31564748201437</v>
      </c>
      <c r="F1680" s="3">
        <v>-2.31563756647106</v>
      </c>
      <c r="G1680" s="3">
        <v>49.180680000000002</v>
      </c>
      <c r="H1680" s="3">
        <v>1270.5132821745201</v>
      </c>
      <c r="I1680" s="3">
        <v>44.42</v>
      </c>
      <c r="J1680" s="3">
        <v>44.71</v>
      </c>
      <c r="K1680" s="3">
        <v>43.21</v>
      </c>
      <c r="L1680" s="3">
        <v>1110.8169734636199</v>
      </c>
    </row>
    <row r="1681" spans="1:12" ht="15" customHeight="1" x14ac:dyDescent="0.2">
      <c r="A1681" s="2">
        <v>43613</v>
      </c>
      <c r="B1681" s="3">
        <v>44.48</v>
      </c>
      <c r="C1681" s="1">
        <v>1178705</v>
      </c>
      <c r="D1681" s="3">
        <v>-0.34000000000000302</v>
      </c>
      <c r="E1681" s="3">
        <v>-0.75858991521643404</v>
      </c>
      <c r="F1681" s="3">
        <v>-0.75859768817597695</v>
      </c>
      <c r="G1681" s="3">
        <v>50.346522999999998</v>
      </c>
      <c r="H1681" s="3">
        <v>1303.0017169914099</v>
      </c>
      <c r="I1681" s="3">
        <v>44.95</v>
      </c>
      <c r="J1681" s="3">
        <v>45.41</v>
      </c>
      <c r="K1681" s="3">
        <v>44.134999999999998</v>
      </c>
      <c r="L1681" s="3">
        <v>1139.51988445712</v>
      </c>
    </row>
    <row r="1682" spans="1:12" ht="15" customHeight="1" x14ac:dyDescent="0.2">
      <c r="A1682" s="2">
        <v>43609</v>
      </c>
      <c r="B1682" s="3">
        <v>44.82</v>
      </c>
      <c r="C1682" s="1">
        <v>1140924</v>
      </c>
      <c r="D1682" s="3">
        <v>-1</v>
      </c>
      <c r="E1682" s="3">
        <v>-2.1824530772588302</v>
      </c>
      <c r="F1682" s="3">
        <v>-2.1824505439881601</v>
      </c>
      <c r="G1682" s="3">
        <v>50.731369999999998</v>
      </c>
      <c r="H1682" s="3">
        <v>1313.72621134783</v>
      </c>
      <c r="I1682" s="3">
        <v>46.04</v>
      </c>
      <c r="J1682" s="3">
        <v>46.06</v>
      </c>
      <c r="K1682" s="3">
        <v>44.34</v>
      </c>
      <c r="L1682" s="3">
        <v>1148.99463177537</v>
      </c>
    </row>
    <row r="1683" spans="1:12" ht="15" customHeight="1" x14ac:dyDescent="0.2">
      <c r="A1683" s="2">
        <v>43608</v>
      </c>
      <c r="B1683" s="3">
        <v>45.82</v>
      </c>
      <c r="C1683" s="1">
        <v>843482</v>
      </c>
      <c r="D1683" s="3">
        <v>-2.35</v>
      </c>
      <c r="E1683" s="3">
        <v>-4.8785551172929198</v>
      </c>
      <c r="F1683" s="3">
        <v>-4.8785471138891401</v>
      </c>
      <c r="G1683" s="3">
        <v>51.863259999999997</v>
      </c>
      <c r="H1683" s="3">
        <v>1345.26848117738</v>
      </c>
      <c r="I1683" s="3">
        <v>47.8</v>
      </c>
      <c r="J1683" s="3">
        <v>48</v>
      </c>
      <c r="K1683" s="3">
        <v>45.7</v>
      </c>
      <c r="L1683" s="3">
        <v>1176.8615356525499</v>
      </c>
    </row>
    <row r="1684" spans="1:12" ht="15" customHeight="1" x14ac:dyDescent="0.2">
      <c r="A1684" s="2">
        <v>43607</v>
      </c>
      <c r="B1684" s="3">
        <v>48.17</v>
      </c>
      <c r="C1684" s="1">
        <v>389320</v>
      </c>
      <c r="D1684" s="3">
        <v>-4.9999999999997102E-2</v>
      </c>
      <c r="E1684" s="3">
        <v>-0.103691414350881</v>
      </c>
      <c r="F1684" s="3">
        <v>-0.103701369371078</v>
      </c>
      <c r="G1684" s="3">
        <v>54.523200000000003</v>
      </c>
      <c r="H1684" s="3">
        <v>1419.39277347645</v>
      </c>
      <c r="I1684" s="3">
        <v>48.18</v>
      </c>
      <c r="J1684" s="3">
        <v>48.4405</v>
      </c>
      <c r="K1684" s="3">
        <v>47.78</v>
      </c>
      <c r="L1684" s="3">
        <v>1242.34875976393</v>
      </c>
    </row>
    <row r="1685" spans="1:12" ht="15" customHeight="1" x14ac:dyDescent="0.2">
      <c r="A1685" s="2">
        <v>43606</v>
      </c>
      <c r="B1685" s="3">
        <v>48.22</v>
      </c>
      <c r="C1685" s="1">
        <v>448533</v>
      </c>
      <c r="D1685" s="3">
        <v>0.25999999999999801</v>
      </c>
      <c r="E1685" s="3">
        <v>0.54211843202669396</v>
      </c>
      <c r="F1685" s="3">
        <v>0.54212075425581396</v>
      </c>
      <c r="G1685" s="3">
        <v>54.579799999999999</v>
      </c>
      <c r="H1685" s="3">
        <v>1420.9700402358999</v>
      </c>
      <c r="I1685" s="3">
        <v>48.06</v>
      </c>
      <c r="J1685" s="3">
        <v>48.69</v>
      </c>
      <c r="K1685" s="3">
        <v>48.01</v>
      </c>
      <c r="L1685" s="3">
        <v>1243.7421049577899</v>
      </c>
    </row>
    <row r="1686" spans="1:12" ht="15" customHeight="1" x14ac:dyDescent="0.2">
      <c r="A1686" s="2">
        <v>43605</v>
      </c>
      <c r="B1686" s="3">
        <v>47.96</v>
      </c>
      <c r="C1686" s="1">
        <v>622761</v>
      </c>
      <c r="D1686" s="3">
        <v>-7.9999999999998295E-2</v>
      </c>
      <c r="E1686" s="3">
        <v>-0.166527893422141</v>
      </c>
      <c r="F1686" s="3">
        <v>-0.16653100647601099</v>
      </c>
      <c r="G1686" s="3">
        <v>54.285507000000003</v>
      </c>
      <c r="H1686" s="3">
        <v>1412.76900549317</v>
      </c>
      <c r="I1686" s="3">
        <v>47.84</v>
      </c>
      <c r="J1686" s="3">
        <v>48.15</v>
      </c>
      <c r="K1686" s="3">
        <v>47.48</v>
      </c>
      <c r="L1686" s="3">
        <v>1236.4967099497201</v>
      </c>
    </row>
    <row r="1687" spans="1:12" ht="15" customHeight="1" x14ac:dyDescent="0.2">
      <c r="A1687" s="2">
        <v>43602</v>
      </c>
      <c r="B1687" s="3">
        <v>48.04</v>
      </c>
      <c r="C1687" s="1">
        <v>675603</v>
      </c>
      <c r="D1687" s="3">
        <v>0.65999999999999603</v>
      </c>
      <c r="E1687" s="3">
        <v>1.39299282397635</v>
      </c>
      <c r="F1687" s="3">
        <v>1.3929903949565501</v>
      </c>
      <c r="G1687" s="3">
        <v>54.376060000000003</v>
      </c>
      <c r="H1687" s="3">
        <v>1415.29243723997</v>
      </c>
      <c r="I1687" s="3">
        <v>47.2</v>
      </c>
      <c r="J1687" s="3">
        <v>48.31</v>
      </c>
      <c r="K1687" s="3">
        <v>46.85</v>
      </c>
      <c r="L1687" s="3">
        <v>1238.7260622598999</v>
      </c>
    </row>
    <row r="1688" spans="1:12" ht="15" customHeight="1" x14ac:dyDescent="0.2">
      <c r="A1688" s="2">
        <v>43601</v>
      </c>
      <c r="B1688" s="3">
        <v>47.38</v>
      </c>
      <c r="C1688" s="1">
        <v>720827</v>
      </c>
      <c r="D1688" s="3">
        <v>0.15000000000000499</v>
      </c>
      <c r="E1688" s="3">
        <v>0.317594749100158</v>
      </c>
      <c r="F1688" s="3">
        <v>0.31760280849562</v>
      </c>
      <c r="G1688" s="3">
        <v>53.629013</v>
      </c>
      <c r="H1688" s="3">
        <v>1394.47455029923</v>
      </c>
      <c r="I1688" s="3">
        <v>47.25</v>
      </c>
      <c r="J1688" s="3">
        <v>48.35</v>
      </c>
      <c r="K1688" s="3">
        <v>47.12</v>
      </c>
      <c r="L1688" s="3">
        <v>1220.33390570096</v>
      </c>
    </row>
    <row r="1689" spans="1:12" ht="15" customHeight="1" x14ac:dyDescent="0.2">
      <c r="A1689" s="2">
        <v>43600</v>
      </c>
      <c r="B1689" s="3">
        <v>47.23</v>
      </c>
      <c r="C1689" s="1">
        <v>611153</v>
      </c>
      <c r="D1689" s="3">
        <v>-0.55000000000000404</v>
      </c>
      <c r="E1689" s="3">
        <v>-1.15110925073252</v>
      </c>
      <c r="F1689" s="3">
        <v>-0.46044137068516</v>
      </c>
      <c r="G1689" s="3">
        <v>53.459225000000004</v>
      </c>
      <c r="H1689" s="3">
        <v>1389.7430844237299</v>
      </c>
      <c r="I1689" s="3">
        <v>47.32</v>
      </c>
      <c r="J1689" s="3">
        <v>47.83</v>
      </c>
      <c r="K1689" s="3">
        <v>46.92</v>
      </c>
      <c r="L1689" s="3">
        <v>1216.1538701193799</v>
      </c>
    </row>
    <row r="1690" spans="1:12" ht="15" customHeight="1" x14ac:dyDescent="0.2">
      <c r="A1690" s="2">
        <v>43599</v>
      </c>
      <c r="B1690" s="3">
        <v>47.78</v>
      </c>
      <c r="C1690" s="1">
        <v>579428</v>
      </c>
      <c r="D1690" s="3">
        <v>0.32999999999999802</v>
      </c>
      <c r="E1690" s="3">
        <v>0.695468914647001</v>
      </c>
      <c r="F1690" s="3">
        <v>0.69546253952075199</v>
      </c>
      <c r="G1690" s="3">
        <v>53.706511999999996</v>
      </c>
      <c r="H1690" s="3">
        <v>1396.6342074828001</v>
      </c>
      <c r="I1690" s="3">
        <v>47.8</v>
      </c>
      <c r="J1690" s="3">
        <v>48.125</v>
      </c>
      <c r="K1690" s="3">
        <v>47.49</v>
      </c>
      <c r="L1690" s="3">
        <v>1231.48066725183</v>
      </c>
    </row>
    <row r="1691" spans="1:12" ht="15" customHeight="1" x14ac:dyDescent="0.2">
      <c r="A1691" s="2">
        <v>43598</v>
      </c>
      <c r="B1691" s="3">
        <v>47.45</v>
      </c>
      <c r="C1691" s="1">
        <v>849196</v>
      </c>
      <c r="D1691" s="3">
        <v>-0.32</v>
      </c>
      <c r="E1691" s="3">
        <v>-0.669876491521881</v>
      </c>
      <c r="F1691" s="3">
        <v>-0.66987459641233404</v>
      </c>
      <c r="G1691" s="3">
        <v>53.335583</v>
      </c>
      <c r="H1691" s="3">
        <v>1386.2975646945499</v>
      </c>
      <c r="I1691" s="3">
        <v>47.18</v>
      </c>
      <c r="J1691" s="3">
        <v>47.76</v>
      </c>
      <c r="K1691" s="3">
        <v>47</v>
      </c>
      <c r="L1691" s="3">
        <v>1222.2845889723601</v>
      </c>
    </row>
    <row r="1692" spans="1:12" ht="15" customHeight="1" x14ac:dyDescent="0.2">
      <c r="A1692" s="2">
        <v>43595</v>
      </c>
      <c r="B1692" s="3">
        <v>47.77</v>
      </c>
      <c r="C1692" s="1">
        <v>625624</v>
      </c>
      <c r="D1692" s="3">
        <v>6.0000000000002197E-2</v>
      </c>
      <c r="E1692" s="3">
        <v>0.12575979878433</v>
      </c>
      <c r="F1692" s="3">
        <v>0.12576305996343501</v>
      </c>
      <c r="G1692" s="3">
        <v>53.695273999999998</v>
      </c>
      <c r="H1692" s="3">
        <v>1396.3210392170299</v>
      </c>
      <c r="I1692" s="3">
        <v>47.57</v>
      </c>
      <c r="J1692" s="3">
        <v>47.98</v>
      </c>
      <c r="K1692" s="3">
        <v>47.414999999999999</v>
      </c>
      <c r="L1692" s="3">
        <v>1231.2019982130601</v>
      </c>
    </row>
    <row r="1693" spans="1:12" ht="15" customHeight="1" x14ac:dyDescent="0.2">
      <c r="A1693" s="2">
        <v>43594</v>
      </c>
      <c r="B1693" s="3">
        <v>47.71</v>
      </c>
      <c r="C1693" s="1">
        <v>979703</v>
      </c>
      <c r="D1693" s="3">
        <v>0.149999999999998</v>
      </c>
      <c r="E1693" s="3">
        <v>0.31539108494533702</v>
      </c>
      <c r="F1693" s="3">
        <v>0.31538052456050403</v>
      </c>
      <c r="G1693" s="3">
        <v>53.627830000000003</v>
      </c>
      <c r="H1693" s="3">
        <v>1394.44158375194</v>
      </c>
      <c r="I1693" s="3">
        <v>47.27</v>
      </c>
      <c r="J1693" s="3">
        <v>47.89</v>
      </c>
      <c r="K1693" s="3">
        <v>46.75</v>
      </c>
      <c r="L1693" s="3">
        <v>1229.52998398043</v>
      </c>
    </row>
    <row r="1694" spans="1:12" ht="15" customHeight="1" x14ac:dyDescent="0.2">
      <c r="A1694" s="2">
        <v>43593</v>
      </c>
      <c r="B1694" s="3">
        <v>47.56</v>
      </c>
      <c r="C1694" s="1">
        <v>1178459</v>
      </c>
      <c r="D1694" s="3">
        <v>-0.57999999999999796</v>
      </c>
      <c r="E1694" s="3">
        <v>-1.2048192771084201</v>
      </c>
      <c r="F1694" s="3">
        <v>-1.20481228570042</v>
      </c>
      <c r="G1694" s="3">
        <v>53.459229999999998</v>
      </c>
      <c r="H1694" s="3">
        <v>1389.74322375825</v>
      </c>
      <c r="I1694" s="3">
        <v>48.04</v>
      </c>
      <c r="J1694" s="3">
        <v>48.45</v>
      </c>
      <c r="K1694" s="3">
        <v>47.07</v>
      </c>
      <c r="L1694" s="3">
        <v>1225.3499483988501</v>
      </c>
    </row>
    <row r="1695" spans="1:12" ht="15" customHeight="1" x14ac:dyDescent="0.2">
      <c r="A1695" s="2">
        <v>43592</v>
      </c>
      <c r="B1695" s="3">
        <v>48.14</v>
      </c>
      <c r="C1695" s="1">
        <v>929514</v>
      </c>
      <c r="D1695" s="3">
        <v>-1.53999999999999</v>
      </c>
      <c r="E1695" s="3">
        <v>-3.0998389694041801</v>
      </c>
      <c r="F1695" s="3">
        <v>-3.09983925056228</v>
      </c>
      <c r="G1695" s="3">
        <v>54.111167999999999</v>
      </c>
      <c r="H1695" s="3">
        <v>1407.9107173381301</v>
      </c>
      <c r="I1695" s="3">
        <v>49.45</v>
      </c>
      <c r="J1695" s="3">
        <v>49.58</v>
      </c>
      <c r="K1695" s="3">
        <v>47.765000000000001</v>
      </c>
      <c r="L1695" s="3">
        <v>1241.5127526476199</v>
      </c>
    </row>
    <row r="1696" spans="1:12" ht="15" customHeight="1" x14ac:dyDescent="0.2">
      <c r="A1696" s="2">
        <v>43591</v>
      </c>
      <c r="B1696" s="3">
        <v>49.68</v>
      </c>
      <c r="C1696" s="1">
        <v>825671</v>
      </c>
      <c r="D1696" s="3">
        <v>-0.32999999999999802</v>
      </c>
      <c r="E1696" s="3">
        <v>-0.65986802639471598</v>
      </c>
      <c r="F1696" s="3">
        <v>-0.65986379406542905</v>
      </c>
      <c r="G1696" s="3">
        <v>55.842185999999998</v>
      </c>
      <c r="H1696" s="3">
        <v>1456.1488295538099</v>
      </c>
      <c r="I1696" s="3">
        <v>49.5</v>
      </c>
      <c r="J1696" s="3">
        <v>50.42</v>
      </c>
      <c r="K1696" s="3">
        <v>48.69</v>
      </c>
      <c r="L1696" s="3">
        <v>1284.42778461848</v>
      </c>
    </row>
    <row r="1697" spans="1:12" ht="15" customHeight="1" x14ac:dyDescent="0.2">
      <c r="A1697" s="2">
        <v>43588</v>
      </c>
      <c r="B1697" s="3">
        <v>50.01</v>
      </c>
      <c r="C1697" s="1">
        <v>858041</v>
      </c>
      <c r="D1697" s="3">
        <v>-8.00000000000054E-2</v>
      </c>
      <c r="E1697" s="3">
        <v>-0.15971251746856799</v>
      </c>
      <c r="F1697" s="3">
        <v>-0.15971428896202</v>
      </c>
      <c r="G1697" s="3">
        <v>56.213115999999999</v>
      </c>
      <c r="H1697" s="3">
        <v>1466.4855002089701</v>
      </c>
      <c r="I1697" s="3">
        <v>50.06</v>
      </c>
      <c r="J1697" s="3">
        <v>50.734999999999999</v>
      </c>
      <c r="K1697" s="3">
        <v>49.38</v>
      </c>
      <c r="L1697" s="3">
        <v>1293.6238628979499</v>
      </c>
    </row>
    <row r="1698" spans="1:12" ht="15" customHeight="1" x14ac:dyDescent="0.2">
      <c r="A1698" s="2">
        <v>43587</v>
      </c>
      <c r="B1698" s="3">
        <v>50.09</v>
      </c>
      <c r="C1698" s="1">
        <v>1988920</v>
      </c>
      <c r="D1698" s="3">
        <v>1.05</v>
      </c>
      <c r="E1698" s="3">
        <v>2.1411092985318101</v>
      </c>
      <c r="F1698" s="3">
        <v>2.1411048345999402</v>
      </c>
      <c r="G1698" s="3">
        <v>56.303040000000003</v>
      </c>
      <c r="H1698" s="3">
        <v>1468.99140367322</v>
      </c>
      <c r="I1698" s="3">
        <v>51.15</v>
      </c>
      <c r="J1698" s="3">
        <v>51.15</v>
      </c>
      <c r="K1698" s="3">
        <v>48.22</v>
      </c>
      <c r="L1698" s="3">
        <v>1295.85321520812</v>
      </c>
    </row>
    <row r="1699" spans="1:12" ht="15" customHeight="1" x14ac:dyDescent="0.2">
      <c r="A1699" s="2">
        <v>43586</v>
      </c>
      <c r="B1699" s="3">
        <v>49.04</v>
      </c>
      <c r="C1699" s="1">
        <v>1297176</v>
      </c>
      <c r="D1699" s="3">
        <v>-0.57999999999999796</v>
      </c>
      <c r="E1699" s="3">
        <v>-1.1688835147118</v>
      </c>
      <c r="F1699" s="3">
        <v>-1.1688785579680501</v>
      </c>
      <c r="G1699" s="3">
        <v>55.122802999999998</v>
      </c>
      <c r="H1699" s="3">
        <v>1436.10185264193</v>
      </c>
      <c r="I1699" s="3">
        <v>49.73</v>
      </c>
      <c r="J1699" s="3">
        <v>49.895000000000003</v>
      </c>
      <c r="K1699" s="3">
        <v>48.92</v>
      </c>
      <c r="L1699" s="3">
        <v>1266.5929661370801</v>
      </c>
    </row>
    <row r="1700" spans="1:12" ht="15" customHeight="1" x14ac:dyDescent="0.2">
      <c r="A1700" s="2">
        <v>43585</v>
      </c>
      <c r="B1700" s="3">
        <v>49.62</v>
      </c>
      <c r="C1700" s="1">
        <v>1176243</v>
      </c>
      <c r="D1700" s="3">
        <v>-1.22</v>
      </c>
      <c r="E1700" s="3">
        <v>-2.3996852871754601</v>
      </c>
      <c r="F1700" s="3">
        <v>-2.39968907748161</v>
      </c>
      <c r="G1700" s="3">
        <v>55.774742000000003</v>
      </c>
      <c r="H1700" s="3">
        <v>1454.26937408871</v>
      </c>
      <c r="I1700" s="3">
        <v>50.95</v>
      </c>
      <c r="J1700" s="3">
        <v>51</v>
      </c>
      <c r="K1700" s="3">
        <v>48.53</v>
      </c>
      <c r="L1700" s="3">
        <v>1282.7557703858499</v>
      </c>
    </row>
    <row r="1701" spans="1:12" ht="15" customHeight="1" x14ac:dyDescent="0.2">
      <c r="A1701" s="2">
        <v>43584</v>
      </c>
      <c r="B1701" s="3">
        <v>50.84</v>
      </c>
      <c r="C1701" s="1">
        <v>854333</v>
      </c>
      <c r="D1701" s="3">
        <v>0.75</v>
      </c>
      <c r="E1701" s="3">
        <v>1.4973048512677101</v>
      </c>
      <c r="F1701" s="3">
        <v>1.4973081382461699</v>
      </c>
      <c r="G1701" s="3">
        <v>57.146070000000002</v>
      </c>
      <c r="H1701" s="3">
        <v>1492.4840396488</v>
      </c>
      <c r="I1701" s="3">
        <v>50.09</v>
      </c>
      <c r="J1701" s="3">
        <v>50.96</v>
      </c>
      <c r="K1701" s="3">
        <v>50.05</v>
      </c>
      <c r="L1701" s="3">
        <v>1316.7533931160101</v>
      </c>
    </row>
    <row r="1702" spans="1:12" ht="15" customHeight="1" x14ac:dyDescent="0.2">
      <c r="A1702" s="2">
        <v>43581</v>
      </c>
      <c r="B1702" s="3">
        <v>50.09</v>
      </c>
      <c r="C1702" s="1">
        <v>663422</v>
      </c>
      <c r="D1702" s="3">
        <v>0.83000000000000496</v>
      </c>
      <c r="E1702" s="3">
        <v>1.6849370686155201</v>
      </c>
      <c r="F1702" s="3">
        <v>1.6849404625280899</v>
      </c>
      <c r="G1702" s="3">
        <v>56.303040000000003</v>
      </c>
      <c r="H1702" s="3">
        <v>1468.99140367322</v>
      </c>
      <c r="I1702" s="3">
        <v>49.41</v>
      </c>
      <c r="J1702" s="3">
        <v>50.42</v>
      </c>
      <c r="K1702" s="3">
        <v>49.3</v>
      </c>
      <c r="L1702" s="3">
        <v>1295.85321520812</v>
      </c>
    </row>
    <row r="1703" spans="1:12" ht="15" customHeight="1" x14ac:dyDescent="0.2">
      <c r="A1703" s="2">
        <v>43580</v>
      </c>
      <c r="B1703" s="3">
        <v>49.26</v>
      </c>
      <c r="C1703" s="1">
        <v>647824</v>
      </c>
      <c r="D1703" s="3">
        <v>0.26999999999999602</v>
      </c>
      <c r="E1703" s="3">
        <v>0.55113288426209495</v>
      </c>
      <c r="F1703" s="3">
        <v>0.55112718054137699</v>
      </c>
      <c r="G1703" s="3">
        <v>55.370086999999998</v>
      </c>
      <c r="H1703" s="3">
        <v>1442.99289210029</v>
      </c>
      <c r="I1703" s="3">
        <v>49.03</v>
      </c>
      <c r="J1703" s="3">
        <v>49.7</v>
      </c>
      <c r="K1703" s="3">
        <v>48.59</v>
      </c>
      <c r="L1703" s="3">
        <v>1272.7236849900601</v>
      </c>
    </row>
    <row r="1704" spans="1:12" ht="15" customHeight="1" x14ac:dyDescent="0.2">
      <c r="A1704" s="2">
        <v>43579</v>
      </c>
      <c r="B1704" s="3">
        <v>48.99</v>
      </c>
      <c r="C1704" s="1">
        <v>408012</v>
      </c>
      <c r="D1704" s="3">
        <v>0.64999999999999802</v>
      </c>
      <c r="E1704" s="3">
        <v>1.34464211832849</v>
      </c>
      <c r="F1704" s="3">
        <v>1.3446413477508901</v>
      </c>
      <c r="G1704" s="3">
        <v>55.066600000000001</v>
      </c>
      <c r="H1704" s="3">
        <v>1434.5356490433201</v>
      </c>
      <c r="I1704" s="3">
        <v>48.61</v>
      </c>
      <c r="J1704" s="3">
        <v>49.44</v>
      </c>
      <c r="K1704" s="3">
        <v>48.59</v>
      </c>
      <c r="L1704" s="3">
        <v>1265.19962094322</v>
      </c>
    </row>
    <row r="1705" spans="1:12" ht="15" customHeight="1" x14ac:dyDescent="0.2">
      <c r="A1705" s="2">
        <v>43578</v>
      </c>
      <c r="B1705" s="3">
        <v>48.34</v>
      </c>
      <c r="C1705" s="1">
        <v>760732</v>
      </c>
      <c r="D1705" s="3">
        <v>0.70000000000000195</v>
      </c>
      <c r="E1705" s="3">
        <v>1.4693534844668299</v>
      </c>
      <c r="F1705" s="3">
        <v>1.4693529215683301</v>
      </c>
      <c r="G1705" s="3">
        <v>54.335976000000002</v>
      </c>
      <c r="H1705" s="3">
        <v>1414.1754202649499</v>
      </c>
      <c r="I1705" s="3">
        <v>47.77</v>
      </c>
      <c r="J1705" s="3">
        <v>48.73</v>
      </c>
      <c r="K1705" s="3">
        <v>47.77</v>
      </c>
      <c r="L1705" s="3">
        <v>1247.0861334230499</v>
      </c>
    </row>
    <row r="1706" spans="1:12" ht="15" customHeight="1" x14ac:dyDescent="0.2">
      <c r="A1706" s="2">
        <v>43577</v>
      </c>
      <c r="B1706" s="3">
        <v>47.64</v>
      </c>
      <c r="C1706" s="1">
        <v>666701</v>
      </c>
      <c r="D1706" s="3">
        <v>0.60999999999999899</v>
      </c>
      <c r="E1706" s="3">
        <v>1.2970444397193099</v>
      </c>
      <c r="F1706" s="3">
        <v>1.2970522581722199</v>
      </c>
      <c r="G1706" s="3">
        <v>53.549149999999997</v>
      </c>
      <c r="H1706" s="3">
        <v>1392.24901575488</v>
      </c>
      <c r="I1706" s="3">
        <v>46.86</v>
      </c>
      <c r="J1706" s="3">
        <v>47.73</v>
      </c>
      <c r="K1706" s="3">
        <v>46.86</v>
      </c>
      <c r="L1706" s="3">
        <v>1227.5793007090199</v>
      </c>
    </row>
    <row r="1707" spans="1:12" ht="15" customHeight="1" x14ac:dyDescent="0.2">
      <c r="A1707" s="2">
        <v>43573</v>
      </c>
      <c r="B1707" s="3">
        <v>47.03</v>
      </c>
      <c r="C1707" s="1">
        <v>764912</v>
      </c>
      <c r="D1707" s="3">
        <v>0.85999999999999899</v>
      </c>
      <c r="E1707" s="3">
        <v>1.86268139484513</v>
      </c>
      <c r="F1707" s="3">
        <v>1.8626789637868399</v>
      </c>
      <c r="G1707" s="3">
        <v>52.863483000000002</v>
      </c>
      <c r="H1707" s="3">
        <v>1373.14159937413</v>
      </c>
      <c r="I1707" s="3">
        <v>46.12</v>
      </c>
      <c r="J1707" s="3">
        <v>47.25</v>
      </c>
      <c r="K1707" s="3">
        <v>46.12</v>
      </c>
      <c r="L1707" s="3">
        <v>1210.5804893439399</v>
      </c>
    </row>
    <row r="1708" spans="1:12" ht="15" customHeight="1" x14ac:dyDescent="0.2">
      <c r="A1708" s="2">
        <v>43572</v>
      </c>
      <c r="B1708" s="3">
        <v>46.17</v>
      </c>
      <c r="C1708" s="1">
        <v>472311</v>
      </c>
      <c r="D1708" s="3">
        <v>-1.0599999999999901</v>
      </c>
      <c r="E1708" s="3">
        <v>-2.2443362269743701</v>
      </c>
      <c r="F1708" s="3">
        <v>-2.2443329781388699</v>
      </c>
      <c r="G1708" s="3">
        <v>51.896811999999997</v>
      </c>
      <c r="H1708" s="3">
        <v>1346.2034715362699</v>
      </c>
      <c r="I1708" s="3">
        <v>47.33</v>
      </c>
      <c r="J1708" s="3">
        <v>47.4</v>
      </c>
      <c r="K1708" s="3">
        <v>46.16</v>
      </c>
      <c r="L1708" s="3">
        <v>1186.6149520095601</v>
      </c>
    </row>
    <row r="1709" spans="1:12" ht="15" customHeight="1" x14ac:dyDescent="0.2">
      <c r="A1709" s="2">
        <v>43571</v>
      </c>
      <c r="B1709" s="3">
        <v>47.23</v>
      </c>
      <c r="C1709" s="1">
        <v>927454</v>
      </c>
      <c r="D1709" s="3">
        <v>-3.0000000000001099E-2</v>
      </c>
      <c r="E1709" s="3">
        <v>-6.3478628861624004E-2</v>
      </c>
      <c r="F1709" s="3">
        <v>-6.3482157575622797E-2</v>
      </c>
      <c r="G1709" s="3">
        <v>53.088290000000001</v>
      </c>
      <c r="H1709" s="3">
        <v>1379.4062744340399</v>
      </c>
      <c r="I1709" s="3">
        <v>47.46</v>
      </c>
      <c r="J1709" s="3">
        <v>47.46</v>
      </c>
      <c r="K1709" s="3">
        <v>46.42</v>
      </c>
      <c r="L1709" s="3">
        <v>1216.1538701193799</v>
      </c>
    </row>
    <row r="1710" spans="1:12" ht="15" customHeight="1" x14ac:dyDescent="0.2">
      <c r="A1710" s="2">
        <v>43570</v>
      </c>
      <c r="B1710" s="3">
        <v>47.26</v>
      </c>
      <c r="C1710" s="1">
        <v>702551</v>
      </c>
      <c r="D1710" s="3">
        <v>-0.37000000000000399</v>
      </c>
      <c r="E1710" s="3">
        <v>-0.77682133109385698</v>
      </c>
      <c r="F1710" s="3">
        <v>-0.776827111853994</v>
      </c>
      <c r="G1710" s="3">
        <v>53.122013000000003</v>
      </c>
      <c r="H1710" s="3">
        <v>1380.34603003349</v>
      </c>
      <c r="I1710" s="3">
        <v>47.75</v>
      </c>
      <c r="J1710" s="3">
        <v>48.16</v>
      </c>
      <c r="K1710" s="3">
        <v>47.25</v>
      </c>
      <c r="L1710" s="3">
        <v>1216.9898772356901</v>
      </c>
    </row>
    <row r="1711" spans="1:12" ht="15" customHeight="1" x14ac:dyDescent="0.2">
      <c r="A1711" s="2">
        <v>43567</v>
      </c>
      <c r="B1711" s="3">
        <v>47.63</v>
      </c>
      <c r="C1711" s="1">
        <v>557198</v>
      </c>
      <c r="D1711" s="3">
        <v>0.41000000000000297</v>
      </c>
      <c r="E1711" s="3">
        <v>0.86827615417197601</v>
      </c>
      <c r="F1711" s="3">
        <v>0.86827917895140305</v>
      </c>
      <c r="G1711" s="3">
        <v>53.537909999999997</v>
      </c>
      <c r="H1711" s="3">
        <v>1391.9357917553</v>
      </c>
      <c r="I1711" s="3">
        <v>47.3</v>
      </c>
      <c r="J1711" s="3">
        <v>47.75</v>
      </c>
      <c r="K1711" s="3">
        <v>47.15</v>
      </c>
      <c r="L1711" s="3">
        <v>1227.3006316702499</v>
      </c>
    </row>
    <row r="1712" spans="1:12" ht="15" customHeight="1" x14ac:dyDescent="0.2">
      <c r="A1712" s="2">
        <v>43566</v>
      </c>
      <c r="B1712" s="3">
        <v>47.22</v>
      </c>
      <c r="C1712" s="1">
        <v>851626</v>
      </c>
      <c r="D1712" s="3">
        <v>-0.73000000000000398</v>
      </c>
      <c r="E1712" s="3">
        <v>-1.5224191866527601</v>
      </c>
      <c r="F1712" s="3">
        <v>-1.52242209217396</v>
      </c>
      <c r="G1712" s="3">
        <v>53.077052999999999</v>
      </c>
      <c r="H1712" s="3">
        <v>1379.0931340351799</v>
      </c>
      <c r="I1712" s="3">
        <v>48.01</v>
      </c>
      <c r="J1712" s="3">
        <v>48.05</v>
      </c>
      <c r="K1712" s="3">
        <v>47.02</v>
      </c>
      <c r="L1712" s="3">
        <v>1215.8752010806099</v>
      </c>
    </row>
    <row r="1713" spans="1:12" ht="15" customHeight="1" x14ac:dyDescent="0.2">
      <c r="A1713" s="2">
        <v>43565</v>
      </c>
      <c r="B1713" s="3">
        <v>47.95</v>
      </c>
      <c r="C1713" s="1">
        <v>414351</v>
      </c>
      <c r="D1713" s="3">
        <v>0.27000000000000302</v>
      </c>
      <c r="E1713" s="3">
        <v>0.566275167785246</v>
      </c>
      <c r="F1713" s="3">
        <v>0.56627489228666605</v>
      </c>
      <c r="G1713" s="3">
        <v>53.897601999999999</v>
      </c>
      <c r="H1713" s="3">
        <v>1401.9592941446999</v>
      </c>
      <c r="I1713" s="3">
        <v>47.74</v>
      </c>
      <c r="J1713" s="3">
        <v>48.03</v>
      </c>
      <c r="K1713" s="3">
        <v>47.39</v>
      </c>
      <c r="L1713" s="3">
        <v>1236.2180409109501</v>
      </c>
    </row>
    <row r="1714" spans="1:12" ht="15" customHeight="1" x14ac:dyDescent="0.2">
      <c r="A1714" s="2">
        <v>43564</v>
      </c>
      <c r="B1714" s="3">
        <v>47.68</v>
      </c>
      <c r="C1714" s="1">
        <v>584817</v>
      </c>
      <c r="D1714" s="3">
        <v>-0.60000000000000098</v>
      </c>
      <c r="E1714" s="3">
        <v>-1.2427506213753099</v>
      </c>
      <c r="F1714" s="3">
        <v>-1.2427423407267399</v>
      </c>
      <c r="G1714" s="3">
        <v>53.594112000000003</v>
      </c>
      <c r="H1714" s="3">
        <v>1393.50196748701</v>
      </c>
      <c r="I1714" s="3">
        <v>48.01</v>
      </c>
      <c r="J1714" s="3">
        <v>48.11</v>
      </c>
      <c r="K1714" s="3">
        <v>47.39</v>
      </c>
      <c r="L1714" s="3">
        <v>1228.69397686411</v>
      </c>
    </row>
    <row r="1715" spans="1:12" ht="15" customHeight="1" x14ac:dyDescent="0.2">
      <c r="A1715" s="2">
        <v>43563</v>
      </c>
      <c r="B1715" s="3">
        <v>48.28</v>
      </c>
      <c r="C1715" s="1">
        <v>645654</v>
      </c>
      <c r="D1715" s="3">
        <v>-0.49000000000000199</v>
      </c>
      <c r="E1715" s="3">
        <v>-1.00471601394299</v>
      </c>
      <c r="F1715" s="3">
        <v>-1.0047243751485899</v>
      </c>
      <c r="G1715" s="3">
        <v>54.268529999999998</v>
      </c>
      <c r="H1715" s="3">
        <v>1412.2959090660499</v>
      </c>
      <c r="I1715" s="3">
        <v>48.82</v>
      </c>
      <c r="J1715" s="3">
        <v>49.18</v>
      </c>
      <c r="K1715" s="3">
        <v>48.19</v>
      </c>
      <c r="L1715" s="3">
        <v>1245.41411919042</v>
      </c>
    </row>
    <row r="1716" spans="1:12" ht="15" customHeight="1" x14ac:dyDescent="0.2">
      <c r="A1716" s="2">
        <v>43560</v>
      </c>
      <c r="B1716" s="3">
        <v>48.77</v>
      </c>
      <c r="C1716" s="1">
        <v>603490</v>
      </c>
      <c r="D1716" s="3">
        <v>0.36000000000000598</v>
      </c>
      <c r="E1716" s="3">
        <v>0.74364800661022001</v>
      </c>
      <c r="F1716" s="3">
        <v>0.743650727346301</v>
      </c>
      <c r="G1716" s="3">
        <v>54.819313000000001</v>
      </c>
      <c r="H1716" s="3">
        <v>1427.6445259842401</v>
      </c>
      <c r="I1716" s="3">
        <v>48.57</v>
      </c>
      <c r="J1716" s="3">
        <v>49.15</v>
      </c>
      <c r="K1716" s="3">
        <v>48.28</v>
      </c>
      <c r="L1716" s="3">
        <v>1259.06890209024</v>
      </c>
    </row>
    <row r="1717" spans="1:12" ht="15" customHeight="1" x14ac:dyDescent="0.2">
      <c r="A1717" s="2">
        <v>43559</v>
      </c>
      <c r="B1717" s="3">
        <v>48.41</v>
      </c>
      <c r="C1717" s="1">
        <v>625289</v>
      </c>
      <c r="D1717" s="3">
        <v>0.51999999999999602</v>
      </c>
      <c r="E1717" s="3">
        <v>1.0858216746711</v>
      </c>
      <c r="F1717" s="3">
        <v>1.08581880492275</v>
      </c>
      <c r="G1717" s="3">
        <v>54.414658000000003</v>
      </c>
      <c r="H1717" s="3">
        <v>1416.36804399582</v>
      </c>
      <c r="I1717" s="3">
        <v>47.94</v>
      </c>
      <c r="J1717" s="3">
        <v>48.46</v>
      </c>
      <c r="K1717" s="3">
        <v>47.42</v>
      </c>
      <c r="L1717" s="3">
        <v>1249.03681669446</v>
      </c>
    </row>
    <row r="1718" spans="1:12" ht="15" customHeight="1" x14ac:dyDescent="0.2">
      <c r="A1718" s="2">
        <v>43558</v>
      </c>
      <c r="B1718" s="3">
        <v>47.89</v>
      </c>
      <c r="C1718" s="1">
        <v>587979</v>
      </c>
      <c r="D1718" s="3">
        <v>-0.310000000000002</v>
      </c>
      <c r="E1718" s="3">
        <v>-0.64315352697096295</v>
      </c>
      <c r="F1718" s="3">
        <v>-0.64315049795481405</v>
      </c>
      <c r="G1718" s="3">
        <v>53.830159999999999</v>
      </c>
      <c r="H1718" s="3">
        <v>1400.0798944134101</v>
      </c>
      <c r="I1718" s="3">
        <v>48.58</v>
      </c>
      <c r="J1718" s="3">
        <v>48.805</v>
      </c>
      <c r="K1718" s="3">
        <v>47.67</v>
      </c>
      <c r="L1718" s="3">
        <v>1234.54602667832</v>
      </c>
    </row>
    <row r="1719" spans="1:12" ht="15" customHeight="1" x14ac:dyDescent="0.2">
      <c r="A1719" s="2">
        <v>43557</v>
      </c>
      <c r="B1719" s="3">
        <v>48.2</v>
      </c>
      <c r="C1719" s="1">
        <v>751488</v>
      </c>
      <c r="D1719" s="3">
        <v>-0.39</v>
      </c>
      <c r="E1719" s="3">
        <v>-0.80263428689030203</v>
      </c>
      <c r="F1719" s="3">
        <v>-0.80263493123979801</v>
      </c>
      <c r="G1719" s="3">
        <v>54.178609999999999</v>
      </c>
      <c r="H1719" s="3">
        <v>1409.7901170694199</v>
      </c>
      <c r="I1719" s="3">
        <v>48.65</v>
      </c>
      <c r="J1719" s="3">
        <v>48.65</v>
      </c>
      <c r="K1719" s="3">
        <v>47.72</v>
      </c>
      <c r="L1719" s="3">
        <v>1243.18476688025</v>
      </c>
    </row>
    <row r="1720" spans="1:12" ht="15" customHeight="1" x14ac:dyDescent="0.2">
      <c r="A1720" s="2">
        <v>43556</v>
      </c>
      <c r="B1720" s="3">
        <v>48.59</v>
      </c>
      <c r="C1720" s="1">
        <v>653000</v>
      </c>
      <c r="D1720" s="3">
        <v>-0.32999999999999802</v>
      </c>
      <c r="E1720" s="3">
        <v>-0.67457072771872595</v>
      </c>
      <c r="F1720" s="3">
        <v>-0.67456640245406796</v>
      </c>
      <c r="G1720" s="3">
        <v>54.616985</v>
      </c>
      <c r="H1720" s="3">
        <v>1422.0062710565801</v>
      </c>
      <c r="I1720" s="3">
        <v>48.98</v>
      </c>
      <c r="J1720" s="3">
        <v>49.2</v>
      </c>
      <c r="K1720" s="3">
        <v>48.44</v>
      </c>
      <c r="L1720" s="3">
        <v>1254.05285939235</v>
      </c>
    </row>
    <row r="1721" spans="1:12" ht="15" customHeight="1" x14ac:dyDescent="0.2">
      <c r="A1721" s="2">
        <v>43553</v>
      </c>
      <c r="B1721" s="3">
        <v>48.92</v>
      </c>
      <c r="C1721" s="1">
        <v>816131</v>
      </c>
      <c r="D1721" s="3">
        <v>0.42000000000000098</v>
      </c>
      <c r="E1721" s="3">
        <v>0.865979381443304</v>
      </c>
      <c r="F1721" s="3">
        <v>0.86597798583971597</v>
      </c>
      <c r="G1721" s="3">
        <v>54.987915000000001</v>
      </c>
      <c r="H1721" s="3">
        <v>1432.34294171174</v>
      </c>
      <c r="I1721" s="3">
        <v>48.84</v>
      </c>
      <c r="J1721" s="3">
        <v>49.12</v>
      </c>
      <c r="K1721" s="3">
        <v>48.5</v>
      </c>
      <c r="L1721" s="3">
        <v>1263.2489376718199</v>
      </c>
    </row>
    <row r="1722" spans="1:12" ht="15" customHeight="1" x14ac:dyDescent="0.2">
      <c r="A1722" s="2">
        <v>43552</v>
      </c>
      <c r="B1722" s="3">
        <v>48.5</v>
      </c>
      <c r="C1722" s="1">
        <v>597761</v>
      </c>
      <c r="D1722" s="3">
        <v>1.38</v>
      </c>
      <c r="E1722" s="3">
        <v>2.9286926994906701</v>
      </c>
      <c r="F1722" s="3">
        <v>2.92868922951439</v>
      </c>
      <c r="G1722" s="3">
        <v>54.515819999999998</v>
      </c>
      <c r="H1722" s="3">
        <v>1419.1871157258399</v>
      </c>
      <c r="I1722" s="3">
        <v>47.29</v>
      </c>
      <c r="J1722" s="3">
        <v>48.56</v>
      </c>
      <c r="K1722" s="3">
        <v>47.29</v>
      </c>
      <c r="L1722" s="3">
        <v>1251.5448380434</v>
      </c>
    </row>
    <row r="1723" spans="1:12" ht="15" customHeight="1" x14ac:dyDescent="0.2">
      <c r="A1723" s="2">
        <v>43551</v>
      </c>
      <c r="B1723" s="3">
        <v>47.12</v>
      </c>
      <c r="C1723" s="1">
        <v>544037</v>
      </c>
      <c r="D1723" s="3">
        <v>-0.220000000000005</v>
      </c>
      <c r="E1723" s="3">
        <v>-0.46472327841150501</v>
      </c>
      <c r="F1723" s="3">
        <v>-0.46472091403100202</v>
      </c>
      <c r="G1723" s="3">
        <v>52.964649999999999</v>
      </c>
      <c r="H1723" s="3">
        <v>1375.96081043867</v>
      </c>
      <c r="I1723" s="3">
        <v>47.41</v>
      </c>
      <c r="J1723" s="3">
        <v>47.85</v>
      </c>
      <c r="K1723" s="3">
        <v>47.05</v>
      </c>
      <c r="L1723" s="3">
        <v>1213.0885106928899</v>
      </c>
    </row>
    <row r="1724" spans="1:12" ht="15" customHeight="1" x14ac:dyDescent="0.2">
      <c r="A1724" s="2">
        <v>43550</v>
      </c>
      <c r="B1724" s="3">
        <v>47.34</v>
      </c>
      <c r="C1724" s="1">
        <v>889129</v>
      </c>
      <c r="D1724" s="3">
        <v>0.760000000000005</v>
      </c>
      <c r="E1724" s="3">
        <v>1.6316015457277899</v>
      </c>
      <c r="F1724" s="3">
        <v>1.63159857953953</v>
      </c>
      <c r="G1724" s="3">
        <v>53.211936999999999</v>
      </c>
      <c r="H1724" s="3">
        <v>1382.85193349775</v>
      </c>
      <c r="I1724" s="3">
        <v>46.59</v>
      </c>
      <c r="J1724" s="3">
        <v>47.73</v>
      </c>
      <c r="K1724" s="3">
        <v>46.59</v>
      </c>
      <c r="L1724" s="3">
        <v>1219.2192295458699</v>
      </c>
    </row>
    <row r="1725" spans="1:12" ht="15" customHeight="1" x14ac:dyDescent="0.2">
      <c r="A1725" s="2">
        <v>43549</v>
      </c>
      <c r="B1725" s="3">
        <v>46.58</v>
      </c>
      <c r="C1725" s="1">
        <v>558453</v>
      </c>
      <c r="D1725" s="3">
        <v>0.93999999999999695</v>
      </c>
      <c r="E1725" s="3">
        <v>2.0595968448729098</v>
      </c>
      <c r="F1725" s="3">
        <v>2.0595962170383499</v>
      </c>
      <c r="G1725" s="3">
        <v>52.357669999999999</v>
      </c>
      <c r="H1725" s="3">
        <v>1359.0461571233</v>
      </c>
      <c r="I1725" s="3">
        <v>45.73</v>
      </c>
      <c r="J1725" s="3">
        <v>46.73</v>
      </c>
      <c r="K1725" s="3">
        <v>45.56</v>
      </c>
      <c r="L1725" s="3">
        <v>1198.04038259921</v>
      </c>
    </row>
    <row r="1726" spans="1:12" ht="15" customHeight="1" x14ac:dyDescent="0.2">
      <c r="A1726" s="2">
        <v>43546</v>
      </c>
      <c r="B1726" s="3">
        <v>45.64</v>
      </c>
      <c r="C1726" s="1">
        <v>713566</v>
      </c>
      <c r="D1726" s="3">
        <v>0.160000000000003</v>
      </c>
      <c r="E1726" s="3">
        <v>0.351802990325422</v>
      </c>
      <c r="F1726" s="3">
        <v>0.35180689227196599</v>
      </c>
      <c r="G1726" s="3">
        <v>51.301074999999997</v>
      </c>
      <c r="H1726" s="3">
        <v>1329.6021258211799</v>
      </c>
      <c r="I1726" s="3">
        <v>45.35</v>
      </c>
      <c r="J1726" s="3">
        <v>46.02</v>
      </c>
      <c r="K1726" s="3">
        <v>45.3</v>
      </c>
      <c r="L1726" s="3">
        <v>1171.8454929546599</v>
      </c>
    </row>
    <row r="1727" spans="1:12" ht="15" customHeight="1" x14ac:dyDescent="0.2">
      <c r="A1727" s="2">
        <v>43545</v>
      </c>
      <c r="B1727" s="3">
        <v>45.48</v>
      </c>
      <c r="C1727" s="1">
        <v>609254</v>
      </c>
      <c r="D1727" s="3">
        <v>1.0799999999999901</v>
      </c>
      <c r="E1727" s="3">
        <v>2.4324324324324298</v>
      </c>
      <c r="F1727" s="3">
        <v>2.4324251757308999</v>
      </c>
      <c r="G1727" s="3">
        <v>51.121226999999998</v>
      </c>
      <c r="H1727" s="3">
        <v>1324.59031889268</v>
      </c>
      <c r="I1727" s="3">
        <v>44.48</v>
      </c>
      <c r="J1727" s="3">
        <v>45.82</v>
      </c>
      <c r="K1727" s="3">
        <v>44.48</v>
      </c>
      <c r="L1727" s="3">
        <v>1167.38678833431</v>
      </c>
    </row>
    <row r="1728" spans="1:12" ht="15" customHeight="1" x14ac:dyDescent="0.2">
      <c r="A1728" s="2">
        <v>43544</v>
      </c>
      <c r="B1728" s="3">
        <v>44.4</v>
      </c>
      <c r="C1728" s="1">
        <v>728934</v>
      </c>
      <c r="D1728" s="3">
        <v>-1.4299999999999899</v>
      </c>
      <c r="E1728" s="3">
        <v>-3.12022692559459</v>
      </c>
      <c r="F1728" s="3">
        <v>-3.1202292086066001</v>
      </c>
      <c r="G1728" s="3">
        <v>49.907269999999997</v>
      </c>
      <c r="H1728" s="3">
        <v>1290.7610958626501</v>
      </c>
      <c r="I1728" s="3">
        <v>45.82</v>
      </c>
      <c r="J1728" s="3">
        <v>45.82</v>
      </c>
      <c r="K1728" s="3">
        <v>44.384999999999998</v>
      </c>
      <c r="L1728" s="3">
        <v>1137.29053214695</v>
      </c>
    </row>
    <row r="1729" spans="1:12" ht="15" customHeight="1" x14ac:dyDescent="0.2">
      <c r="A1729" s="2">
        <v>43543</v>
      </c>
      <c r="B1729" s="3">
        <v>45.83</v>
      </c>
      <c r="C1729" s="1">
        <v>617633</v>
      </c>
      <c r="D1729" s="3">
        <v>-0.41000000000000297</v>
      </c>
      <c r="E1729" s="3">
        <v>-0.88667820069204795</v>
      </c>
      <c r="F1729" s="3">
        <v>-0.886677376841005</v>
      </c>
      <c r="G1729" s="3">
        <v>51.514645000000002</v>
      </c>
      <c r="H1729" s="3">
        <v>1335.55366048223</v>
      </c>
      <c r="I1729" s="3">
        <v>46.27</v>
      </c>
      <c r="J1729" s="3">
        <v>46.590499999999999</v>
      </c>
      <c r="K1729" s="3">
        <v>45.52</v>
      </c>
      <c r="L1729" s="3">
        <v>1177.1402046913199</v>
      </c>
    </row>
    <row r="1730" spans="1:12" ht="15" customHeight="1" x14ac:dyDescent="0.2">
      <c r="A1730" s="2">
        <v>43542</v>
      </c>
      <c r="B1730" s="3">
        <v>46.24</v>
      </c>
      <c r="C1730" s="1">
        <v>540286</v>
      </c>
      <c r="D1730" s="3">
        <v>-0.16999999999999399</v>
      </c>
      <c r="E1730" s="3">
        <v>-0.36630036630035301</v>
      </c>
      <c r="F1730" s="3">
        <v>-0.36629578812368202</v>
      </c>
      <c r="G1730" s="3">
        <v>51.975499999999997</v>
      </c>
      <c r="H1730" s="3">
        <v>1348.39626246855</v>
      </c>
      <c r="I1730" s="3">
        <v>46.44</v>
      </c>
      <c r="J1730" s="3">
        <v>46.44</v>
      </c>
      <c r="K1730" s="3">
        <v>45.854999999999997</v>
      </c>
      <c r="L1730" s="3">
        <v>1188.5656352809699</v>
      </c>
    </row>
    <row r="1731" spans="1:12" ht="15" customHeight="1" x14ac:dyDescent="0.2">
      <c r="A1731" s="2">
        <v>43539</v>
      </c>
      <c r="B1731" s="3">
        <v>46.41</v>
      </c>
      <c r="C1731" s="1">
        <v>828724</v>
      </c>
      <c r="D1731" s="3">
        <v>-0.33000000000000501</v>
      </c>
      <c r="E1731" s="3">
        <v>-0.70603337612324901</v>
      </c>
      <c r="F1731" s="3">
        <v>-0.70603639859804201</v>
      </c>
      <c r="G1731" s="3">
        <v>52.166584</v>
      </c>
      <c r="H1731" s="3">
        <v>1353.7211819290201</v>
      </c>
      <c r="I1731" s="3">
        <v>46.82</v>
      </c>
      <c r="J1731" s="3">
        <v>46.87</v>
      </c>
      <c r="K1731" s="3">
        <v>46.17</v>
      </c>
      <c r="L1731" s="3">
        <v>1193.30300894009</v>
      </c>
    </row>
    <row r="1732" spans="1:12" ht="15" customHeight="1" x14ac:dyDescent="0.2">
      <c r="A1732" s="2">
        <v>43538</v>
      </c>
      <c r="B1732" s="3">
        <v>46.74</v>
      </c>
      <c r="C1732" s="1">
        <v>582654</v>
      </c>
      <c r="D1732" s="3">
        <v>0.45000000000000201</v>
      </c>
      <c r="E1732" s="3">
        <v>0.97213220998055805</v>
      </c>
      <c r="F1732" s="3">
        <v>0.97213429505473803</v>
      </c>
      <c r="G1732" s="3">
        <v>52.537517999999999</v>
      </c>
      <c r="H1732" s="3">
        <v>1364.0579640517999</v>
      </c>
      <c r="I1732" s="3">
        <v>46.31</v>
      </c>
      <c r="J1732" s="3">
        <v>47</v>
      </c>
      <c r="K1732" s="3">
        <v>46.21</v>
      </c>
      <c r="L1732" s="3">
        <v>1202.4990872195599</v>
      </c>
    </row>
    <row r="1733" spans="1:12" ht="15" customHeight="1" x14ac:dyDescent="0.2">
      <c r="A1733" s="2">
        <v>43537</v>
      </c>
      <c r="B1733" s="3">
        <v>46.29</v>
      </c>
      <c r="C1733" s="1">
        <v>675133</v>
      </c>
      <c r="D1733" s="3">
        <v>3.0000000000001099E-2</v>
      </c>
      <c r="E1733" s="3">
        <v>6.4850843060959507E-2</v>
      </c>
      <c r="F1733" s="3">
        <v>6.4860219361628696E-2</v>
      </c>
      <c r="G1733" s="3">
        <v>52.031700000000001</v>
      </c>
      <c r="H1733" s="3">
        <v>1349.96238246645</v>
      </c>
      <c r="I1733" s="3">
        <v>46.47</v>
      </c>
      <c r="J1733" s="3">
        <v>46.66</v>
      </c>
      <c r="K1733" s="3">
        <v>46.19</v>
      </c>
      <c r="L1733" s="3">
        <v>1189.95898047483</v>
      </c>
    </row>
    <row r="1734" spans="1:12" ht="15" customHeight="1" x14ac:dyDescent="0.2">
      <c r="A1734" s="2">
        <v>43536</v>
      </c>
      <c r="B1734" s="3">
        <v>46.26</v>
      </c>
      <c r="C1734" s="1">
        <v>732483</v>
      </c>
      <c r="D1734" s="3">
        <v>-0.17000000000000101</v>
      </c>
      <c r="E1734" s="3">
        <v>-0.36614258022830098</v>
      </c>
      <c r="F1734" s="3">
        <v>-0.36614950595780199</v>
      </c>
      <c r="G1734" s="3">
        <v>51.997973999999999</v>
      </c>
      <c r="H1734" s="3">
        <v>1349.0225432662901</v>
      </c>
      <c r="I1734" s="3">
        <v>46.52</v>
      </c>
      <c r="J1734" s="3">
        <v>46.52</v>
      </c>
      <c r="K1734" s="3">
        <v>45.96</v>
      </c>
      <c r="L1734" s="3">
        <v>1189.1229733585101</v>
      </c>
    </row>
    <row r="1735" spans="1:12" ht="15" customHeight="1" x14ac:dyDescent="0.2">
      <c r="A1735" s="2">
        <v>43535</v>
      </c>
      <c r="B1735" s="3">
        <v>46.43</v>
      </c>
      <c r="C1735" s="1">
        <v>684190</v>
      </c>
      <c r="D1735" s="3">
        <v>0.29999999999999699</v>
      </c>
      <c r="E1735" s="3">
        <v>0.65033600693691296</v>
      </c>
      <c r="F1735" s="3">
        <v>0.65033742671332095</v>
      </c>
      <c r="G1735" s="3">
        <v>52.189064000000002</v>
      </c>
      <c r="H1735" s="3">
        <v>1354.3476299281799</v>
      </c>
      <c r="I1735" s="3">
        <v>46.14</v>
      </c>
      <c r="J1735" s="3">
        <v>46.7</v>
      </c>
      <c r="K1735" s="3">
        <v>45.96</v>
      </c>
      <c r="L1735" s="3">
        <v>1193.8603470176299</v>
      </c>
    </row>
    <row r="1736" spans="1:12" ht="15" customHeight="1" x14ac:dyDescent="0.2">
      <c r="A1736" s="2">
        <v>43532</v>
      </c>
      <c r="B1736" s="3">
        <v>46.13</v>
      </c>
      <c r="C1736" s="1">
        <v>461993</v>
      </c>
      <c r="D1736" s="3">
        <v>-0.28999999999999898</v>
      </c>
      <c r="E1736" s="3">
        <v>-0.62473071951745196</v>
      </c>
      <c r="F1736" s="3">
        <v>-0.62472902759336202</v>
      </c>
      <c r="G1736" s="3">
        <v>51.851852000000001</v>
      </c>
      <c r="H1736" s="3">
        <v>1344.95057553795</v>
      </c>
      <c r="I1736" s="3">
        <v>46.3</v>
      </c>
      <c r="J1736" s="3">
        <v>46.53</v>
      </c>
      <c r="K1736" s="3">
        <v>45.924999999999997</v>
      </c>
      <c r="L1736" s="3">
        <v>1185.5002758544799</v>
      </c>
    </row>
    <row r="1737" spans="1:12" ht="15" customHeight="1" x14ac:dyDescent="0.2">
      <c r="A1737" s="2">
        <v>43531</v>
      </c>
      <c r="B1737" s="3">
        <v>46.42</v>
      </c>
      <c r="C1737" s="1">
        <v>715268</v>
      </c>
      <c r="D1737" s="3">
        <v>-0.21</v>
      </c>
      <c r="E1737" s="3">
        <v>-0.450353849453144</v>
      </c>
      <c r="F1737" s="3">
        <v>-0.450354076125281</v>
      </c>
      <c r="G1737" s="3">
        <v>52.177821999999999</v>
      </c>
      <c r="H1737" s="3">
        <v>1354.03435019479</v>
      </c>
      <c r="I1737" s="3">
        <v>46.65</v>
      </c>
      <c r="J1737" s="3">
        <v>46.65</v>
      </c>
      <c r="K1737" s="3">
        <v>46.08</v>
      </c>
      <c r="L1737" s="3">
        <v>1193.5816779788599</v>
      </c>
    </row>
    <row r="1738" spans="1:12" ht="15" customHeight="1" x14ac:dyDescent="0.2">
      <c r="A1738" s="2">
        <v>43530</v>
      </c>
      <c r="B1738" s="3">
        <v>46.63</v>
      </c>
      <c r="C1738" s="1">
        <v>816473</v>
      </c>
      <c r="D1738" s="3">
        <v>-4.9999999999997102E-2</v>
      </c>
      <c r="E1738" s="3">
        <v>-0.107112253641805</v>
      </c>
      <c r="F1738" s="3">
        <v>-0.107116296424503</v>
      </c>
      <c r="G1738" s="3">
        <v>52.413870000000003</v>
      </c>
      <c r="H1738" s="3">
        <v>1360.6122771211899</v>
      </c>
      <c r="I1738" s="3">
        <v>46.91</v>
      </c>
      <c r="J1738" s="3">
        <v>47.19</v>
      </c>
      <c r="K1738" s="3">
        <v>46.47</v>
      </c>
      <c r="L1738" s="3">
        <v>1199.4337277930699</v>
      </c>
    </row>
    <row r="1739" spans="1:12" ht="15" customHeight="1" x14ac:dyDescent="0.2">
      <c r="A1739" s="2">
        <v>43529</v>
      </c>
      <c r="B1739" s="3">
        <v>46.68</v>
      </c>
      <c r="C1739" s="1">
        <v>1012650</v>
      </c>
      <c r="D1739" s="3">
        <v>1.22999999999999</v>
      </c>
      <c r="E1739" s="3">
        <v>2.7062706270626999</v>
      </c>
      <c r="F1739" s="3">
        <v>2.7062661695588401</v>
      </c>
      <c r="G1739" s="3">
        <v>52.470073999999997</v>
      </c>
      <c r="H1739" s="3">
        <v>1362.17850858671</v>
      </c>
      <c r="I1739" s="3">
        <v>45.44</v>
      </c>
      <c r="J1739" s="3">
        <v>46.88</v>
      </c>
      <c r="K1739" s="3">
        <v>45.44</v>
      </c>
      <c r="L1739" s="3">
        <v>1200.82707298693</v>
      </c>
    </row>
    <row r="1740" spans="1:12" ht="15" customHeight="1" x14ac:dyDescent="0.2">
      <c r="A1740" s="2">
        <v>43528</v>
      </c>
      <c r="B1740" s="3">
        <v>45.45</v>
      </c>
      <c r="C1740" s="1">
        <v>1036031</v>
      </c>
      <c r="D1740" s="3">
        <v>-1.3999999999999899</v>
      </c>
      <c r="E1740" s="3">
        <v>-2.98826040554962</v>
      </c>
      <c r="F1740" s="3">
        <v>-2.9882481121378999</v>
      </c>
      <c r="G1740" s="3">
        <v>51.087510000000002</v>
      </c>
      <c r="H1740" s="3">
        <v>1323.6507304946499</v>
      </c>
      <c r="I1740" s="3">
        <v>46.87</v>
      </c>
      <c r="J1740" s="3">
        <v>46.87</v>
      </c>
      <c r="K1740" s="3">
        <v>45.35</v>
      </c>
      <c r="L1740" s="3">
        <v>1166.5507812179901</v>
      </c>
    </row>
    <row r="1741" spans="1:12" ht="15" customHeight="1" x14ac:dyDescent="0.2">
      <c r="A1741" s="2">
        <v>43525</v>
      </c>
      <c r="B1741" s="3">
        <v>46.85</v>
      </c>
      <c r="C1741" s="1">
        <v>791224</v>
      </c>
      <c r="D1741" s="3">
        <v>-0.44999999999999502</v>
      </c>
      <c r="E1741" s="3">
        <v>-0.95137420718814902</v>
      </c>
      <c r="F1741" s="3">
        <v>-0.25370536280828698</v>
      </c>
      <c r="G1741" s="3">
        <v>52.661155999999998</v>
      </c>
      <c r="H1741" s="3">
        <v>1367.5033723133699</v>
      </c>
      <c r="I1741" s="3">
        <v>47.13</v>
      </c>
      <c r="J1741" s="3">
        <v>47.46</v>
      </c>
      <c r="K1741" s="3">
        <v>46.43</v>
      </c>
      <c r="L1741" s="3">
        <v>1205.5644466460501</v>
      </c>
    </row>
    <row r="1742" spans="1:12" ht="15" customHeight="1" x14ac:dyDescent="0.2">
      <c r="A1742" s="2">
        <v>43524</v>
      </c>
      <c r="B1742" s="3">
        <v>47.3</v>
      </c>
      <c r="C1742" s="1">
        <v>740287</v>
      </c>
      <c r="D1742" s="3">
        <v>0.489999999999994</v>
      </c>
      <c r="E1742" s="3">
        <v>1.0467848750266899</v>
      </c>
      <c r="F1742" s="3">
        <v>1.04677910580497</v>
      </c>
      <c r="G1742" s="3">
        <v>52.795099999999998</v>
      </c>
      <c r="H1742" s="3">
        <v>1371.23597688629</v>
      </c>
      <c r="I1742" s="3">
        <v>47.1</v>
      </c>
      <c r="J1742" s="3">
        <v>47.74</v>
      </c>
      <c r="K1742" s="3">
        <v>46.9</v>
      </c>
      <c r="L1742" s="3">
        <v>1218.10455339078</v>
      </c>
    </row>
    <row r="1743" spans="1:12" ht="15" customHeight="1" x14ac:dyDescent="0.2">
      <c r="A1743" s="2">
        <v>43523</v>
      </c>
      <c r="B1743" s="3">
        <v>46.81</v>
      </c>
      <c r="C1743" s="1">
        <v>531712</v>
      </c>
      <c r="D1743" s="3">
        <v>0.58000000000000496</v>
      </c>
      <c r="E1743" s="3">
        <v>1.25459658230586</v>
      </c>
      <c r="F1743" s="3">
        <v>1.2545949872556099</v>
      </c>
      <c r="G1743" s="3">
        <v>52.248176999999998</v>
      </c>
      <c r="H1743" s="3">
        <v>1355.9949262170701</v>
      </c>
      <c r="I1743" s="3">
        <v>46.07</v>
      </c>
      <c r="J1743" s="3">
        <v>46.97</v>
      </c>
      <c r="K1743" s="3">
        <v>46.07</v>
      </c>
      <c r="L1743" s="3">
        <v>1204.44977049096</v>
      </c>
    </row>
    <row r="1744" spans="1:12" ht="15" customHeight="1" x14ac:dyDescent="0.2">
      <c r="A1744" s="2">
        <v>43522</v>
      </c>
      <c r="B1744" s="3">
        <v>46.23</v>
      </c>
      <c r="C1744" s="1">
        <v>745109</v>
      </c>
      <c r="D1744" s="3">
        <v>-0.25</v>
      </c>
      <c r="E1744" s="3">
        <v>-0.53786574870912096</v>
      </c>
      <c r="F1744" s="3">
        <v>-0.53786020954537095</v>
      </c>
      <c r="G1744" s="3">
        <v>51.600796000000003</v>
      </c>
      <c r="H1744" s="3">
        <v>1337.95442211816</v>
      </c>
      <c r="I1744" s="3">
        <v>46.5</v>
      </c>
      <c r="J1744" s="3">
        <v>46.52</v>
      </c>
      <c r="K1744" s="3">
        <v>46.11</v>
      </c>
      <c r="L1744" s="3">
        <v>1188.2869662421999</v>
      </c>
    </row>
    <row r="1745" spans="1:12" ht="15" customHeight="1" x14ac:dyDescent="0.2">
      <c r="A1745" s="2">
        <v>43521</v>
      </c>
      <c r="B1745" s="3">
        <v>46.48</v>
      </c>
      <c r="C1745" s="1">
        <v>1144402</v>
      </c>
      <c r="D1745" s="3">
        <v>-1.05</v>
      </c>
      <c r="E1745" s="3">
        <v>-2.20913107511047</v>
      </c>
      <c r="F1745" s="3">
        <v>-2.20913426481121</v>
      </c>
      <c r="G1745" s="3">
        <v>51.879837000000002</v>
      </c>
      <c r="H1745" s="3">
        <v>1345.73043084295</v>
      </c>
      <c r="I1745" s="3">
        <v>47.75</v>
      </c>
      <c r="J1745" s="3">
        <v>47.75</v>
      </c>
      <c r="K1745" s="3">
        <v>46.29</v>
      </c>
      <c r="L1745" s="3">
        <v>1195.25369221149</v>
      </c>
    </row>
    <row r="1746" spans="1:12" ht="15" customHeight="1" x14ac:dyDescent="0.2">
      <c r="A1746" s="2">
        <v>43518</v>
      </c>
      <c r="B1746" s="3">
        <v>47.53</v>
      </c>
      <c r="C1746" s="1">
        <v>1437924</v>
      </c>
      <c r="D1746" s="3">
        <v>-1.31</v>
      </c>
      <c r="E1746" s="3">
        <v>-2.6822276822276798</v>
      </c>
      <c r="F1746" s="3">
        <v>-2.6822224231899199</v>
      </c>
      <c r="G1746" s="3">
        <v>53.051822999999999</v>
      </c>
      <c r="H1746" s="3">
        <v>1378.3900520503601</v>
      </c>
      <c r="I1746" s="3">
        <v>48.96</v>
      </c>
      <c r="J1746" s="3">
        <v>49.11</v>
      </c>
      <c r="K1746" s="3">
        <v>47.01</v>
      </c>
      <c r="L1746" s="3">
        <v>1224.5139412825299</v>
      </c>
    </row>
    <row r="1747" spans="1:12" ht="15" customHeight="1" x14ac:dyDescent="0.2">
      <c r="A1747" s="2">
        <v>43517</v>
      </c>
      <c r="B1747" s="3">
        <v>48.84</v>
      </c>
      <c r="C1747" s="1">
        <v>3063992</v>
      </c>
      <c r="D1747" s="3">
        <v>2.46</v>
      </c>
      <c r="E1747" s="3">
        <v>5.3040103492884896</v>
      </c>
      <c r="F1747" s="3">
        <v>5.3040008732770199</v>
      </c>
      <c r="G1747" s="3">
        <v>54.514009999999999</v>
      </c>
      <c r="H1747" s="3">
        <v>1419.1366766298199</v>
      </c>
      <c r="I1747" s="3">
        <v>46.84</v>
      </c>
      <c r="J1747" s="3">
        <v>50.07</v>
      </c>
      <c r="K1747" s="3">
        <v>46.84</v>
      </c>
      <c r="L1747" s="3">
        <v>1261.0195853616401</v>
      </c>
    </row>
    <row r="1748" spans="1:12" ht="15" customHeight="1" x14ac:dyDescent="0.2">
      <c r="A1748" s="2">
        <v>43516</v>
      </c>
      <c r="B1748" s="3">
        <v>46.38</v>
      </c>
      <c r="C1748" s="1">
        <v>1632163</v>
      </c>
      <c r="D1748" s="3">
        <v>-0.119999999999997</v>
      </c>
      <c r="E1748" s="3">
        <v>-0.25806451612902997</v>
      </c>
      <c r="F1748" s="3">
        <v>-0.25805669744766102</v>
      </c>
      <c r="G1748" s="3">
        <v>51.768222999999999</v>
      </c>
      <c r="H1748" s="3">
        <v>1342.6200942336</v>
      </c>
      <c r="I1748" s="3">
        <v>46.32</v>
      </c>
      <c r="J1748" s="3">
        <v>46.8</v>
      </c>
      <c r="K1748" s="3">
        <v>46.01</v>
      </c>
      <c r="L1748" s="3">
        <v>1192.46700182377</v>
      </c>
    </row>
    <row r="1749" spans="1:12" ht="15" customHeight="1" x14ac:dyDescent="0.2">
      <c r="A1749" s="2">
        <v>43515</v>
      </c>
      <c r="B1749" s="3">
        <v>46.5</v>
      </c>
      <c r="C1749" s="1">
        <v>1066574</v>
      </c>
      <c r="D1749" s="3">
        <v>-0.53000000000000103</v>
      </c>
      <c r="E1749" s="3">
        <v>-1.1269402509036801</v>
      </c>
      <c r="F1749" s="3">
        <v>-1.12693835523067</v>
      </c>
      <c r="G1749" s="3">
        <v>51.902160000000002</v>
      </c>
      <c r="H1749" s="3">
        <v>1346.3525037382001</v>
      </c>
      <c r="I1749" s="3">
        <v>47.03</v>
      </c>
      <c r="J1749" s="3">
        <v>47.435400000000001</v>
      </c>
      <c r="K1749" s="3">
        <v>45.86</v>
      </c>
      <c r="L1749" s="3">
        <v>1195.81103028903</v>
      </c>
    </row>
    <row r="1750" spans="1:12" ht="15" customHeight="1" x14ac:dyDescent="0.2">
      <c r="A1750" s="2">
        <v>43511</v>
      </c>
      <c r="B1750" s="3">
        <v>47.03</v>
      </c>
      <c r="C1750" s="1">
        <v>1007538</v>
      </c>
      <c r="D1750" s="3">
        <v>0.149999999999998</v>
      </c>
      <c r="E1750" s="3">
        <v>0.31996587030715901</v>
      </c>
      <c r="F1750" s="3">
        <v>0.31995758921277101</v>
      </c>
      <c r="G1750" s="3">
        <v>52.493732000000001</v>
      </c>
      <c r="H1750" s="3">
        <v>1362.83778379863</v>
      </c>
      <c r="I1750" s="3">
        <v>47.18</v>
      </c>
      <c r="J1750" s="3">
        <v>47.68</v>
      </c>
      <c r="K1750" s="3">
        <v>46.82</v>
      </c>
      <c r="L1750" s="3">
        <v>1210.5804893439399</v>
      </c>
    </row>
    <row r="1751" spans="1:12" ht="15" customHeight="1" x14ac:dyDescent="0.2">
      <c r="A1751" s="2">
        <v>43510</v>
      </c>
      <c r="B1751" s="3">
        <v>46.88</v>
      </c>
      <c r="C1751" s="1">
        <v>569256</v>
      </c>
      <c r="D1751" s="3">
        <v>0.85000000000000098</v>
      </c>
      <c r="E1751" s="3">
        <v>1.8466217684119</v>
      </c>
      <c r="F1751" s="3">
        <v>1.8466233118116</v>
      </c>
      <c r="G1751" s="3">
        <v>52.326309999999999</v>
      </c>
      <c r="H1751" s="3">
        <v>1358.1722510177101</v>
      </c>
      <c r="I1751" s="3">
        <v>46.23</v>
      </c>
      <c r="J1751" s="3">
        <v>47.13</v>
      </c>
      <c r="K1751" s="3">
        <v>46.05</v>
      </c>
      <c r="L1751" s="3">
        <v>1206.40045376236</v>
      </c>
    </row>
    <row r="1752" spans="1:12" ht="15" customHeight="1" x14ac:dyDescent="0.2">
      <c r="A1752" s="2">
        <v>43509</v>
      </c>
      <c r="B1752" s="3">
        <v>46.03</v>
      </c>
      <c r="C1752" s="1">
        <v>526137</v>
      </c>
      <c r="D1752" s="3">
        <v>3.9999999999999099E-2</v>
      </c>
      <c r="E1752" s="3">
        <v>8.6975429441182806E-2</v>
      </c>
      <c r="F1752" s="3">
        <v>8.6977337268545604E-2</v>
      </c>
      <c r="G1752" s="3">
        <v>51.377560000000003</v>
      </c>
      <c r="H1752" s="3">
        <v>1331.73352596423</v>
      </c>
      <c r="I1752" s="3">
        <v>46.17</v>
      </c>
      <c r="J1752" s="3">
        <v>46.17</v>
      </c>
      <c r="K1752" s="3">
        <v>45.26</v>
      </c>
      <c r="L1752" s="3">
        <v>1182.7135854667599</v>
      </c>
    </row>
    <row r="1753" spans="1:12" ht="15" customHeight="1" x14ac:dyDescent="0.2">
      <c r="A1753" s="2">
        <v>43508</v>
      </c>
      <c r="B1753" s="3">
        <v>45.99</v>
      </c>
      <c r="C1753" s="1">
        <v>434497</v>
      </c>
      <c r="D1753" s="3">
        <v>0.37000000000000399</v>
      </c>
      <c r="E1753" s="3">
        <v>0.81104778605876005</v>
      </c>
      <c r="F1753" s="3">
        <v>0.81104988251554599</v>
      </c>
      <c r="G1753" s="3">
        <v>51.332912</v>
      </c>
      <c r="H1753" s="3">
        <v>1330.48932443992</v>
      </c>
      <c r="I1753" s="3">
        <v>45.77</v>
      </c>
      <c r="J1753" s="3">
        <v>46.56</v>
      </c>
      <c r="K1753" s="3">
        <v>45.65</v>
      </c>
      <c r="L1753" s="3">
        <v>1181.59890931167</v>
      </c>
    </row>
    <row r="1754" spans="1:12" ht="15" customHeight="1" x14ac:dyDescent="0.2">
      <c r="A1754" s="2">
        <v>43507</v>
      </c>
      <c r="B1754" s="3">
        <v>45.62</v>
      </c>
      <c r="C1754" s="1">
        <v>651748</v>
      </c>
      <c r="D1754" s="3">
        <v>-0.52000000000000302</v>
      </c>
      <c r="E1754" s="3">
        <v>-1.1270047680971</v>
      </c>
      <c r="F1754" s="3">
        <v>-1.1270100352735599</v>
      </c>
      <c r="G1754" s="3">
        <v>50.919925999999997</v>
      </c>
      <c r="H1754" s="3">
        <v>1318.9806832753</v>
      </c>
      <c r="I1754" s="3">
        <v>46.14</v>
      </c>
      <c r="J1754" s="3">
        <v>46.52</v>
      </c>
      <c r="K1754" s="3">
        <v>45.484999999999999</v>
      </c>
      <c r="L1754" s="3">
        <v>1171.2881548771099</v>
      </c>
    </row>
    <row r="1755" spans="1:12" ht="15" customHeight="1" x14ac:dyDescent="0.2">
      <c r="A1755" s="2">
        <v>43504</v>
      </c>
      <c r="B1755" s="3">
        <v>46.14</v>
      </c>
      <c r="C1755" s="1">
        <v>521649</v>
      </c>
      <c r="D1755" s="3">
        <v>7.9999999999998295E-2</v>
      </c>
      <c r="E1755" s="3">
        <v>0.173686495874947</v>
      </c>
      <c r="F1755" s="3">
        <v>0.173688358211743</v>
      </c>
      <c r="G1755" s="3">
        <v>51.500340000000001</v>
      </c>
      <c r="H1755" s="3">
        <v>1335.1550244222699</v>
      </c>
      <c r="I1755" s="3">
        <v>45.99</v>
      </c>
      <c r="J1755" s="3">
        <v>46.34</v>
      </c>
      <c r="K1755" s="3">
        <v>45.76</v>
      </c>
      <c r="L1755" s="3">
        <v>1185.7789448932499</v>
      </c>
    </row>
    <row r="1756" spans="1:12" ht="15" customHeight="1" x14ac:dyDescent="0.2">
      <c r="A1756" s="2">
        <v>43503</v>
      </c>
      <c r="B1756" s="3">
        <v>46.06</v>
      </c>
      <c r="C1756" s="1">
        <v>458004</v>
      </c>
      <c r="D1756" s="3">
        <v>-3.9999999999999099E-2</v>
      </c>
      <c r="E1756" s="3">
        <v>-8.6767895878525597E-2</v>
      </c>
      <c r="F1756" s="3">
        <v>-8.6763971098235901E-2</v>
      </c>
      <c r="G1756" s="3">
        <v>51.411045000000001</v>
      </c>
      <c r="H1756" s="3">
        <v>1332.66664924056</v>
      </c>
      <c r="I1756" s="3">
        <v>45.92</v>
      </c>
      <c r="J1756" s="3">
        <v>46.683</v>
      </c>
      <c r="K1756" s="3">
        <v>45.47</v>
      </c>
      <c r="L1756" s="3">
        <v>1183.5495925830701</v>
      </c>
    </row>
    <row r="1757" spans="1:12" ht="15" customHeight="1" x14ac:dyDescent="0.2">
      <c r="A1757" s="2">
        <v>43502</v>
      </c>
      <c r="B1757" s="3">
        <v>46.1</v>
      </c>
      <c r="C1757" s="1">
        <v>593239</v>
      </c>
      <c r="D1757" s="3">
        <v>-0.26999999999999602</v>
      </c>
      <c r="E1757" s="3">
        <v>-0.58227302134999903</v>
      </c>
      <c r="F1757" s="3">
        <v>-0.58227228800896702</v>
      </c>
      <c r="G1757" s="3">
        <v>51.455689999999997</v>
      </c>
      <c r="H1757" s="3">
        <v>1333.91076716415</v>
      </c>
      <c r="I1757" s="3">
        <v>46.3</v>
      </c>
      <c r="J1757" s="3">
        <v>46.51</v>
      </c>
      <c r="K1757" s="3">
        <v>45.47</v>
      </c>
      <c r="L1757" s="3">
        <v>1184.66426873816</v>
      </c>
    </row>
    <row r="1758" spans="1:12" ht="15" customHeight="1" x14ac:dyDescent="0.2">
      <c r="A1758" s="2">
        <v>43501</v>
      </c>
      <c r="B1758" s="3">
        <v>46.37</v>
      </c>
      <c r="C1758" s="1">
        <v>555543</v>
      </c>
      <c r="D1758" s="3">
        <v>0.40999999999999598</v>
      </c>
      <c r="E1758" s="3">
        <v>0.89208006962575503</v>
      </c>
      <c r="F1758" s="3">
        <v>0.89207624092955096</v>
      </c>
      <c r="G1758" s="3">
        <v>51.757057000000003</v>
      </c>
      <c r="H1758" s="3">
        <v>1342.3089323849099</v>
      </c>
      <c r="I1758" s="3">
        <v>46.12</v>
      </c>
      <c r="J1758" s="3">
        <v>46.765000000000001</v>
      </c>
      <c r="K1758" s="3">
        <v>45.951500000000003</v>
      </c>
      <c r="L1758" s="3">
        <v>1192.1883327850001</v>
      </c>
    </row>
    <row r="1759" spans="1:12" ht="15" customHeight="1" x14ac:dyDescent="0.2">
      <c r="A1759" s="2">
        <v>43500</v>
      </c>
      <c r="B1759" s="3">
        <v>45.96</v>
      </c>
      <c r="C1759" s="1">
        <v>636584</v>
      </c>
      <c r="D1759" s="3">
        <v>0.99000000000000199</v>
      </c>
      <c r="E1759" s="3">
        <v>2.2014676450967401</v>
      </c>
      <c r="F1759" s="3">
        <v>2.2014620112325001</v>
      </c>
      <c r="G1759" s="3">
        <v>51.299427000000001</v>
      </c>
      <c r="H1759" s="3">
        <v>1329.55620116359</v>
      </c>
      <c r="I1759" s="3">
        <v>45.1</v>
      </c>
      <c r="J1759" s="3">
        <v>46.16</v>
      </c>
      <c r="K1759" s="3">
        <v>45.1</v>
      </c>
      <c r="L1759" s="3">
        <v>1180.7629021953601</v>
      </c>
    </row>
    <row r="1760" spans="1:12" ht="15" customHeight="1" x14ac:dyDescent="0.2">
      <c r="A1760" s="2">
        <v>43497</v>
      </c>
      <c r="B1760" s="3">
        <v>44.97</v>
      </c>
      <c r="C1760" s="1">
        <v>833876</v>
      </c>
      <c r="D1760" s="3">
        <v>8.9999999999996305E-2</v>
      </c>
      <c r="E1760" s="3">
        <v>0.20053475935828399</v>
      </c>
      <c r="F1760" s="3">
        <v>0.20053515433795499</v>
      </c>
      <c r="G1760" s="3">
        <v>50.194415999999997</v>
      </c>
      <c r="H1760" s="3">
        <v>1298.76296584336</v>
      </c>
      <c r="I1760" s="3">
        <v>44.62</v>
      </c>
      <c r="J1760" s="3">
        <v>45.41</v>
      </c>
      <c r="K1760" s="3">
        <v>44.54</v>
      </c>
      <c r="L1760" s="3">
        <v>1153.1746673569401</v>
      </c>
    </row>
    <row r="1761" spans="1:12" ht="15" customHeight="1" x14ac:dyDescent="0.2">
      <c r="A1761" s="2">
        <v>43496</v>
      </c>
      <c r="B1761" s="3">
        <v>44.88</v>
      </c>
      <c r="C1761" s="1">
        <v>609820</v>
      </c>
      <c r="D1761" s="3">
        <v>-0.28999999999999898</v>
      </c>
      <c r="E1761" s="3">
        <v>-0.64201903918529302</v>
      </c>
      <c r="F1761" s="3">
        <v>-0.64200737658412999</v>
      </c>
      <c r="G1761" s="3">
        <v>50.093960000000003</v>
      </c>
      <c r="H1761" s="3">
        <v>1295.9635681474799</v>
      </c>
      <c r="I1761" s="3">
        <v>45.21</v>
      </c>
      <c r="J1761" s="3">
        <v>45.22</v>
      </c>
      <c r="K1761" s="3">
        <v>44.68</v>
      </c>
      <c r="L1761" s="3">
        <v>1150.666646008</v>
      </c>
    </row>
    <row r="1762" spans="1:12" ht="15" customHeight="1" x14ac:dyDescent="0.2">
      <c r="A1762" s="2">
        <v>43495</v>
      </c>
      <c r="B1762" s="3">
        <v>45.17</v>
      </c>
      <c r="C1762" s="1">
        <v>457702</v>
      </c>
      <c r="D1762" s="3">
        <v>0.260000000000005</v>
      </c>
      <c r="E1762" s="3">
        <v>0.57893564907593997</v>
      </c>
      <c r="F1762" s="3">
        <v>0.57893441197076601</v>
      </c>
      <c r="G1762" s="3">
        <v>50.417645</v>
      </c>
      <c r="H1762" s="3">
        <v>1304.98366692896</v>
      </c>
      <c r="I1762" s="3">
        <v>44.97</v>
      </c>
      <c r="J1762" s="3">
        <v>45.534999999999997</v>
      </c>
      <c r="K1762" s="3">
        <v>44.93</v>
      </c>
      <c r="L1762" s="3">
        <v>1158.7480481323801</v>
      </c>
    </row>
    <row r="1763" spans="1:12" ht="15" customHeight="1" x14ac:dyDescent="0.2">
      <c r="A1763" s="2">
        <v>43494</v>
      </c>
      <c r="B1763" s="3">
        <v>44.91</v>
      </c>
      <c r="C1763" s="1">
        <v>646699</v>
      </c>
      <c r="D1763" s="3">
        <v>-0.99000000000000199</v>
      </c>
      <c r="E1763" s="3">
        <v>-2.15686274509804</v>
      </c>
      <c r="F1763" s="3">
        <v>-2.15687476260167</v>
      </c>
      <c r="G1763" s="3">
        <v>50.12744</v>
      </c>
      <c r="H1763" s="3">
        <v>1296.89655208929</v>
      </c>
      <c r="I1763" s="3">
        <v>45.91</v>
      </c>
      <c r="J1763" s="3">
        <v>45.91</v>
      </c>
      <c r="K1763" s="3">
        <v>44.25</v>
      </c>
      <c r="L1763" s="3">
        <v>1151.50265312431</v>
      </c>
    </row>
    <row r="1764" spans="1:12" ht="15" customHeight="1" x14ac:dyDescent="0.2">
      <c r="A1764" s="2">
        <v>43493</v>
      </c>
      <c r="B1764" s="3">
        <v>45.9</v>
      </c>
      <c r="C1764" s="1">
        <v>635205</v>
      </c>
      <c r="D1764" s="3">
        <v>0.99000000000000199</v>
      </c>
      <c r="E1764" s="3">
        <v>2.2044088176352798</v>
      </c>
      <c r="F1764" s="3">
        <v>2.2044213708100902</v>
      </c>
      <c r="G1764" s="3">
        <v>51.232460000000003</v>
      </c>
      <c r="H1764" s="3">
        <v>1327.6900382116501</v>
      </c>
      <c r="I1764" s="3">
        <v>44.68</v>
      </c>
      <c r="J1764" s="3">
        <v>46.12</v>
      </c>
      <c r="K1764" s="3">
        <v>44.419199999999996</v>
      </c>
      <c r="L1764" s="3">
        <v>1179.09088796272</v>
      </c>
    </row>
    <row r="1765" spans="1:12" ht="15" customHeight="1" x14ac:dyDescent="0.2">
      <c r="A1765" s="2">
        <v>43490</v>
      </c>
      <c r="B1765" s="3">
        <v>44.91</v>
      </c>
      <c r="C1765" s="1">
        <v>524304</v>
      </c>
      <c r="D1765" s="3">
        <v>0.189999999999997</v>
      </c>
      <c r="E1765" s="3">
        <v>0.42486583184257998</v>
      </c>
      <c r="F1765" s="3">
        <v>0.42485911654064301</v>
      </c>
      <c r="G1765" s="3">
        <v>50.12744</v>
      </c>
      <c r="H1765" s="3">
        <v>1296.89655208929</v>
      </c>
      <c r="I1765" s="3">
        <v>45.12</v>
      </c>
      <c r="J1765" s="3">
        <v>45.395000000000003</v>
      </c>
      <c r="K1765" s="3">
        <v>44.354999999999997</v>
      </c>
      <c r="L1765" s="3">
        <v>1151.50265312431</v>
      </c>
    </row>
    <row r="1766" spans="1:12" ht="15" customHeight="1" x14ac:dyDescent="0.2">
      <c r="A1766" s="2">
        <v>43489</v>
      </c>
      <c r="B1766" s="3">
        <v>44.72</v>
      </c>
      <c r="C1766" s="1">
        <v>581305</v>
      </c>
      <c r="D1766" s="3">
        <v>-0.14000000000000001</v>
      </c>
      <c r="E1766" s="3">
        <v>-0.31208203299153398</v>
      </c>
      <c r="F1766" s="3">
        <v>-0.31208486976538302</v>
      </c>
      <c r="G1766" s="3">
        <v>49.915370000000003</v>
      </c>
      <c r="H1766" s="3">
        <v>1290.9868177840499</v>
      </c>
      <c r="I1766" s="3">
        <v>44.91</v>
      </c>
      <c r="J1766" s="3">
        <v>45.18</v>
      </c>
      <c r="K1766" s="3">
        <v>44.59</v>
      </c>
      <c r="L1766" s="3">
        <v>1146.20794138765</v>
      </c>
    </row>
    <row r="1767" spans="1:12" ht="15" customHeight="1" x14ac:dyDescent="0.2">
      <c r="A1767" s="2">
        <v>43488</v>
      </c>
      <c r="B1767" s="3">
        <v>44.86</v>
      </c>
      <c r="C1767" s="1">
        <v>651678</v>
      </c>
      <c r="D1767" s="3">
        <v>0.32999999999999802</v>
      </c>
      <c r="E1767" s="3">
        <v>0.74107343364024902</v>
      </c>
      <c r="F1767" s="3">
        <v>0.74108369439425104</v>
      </c>
      <c r="G1767" s="3">
        <v>50.071635999999998</v>
      </c>
      <c r="H1767" s="3">
        <v>1295.3414673853199</v>
      </c>
      <c r="I1767" s="3">
        <v>44.72</v>
      </c>
      <c r="J1767" s="3">
        <v>45.11</v>
      </c>
      <c r="K1767" s="3">
        <v>44.51</v>
      </c>
      <c r="L1767" s="3">
        <v>1150.1093079304501</v>
      </c>
    </row>
    <row r="1768" spans="1:12" ht="15" customHeight="1" x14ac:dyDescent="0.2">
      <c r="A1768" s="2">
        <v>43487</v>
      </c>
      <c r="B1768" s="3">
        <v>44.53</v>
      </c>
      <c r="C1768" s="1">
        <v>940439</v>
      </c>
      <c r="D1768" s="3">
        <v>-1.56</v>
      </c>
      <c r="E1768" s="3">
        <v>-3.38468214363203</v>
      </c>
      <c r="F1768" s="3">
        <v>-3.3846883235204901</v>
      </c>
      <c r="G1768" s="3">
        <v>49.703293000000002</v>
      </c>
      <c r="H1768" s="3">
        <v>1285.07688841049</v>
      </c>
      <c r="I1768" s="3">
        <v>46.01</v>
      </c>
      <c r="J1768" s="3">
        <v>46.19</v>
      </c>
      <c r="K1768" s="3">
        <v>44.16</v>
      </c>
      <c r="L1768" s="3">
        <v>1140.9132296509799</v>
      </c>
    </row>
    <row r="1769" spans="1:12" ht="15" customHeight="1" x14ac:dyDescent="0.2">
      <c r="A1769" s="2">
        <v>43483</v>
      </c>
      <c r="B1769" s="3">
        <v>46.09</v>
      </c>
      <c r="C1769" s="1">
        <v>789393</v>
      </c>
      <c r="D1769" s="3">
        <v>1.00000000000051E-2</v>
      </c>
      <c r="E1769" s="3">
        <v>2.17013888889061E-2</v>
      </c>
      <c r="F1769" s="3">
        <v>2.1697975458345699E-2</v>
      </c>
      <c r="G1769" s="3">
        <v>51.44453</v>
      </c>
      <c r="H1769" s="3">
        <v>1333.59977251689</v>
      </c>
      <c r="I1769" s="3">
        <v>46.34</v>
      </c>
      <c r="J1769" s="3">
        <v>46.34</v>
      </c>
      <c r="K1769" s="3">
        <v>45.43</v>
      </c>
      <c r="L1769" s="3">
        <v>1184.38559969939</v>
      </c>
    </row>
    <row r="1770" spans="1:12" ht="15" customHeight="1" x14ac:dyDescent="0.2">
      <c r="A1770" s="2">
        <v>43482</v>
      </c>
      <c r="B1770" s="3">
        <v>46.08</v>
      </c>
      <c r="C1770" s="1">
        <v>563207</v>
      </c>
      <c r="D1770" s="3">
        <v>0.33999999999999603</v>
      </c>
      <c r="E1770" s="3">
        <v>0.74333187581985205</v>
      </c>
      <c r="F1770" s="3">
        <v>0.74333248390374695</v>
      </c>
      <c r="G1770" s="3">
        <v>51.433369999999996</v>
      </c>
      <c r="H1770" s="3">
        <v>1333.2887778696199</v>
      </c>
      <c r="I1770" s="3">
        <v>45.85</v>
      </c>
      <c r="J1770" s="3">
        <v>46.34</v>
      </c>
      <c r="K1770" s="3">
        <v>45.7</v>
      </c>
      <c r="L1770" s="3">
        <v>1184.10693066062</v>
      </c>
    </row>
    <row r="1771" spans="1:12" ht="15" customHeight="1" x14ac:dyDescent="0.2">
      <c r="A1771" s="2">
        <v>43481</v>
      </c>
      <c r="B1771" s="3">
        <v>45.74</v>
      </c>
      <c r="C1771" s="1">
        <v>744946</v>
      </c>
      <c r="D1771" s="3">
        <v>9.0000000000003397E-2</v>
      </c>
      <c r="E1771" s="3">
        <v>0.19715224534502199</v>
      </c>
      <c r="F1771" s="3">
        <v>0.19715067184409199</v>
      </c>
      <c r="G1771" s="3">
        <v>51.053870000000003</v>
      </c>
      <c r="H1771" s="3">
        <v>1322.71328784822</v>
      </c>
      <c r="I1771" s="3">
        <v>45.64</v>
      </c>
      <c r="J1771" s="3">
        <v>46.54</v>
      </c>
      <c r="K1771" s="3">
        <v>45.64</v>
      </c>
      <c r="L1771" s="3">
        <v>1174.6321833423799</v>
      </c>
    </row>
    <row r="1772" spans="1:12" ht="15" customHeight="1" x14ac:dyDescent="0.2">
      <c r="A1772" s="2">
        <v>43480</v>
      </c>
      <c r="B1772" s="3">
        <v>45.65</v>
      </c>
      <c r="C1772" s="1">
        <v>654863</v>
      </c>
      <c r="D1772" s="3">
        <v>0.12999999999999501</v>
      </c>
      <c r="E1772" s="3">
        <v>0.28558875219681901</v>
      </c>
      <c r="F1772" s="3">
        <v>0.28559304570452398</v>
      </c>
      <c r="G1772" s="3">
        <v>50.953415</v>
      </c>
      <c r="H1772" s="3">
        <v>1319.9139180192401</v>
      </c>
      <c r="I1772" s="3">
        <v>45.76</v>
      </c>
      <c r="J1772" s="3">
        <v>45.78</v>
      </c>
      <c r="K1772" s="3">
        <v>44.45</v>
      </c>
      <c r="L1772" s="3">
        <v>1172.1241619934301</v>
      </c>
    </row>
    <row r="1773" spans="1:12" ht="15" customHeight="1" x14ac:dyDescent="0.2">
      <c r="A1773" s="2">
        <v>43479</v>
      </c>
      <c r="B1773" s="3">
        <v>45.52</v>
      </c>
      <c r="C1773" s="1">
        <v>695277</v>
      </c>
      <c r="D1773" s="3">
        <v>-0.58999999999999597</v>
      </c>
      <c r="E1773" s="3">
        <v>-1.2795489047928801</v>
      </c>
      <c r="F1773" s="3">
        <v>-1.2795497467165899</v>
      </c>
      <c r="G1773" s="3">
        <v>50.808309999999999</v>
      </c>
      <c r="H1773" s="3">
        <v>1315.8702909321401</v>
      </c>
      <c r="I1773" s="3">
        <v>45.85</v>
      </c>
      <c r="J1773" s="3">
        <v>46.63</v>
      </c>
      <c r="K1773" s="3">
        <v>45.44</v>
      </c>
      <c r="L1773" s="3">
        <v>1168.5014644893899</v>
      </c>
    </row>
    <row r="1774" spans="1:12" ht="15" customHeight="1" x14ac:dyDescent="0.2">
      <c r="A1774" s="2">
        <v>43476</v>
      </c>
      <c r="B1774" s="3">
        <v>46.11</v>
      </c>
      <c r="C1774" s="1">
        <v>617019</v>
      </c>
      <c r="D1774" s="3">
        <v>0.189999999999997</v>
      </c>
      <c r="E1774" s="3">
        <v>0.41376306620208803</v>
      </c>
      <c r="F1774" s="3">
        <v>0.413764335736099</v>
      </c>
      <c r="G1774" s="3">
        <v>51.466853999999998</v>
      </c>
      <c r="H1774" s="3">
        <v>1334.22187327904</v>
      </c>
      <c r="I1774" s="3">
        <v>45.48</v>
      </c>
      <c r="J1774" s="3">
        <v>46.14</v>
      </c>
      <c r="K1774" s="3">
        <v>44.844799999999999</v>
      </c>
      <c r="L1774" s="3">
        <v>1184.94293777693</v>
      </c>
    </row>
    <row r="1775" spans="1:12" ht="15" customHeight="1" x14ac:dyDescent="0.2">
      <c r="A1775" s="2">
        <v>43475</v>
      </c>
      <c r="B1775" s="3">
        <v>45.92</v>
      </c>
      <c r="C1775" s="1">
        <v>472133</v>
      </c>
      <c r="D1775" s="3">
        <v>-0.17999999999999899</v>
      </c>
      <c r="E1775" s="3">
        <v>-0.39045553145335898</v>
      </c>
      <c r="F1775" s="3">
        <v>-0.39045244558959502</v>
      </c>
      <c r="G1775" s="3">
        <v>51.254779999999997</v>
      </c>
      <c r="H1775" s="3">
        <v>1328.3120275061899</v>
      </c>
      <c r="I1775" s="3">
        <v>45.63</v>
      </c>
      <c r="J1775" s="3">
        <v>46.23</v>
      </c>
      <c r="K1775" s="3">
        <v>45.32</v>
      </c>
      <c r="L1775" s="3">
        <v>1179.6482260402699</v>
      </c>
    </row>
    <row r="1776" spans="1:12" ht="15" customHeight="1" x14ac:dyDescent="0.2">
      <c r="A1776" s="2">
        <v>43474</v>
      </c>
      <c r="B1776" s="3">
        <v>46.1</v>
      </c>
      <c r="C1776" s="1">
        <v>803927</v>
      </c>
      <c r="D1776" s="3">
        <v>-0.100000000000001</v>
      </c>
      <c r="E1776" s="3">
        <v>-0.21645021645021401</v>
      </c>
      <c r="F1776" s="3">
        <v>-0.21645495954705199</v>
      </c>
      <c r="G1776" s="3">
        <v>51.455689999999997</v>
      </c>
      <c r="H1776" s="3">
        <v>1333.91076716415</v>
      </c>
      <c r="I1776" s="3">
        <v>46.19</v>
      </c>
      <c r="J1776" s="3">
        <v>46.4</v>
      </c>
      <c r="K1776" s="3">
        <v>45.85</v>
      </c>
      <c r="L1776" s="3">
        <v>1184.66426873816</v>
      </c>
    </row>
    <row r="1777" spans="1:12" ht="15" customHeight="1" x14ac:dyDescent="0.2">
      <c r="A1777" s="2">
        <v>43473</v>
      </c>
      <c r="B1777" s="3">
        <v>46.2</v>
      </c>
      <c r="C1777" s="1">
        <v>1378705</v>
      </c>
      <c r="D1777" s="3">
        <v>2.33</v>
      </c>
      <c r="E1777" s="3">
        <v>5.3111465694096296</v>
      </c>
      <c r="F1777" s="3">
        <v>5.3111529981506997</v>
      </c>
      <c r="G1777" s="3">
        <v>51.567309999999999</v>
      </c>
      <c r="H1777" s="3">
        <v>1337.0212709749301</v>
      </c>
      <c r="I1777" s="3">
        <v>45.4</v>
      </c>
      <c r="J1777" s="3">
        <v>46.72</v>
      </c>
      <c r="K1777" s="3">
        <v>45.24</v>
      </c>
      <c r="L1777" s="3">
        <v>1187.45095912588</v>
      </c>
    </row>
    <row r="1778" spans="1:12" ht="15" customHeight="1" x14ac:dyDescent="0.2">
      <c r="A1778" s="2">
        <v>43472</v>
      </c>
      <c r="B1778" s="3">
        <v>43.87</v>
      </c>
      <c r="C1778" s="1">
        <v>1610150</v>
      </c>
      <c r="D1778" s="3">
        <v>1.46</v>
      </c>
      <c r="E1778" s="3">
        <v>3.44258429615655</v>
      </c>
      <c r="F1778" s="3">
        <v>3.4425751387825199</v>
      </c>
      <c r="G1778" s="3">
        <v>48.966617999999997</v>
      </c>
      <c r="H1778" s="3">
        <v>1264.54803699677</v>
      </c>
      <c r="I1778" s="3">
        <v>42.16</v>
      </c>
      <c r="J1778" s="3">
        <v>44.074800000000003</v>
      </c>
      <c r="K1778" s="3">
        <v>41.88</v>
      </c>
      <c r="L1778" s="3">
        <v>1122.5210730920401</v>
      </c>
    </row>
    <row r="1779" spans="1:12" ht="15" customHeight="1" x14ac:dyDescent="0.2">
      <c r="A1779" s="2">
        <v>43469</v>
      </c>
      <c r="B1779" s="3">
        <v>42.41</v>
      </c>
      <c r="C1779" s="1">
        <v>900160</v>
      </c>
      <c r="D1779" s="3">
        <v>0.34999999999999398</v>
      </c>
      <c r="E1779" s="3">
        <v>0.83214455539704002</v>
      </c>
      <c r="F1779" s="3">
        <v>0.83215003205148097</v>
      </c>
      <c r="G1779" s="3">
        <v>47.337006000000002</v>
      </c>
      <c r="H1779" s="3">
        <v>1219.13579603566</v>
      </c>
      <c r="I1779" s="3">
        <v>42.45</v>
      </c>
      <c r="J1779" s="3">
        <v>43.09</v>
      </c>
      <c r="K1779" s="3">
        <v>42.02</v>
      </c>
      <c r="L1779" s="3">
        <v>1081.83539343135</v>
      </c>
    </row>
    <row r="1780" spans="1:12" ht="15" customHeight="1" x14ac:dyDescent="0.2">
      <c r="A1780" s="2">
        <v>43468</v>
      </c>
      <c r="B1780" s="3">
        <v>42.06</v>
      </c>
      <c r="C1780" s="1">
        <v>631236</v>
      </c>
      <c r="D1780" s="3">
        <v>-1.0599999999999901</v>
      </c>
      <c r="E1780" s="3">
        <v>-2.4582560296845899</v>
      </c>
      <c r="F1780" s="3">
        <v>-2.4582518915743199</v>
      </c>
      <c r="G1780" s="3">
        <v>46.946342000000001</v>
      </c>
      <c r="H1780" s="3">
        <v>1208.2491998993801</v>
      </c>
      <c r="I1780" s="3">
        <v>42.86</v>
      </c>
      <c r="J1780" s="3">
        <v>43.15</v>
      </c>
      <c r="K1780" s="3">
        <v>42.05</v>
      </c>
      <c r="L1780" s="3">
        <v>1072.0819770743401</v>
      </c>
    </row>
    <row r="1781" spans="1:12" ht="15" customHeight="1" x14ac:dyDescent="0.2">
      <c r="A1781" s="2">
        <v>43467</v>
      </c>
      <c r="B1781" s="3">
        <v>43.12</v>
      </c>
      <c r="C1781" s="1">
        <v>739122</v>
      </c>
      <c r="D1781" s="3">
        <v>-0.39</v>
      </c>
      <c r="E1781" s="3">
        <v>-0.89634566766261203</v>
      </c>
      <c r="F1781" s="3">
        <v>-0.89634886966270999</v>
      </c>
      <c r="G1781" s="3">
        <v>48.129486</v>
      </c>
      <c r="H1781" s="3">
        <v>1241.2197600202501</v>
      </c>
      <c r="I1781" s="3">
        <v>43.04</v>
      </c>
      <c r="J1781" s="3">
        <v>43.195</v>
      </c>
      <c r="K1781" s="3">
        <v>42.34</v>
      </c>
      <c r="L1781" s="3">
        <v>1101.62089518415</v>
      </c>
    </row>
    <row r="1782" spans="1:12" ht="15" customHeight="1" x14ac:dyDescent="0.2">
      <c r="A1782" s="2">
        <v>43465</v>
      </c>
      <c r="B1782" s="3">
        <v>43.51</v>
      </c>
      <c r="C1782" s="1">
        <v>675900</v>
      </c>
      <c r="D1782" s="3">
        <v>0.82</v>
      </c>
      <c r="E1782" s="3">
        <v>1.92082454907471</v>
      </c>
      <c r="F1782" s="3">
        <v>1.9208247417834099</v>
      </c>
      <c r="G1782" s="3">
        <v>48.564796000000001</v>
      </c>
      <c r="H1782" s="3">
        <v>1253.3505019470299</v>
      </c>
      <c r="I1782" s="3">
        <v>42.83</v>
      </c>
      <c r="J1782" s="3">
        <v>43.52</v>
      </c>
      <c r="K1782" s="3">
        <v>42.52</v>
      </c>
      <c r="L1782" s="3">
        <v>1112.48898769626</v>
      </c>
    </row>
    <row r="1783" spans="1:12" ht="15" customHeight="1" x14ac:dyDescent="0.2">
      <c r="A1783" s="2">
        <v>43462</v>
      </c>
      <c r="B1783" s="3">
        <v>42.69</v>
      </c>
      <c r="C1783" s="1">
        <v>695178</v>
      </c>
      <c r="D1783" s="3">
        <v>-0.109999999999999</v>
      </c>
      <c r="E1783" s="3">
        <v>-0.25700934579439</v>
      </c>
      <c r="F1783" s="3">
        <v>-0.25701079738406002</v>
      </c>
      <c r="G1783" s="3">
        <v>47.649532000000001</v>
      </c>
      <c r="H1783" s="3">
        <v>1227.8449280367799</v>
      </c>
      <c r="I1783" s="3">
        <v>42.78</v>
      </c>
      <c r="J1783" s="3">
        <v>43.319499999999998</v>
      </c>
      <c r="K1783" s="3">
        <v>42.5</v>
      </c>
      <c r="L1783" s="3">
        <v>1089.63812651696</v>
      </c>
    </row>
    <row r="1784" spans="1:12" ht="15" customHeight="1" x14ac:dyDescent="0.2">
      <c r="A1784" s="2">
        <v>43461</v>
      </c>
      <c r="B1784" s="3">
        <v>42.8</v>
      </c>
      <c r="C1784" s="1">
        <v>649937</v>
      </c>
      <c r="D1784" s="3">
        <v>-0.29000000000000598</v>
      </c>
      <c r="E1784" s="3">
        <v>-0.67300997911349203</v>
      </c>
      <c r="F1784" s="3">
        <v>-0.67301225274349896</v>
      </c>
      <c r="G1784" s="3">
        <v>47.772311999999999</v>
      </c>
      <c r="H1784" s="3">
        <v>1231.2664264948201</v>
      </c>
      <c r="I1784" s="3">
        <v>42.8</v>
      </c>
      <c r="J1784" s="3">
        <v>43.38</v>
      </c>
      <c r="K1784" s="3">
        <v>41.63</v>
      </c>
      <c r="L1784" s="3">
        <v>1092.70348594345</v>
      </c>
    </row>
    <row r="1785" spans="1:12" ht="15" customHeight="1" x14ac:dyDescent="0.2">
      <c r="A1785" s="2">
        <v>43460</v>
      </c>
      <c r="B1785" s="3">
        <v>43.09</v>
      </c>
      <c r="C1785" s="1">
        <v>690342</v>
      </c>
      <c r="D1785" s="3">
        <v>0.84000000000000297</v>
      </c>
      <c r="E1785" s="3">
        <v>1.9881656804733701</v>
      </c>
      <c r="F1785" s="3">
        <v>1.98816470026972</v>
      </c>
      <c r="G1785" s="3">
        <v>48.096004000000001</v>
      </c>
      <c r="H1785" s="3">
        <v>1240.2867203446399</v>
      </c>
      <c r="I1785" s="3">
        <v>42.38</v>
      </c>
      <c r="J1785" s="3">
        <v>43.97</v>
      </c>
      <c r="K1785" s="3">
        <v>42.18</v>
      </c>
      <c r="L1785" s="3">
        <v>1100.78488806784</v>
      </c>
    </row>
    <row r="1786" spans="1:12" ht="15" customHeight="1" x14ac:dyDescent="0.2">
      <c r="A1786" s="2">
        <v>43458</v>
      </c>
      <c r="B1786" s="3">
        <v>42.25</v>
      </c>
      <c r="C1786" s="1">
        <v>463910</v>
      </c>
      <c r="D1786" s="3">
        <v>-0.24000000000000199</v>
      </c>
      <c r="E1786" s="3">
        <v>-0.56483878559661005</v>
      </c>
      <c r="F1786" s="3">
        <v>-0.56484060531813896</v>
      </c>
      <c r="G1786" s="3">
        <v>47.158417</v>
      </c>
      <c r="H1786" s="3">
        <v>1214.1590735391401</v>
      </c>
      <c r="I1786" s="3">
        <v>42.19</v>
      </c>
      <c r="J1786" s="3">
        <v>42.91</v>
      </c>
      <c r="K1786" s="3">
        <v>41.88</v>
      </c>
      <c r="L1786" s="3">
        <v>1077.3766888109999</v>
      </c>
    </row>
    <row r="1787" spans="1:12" ht="15" customHeight="1" x14ac:dyDescent="0.2">
      <c r="A1787" s="2">
        <v>43455</v>
      </c>
      <c r="B1787" s="3">
        <v>42.49</v>
      </c>
      <c r="C1787" s="1">
        <v>1552830</v>
      </c>
      <c r="D1787" s="3">
        <v>-0.489999999999994</v>
      </c>
      <c r="E1787" s="3">
        <v>-1.14006514657979</v>
      </c>
      <c r="F1787" s="3">
        <v>-1.14006302473932</v>
      </c>
      <c r="G1787" s="3">
        <v>47.426299999999998</v>
      </c>
      <c r="H1787" s="3">
        <v>1221.6241433504699</v>
      </c>
      <c r="I1787" s="3">
        <v>42.79</v>
      </c>
      <c r="J1787" s="3">
        <v>43.94</v>
      </c>
      <c r="K1787" s="3">
        <v>42.24</v>
      </c>
      <c r="L1787" s="3">
        <v>1084.06474574153</v>
      </c>
    </row>
    <row r="1788" spans="1:12" ht="15" customHeight="1" x14ac:dyDescent="0.2">
      <c r="A1788" s="2">
        <v>43454</v>
      </c>
      <c r="B1788" s="3">
        <v>42.98</v>
      </c>
      <c r="C1788" s="1">
        <v>1018555</v>
      </c>
      <c r="D1788" s="3">
        <v>-0.220000000000005</v>
      </c>
      <c r="E1788" s="3">
        <v>-0.50925925925927595</v>
      </c>
      <c r="F1788" s="3">
        <v>-0.50926004272525605</v>
      </c>
      <c r="G1788" s="3">
        <v>47.973224999999999</v>
      </c>
      <c r="H1788" s="3">
        <v>1236.8652497534999</v>
      </c>
      <c r="I1788" s="3">
        <v>43.06</v>
      </c>
      <c r="J1788" s="3">
        <v>43.36</v>
      </c>
      <c r="K1788" s="3">
        <v>42.33</v>
      </c>
      <c r="L1788" s="3">
        <v>1097.7195286413501</v>
      </c>
    </row>
    <row r="1789" spans="1:12" ht="15" customHeight="1" x14ac:dyDescent="0.2">
      <c r="A1789" s="2">
        <v>43453</v>
      </c>
      <c r="B1789" s="3">
        <v>43.2</v>
      </c>
      <c r="C1789" s="1">
        <v>958611</v>
      </c>
      <c r="D1789" s="3">
        <v>-0.37999999999999501</v>
      </c>
      <c r="E1789" s="3">
        <v>-0.87195961450206005</v>
      </c>
      <c r="F1789" s="3">
        <v>-0.87196427896319895</v>
      </c>
      <c r="G1789" s="3">
        <v>48.218783999999999</v>
      </c>
      <c r="H1789" s="3">
        <v>1243.70821880268</v>
      </c>
      <c r="I1789" s="3">
        <v>44.81</v>
      </c>
      <c r="J1789" s="3">
        <v>44.81</v>
      </c>
      <c r="K1789" s="3">
        <v>42.85</v>
      </c>
      <c r="L1789" s="3">
        <v>1103.85024749433</v>
      </c>
    </row>
    <row r="1790" spans="1:12" ht="15" customHeight="1" x14ac:dyDescent="0.2">
      <c r="A1790" s="2">
        <v>43452</v>
      </c>
      <c r="B1790" s="3">
        <v>43.58</v>
      </c>
      <c r="C1790" s="1">
        <v>822995</v>
      </c>
      <c r="D1790" s="3">
        <v>-0.64</v>
      </c>
      <c r="E1790" s="3">
        <v>-1.4473089099954799</v>
      </c>
      <c r="F1790" s="3">
        <v>-1.4473081329331501</v>
      </c>
      <c r="G1790" s="3">
        <v>48.642932999999999</v>
      </c>
      <c r="H1790" s="3">
        <v>1255.5279382152801</v>
      </c>
      <c r="I1790" s="3">
        <v>44.64</v>
      </c>
      <c r="J1790" s="3">
        <v>45</v>
      </c>
      <c r="K1790" s="3">
        <v>43.5</v>
      </c>
      <c r="L1790" s="3">
        <v>1114.43967096766</v>
      </c>
    </row>
    <row r="1791" spans="1:12" ht="15" customHeight="1" x14ac:dyDescent="0.2">
      <c r="A1791" s="2">
        <v>43451</v>
      </c>
      <c r="B1791" s="3">
        <v>44.22</v>
      </c>
      <c r="C1791" s="1">
        <v>726020</v>
      </c>
      <c r="D1791" s="3">
        <v>-0.53999999999999904</v>
      </c>
      <c r="E1791" s="3">
        <v>-1.20643431635388</v>
      </c>
      <c r="F1791" s="3">
        <v>-1.2064228004419699</v>
      </c>
      <c r="G1791" s="3">
        <v>49.357284999999997</v>
      </c>
      <c r="H1791" s="3">
        <v>1275.4347167337501</v>
      </c>
      <c r="I1791" s="3">
        <v>44.83</v>
      </c>
      <c r="J1791" s="3">
        <v>44.99</v>
      </c>
      <c r="K1791" s="3">
        <v>44.04</v>
      </c>
      <c r="L1791" s="3">
        <v>1132.27448944906</v>
      </c>
    </row>
    <row r="1792" spans="1:12" ht="15" customHeight="1" x14ac:dyDescent="0.2">
      <c r="A1792" s="2">
        <v>43448</v>
      </c>
      <c r="B1792" s="3">
        <v>44.76</v>
      </c>
      <c r="C1792" s="1">
        <v>658078</v>
      </c>
      <c r="D1792" s="3">
        <v>-1.07</v>
      </c>
      <c r="E1792" s="3">
        <v>-2.3347152520183201</v>
      </c>
      <c r="F1792" s="3">
        <v>-2.3347252716275499</v>
      </c>
      <c r="G1792" s="3">
        <v>49.960014000000001</v>
      </c>
      <c r="H1792" s="3">
        <v>1292.23090784074</v>
      </c>
      <c r="I1792" s="3">
        <v>45.56</v>
      </c>
      <c r="J1792" s="3">
        <v>45.86</v>
      </c>
      <c r="K1792" s="3">
        <v>44.62</v>
      </c>
      <c r="L1792" s="3">
        <v>1147.3226175427301</v>
      </c>
    </row>
    <row r="1793" spans="1:12" ht="15" customHeight="1" x14ac:dyDescent="0.2">
      <c r="A1793" s="2">
        <v>43447</v>
      </c>
      <c r="B1793" s="3">
        <v>45.83</v>
      </c>
      <c r="C1793" s="1">
        <v>697123</v>
      </c>
      <c r="D1793" s="3">
        <v>-0.130000000000002</v>
      </c>
      <c r="E1793" s="3">
        <v>-0.28285465622280798</v>
      </c>
      <c r="F1793" s="3">
        <v>-0.28284916320799802</v>
      </c>
      <c r="G1793" s="3">
        <v>51.154327000000002</v>
      </c>
      <c r="H1793" s="3">
        <v>1325.5127134110201</v>
      </c>
      <c r="I1793" s="3">
        <v>46.22</v>
      </c>
      <c r="J1793" s="3">
        <v>46.58</v>
      </c>
      <c r="K1793" s="3">
        <v>45.76</v>
      </c>
      <c r="L1793" s="3">
        <v>1177.1402046913199</v>
      </c>
    </row>
    <row r="1794" spans="1:12" ht="15" customHeight="1" x14ac:dyDescent="0.2">
      <c r="A1794" s="2">
        <v>43446</v>
      </c>
      <c r="B1794" s="3">
        <v>45.96</v>
      </c>
      <c r="C1794" s="1">
        <v>786829</v>
      </c>
      <c r="D1794" s="3">
        <v>0.55000000000000404</v>
      </c>
      <c r="E1794" s="3">
        <v>1.21118696322397</v>
      </c>
      <c r="F1794" s="3">
        <v>1.2111878873516799</v>
      </c>
      <c r="G1794" s="3">
        <v>51.299427000000001</v>
      </c>
      <c r="H1794" s="3">
        <v>1329.55620116359</v>
      </c>
      <c r="I1794" s="3">
        <v>45.88</v>
      </c>
      <c r="J1794" s="3">
        <v>46.42</v>
      </c>
      <c r="K1794" s="3">
        <v>45.534999999999997</v>
      </c>
      <c r="L1794" s="3">
        <v>1180.7629021953601</v>
      </c>
    </row>
    <row r="1795" spans="1:12" ht="15" customHeight="1" x14ac:dyDescent="0.2">
      <c r="A1795" s="2">
        <v>43445</v>
      </c>
      <c r="B1795" s="3">
        <v>45.41</v>
      </c>
      <c r="C1795" s="1">
        <v>712959</v>
      </c>
      <c r="D1795" s="3">
        <v>-0.33000000000000501</v>
      </c>
      <c r="E1795" s="3">
        <v>-0.72146917358987195</v>
      </c>
      <c r="F1795" s="3">
        <v>-0.72147322034549199</v>
      </c>
      <c r="G1795" s="3">
        <v>50.68553</v>
      </c>
      <c r="H1795" s="3">
        <v>1312.4487924740999</v>
      </c>
      <c r="I1795" s="3">
        <v>46</v>
      </c>
      <c r="J1795" s="3">
        <v>46.04</v>
      </c>
      <c r="K1795" s="3">
        <v>44.97</v>
      </c>
      <c r="L1795" s="3">
        <v>1165.4361050629</v>
      </c>
    </row>
    <row r="1796" spans="1:12" ht="15" customHeight="1" x14ac:dyDescent="0.2">
      <c r="A1796" s="2">
        <v>43444</v>
      </c>
      <c r="B1796" s="3">
        <v>45.74</v>
      </c>
      <c r="C1796" s="1">
        <v>670075</v>
      </c>
      <c r="D1796" s="3">
        <v>-0.149999999999998</v>
      </c>
      <c r="E1796" s="3">
        <v>-0.32686859882327102</v>
      </c>
      <c r="F1796" s="3">
        <v>-0.32686405774909799</v>
      </c>
      <c r="G1796" s="3">
        <v>51.053870000000003</v>
      </c>
      <c r="H1796" s="3">
        <v>1322.71328784822</v>
      </c>
      <c r="I1796" s="3">
        <v>45.96</v>
      </c>
      <c r="J1796" s="3">
        <v>46.31</v>
      </c>
      <c r="K1796" s="3">
        <v>45.19</v>
      </c>
      <c r="L1796" s="3">
        <v>1174.6321833423799</v>
      </c>
    </row>
    <row r="1797" spans="1:12" ht="15" customHeight="1" x14ac:dyDescent="0.2">
      <c r="A1797" s="2">
        <v>43441</v>
      </c>
      <c r="B1797" s="3">
        <v>45.89</v>
      </c>
      <c r="C1797" s="1">
        <v>671837</v>
      </c>
      <c r="D1797" s="3">
        <v>-0.64999999999999802</v>
      </c>
      <c r="E1797" s="3">
        <v>-1.3966480446927301</v>
      </c>
      <c r="F1797" s="3">
        <v>-1.3966516904502899</v>
      </c>
      <c r="G1797" s="3">
        <v>51.221294</v>
      </c>
      <c r="H1797" s="3">
        <v>1327.37887636296</v>
      </c>
      <c r="I1797" s="3">
        <v>46.43</v>
      </c>
      <c r="J1797" s="3">
        <v>47.16</v>
      </c>
      <c r="K1797" s="3">
        <v>45.77</v>
      </c>
      <c r="L1797" s="3">
        <v>1178.81221892395</v>
      </c>
    </row>
    <row r="1798" spans="1:12" ht="15" customHeight="1" x14ac:dyDescent="0.2">
      <c r="A1798" s="2">
        <v>43440</v>
      </c>
      <c r="B1798" s="3">
        <v>46.54</v>
      </c>
      <c r="C1798" s="1">
        <v>829451</v>
      </c>
      <c r="D1798" s="3">
        <v>-0.14000000000000001</v>
      </c>
      <c r="E1798" s="3">
        <v>-0.29991431019709103</v>
      </c>
      <c r="F1798" s="3">
        <v>-0.299911293140042</v>
      </c>
      <c r="G1798" s="3">
        <v>51.946809999999999</v>
      </c>
      <c r="H1798" s="3">
        <v>1347.59676099632</v>
      </c>
      <c r="I1798" s="3">
        <v>46.26</v>
      </c>
      <c r="J1798" s="3">
        <v>46.634999999999998</v>
      </c>
      <c r="K1798" s="3">
        <v>45.68</v>
      </c>
      <c r="L1798" s="3">
        <v>1196.9257064441199</v>
      </c>
    </row>
    <row r="1799" spans="1:12" ht="15" customHeight="1" x14ac:dyDescent="0.2">
      <c r="A1799" s="2">
        <v>43438</v>
      </c>
      <c r="B1799" s="3">
        <v>46.68</v>
      </c>
      <c r="C1799" s="1">
        <v>888534</v>
      </c>
      <c r="D1799" s="3">
        <v>-0.34000000000000302</v>
      </c>
      <c r="E1799" s="3">
        <v>-0.72309655465759803</v>
      </c>
      <c r="F1799" s="3">
        <v>-0.72309906141416702</v>
      </c>
      <c r="G1799" s="3">
        <v>52.103073000000002</v>
      </c>
      <c r="H1799" s="3">
        <v>1351.95132699688</v>
      </c>
      <c r="I1799" s="3">
        <v>47.04</v>
      </c>
      <c r="J1799" s="3">
        <v>47.97</v>
      </c>
      <c r="K1799" s="3">
        <v>46.55</v>
      </c>
      <c r="L1799" s="3">
        <v>1200.82707298693</v>
      </c>
    </row>
    <row r="1800" spans="1:12" ht="15" customHeight="1" x14ac:dyDescent="0.2">
      <c r="A1800" s="2">
        <v>43437</v>
      </c>
      <c r="B1800" s="3">
        <v>47.02</v>
      </c>
      <c r="C1800" s="1">
        <v>986614</v>
      </c>
      <c r="D1800" s="3">
        <v>-0.16999999999999399</v>
      </c>
      <c r="E1800" s="3">
        <v>-0.36024581479126</v>
      </c>
      <c r="F1800" s="3">
        <v>-0.360238546545887</v>
      </c>
      <c r="G1800" s="3">
        <v>52.482574</v>
      </c>
      <c r="H1800" s="3">
        <v>1362.52684488517</v>
      </c>
      <c r="I1800" s="3">
        <v>46.95</v>
      </c>
      <c r="J1800" s="3">
        <v>47.21</v>
      </c>
      <c r="K1800" s="3">
        <v>45.75</v>
      </c>
      <c r="L1800" s="3">
        <v>1210.3018203051699</v>
      </c>
    </row>
    <row r="1801" spans="1:12" ht="15" customHeight="1" x14ac:dyDescent="0.2">
      <c r="A1801" s="2">
        <v>43434</v>
      </c>
      <c r="B1801" s="3">
        <v>47.19</v>
      </c>
      <c r="C1801" s="1">
        <v>1028721</v>
      </c>
      <c r="D1801" s="3">
        <v>-0.49000000000000199</v>
      </c>
      <c r="E1801" s="3">
        <v>-1.02768456375839</v>
      </c>
      <c r="F1801" s="3">
        <v>-1.0276920475204001</v>
      </c>
      <c r="G1801" s="3">
        <v>52.672319999999999</v>
      </c>
      <c r="H1801" s="3">
        <v>1367.8144784282499</v>
      </c>
      <c r="I1801" s="3">
        <v>47.9</v>
      </c>
      <c r="J1801" s="3">
        <v>48.11</v>
      </c>
      <c r="K1801" s="3">
        <v>46.88</v>
      </c>
      <c r="L1801" s="3">
        <v>1215.03919396429</v>
      </c>
    </row>
    <row r="1802" spans="1:12" ht="15" customHeight="1" x14ac:dyDescent="0.2">
      <c r="A1802" s="2">
        <v>43433</v>
      </c>
      <c r="B1802" s="3">
        <v>47.68</v>
      </c>
      <c r="C1802" s="1">
        <v>1073750</v>
      </c>
      <c r="D1802" s="3">
        <v>-1.85</v>
      </c>
      <c r="E1802" s="3">
        <v>-3.7351100343226298</v>
      </c>
      <c r="F1802" s="3">
        <v>-3.7351052304807801</v>
      </c>
      <c r="G1802" s="3">
        <v>53.219250000000002</v>
      </c>
      <c r="H1802" s="3">
        <v>1383.0557241658</v>
      </c>
      <c r="I1802" s="3">
        <v>49.36</v>
      </c>
      <c r="J1802" s="3">
        <v>49.43</v>
      </c>
      <c r="K1802" s="3">
        <v>47.19</v>
      </c>
      <c r="L1802" s="3">
        <v>1228.69397686411</v>
      </c>
    </row>
    <row r="1803" spans="1:12" ht="15" customHeight="1" x14ac:dyDescent="0.2">
      <c r="A1803" s="2">
        <v>43432</v>
      </c>
      <c r="B1803" s="3">
        <v>49.53</v>
      </c>
      <c r="C1803" s="1">
        <v>936235</v>
      </c>
      <c r="D1803" s="3">
        <v>1.28999999999999</v>
      </c>
      <c r="E1803" s="3">
        <v>2.6741293532338299</v>
      </c>
      <c r="F1803" s="3">
        <v>2.67412099811474</v>
      </c>
      <c r="G1803" s="3">
        <v>55.284171999999998</v>
      </c>
      <c r="H1803" s="3">
        <v>1440.5987070536801</v>
      </c>
      <c r="I1803" s="3">
        <v>48.31</v>
      </c>
      <c r="J1803" s="3">
        <v>49.72</v>
      </c>
      <c r="K1803" s="3">
        <v>48.31</v>
      </c>
      <c r="L1803" s="3">
        <v>1280.2477490368999</v>
      </c>
    </row>
    <row r="1804" spans="1:12" ht="15" customHeight="1" x14ac:dyDescent="0.2">
      <c r="A1804" s="2">
        <v>43431</v>
      </c>
      <c r="B1804" s="3">
        <v>48.24</v>
      </c>
      <c r="C1804" s="1">
        <v>793336</v>
      </c>
      <c r="D1804" s="3">
        <v>1.00000000000051E-2</v>
      </c>
      <c r="E1804" s="3">
        <v>2.07339829981334E-2</v>
      </c>
      <c r="F1804" s="3">
        <v>2.0740010638431401E-2</v>
      </c>
      <c r="G1804" s="3">
        <v>53.84431</v>
      </c>
      <c r="H1804" s="3">
        <v>1400.4742111032699</v>
      </c>
      <c r="I1804" s="3">
        <v>48.25</v>
      </c>
      <c r="J1804" s="3">
        <v>49.84</v>
      </c>
      <c r="K1804" s="3">
        <v>48.2</v>
      </c>
      <c r="L1804" s="3">
        <v>1244.2994430353299</v>
      </c>
    </row>
    <row r="1805" spans="1:12" ht="15" customHeight="1" x14ac:dyDescent="0.2">
      <c r="A1805" s="2">
        <v>43430</v>
      </c>
      <c r="B1805" s="3">
        <v>48.23</v>
      </c>
      <c r="C1805" s="1">
        <v>830632</v>
      </c>
      <c r="D1805" s="3">
        <v>-1.95</v>
      </c>
      <c r="E1805" s="3">
        <v>-3.8860103626943001</v>
      </c>
      <c r="F1805" s="3">
        <v>-3.88601508060479</v>
      </c>
      <c r="G1805" s="3">
        <v>53.833145000000002</v>
      </c>
      <c r="H1805" s="3">
        <v>1400.16307712148</v>
      </c>
      <c r="I1805" s="3">
        <v>50.43</v>
      </c>
      <c r="J1805" s="3">
        <v>50.46</v>
      </c>
      <c r="K1805" s="3">
        <v>48.03</v>
      </c>
      <c r="L1805" s="3">
        <v>1244.0207739965599</v>
      </c>
    </row>
    <row r="1806" spans="1:12" ht="15" customHeight="1" x14ac:dyDescent="0.2">
      <c r="A1806" s="2">
        <v>43427</v>
      </c>
      <c r="B1806" s="3">
        <v>50.18</v>
      </c>
      <c r="C1806" s="1">
        <v>508178</v>
      </c>
      <c r="D1806" s="3">
        <v>1.03</v>
      </c>
      <c r="E1806" s="3">
        <v>2.0956256358087599</v>
      </c>
      <c r="F1806" s="3">
        <v>2.0956296649288801</v>
      </c>
      <c r="G1806" s="3">
        <v>56.009689999999999</v>
      </c>
      <c r="H1806" s="3">
        <v>1460.8166474208499</v>
      </c>
      <c r="I1806" s="3">
        <v>49.07</v>
      </c>
      <c r="J1806" s="3">
        <v>50.566699999999997</v>
      </c>
      <c r="K1806" s="3">
        <v>49.04</v>
      </c>
      <c r="L1806" s="3">
        <v>1298.36123655707</v>
      </c>
    </row>
    <row r="1807" spans="1:12" ht="15" customHeight="1" x14ac:dyDescent="0.2">
      <c r="A1807" s="2">
        <v>43425</v>
      </c>
      <c r="B1807" s="3">
        <v>49.15</v>
      </c>
      <c r="C1807" s="1">
        <v>401629</v>
      </c>
      <c r="D1807" s="3">
        <v>-0.130000000000002</v>
      </c>
      <c r="E1807" s="3">
        <v>-0.26379870129871102</v>
      </c>
      <c r="F1807" s="3">
        <v>-0.263793591459204</v>
      </c>
      <c r="G1807" s="3">
        <v>54.860027000000002</v>
      </c>
      <c r="H1807" s="3">
        <v>1428.7790991086899</v>
      </c>
      <c r="I1807" s="3">
        <v>49.56</v>
      </c>
      <c r="J1807" s="3">
        <v>49.96</v>
      </c>
      <c r="K1807" s="3">
        <v>49.09</v>
      </c>
      <c r="L1807" s="3">
        <v>1269.6583255635701</v>
      </c>
    </row>
    <row r="1808" spans="1:12" ht="15" customHeight="1" x14ac:dyDescent="0.2">
      <c r="A1808" s="2">
        <v>43424</v>
      </c>
      <c r="B1808" s="3">
        <v>49.28</v>
      </c>
      <c r="C1808" s="1">
        <v>549296</v>
      </c>
      <c r="D1808" s="3">
        <v>7.9999999999998295E-2</v>
      </c>
      <c r="E1808" s="3">
        <v>0.16260162601626699</v>
      </c>
      <c r="F1808" s="3">
        <v>0.16259608612714199</v>
      </c>
      <c r="G1808" s="3">
        <v>55.005127000000002</v>
      </c>
      <c r="H1808" s="3">
        <v>1432.8225868612701</v>
      </c>
      <c r="I1808" s="3">
        <v>48.83</v>
      </c>
      <c r="J1808" s="3">
        <v>50.09</v>
      </c>
      <c r="K1808" s="3">
        <v>48.83</v>
      </c>
      <c r="L1808" s="3">
        <v>1273.28102306761</v>
      </c>
    </row>
    <row r="1809" spans="1:12" ht="15" customHeight="1" x14ac:dyDescent="0.2">
      <c r="A1809" s="2">
        <v>43423</v>
      </c>
      <c r="B1809" s="3">
        <v>49.2</v>
      </c>
      <c r="C1809" s="1">
        <v>1209781</v>
      </c>
      <c r="D1809" s="3">
        <v>1.29</v>
      </c>
      <c r="E1809" s="3">
        <v>2.6925485284909199</v>
      </c>
      <c r="F1809" s="3">
        <v>2.6925534605105801</v>
      </c>
      <c r="G1809" s="3">
        <v>54.915835999999999</v>
      </c>
      <c r="H1809" s="3">
        <v>1430.3343231471799</v>
      </c>
      <c r="I1809" s="3">
        <v>47.93</v>
      </c>
      <c r="J1809" s="3">
        <v>49.62</v>
      </c>
      <c r="K1809" s="3">
        <v>47.88</v>
      </c>
      <c r="L1809" s="3">
        <v>1271.05167075743</v>
      </c>
    </row>
    <row r="1810" spans="1:12" ht="15" customHeight="1" x14ac:dyDescent="0.2">
      <c r="A1810" s="2">
        <v>43420</v>
      </c>
      <c r="B1810" s="3">
        <v>47.91</v>
      </c>
      <c r="C1810" s="1">
        <v>1218887</v>
      </c>
      <c r="D1810" s="3">
        <v>-2.39</v>
      </c>
      <c r="E1810" s="3">
        <v>-4.7514910536779302</v>
      </c>
      <c r="F1810" s="3">
        <v>-4.7514920972241503</v>
      </c>
      <c r="G1810" s="3">
        <v>53.475966999999997</v>
      </c>
      <c r="H1810" s="3">
        <v>1390.20963212844</v>
      </c>
      <c r="I1810" s="3">
        <v>49.98</v>
      </c>
      <c r="J1810" s="3">
        <v>50.02</v>
      </c>
      <c r="K1810" s="3">
        <v>47.04</v>
      </c>
      <c r="L1810" s="3">
        <v>1235.10336475586</v>
      </c>
    </row>
    <row r="1811" spans="1:12" ht="15" customHeight="1" x14ac:dyDescent="0.2">
      <c r="A1811" s="2">
        <v>43419</v>
      </c>
      <c r="B1811" s="3">
        <v>50.3</v>
      </c>
      <c r="C1811" s="1">
        <v>527853</v>
      </c>
      <c r="D1811" s="3">
        <v>-0.69000000000000405</v>
      </c>
      <c r="E1811" s="3">
        <v>-1.35320651108061</v>
      </c>
      <c r="F1811" s="3">
        <v>-1.35320982840888</v>
      </c>
      <c r="G1811" s="3">
        <v>56.143627000000002</v>
      </c>
      <c r="H1811" s="3">
        <v>1464.54905692545</v>
      </c>
      <c r="I1811" s="3">
        <v>50.54</v>
      </c>
      <c r="J1811" s="3">
        <v>50.666499999999999</v>
      </c>
      <c r="K1811" s="3">
        <v>49.49</v>
      </c>
      <c r="L1811" s="3">
        <v>1301.70526502233</v>
      </c>
    </row>
    <row r="1812" spans="1:12" ht="15" customHeight="1" x14ac:dyDescent="0.2">
      <c r="A1812" s="2">
        <v>43418</v>
      </c>
      <c r="B1812" s="3">
        <v>50.99</v>
      </c>
      <c r="C1812" s="1">
        <v>592252</v>
      </c>
      <c r="D1812" s="3">
        <v>-0.21</v>
      </c>
      <c r="E1812" s="3">
        <v>-0.410156250000004</v>
      </c>
      <c r="F1812" s="3">
        <v>-0.41015475101869803</v>
      </c>
      <c r="G1812" s="3">
        <v>56.913789999999999</v>
      </c>
      <c r="H1812" s="3">
        <v>1486.0111152162101</v>
      </c>
      <c r="I1812" s="3">
        <v>51.65</v>
      </c>
      <c r="J1812" s="3">
        <v>51.895000000000003</v>
      </c>
      <c r="K1812" s="3">
        <v>50.42</v>
      </c>
      <c r="L1812" s="3">
        <v>1320.93342869759</v>
      </c>
    </row>
    <row r="1813" spans="1:12" ht="15" customHeight="1" x14ac:dyDescent="0.2">
      <c r="A1813" s="2">
        <v>43417</v>
      </c>
      <c r="B1813" s="3">
        <v>51.2</v>
      </c>
      <c r="C1813" s="1">
        <v>834459</v>
      </c>
      <c r="D1813" s="3">
        <v>1.05</v>
      </c>
      <c r="E1813" s="3">
        <v>2.0937188434695999</v>
      </c>
      <c r="F1813" s="3">
        <v>2.7517356739441299</v>
      </c>
      <c r="G1813" s="3">
        <v>57.148186000000003</v>
      </c>
      <c r="H1813" s="3">
        <v>1492.5430060174101</v>
      </c>
      <c r="I1813" s="3">
        <v>49.92</v>
      </c>
      <c r="J1813" s="3">
        <v>51.65</v>
      </c>
      <c r="K1813" s="3">
        <v>49.92</v>
      </c>
      <c r="L1813" s="3">
        <v>1326.7854785118</v>
      </c>
    </row>
    <row r="1814" spans="1:12" ht="15" customHeight="1" x14ac:dyDescent="0.2">
      <c r="A1814" s="2">
        <v>43416</v>
      </c>
      <c r="B1814" s="3">
        <v>50.15</v>
      </c>
      <c r="C1814" s="1">
        <v>1149433</v>
      </c>
      <c r="D1814" s="3">
        <v>-2.16</v>
      </c>
      <c r="E1814" s="3">
        <v>-4.1292295928120897</v>
      </c>
      <c r="F1814" s="3">
        <v>-4.1292253508380696</v>
      </c>
      <c r="G1814" s="3">
        <v>55.617733000000001</v>
      </c>
      <c r="H1814" s="3">
        <v>1449.8940193778601</v>
      </c>
      <c r="I1814" s="3">
        <v>50.5</v>
      </c>
      <c r="J1814" s="3">
        <v>51.21</v>
      </c>
      <c r="K1814" s="3">
        <v>49.9</v>
      </c>
      <c r="L1814" s="3">
        <v>1297.5252294407501</v>
      </c>
    </row>
    <row r="1815" spans="1:12" ht="15" customHeight="1" x14ac:dyDescent="0.2">
      <c r="A1815" s="2">
        <v>43413</v>
      </c>
      <c r="B1815" s="3">
        <v>52.31</v>
      </c>
      <c r="C1815" s="1">
        <v>516378</v>
      </c>
      <c r="D1815" s="3">
        <v>1.00000000000051E-2</v>
      </c>
      <c r="E1815" s="3">
        <v>1.9120458891030898E-2</v>
      </c>
      <c r="F1815" s="3">
        <v>1.9119984193682799E-2</v>
      </c>
      <c r="G1815" s="3">
        <v>58.01323</v>
      </c>
      <c r="H1815" s="3">
        <v>1516.6491040149399</v>
      </c>
      <c r="I1815" s="3">
        <v>52.23</v>
      </c>
      <c r="J1815" s="3">
        <v>52.91</v>
      </c>
      <c r="K1815" s="3">
        <v>52.01</v>
      </c>
      <c r="L1815" s="3">
        <v>1357.7177418154699</v>
      </c>
    </row>
    <row r="1816" spans="1:12" ht="15" customHeight="1" x14ac:dyDescent="0.2">
      <c r="A1816" s="2">
        <v>43412</v>
      </c>
      <c r="B1816" s="3">
        <v>52.3</v>
      </c>
      <c r="C1816" s="1">
        <v>478653</v>
      </c>
      <c r="D1816" s="3">
        <v>9.9999999999980105E-3</v>
      </c>
      <c r="E1816" s="3">
        <v>1.9124115509661001E-2</v>
      </c>
      <c r="F1816" s="3">
        <v>1.9123640630747101E-2</v>
      </c>
      <c r="G1816" s="3">
        <v>58.002139999999997</v>
      </c>
      <c r="H1816" s="3">
        <v>1516.3400600509401</v>
      </c>
      <c r="I1816" s="3">
        <v>52.08</v>
      </c>
      <c r="J1816" s="3">
        <v>52.4</v>
      </c>
      <c r="K1816" s="3">
        <v>51.78</v>
      </c>
      <c r="L1816" s="3">
        <v>1357.4390727767</v>
      </c>
    </row>
    <row r="1817" spans="1:12" ht="15" customHeight="1" x14ac:dyDescent="0.2">
      <c r="A1817" s="2">
        <v>43411</v>
      </c>
      <c r="B1817" s="3">
        <v>52.29</v>
      </c>
      <c r="C1817" s="1">
        <v>1422486</v>
      </c>
      <c r="D1817" s="3">
        <v>0.85999999999999899</v>
      </c>
      <c r="E1817" s="3">
        <v>1.6721757728952</v>
      </c>
      <c r="F1817" s="3">
        <v>1.6721781199788801</v>
      </c>
      <c r="G1817" s="3">
        <v>57.991050000000001</v>
      </c>
      <c r="H1817" s="3">
        <v>1516.0310160869501</v>
      </c>
      <c r="I1817" s="3">
        <v>51.34</v>
      </c>
      <c r="J1817" s="3">
        <v>52.5</v>
      </c>
      <c r="K1817" s="3">
        <v>50.87</v>
      </c>
      <c r="L1817" s="3">
        <v>1357.16040373793</v>
      </c>
    </row>
    <row r="1818" spans="1:12" ht="15" customHeight="1" x14ac:dyDescent="0.2">
      <c r="A1818" s="2">
        <v>43410</v>
      </c>
      <c r="B1818" s="3">
        <v>51.43</v>
      </c>
      <c r="C1818" s="1">
        <v>740003</v>
      </c>
      <c r="D1818" s="3">
        <v>1.1099999999999901</v>
      </c>
      <c r="E1818" s="3">
        <v>2.2058823529411602</v>
      </c>
      <c r="F1818" s="3">
        <v>2.2058850276356701</v>
      </c>
      <c r="G1818" s="3">
        <v>57.037284999999997</v>
      </c>
      <c r="H1818" s="3">
        <v>1489.4525385105201</v>
      </c>
      <c r="I1818" s="3">
        <v>50.46</v>
      </c>
      <c r="J1818" s="3">
        <v>51.48</v>
      </c>
      <c r="K1818" s="3">
        <v>50.33</v>
      </c>
      <c r="L1818" s="3">
        <v>1333.1948664035499</v>
      </c>
    </row>
    <row r="1819" spans="1:12" ht="15" customHeight="1" x14ac:dyDescent="0.2">
      <c r="A1819" s="2">
        <v>43409</v>
      </c>
      <c r="B1819" s="3">
        <v>50.32</v>
      </c>
      <c r="C1819" s="1">
        <v>720270</v>
      </c>
      <c r="D1819" s="3">
        <v>1.1499999999999899</v>
      </c>
      <c r="E1819" s="3">
        <v>2.3388244864754801</v>
      </c>
      <c r="F1819" s="3">
        <v>2.3388271012681101</v>
      </c>
      <c r="G1819" s="3">
        <v>55.806263000000001</v>
      </c>
      <c r="H1819" s="3">
        <v>1455.1477667658301</v>
      </c>
      <c r="I1819" s="3">
        <v>49.34</v>
      </c>
      <c r="J1819" s="3">
        <v>50.67</v>
      </c>
      <c r="K1819" s="3">
        <v>49.34</v>
      </c>
      <c r="L1819" s="3">
        <v>1302.2626030998799</v>
      </c>
    </row>
    <row r="1820" spans="1:12" ht="15" customHeight="1" x14ac:dyDescent="0.2">
      <c r="A1820" s="2">
        <v>43406</v>
      </c>
      <c r="B1820" s="3">
        <v>49.17</v>
      </c>
      <c r="C1820" s="1">
        <v>704294</v>
      </c>
      <c r="D1820" s="3">
        <v>0.57999999999999796</v>
      </c>
      <c r="E1820" s="3">
        <v>1.19366124717019</v>
      </c>
      <c r="F1820" s="3">
        <v>1.1936576335139999</v>
      </c>
      <c r="G1820" s="3">
        <v>54.530880000000003</v>
      </c>
      <c r="H1820" s="3">
        <v>1419.6067912982301</v>
      </c>
      <c r="I1820" s="3">
        <v>49.02</v>
      </c>
      <c r="J1820" s="3">
        <v>49.75</v>
      </c>
      <c r="K1820" s="3">
        <v>48.41</v>
      </c>
      <c r="L1820" s="3">
        <v>1270.21566364111</v>
      </c>
    </row>
    <row r="1821" spans="1:12" ht="15" customHeight="1" x14ac:dyDescent="0.2">
      <c r="A1821" s="2">
        <v>43405</v>
      </c>
      <c r="B1821" s="3">
        <v>48.59</v>
      </c>
      <c r="C1821" s="1">
        <v>1179105</v>
      </c>
      <c r="D1821" s="3">
        <v>0.25</v>
      </c>
      <c r="E1821" s="3">
        <v>0.51717004551097201</v>
      </c>
      <c r="F1821" s="3">
        <v>0.51716840709421497</v>
      </c>
      <c r="G1821" s="3">
        <v>53.887645999999997</v>
      </c>
      <c r="H1821" s="3">
        <v>1401.68185124969</v>
      </c>
      <c r="I1821" s="3">
        <v>48.4</v>
      </c>
      <c r="J1821" s="3">
        <v>49.55</v>
      </c>
      <c r="K1821" s="3">
        <v>47.91</v>
      </c>
      <c r="L1821" s="3">
        <v>1254.05285939235</v>
      </c>
    </row>
    <row r="1822" spans="1:12" ht="15" customHeight="1" x14ac:dyDescent="0.2">
      <c r="A1822" s="2">
        <v>43404</v>
      </c>
      <c r="B1822" s="3">
        <v>48.34</v>
      </c>
      <c r="C1822" s="1">
        <v>2092435</v>
      </c>
      <c r="D1822" s="3">
        <v>-0.70999999999999297</v>
      </c>
      <c r="E1822" s="3">
        <v>-1.44750254841996</v>
      </c>
      <c r="F1822" s="3">
        <v>-1.4475033916812701</v>
      </c>
      <c r="G1822" s="3">
        <v>53.610390000000002</v>
      </c>
      <c r="H1822" s="3">
        <v>1393.9555849483199</v>
      </c>
      <c r="I1822" s="3">
        <v>47.87</v>
      </c>
      <c r="J1822" s="3">
        <v>49.75</v>
      </c>
      <c r="K1822" s="3">
        <v>47.03</v>
      </c>
      <c r="L1822" s="3">
        <v>1247.0861334230499</v>
      </c>
    </row>
    <row r="1823" spans="1:12" ht="15" customHeight="1" x14ac:dyDescent="0.2">
      <c r="A1823" s="2">
        <v>43403</v>
      </c>
      <c r="B1823" s="3">
        <v>49.05</v>
      </c>
      <c r="C1823" s="1">
        <v>2067507.99999999</v>
      </c>
      <c r="D1823" s="3">
        <v>1.19999999999999</v>
      </c>
      <c r="E1823" s="3">
        <v>2.5078369905955999</v>
      </c>
      <c r="F1823" s="3">
        <v>2.5078369374303899</v>
      </c>
      <c r="G1823" s="3">
        <v>54.397799999999997</v>
      </c>
      <c r="H1823" s="3">
        <v>1415.8982637302599</v>
      </c>
      <c r="I1823" s="3">
        <v>47.69</v>
      </c>
      <c r="J1823" s="3">
        <v>49.73</v>
      </c>
      <c r="K1823" s="3">
        <v>46.93</v>
      </c>
      <c r="L1823" s="3">
        <v>1266.8716351758501</v>
      </c>
    </row>
    <row r="1824" spans="1:12" ht="15" customHeight="1" x14ac:dyDescent="0.2">
      <c r="A1824" s="2">
        <v>43402</v>
      </c>
      <c r="B1824" s="3">
        <v>47.85</v>
      </c>
      <c r="C1824" s="1">
        <v>1134455</v>
      </c>
      <c r="D1824" s="3">
        <v>-0.78000000000000103</v>
      </c>
      <c r="E1824" s="3">
        <v>-1.6039481801357101</v>
      </c>
      <c r="F1824" s="3">
        <v>-1.6039509745696401</v>
      </c>
      <c r="G1824" s="3">
        <v>53.066966999999998</v>
      </c>
      <c r="H1824" s="3">
        <v>1378.8120684426699</v>
      </c>
      <c r="I1824" s="3">
        <v>49.13</v>
      </c>
      <c r="J1824" s="3">
        <v>49.68</v>
      </c>
      <c r="K1824" s="3">
        <v>47.2</v>
      </c>
      <c r="L1824" s="3">
        <v>1233.4313505232301</v>
      </c>
    </row>
    <row r="1825" spans="1:12" ht="15" customHeight="1" x14ac:dyDescent="0.2">
      <c r="A1825" s="2">
        <v>43399</v>
      </c>
      <c r="B1825" s="3">
        <v>48.63</v>
      </c>
      <c r="C1825" s="1">
        <v>1022926</v>
      </c>
      <c r="D1825" s="3">
        <v>-1.82</v>
      </c>
      <c r="E1825" s="3">
        <v>-3.6075322101090199</v>
      </c>
      <c r="F1825" s="3">
        <v>-3.6075319514913602</v>
      </c>
      <c r="G1825" s="3">
        <v>53.932009999999998</v>
      </c>
      <c r="H1825" s="3">
        <v>1402.9181385733</v>
      </c>
      <c r="I1825" s="3">
        <v>49.59</v>
      </c>
      <c r="J1825" s="3">
        <v>50.27</v>
      </c>
      <c r="K1825" s="3">
        <v>48.19</v>
      </c>
      <c r="L1825" s="3">
        <v>1255.1675355474399</v>
      </c>
    </row>
    <row r="1826" spans="1:12" ht="15" customHeight="1" x14ac:dyDescent="0.2">
      <c r="A1826" s="2">
        <v>43398</v>
      </c>
      <c r="B1826" s="3">
        <v>50.45</v>
      </c>
      <c r="C1826" s="1">
        <v>723593</v>
      </c>
      <c r="D1826" s="3">
        <v>0.98000000000000398</v>
      </c>
      <c r="E1826" s="3">
        <v>1.9809985850010201</v>
      </c>
      <c r="F1826" s="3">
        <v>1.9809967243487401</v>
      </c>
      <c r="G1826" s="3">
        <v>55.95044</v>
      </c>
      <c r="H1826" s="3">
        <v>1459.1655333661299</v>
      </c>
      <c r="I1826" s="3">
        <v>49.72</v>
      </c>
      <c r="J1826" s="3">
        <v>50.68</v>
      </c>
      <c r="K1826" s="3">
        <v>49.37</v>
      </c>
      <c r="L1826" s="3">
        <v>1305.8853006039101</v>
      </c>
    </row>
    <row r="1827" spans="1:12" ht="15" customHeight="1" x14ac:dyDescent="0.2">
      <c r="A1827" s="2">
        <v>43397</v>
      </c>
      <c r="B1827" s="3">
        <v>49.47</v>
      </c>
      <c r="C1827" s="1">
        <v>732491</v>
      </c>
      <c r="D1827" s="3">
        <v>3.0000000000001099E-2</v>
      </c>
      <c r="E1827" s="3">
        <v>6.06796116504826E-2</v>
      </c>
      <c r="F1827" s="3">
        <v>6.06854017995761E-2</v>
      </c>
      <c r="G1827" s="3">
        <v>54.863593999999999</v>
      </c>
      <c r="H1827" s="3">
        <v>1428.8785003548201</v>
      </c>
      <c r="I1827" s="3">
        <v>49.34</v>
      </c>
      <c r="J1827" s="3">
        <v>50.38</v>
      </c>
      <c r="K1827" s="3">
        <v>49.34</v>
      </c>
      <c r="L1827" s="3">
        <v>1278.57573480427</v>
      </c>
    </row>
    <row r="1828" spans="1:12" ht="15" customHeight="1" x14ac:dyDescent="0.2">
      <c r="A1828" s="2">
        <v>43396</v>
      </c>
      <c r="B1828" s="3">
        <v>49.44</v>
      </c>
      <c r="C1828" s="1">
        <v>836357</v>
      </c>
      <c r="D1828" s="3">
        <v>-1.23</v>
      </c>
      <c r="E1828" s="3">
        <v>-2.4274718768502099</v>
      </c>
      <c r="F1828" s="3">
        <v>-2.4274721634302998</v>
      </c>
      <c r="G1828" s="3">
        <v>54.83032</v>
      </c>
      <c r="H1828" s="3">
        <v>1427.9512569952101</v>
      </c>
      <c r="I1828" s="3">
        <v>50.47</v>
      </c>
      <c r="J1828" s="3">
        <v>50.795000000000002</v>
      </c>
      <c r="K1828" s="3">
        <v>49.43</v>
      </c>
      <c r="L1828" s="3">
        <v>1277.7397276879501</v>
      </c>
    </row>
    <row r="1829" spans="1:12" ht="15" customHeight="1" x14ac:dyDescent="0.2">
      <c r="A1829" s="2">
        <v>43395</v>
      </c>
      <c r="B1829" s="3">
        <v>50.67</v>
      </c>
      <c r="C1829" s="1">
        <v>1005683</v>
      </c>
      <c r="D1829" s="3">
        <v>1.0799999999999901</v>
      </c>
      <c r="E1829" s="3">
        <v>2.1778584392014402</v>
      </c>
      <c r="F1829" s="3">
        <v>2.1778589737990202</v>
      </c>
      <c r="G1829" s="3">
        <v>56.194423999999998</v>
      </c>
      <c r="H1829" s="3">
        <v>1465.9646120417001</v>
      </c>
      <c r="I1829" s="3">
        <v>49.87</v>
      </c>
      <c r="J1829" s="3">
        <v>50.99</v>
      </c>
      <c r="K1829" s="3">
        <v>49.87</v>
      </c>
      <c r="L1829" s="3">
        <v>1312.01601945689</v>
      </c>
    </row>
    <row r="1830" spans="1:12" ht="15" customHeight="1" x14ac:dyDescent="0.2">
      <c r="A1830" s="2">
        <v>43392</v>
      </c>
      <c r="B1830" s="3">
        <v>49.59</v>
      </c>
      <c r="C1830" s="1">
        <v>773964</v>
      </c>
      <c r="D1830" s="3">
        <v>-0.69999999999999496</v>
      </c>
      <c r="E1830" s="3">
        <v>-1.39192682441836</v>
      </c>
      <c r="F1830" s="3">
        <v>-1.3919299115996899</v>
      </c>
      <c r="G1830" s="3">
        <v>54.996673999999999</v>
      </c>
      <c r="H1830" s="3">
        <v>1432.5870279228</v>
      </c>
      <c r="I1830" s="3">
        <v>50.14</v>
      </c>
      <c r="J1830" s="3">
        <v>50.36</v>
      </c>
      <c r="K1830" s="3">
        <v>49.43</v>
      </c>
      <c r="L1830" s="3">
        <v>1281.91976326953</v>
      </c>
    </row>
    <row r="1831" spans="1:12" ht="15" customHeight="1" x14ac:dyDescent="0.2">
      <c r="A1831" s="2">
        <v>43391</v>
      </c>
      <c r="B1831" s="3">
        <v>50.29</v>
      </c>
      <c r="C1831" s="1">
        <v>690219</v>
      </c>
      <c r="D1831" s="3">
        <v>-0.75</v>
      </c>
      <c r="E1831" s="3">
        <v>-1.46943573667711</v>
      </c>
      <c r="F1831" s="3">
        <v>-1.46943807753859</v>
      </c>
      <c r="G1831" s="3">
        <v>55.772995000000002</v>
      </c>
      <c r="H1831" s="3">
        <v>1454.2206906076401</v>
      </c>
      <c r="I1831" s="3">
        <v>50.74</v>
      </c>
      <c r="J1831" s="3">
        <v>51.244999999999997</v>
      </c>
      <c r="K1831" s="3">
        <v>49.98</v>
      </c>
      <c r="L1831" s="3">
        <v>1301.42659598356</v>
      </c>
    </row>
    <row r="1832" spans="1:12" ht="15" customHeight="1" x14ac:dyDescent="0.2">
      <c r="A1832" s="2">
        <v>43390</v>
      </c>
      <c r="B1832" s="3">
        <v>51.04</v>
      </c>
      <c r="C1832" s="1">
        <v>693853</v>
      </c>
      <c r="D1832" s="3">
        <v>4.9999999999997102E-2</v>
      </c>
      <c r="E1832" s="3">
        <v>9.8058442831927495E-2</v>
      </c>
      <c r="F1832" s="3">
        <v>9.8057773147952595E-2</v>
      </c>
      <c r="G1832" s="3">
        <v>56.604767000000002</v>
      </c>
      <c r="H1832" s="3">
        <v>1477.39960097937</v>
      </c>
      <c r="I1832" s="3">
        <v>51.03</v>
      </c>
      <c r="J1832" s="3">
        <v>51.72</v>
      </c>
      <c r="K1832" s="3">
        <v>50.01</v>
      </c>
      <c r="L1832" s="3">
        <v>1322.3267738914501</v>
      </c>
    </row>
    <row r="1833" spans="1:12" ht="15" customHeight="1" x14ac:dyDescent="0.2">
      <c r="A1833" s="2">
        <v>43389</v>
      </c>
      <c r="B1833" s="3">
        <v>50.99</v>
      </c>
      <c r="C1833" s="1">
        <v>742248</v>
      </c>
      <c r="D1833" s="3">
        <v>0.630000000000002</v>
      </c>
      <c r="E1833" s="3">
        <v>1.25099285146943</v>
      </c>
      <c r="F1833" s="3">
        <v>1.25099399061368</v>
      </c>
      <c r="G1833" s="3">
        <v>56.549315999999997</v>
      </c>
      <c r="H1833" s="3">
        <v>1475.85435329248</v>
      </c>
      <c r="I1833" s="3">
        <v>50.55</v>
      </c>
      <c r="J1833" s="3">
        <v>51.23</v>
      </c>
      <c r="K1833" s="3">
        <v>50.085000000000001</v>
      </c>
      <c r="L1833" s="3">
        <v>1320.93342869759</v>
      </c>
    </row>
    <row r="1834" spans="1:12" ht="15" customHeight="1" x14ac:dyDescent="0.2">
      <c r="A1834" s="2">
        <v>43388</v>
      </c>
      <c r="B1834" s="3">
        <v>50.36</v>
      </c>
      <c r="C1834" s="1">
        <v>1016440</v>
      </c>
      <c r="D1834" s="3">
        <v>0.149999999999998</v>
      </c>
      <c r="E1834" s="3">
        <v>0.29874526986655098</v>
      </c>
      <c r="F1834" s="3">
        <v>0.29875223290167702</v>
      </c>
      <c r="G1834" s="3">
        <v>55.850628</v>
      </c>
      <c r="H1834" s="3">
        <v>1456.38408195634</v>
      </c>
      <c r="I1834" s="3">
        <v>50.11</v>
      </c>
      <c r="J1834" s="3">
        <v>50.64</v>
      </c>
      <c r="K1834" s="3">
        <v>49.12</v>
      </c>
      <c r="L1834" s="3">
        <v>1303.3772792549601</v>
      </c>
    </row>
    <row r="1835" spans="1:12" ht="15" customHeight="1" x14ac:dyDescent="0.2">
      <c r="A1835" s="2">
        <v>43385</v>
      </c>
      <c r="B1835" s="3">
        <v>50.21</v>
      </c>
      <c r="C1835" s="1">
        <v>877504</v>
      </c>
      <c r="D1835" s="3">
        <v>-0.630000000000002</v>
      </c>
      <c r="E1835" s="3">
        <v>-1.2391817466561801</v>
      </c>
      <c r="F1835" s="3">
        <v>-1.2391811944166</v>
      </c>
      <c r="G1835" s="3">
        <v>55.684269999999998</v>
      </c>
      <c r="H1835" s="3">
        <v>1451.7481995611399</v>
      </c>
      <c r="I1835" s="3">
        <v>51.21</v>
      </c>
      <c r="J1835" s="3">
        <v>51.51</v>
      </c>
      <c r="K1835" s="3">
        <v>49.98</v>
      </c>
      <c r="L1835" s="3">
        <v>1299.1972436733899</v>
      </c>
    </row>
    <row r="1836" spans="1:12" ht="15" customHeight="1" x14ac:dyDescent="0.2">
      <c r="A1836" s="2">
        <v>43384</v>
      </c>
      <c r="B1836" s="3">
        <v>50.84</v>
      </c>
      <c r="C1836" s="1">
        <v>524549</v>
      </c>
      <c r="D1836" s="3">
        <v>-0.70999999999999297</v>
      </c>
      <c r="E1836" s="3">
        <v>-1.3773035887487699</v>
      </c>
      <c r="F1836" s="3">
        <v>-1.3773096098555899</v>
      </c>
      <c r="G1836" s="3">
        <v>56.382956999999998</v>
      </c>
      <c r="H1836" s="3">
        <v>1471.2184430303701</v>
      </c>
      <c r="I1836" s="3">
        <v>51.35</v>
      </c>
      <c r="J1836" s="3">
        <v>51.76</v>
      </c>
      <c r="K1836" s="3">
        <v>50.655000000000001</v>
      </c>
      <c r="L1836" s="3">
        <v>1316.7533931160101</v>
      </c>
    </row>
    <row r="1837" spans="1:12" ht="15" customHeight="1" x14ac:dyDescent="0.2">
      <c r="A1837" s="2">
        <v>43383</v>
      </c>
      <c r="B1837" s="3">
        <v>51.55</v>
      </c>
      <c r="C1837" s="1">
        <v>479605</v>
      </c>
      <c r="D1837" s="3">
        <v>-0.85000000000000098</v>
      </c>
      <c r="E1837" s="3">
        <v>-1.62213740458015</v>
      </c>
      <c r="F1837" s="3">
        <v>-1.62214008920028</v>
      </c>
      <c r="G1837" s="3">
        <v>57.170369999999998</v>
      </c>
      <c r="H1837" s="3">
        <v>1493.1612054130201</v>
      </c>
      <c r="I1837" s="3">
        <v>52.28</v>
      </c>
      <c r="J1837" s="3">
        <v>52.295000000000002</v>
      </c>
      <c r="K1837" s="3">
        <v>51.48</v>
      </c>
      <c r="L1837" s="3">
        <v>1336.5388948688101</v>
      </c>
    </row>
    <row r="1838" spans="1:12" ht="15" customHeight="1" x14ac:dyDescent="0.2">
      <c r="A1838" s="2">
        <v>43382</v>
      </c>
      <c r="B1838" s="3">
        <v>52.4</v>
      </c>
      <c r="C1838" s="1">
        <v>572661</v>
      </c>
      <c r="D1838" s="3">
        <v>0.35999999999999899</v>
      </c>
      <c r="E1838" s="3">
        <v>0.69177555726365103</v>
      </c>
      <c r="F1838" s="3">
        <v>0.69177568378582199</v>
      </c>
      <c r="G1838" s="3">
        <v>58.113045</v>
      </c>
      <c r="H1838" s="3">
        <v>1519.4306390254401</v>
      </c>
      <c r="I1838" s="3">
        <v>51.93</v>
      </c>
      <c r="J1838" s="3">
        <v>53.03</v>
      </c>
      <c r="K1838" s="3">
        <v>51.93</v>
      </c>
      <c r="L1838" s="3">
        <v>1360.22576316442</v>
      </c>
    </row>
    <row r="1839" spans="1:12" ht="15" customHeight="1" x14ac:dyDescent="0.2">
      <c r="A1839" s="2">
        <v>43381</v>
      </c>
      <c r="B1839" s="3">
        <v>52.04</v>
      </c>
      <c r="C1839" s="1">
        <v>478301</v>
      </c>
      <c r="D1839" s="3">
        <v>0.46999999999999797</v>
      </c>
      <c r="E1839" s="3">
        <v>0.91138258677525497</v>
      </c>
      <c r="F1839" s="3">
        <v>0.91138618578818698</v>
      </c>
      <c r="G1839" s="3">
        <v>57.713794999999998</v>
      </c>
      <c r="H1839" s="3">
        <v>1508.30477765248</v>
      </c>
      <c r="I1839" s="3">
        <v>51.57</v>
      </c>
      <c r="J1839" s="3">
        <v>52.32</v>
      </c>
      <c r="K1839" s="3">
        <v>51.35</v>
      </c>
      <c r="L1839" s="3">
        <v>1350.1936777686301</v>
      </c>
    </row>
    <row r="1840" spans="1:12" ht="15" customHeight="1" x14ac:dyDescent="0.2">
      <c r="A1840" s="2">
        <v>43378</v>
      </c>
      <c r="B1840" s="3">
        <v>51.57</v>
      </c>
      <c r="C1840" s="1">
        <v>550374</v>
      </c>
      <c r="D1840" s="3">
        <v>-0.24000000000000199</v>
      </c>
      <c r="E1840" s="3">
        <v>-0.46323103647945002</v>
      </c>
      <c r="F1840" s="3">
        <v>-0.46323171469353402</v>
      </c>
      <c r="G1840" s="3">
        <v>57.192549999999997</v>
      </c>
      <c r="H1840" s="3">
        <v>1493.7792933410101</v>
      </c>
      <c r="I1840" s="3">
        <v>51.8</v>
      </c>
      <c r="J1840" s="3">
        <v>52.56</v>
      </c>
      <c r="K1840" s="3">
        <v>51.55</v>
      </c>
      <c r="L1840" s="3">
        <v>1337.09623294636</v>
      </c>
    </row>
    <row r="1841" spans="1:12" ht="15" customHeight="1" x14ac:dyDescent="0.2">
      <c r="A1841" s="2">
        <v>43377</v>
      </c>
      <c r="B1841" s="3">
        <v>51.81</v>
      </c>
      <c r="C1841" s="1">
        <v>405575</v>
      </c>
      <c r="D1841" s="3">
        <v>-0.22999999999999601</v>
      </c>
      <c r="E1841" s="3">
        <v>-0.44196771714065602</v>
      </c>
      <c r="F1841" s="3">
        <v>-0.441970589527163</v>
      </c>
      <c r="G1841" s="3">
        <v>57.458717</v>
      </c>
      <c r="H1841" s="3">
        <v>1501.1965435452901</v>
      </c>
      <c r="I1841" s="3">
        <v>51.88</v>
      </c>
      <c r="J1841" s="3">
        <v>52.02</v>
      </c>
      <c r="K1841" s="3">
        <v>51.2</v>
      </c>
      <c r="L1841" s="3">
        <v>1343.7842898768799</v>
      </c>
    </row>
    <row r="1842" spans="1:12" ht="15" customHeight="1" x14ac:dyDescent="0.2">
      <c r="A1842" s="2">
        <v>43376</v>
      </c>
      <c r="B1842" s="3">
        <v>52.04</v>
      </c>
      <c r="C1842" s="1">
        <v>438625</v>
      </c>
      <c r="D1842" s="3">
        <v>-2.0000000000003099E-2</v>
      </c>
      <c r="E1842" s="3">
        <v>-3.8417210910490697E-2</v>
      </c>
      <c r="F1842" s="3">
        <v>-3.8412793355024899E-2</v>
      </c>
      <c r="G1842" s="3">
        <v>57.713794999999998</v>
      </c>
      <c r="H1842" s="3">
        <v>1508.30477765248</v>
      </c>
      <c r="I1842" s="3">
        <v>52.15</v>
      </c>
      <c r="J1842" s="3">
        <v>52.66</v>
      </c>
      <c r="K1842" s="3">
        <v>51.63</v>
      </c>
      <c r="L1842" s="3">
        <v>1350.1936777686301</v>
      </c>
    </row>
    <row r="1843" spans="1:12" ht="15" customHeight="1" x14ac:dyDescent="0.2">
      <c r="A1843" s="2">
        <v>43375</v>
      </c>
      <c r="B1843" s="3">
        <v>52.06</v>
      </c>
      <c r="C1843" s="1">
        <v>386876</v>
      </c>
      <c r="D1843" s="3">
        <v>-0.42999999999999899</v>
      </c>
      <c r="E1843" s="3">
        <v>-0.81920365783958404</v>
      </c>
      <c r="F1843" s="3">
        <v>-0.81920564076086699</v>
      </c>
      <c r="G1843" s="3">
        <v>57.735973000000001</v>
      </c>
      <c r="H1843" s="3">
        <v>1508.9228098466699</v>
      </c>
      <c r="I1843" s="3">
        <v>52.57</v>
      </c>
      <c r="J1843" s="3">
        <v>53.19</v>
      </c>
      <c r="K1843" s="3">
        <v>51.99</v>
      </c>
      <c r="L1843" s="3">
        <v>1350.7510158461801</v>
      </c>
    </row>
    <row r="1844" spans="1:12" ht="15" customHeight="1" x14ac:dyDescent="0.2">
      <c r="A1844" s="2">
        <v>43374</v>
      </c>
      <c r="B1844" s="3">
        <v>52.49</v>
      </c>
      <c r="C1844" s="1">
        <v>585997</v>
      </c>
      <c r="D1844" s="3">
        <v>-1.0499999999999901</v>
      </c>
      <c r="E1844" s="3">
        <v>-1.9611505416510999</v>
      </c>
      <c r="F1844" s="3">
        <v>-1.9611506646433401</v>
      </c>
      <c r="G1844" s="3">
        <v>58.212856000000002</v>
      </c>
      <c r="H1844" s="3">
        <v>1522.2120625683301</v>
      </c>
      <c r="I1844" s="3">
        <v>53.59</v>
      </c>
      <c r="J1844" s="3">
        <v>53.68</v>
      </c>
      <c r="K1844" s="3">
        <v>52.36</v>
      </c>
      <c r="L1844" s="3">
        <v>1362.73378451336</v>
      </c>
    </row>
    <row r="1845" spans="1:12" ht="15" customHeight="1" x14ac:dyDescent="0.2">
      <c r="A1845" s="2">
        <v>43371</v>
      </c>
      <c r="B1845" s="3">
        <v>53.54</v>
      </c>
      <c r="C1845" s="1">
        <v>555424</v>
      </c>
      <c r="D1845" s="3">
        <v>-9.0000000000003397E-2</v>
      </c>
      <c r="E1845" s="3">
        <v>-0.16781652060414701</v>
      </c>
      <c r="F1845" s="3">
        <v>-0.167814037344693</v>
      </c>
      <c r="G1845" s="3">
        <v>59.377335000000002</v>
      </c>
      <c r="H1845" s="3">
        <v>1554.6624869283301</v>
      </c>
      <c r="I1845" s="3">
        <v>53.29</v>
      </c>
      <c r="J1845" s="3">
        <v>53.99</v>
      </c>
      <c r="K1845" s="3">
        <v>53.19</v>
      </c>
      <c r="L1845" s="3">
        <v>1391.9940335844101</v>
      </c>
    </row>
    <row r="1846" spans="1:12" ht="15" customHeight="1" x14ac:dyDescent="0.2">
      <c r="A1846" s="2">
        <v>43370</v>
      </c>
      <c r="B1846" s="3">
        <v>53.63</v>
      </c>
      <c r="C1846" s="1">
        <v>369910</v>
      </c>
      <c r="D1846" s="3">
        <v>8.00000000000054E-2</v>
      </c>
      <c r="E1846" s="3">
        <v>0.14939309056955999</v>
      </c>
      <c r="F1846" s="3">
        <v>0.14939275034473401</v>
      </c>
      <c r="G1846" s="3">
        <v>59.477145999999998</v>
      </c>
      <c r="H1846" s="3">
        <v>1557.4439104712101</v>
      </c>
      <c r="I1846" s="3">
        <v>53.47</v>
      </c>
      <c r="J1846" s="3">
        <v>54.1</v>
      </c>
      <c r="K1846" s="3">
        <v>53.42</v>
      </c>
      <c r="L1846" s="3">
        <v>1394.5020549333501</v>
      </c>
    </row>
    <row r="1847" spans="1:12" ht="15" customHeight="1" x14ac:dyDescent="0.2">
      <c r="A1847" s="2">
        <v>43369</v>
      </c>
      <c r="B1847" s="3">
        <v>53.55</v>
      </c>
      <c r="C1847" s="1">
        <v>630601</v>
      </c>
      <c r="D1847" s="3">
        <v>0.489999999999994</v>
      </c>
      <c r="E1847" s="3">
        <v>0.923482849604218</v>
      </c>
      <c r="F1847" s="3">
        <v>0.92348372843911097</v>
      </c>
      <c r="G1847" s="3">
        <v>59.388424000000001</v>
      </c>
      <c r="H1847" s="3">
        <v>1554.9715030254199</v>
      </c>
      <c r="I1847" s="3">
        <v>53.24</v>
      </c>
      <c r="J1847" s="3">
        <v>54.2</v>
      </c>
      <c r="K1847" s="3">
        <v>53.02</v>
      </c>
      <c r="L1847" s="3">
        <v>1392.2727026231801</v>
      </c>
    </row>
    <row r="1848" spans="1:12" ht="15" customHeight="1" x14ac:dyDescent="0.2">
      <c r="A1848" s="2">
        <v>43368</v>
      </c>
      <c r="B1848" s="3">
        <v>53.06</v>
      </c>
      <c r="C1848" s="1">
        <v>441865</v>
      </c>
      <c r="D1848" s="3">
        <v>0.56999999999999995</v>
      </c>
      <c r="E1848" s="3">
        <v>1.0859211278338701</v>
      </c>
      <c r="F1848" s="3">
        <v>1.08591820336043</v>
      </c>
      <c r="G1848" s="3">
        <v>58.844999999999999</v>
      </c>
      <c r="H1848" s="3">
        <v>1539.8279586528699</v>
      </c>
      <c r="I1848" s="3">
        <v>52.65</v>
      </c>
      <c r="J1848" s="3">
        <v>53.44</v>
      </c>
      <c r="K1848" s="3">
        <v>52.65</v>
      </c>
      <c r="L1848" s="3">
        <v>1378.61791972336</v>
      </c>
    </row>
    <row r="1849" spans="1:12" ht="15" customHeight="1" x14ac:dyDescent="0.2">
      <c r="A1849" s="2">
        <v>43367</v>
      </c>
      <c r="B1849" s="3">
        <v>52.49</v>
      </c>
      <c r="C1849" s="1">
        <v>620948</v>
      </c>
      <c r="D1849" s="3">
        <v>0.17000000000000101</v>
      </c>
      <c r="E1849" s="3">
        <v>0.32492354740061202</v>
      </c>
      <c r="F1849" s="3">
        <v>0.32492582420613397</v>
      </c>
      <c r="G1849" s="3">
        <v>58.212856000000002</v>
      </c>
      <c r="H1849" s="3">
        <v>1522.2120625683301</v>
      </c>
      <c r="I1849" s="3">
        <v>52.12</v>
      </c>
      <c r="J1849" s="3">
        <v>52.56</v>
      </c>
      <c r="K1849" s="3">
        <v>51.13</v>
      </c>
      <c r="L1849" s="3">
        <v>1362.73378451336</v>
      </c>
    </row>
    <row r="1850" spans="1:12" ht="15" customHeight="1" x14ac:dyDescent="0.2">
      <c r="A1850" s="2">
        <v>43364</v>
      </c>
      <c r="B1850" s="3">
        <v>52.32</v>
      </c>
      <c r="C1850" s="1">
        <v>895384</v>
      </c>
      <c r="D1850" s="3">
        <v>-0.869999999999997</v>
      </c>
      <c r="E1850" s="3">
        <v>-1.63564579808234</v>
      </c>
      <c r="F1850" s="3">
        <v>-1.63564588987124</v>
      </c>
      <c r="G1850" s="3">
        <v>58.024320000000003</v>
      </c>
      <c r="H1850" s="3">
        <v>1516.9581479789399</v>
      </c>
      <c r="I1850" s="3">
        <v>53.19</v>
      </c>
      <c r="J1850" s="3">
        <v>53.57</v>
      </c>
      <c r="K1850" s="3">
        <v>52.31</v>
      </c>
      <c r="L1850" s="3">
        <v>1357.9964108542399</v>
      </c>
    </row>
    <row r="1851" spans="1:12" ht="15" customHeight="1" x14ac:dyDescent="0.2">
      <c r="A1851" s="2">
        <v>43363</v>
      </c>
      <c r="B1851" s="3">
        <v>53.19</v>
      </c>
      <c r="C1851" s="1">
        <v>607670</v>
      </c>
      <c r="D1851" s="3">
        <v>-0.55000000000000404</v>
      </c>
      <c r="E1851" s="3">
        <v>-1.0234462225530301</v>
      </c>
      <c r="F1851" s="3">
        <v>-1.02344765377486</v>
      </c>
      <c r="G1851" s="3">
        <v>58.989173999999998</v>
      </c>
      <c r="H1851" s="3">
        <v>1543.84564165246</v>
      </c>
      <c r="I1851" s="3">
        <v>54.12</v>
      </c>
      <c r="J1851" s="3">
        <v>54.35</v>
      </c>
      <c r="K1851" s="3">
        <v>53.03</v>
      </c>
      <c r="L1851" s="3">
        <v>1382.24061722739</v>
      </c>
    </row>
    <row r="1852" spans="1:12" ht="15" customHeight="1" x14ac:dyDescent="0.2">
      <c r="A1852" s="2">
        <v>43362</v>
      </c>
      <c r="B1852" s="3">
        <v>53.74</v>
      </c>
      <c r="C1852" s="1">
        <v>375349</v>
      </c>
      <c r="D1852" s="3">
        <v>0.130000000000002</v>
      </c>
      <c r="E1852" s="3">
        <v>0.24249207237456699</v>
      </c>
      <c r="F1852" s="3">
        <v>0.242491094141872</v>
      </c>
      <c r="G1852" s="3">
        <v>59.599139999999998</v>
      </c>
      <c r="H1852" s="3">
        <v>1560.8435055428099</v>
      </c>
      <c r="I1852" s="3">
        <v>53.49</v>
      </c>
      <c r="J1852" s="3">
        <v>54.25</v>
      </c>
      <c r="K1852" s="3">
        <v>53.344999999999999</v>
      </c>
      <c r="L1852" s="3">
        <v>1397.5674143598401</v>
      </c>
    </row>
    <row r="1853" spans="1:12" ht="15" customHeight="1" x14ac:dyDescent="0.2">
      <c r="A1853" s="2">
        <v>43361</v>
      </c>
      <c r="B1853" s="3">
        <v>53.61</v>
      </c>
      <c r="C1853" s="1">
        <v>418952</v>
      </c>
      <c r="D1853" s="3">
        <v>0.56000000000000205</v>
      </c>
      <c r="E1853" s="3">
        <v>1.05560791705938</v>
      </c>
      <c r="F1853" s="3">
        <v>1.0556140516791701</v>
      </c>
      <c r="G1853" s="3">
        <v>59.454967000000003</v>
      </c>
      <c r="H1853" s="3">
        <v>1556.82585041012</v>
      </c>
      <c r="I1853" s="3">
        <v>52.79</v>
      </c>
      <c r="J1853" s="3">
        <v>53.81</v>
      </c>
      <c r="K1853" s="3">
        <v>52.375</v>
      </c>
      <c r="L1853" s="3">
        <v>1393.9447168558099</v>
      </c>
    </row>
    <row r="1854" spans="1:12" ht="15" customHeight="1" x14ac:dyDescent="0.2">
      <c r="A1854" s="2">
        <v>43360</v>
      </c>
      <c r="B1854" s="3">
        <v>53.05</v>
      </c>
      <c r="C1854" s="1">
        <v>453471</v>
      </c>
      <c r="D1854" s="3">
        <v>0.119999999999997</v>
      </c>
      <c r="E1854" s="3">
        <v>0.226714528622706</v>
      </c>
      <c r="F1854" s="3">
        <v>0.226705482699296</v>
      </c>
      <c r="G1854" s="3">
        <v>58.833908000000001</v>
      </c>
      <c r="H1854" s="3">
        <v>1539.5188589550601</v>
      </c>
      <c r="I1854" s="3">
        <v>53.03</v>
      </c>
      <c r="J1854" s="3">
        <v>53.4497</v>
      </c>
      <c r="K1854" s="3">
        <v>52.41</v>
      </c>
      <c r="L1854" s="3">
        <v>1378.3392506845901</v>
      </c>
    </row>
    <row r="1855" spans="1:12" ht="15" customHeight="1" x14ac:dyDescent="0.2">
      <c r="A1855" s="2">
        <v>43357</v>
      </c>
      <c r="B1855" s="3">
        <v>52.93</v>
      </c>
      <c r="C1855" s="1">
        <v>732652</v>
      </c>
      <c r="D1855" s="3">
        <v>-6.0000000000002197E-2</v>
      </c>
      <c r="E1855" s="3">
        <v>-0.113228911115303</v>
      </c>
      <c r="F1855" s="3">
        <v>-0.11322609808810299</v>
      </c>
      <c r="G1855" s="3">
        <v>58.700830000000003</v>
      </c>
      <c r="H1855" s="3">
        <v>1535.81038712089</v>
      </c>
      <c r="I1855" s="3">
        <v>53.22</v>
      </c>
      <c r="J1855" s="3">
        <v>53.39</v>
      </c>
      <c r="K1855" s="3">
        <v>52.39</v>
      </c>
      <c r="L1855" s="3">
        <v>1374.9952222193299</v>
      </c>
    </row>
    <row r="1856" spans="1:12" ht="15" customHeight="1" x14ac:dyDescent="0.2">
      <c r="A1856" s="2">
        <v>43356</v>
      </c>
      <c r="B1856" s="3">
        <v>52.99</v>
      </c>
      <c r="C1856" s="1">
        <v>711650</v>
      </c>
      <c r="D1856" s="3">
        <v>-0.50999999999999801</v>
      </c>
      <c r="E1856" s="3">
        <v>-0.95327102803738295</v>
      </c>
      <c r="F1856" s="3">
        <v>-0.95326927238249504</v>
      </c>
      <c r="G1856" s="3">
        <v>58.76737</v>
      </c>
      <c r="H1856" s="3">
        <v>1537.6646509048801</v>
      </c>
      <c r="I1856" s="3">
        <v>53.37</v>
      </c>
      <c r="J1856" s="3">
        <v>53.62</v>
      </c>
      <c r="K1856" s="3">
        <v>52.5</v>
      </c>
      <c r="L1856" s="3">
        <v>1376.66723645196</v>
      </c>
    </row>
    <row r="1857" spans="1:12" ht="15" customHeight="1" x14ac:dyDescent="0.2">
      <c r="A1857" s="2">
        <v>43355</v>
      </c>
      <c r="B1857" s="3">
        <v>53.5</v>
      </c>
      <c r="C1857" s="1">
        <v>662271</v>
      </c>
      <c r="D1857" s="3">
        <v>-6.0000000000002197E-2</v>
      </c>
      <c r="E1857" s="3">
        <v>-0.112023898431667</v>
      </c>
      <c r="F1857" s="3">
        <v>-0.11202784696043799</v>
      </c>
      <c r="G1857" s="3">
        <v>59.332973000000003</v>
      </c>
      <c r="H1857" s="3">
        <v>1553.4262553385299</v>
      </c>
      <c r="I1857" s="3">
        <v>53.57</v>
      </c>
      <c r="J1857" s="3">
        <v>53.9</v>
      </c>
      <c r="K1857" s="3">
        <v>53.06</v>
      </c>
      <c r="L1857" s="3">
        <v>1390.87935742932</v>
      </c>
    </row>
    <row r="1858" spans="1:12" ht="15" customHeight="1" x14ac:dyDescent="0.2">
      <c r="A1858" s="2">
        <v>43354</v>
      </c>
      <c r="B1858" s="3">
        <v>53.56</v>
      </c>
      <c r="C1858" s="1">
        <v>724746</v>
      </c>
      <c r="D1858" s="3">
        <v>-0.93999999999999695</v>
      </c>
      <c r="E1858" s="3">
        <v>-1.7247706422018301</v>
      </c>
      <c r="F1858" s="3">
        <v>-1.72476589126765</v>
      </c>
      <c r="G1858" s="3">
        <v>59.399517000000003</v>
      </c>
      <c r="H1858" s="3">
        <v>1555.2806305901299</v>
      </c>
      <c r="I1858" s="3">
        <v>54.16</v>
      </c>
      <c r="J1858" s="3">
        <v>54.34</v>
      </c>
      <c r="K1858" s="3">
        <v>53.48</v>
      </c>
      <c r="L1858" s="3">
        <v>1392.55137166195</v>
      </c>
    </row>
    <row r="1859" spans="1:12" ht="15" customHeight="1" x14ac:dyDescent="0.2">
      <c r="A1859" s="2">
        <v>43353</v>
      </c>
      <c r="B1859" s="3">
        <v>54.5</v>
      </c>
      <c r="C1859" s="1">
        <v>707219</v>
      </c>
      <c r="D1859" s="3">
        <v>-0.57999999999999796</v>
      </c>
      <c r="E1859" s="3">
        <v>-1.0530137981118299</v>
      </c>
      <c r="F1859" s="3">
        <v>-1.05302033682768</v>
      </c>
      <c r="G1859" s="3">
        <v>60.442</v>
      </c>
      <c r="H1859" s="3">
        <v>1584.33140414473</v>
      </c>
      <c r="I1859" s="3">
        <v>55.3</v>
      </c>
      <c r="J1859" s="3">
        <v>55.3</v>
      </c>
      <c r="K1859" s="3">
        <v>54.42</v>
      </c>
      <c r="L1859" s="3">
        <v>1418.7462613064999</v>
      </c>
    </row>
    <row r="1860" spans="1:12" ht="15" customHeight="1" x14ac:dyDescent="0.2">
      <c r="A1860" s="2">
        <v>43350</v>
      </c>
      <c r="B1860" s="3">
        <v>55.08</v>
      </c>
      <c r="C1860" s="1">
        <v>754402</v>
      </c>
      <c r="D1860" s="3">
        <v>0.12999999999999501</v>
      </c>
      <c r="E1860" s="3">
        <v>0.23657870791626801</v>
      </c>
      <c r="F1860" s="3">
        <v>0.23658432082158601</v>
      </c>
      <c r="G1860" s="3">
        <v>61.085239999999999</v>
      </c>
      <c r="H1860" s="3">
        <v>1602.2565113946901</v>
      </c>
      <c r="I1860" s="3">
        <v>54.89</v>
      </c>
      <c r="J1860" s="3">
        <v>55.63</v>
      </c>
      <c r="K1860" s="3">
        <v>54.73</v>
      </c>
      <c r="L1860" s="3">
        <v>1434.90906555527</v>
      </c>
    </row>
    <row r="1861" spans="1:12" ht="15" customHeight="1" x14ac:dyDescent="0.2">
      <c r="A1861" s="2">
        <v>43349</v>
      </c>
      <c r="B1861" s="3">
        <v>54.95</v>
      </c>
      <c r="C1861" s="1">
        <v>526624</v>
      </c>
      <c r="D1861" s="3">
        <v>0.35999999999999899</v>
      </c>
      <c r="E1861" s="3">
        <v>0.65946143982413796</v>
      </c>
      <c r="F1861" s="3">
        <v>0.65946158566476598</v>
      </c>
      <c r="G1861" s="3">
        <v>60.941063</v>
      </c>
      <c r="H1861" s="3">
        <v>1598.23874479439</v>
      </c>
      <c r="I1861" s="3">
        <v>54.77</v>
      </c>
      <c r="J1861" s="3">
        <v>55.49</v>
      </c>
      <c r="K1861" s="3">
        <v>52.514899999999997</v>
      </c>
      <c r="L1861" s="3">
        <v>1431.2863680512401</v>
      </c>
    </row>
    <row r="1862" spans="1:12" ht="15" customHeight="1" x14ac:dyDescent="0.2">
      <c r="A1862" s="2">
        <v>43348</v>
      </c>
      <c r="B1862" s="3">
        <v>54.59</v>
      </c>
      <c r="C1862" s="1">
        <v>824286</v>
      </c>
      <c r="D1862" s="3">
        <v>1.7</v>
      </c>
      <c r="E1862" s="3">
        <v>3.2142181886935099</v>
      </c>
      <c r="F1862" s="3">
        <v>3.2142220506166099</v>
      </c>
      <c r="G1862" s="3">
        <v>60.541812999999998</v>
      </c>
      <c r="H1862" s="3">
        <v>1587.1128834214201</v>
      </c>
      <c r="I1862" s="3">
        <v>52.73</v>
      </c>
      <c r="J1862" s="3">
        <v>54.69</v>
      </c>
      <c r="K1862" s="3">
        <v>52.35</v>
      </c>
      <c r="L1862" s="3">
        <v>1421.25428265545</v>
      </c>
    </row>
    <row r="1863" spans="1:12" ht="15" customHeight="1" x14ac:dyDescent="0.2">
      <c r="A1863" s="2">
        <v>43347</v>
      </c>
      <c r="B1863" s="3">
        <v>52.89</v>
      </c>
      <c r="C1863" s="1">
        <v>432893</v>
      </c>
      <c r="D1863" s="3">
        <v>-0.28000000000000103</v>
      </c>
      <c r="E1863" s="3">
        <v>-0.52661275155162501</v>
      </c>
      <c r="F1863" s="3">
        <v>-0.52660988800683395</v>
      </c>
      <c r="G1863" s="3">
        <v>58.656464</v>
      </c>
      <c r="H1863" s="3">
        <v>1534.57404406348</v>
      </c>
      <c r="I1863" s="3">
        <v>53.14</v>
      </c>
      <c r="J1863" s="3">
        <v>53.22</v>
      </c>
      <c r="K1863" s="3">
        <v>52.59</v>
      </c>
      <c r="L1863" s="3">
        <v>1373.88054606424</v>
      </c>
    </row>
    <row r="1864" spans="1:12" ht="15" customHeight="1" x14ac:dyDescent="0.2">
      <c r="A1864" s="2">
        <v>43343</v>
      </c>
      <c r="B1864" s="3">
        <v>53.17</v>
      </c>
      <c r="C1864" s="1">
        <v>620344</v>
      </c>
      <c r="D1864" s="3">
        <v>0.190000000000004</v>
      </c>
      <c r="E1864" s="3">
        <v>0.35862589656474497</v>
      </c>
      <c r="F1864" s="3">
        <v>0.358616985282256</v>
      </c>
      <c r="G1864" s="3">
        <v>58.966990000000003</v>
      </c>
      <c r="H1864" s="3">
        <v>1543.22744225684</v>
      </c>
      <c r="I1864" s="3">
        <v>53.15</v>
      </c>
      <c r="J1864" s="3">
        <v>53.67</v>
      </c>
      <c r="K1864" s="3">
        <v>53.09</v>
      </c>
      <c r="L1864" s="3">
        <v>1381.68327914985</v>
      </c>
    </row>
    <row r="1865" spans="1:12" ht="15" customHeight="1" x14ac:dyDescent="0.2">
      <c r="A1865" s="2">
        <v>43342</v>
      </c>
      <c r="B1865" s="3">
        <v>52.98</v>
      </c>
      <c r="C1865" s="1">
        <v>423610</v>
      </c>
      <c r="D1865" s="3">
        <v>0.209999999999993</v>
      </c>
      <c r="E1865" s="3">
        <v>0.39795338260373198</v>
      </c>
      <c r="F1865" s="3">
        <v>0.39795374785571702</v>
      </c>
      <c r="G1865" s="3">
        <v>58.756279999999997</v>
      </c>
      <c r="H1865" s="3">
        <v>1537.3556069408801</v>
      </c>
      <c r="I1865" s="3">
        <v>52.51</v>
      </c>
      <c r="J1865" s="3">
        <v>53.4</v>
      </c>
      <c r="K1865" s="3">
        <v>51.8</v>
      </c>
      <c r="L1865" s="3">
        <v>1376.38856741318</v>
      </c>
    </row>
    <row r="1866" spans="1:12" ht="15" customHeight="1" x14ac:dyDescent="0.2">
      <c r="A1866" s="2">
        <v>43341</v>
      </c>
      <c r="B1866" s="3">
        <v>52.77</v>
      </c>
      <c r="C1866" s="1">
        <v>339540</v>
      </c>
      <c r="D1866" s="3">
        <v>-8.9999999999996305E-2</v>
      </c>
      <c r="E1866" s="3">
        <v>-0.17026106696934601</v>
      </c>
      <c r="F1866" s="3">
        <v>-0.17026024988470101</v>
      </c>
      <c r="G1866" s="3">
        <v>58.523384</v>
      </c>
      <c r="H1866" s="3">
        <v>1530.8655164955001</v>
      </c>
      <c r="I1866" s="3">
        <v>52.96</v>
      </c>
      <c r="J1866" s="3">
        <v>53.19</v>
      </c>
      <c r="K1866" s="3">
        <v>52.65</v>
      </c>
      <c r="L1866" s="3">
        <v>1370.53651759898</v>
      </c>
    </row>
    <row r="1867" spans="1:12" ht="15" customHeight="1" x14ac:dyDescent="0.2">
      <c r="A1867" s="2">
        <v>43340</v>
      </c>
      <c r="B1867" s="3">
        <v>52.86</v>
      </c>
      <c r="C1867" s="1">
        <v>389662</v>
      </c>
      <c r="D1867" s="3">
        <v>0.35000000000000098</v>
      </c>
      <c r="E1867" s="3">
        <v>0.66653970672252405</v>
      </c>
      <c r="F1867" s="3">
        <v>0.66654205668459299</v>
      </c>
      <c r="G1867" s="3">
        <v>58.623196</v>
      </c>
      <c r="H1867" s="3">
        <v>1533.64696790529</v>
      </c>
      <c r="I1867" s="3">
        <v>52.35</v>
      </c>
      <c r="J1867" s="3">
        <v>52.98</v>
      </c>
      <c r="K1867" s="3">
        <v>51.88</v>
      </c>
      <c r="L1867" s="3">
        <v>1373.04453894792</v>
      </c>
    </row>
    <row r="1868" spans="1:12" ht="15" customHeight="1" x14ac:dyDescent="0.2">
      <c r="A1868" s="2">
        <v>43339</v>
      </c>
      <c r="B1868" s="3">
        <v>52.51</v>
      </c>
      <c r="C1868" s="1">
        <v>432179</v>
      </c>
      <c r="D1868" s="3">
        <v>-0.33000000000000501</v>
      </c>
      <c r="E1868" s="3">
        <v>-0.62452687358063297</v>
      </c>
      <c r="F1868" s="3">
        <v>-0.624525040207069</v>
      </c>
      <c r="G1868" s="3">
        <v>58.235035000000003</v>
      </c>
      <c r="H1868" s="3">
        <v>1522.83012262942</v>
      </c>
      <c r="I1868" s="3">
        <v>53.09</v>
      </c>
      <c r="J1868" s="3">
        <v>53.48</v>
      </c>
      <c r="K1868" s="3">
        <v>52.4</v>
      </c>
      <c r="L1868" s="3">
        <v>1363.2911225909099</v>
      </c>
    </row>
    <row r="1869" spans="1:12" ht="15" customHeight="1" x14ac:dyDescent="0.2">
      <c r="A1869" s="2">
        <v>43336</v>
      </c>
      <c r="B1869" s="3">
        <v>52.84</v>
      </c>
      <c r="C1869" s="1">
        <v>501716</v>
      </c>
      <c r="D1869" s="3">
        <v>-0.15999999999999601</v>
      </c>
      <c r="E1869" s="3">
        <v>-0.30188679245282102</v>
      </c>
      <c r="F1869" s="3">
        <v>-0.30188781066695602</v>
      </c>
      <c r="G1869" s="3">
        <v>58.601013000000002</v>
      </c>
      <c r="H1869" s="3">
        <v>1533.02879637658</v>
      </c>
      <c r="I1869" s="3">
        <v>52.97</v>
      </c>
      <c r="J1869" s="3">
        <v>53.41</v>
      </c>
      <c r="K1869" s="3">
        <v>52.695</v>
      </c>
      <c r="L1869" s="3">
        <v>1372.4872008703801</v>
      </c>
    </row>
    <row r="1870" spans="1:12" ht="15" customHeight="1" x14ac:dyDescent="0.2">
      <c r="A1870" s="2">
        <v>43335</v>
      </c>
      <c r="B1870" s="3">
        <v>53</v>
      </c>
      <c r="C1870" s="1">
        <v>374018</v>
      </c>
      <c r="D1870" s="3">
        <v>0.20000000000000201</v>
      </c>
      <c r="E1870" s="3">
        <v>0.378787878787889</v>
      </c>
      <c r="F1870" s="3">
        <v>0.37878873266183799</v>
      </c>
      <c r="G1870" s="3">
        <v>58.778458000000001</v>
      </c>
      <c r="H1870" s="3">
        <v>1537.97363913507</v>
      </c>
      <c r="I1870" s="3">
        <v>52.8</v>
      </c>
      <c r="J1870" s="3">
        <v>53.03</v>
      </c>
      <c r="K1870" s="3">
        <v>52.180999999999997</v>
      </c>
      <c r="L1870" s="3">
        <v>1376.94590549073</v>
      </c>
    </row>
    <row r="1871" spans="1:12" ht="15" customHeight="1" x14ac:dyDescent="0.2">
      <c r="A1871" s="2">
        <v>43334</v>
      </c>
      <c r="B1871" s="3">
        <v>52.8</v>
      </c>
      <c r="C1871" s="1">
        <v>394688</v>
      </c>
      <c r="D1871" s="3">
        <v>0.28999999999999898</v>
      </c>
      <c r="E1871" s="3">
        <v>0.55227575699865405</v>
      </c>
      <c r="F1871" s="3">
        <v>0.55227407350231195</v>
      </c>
      <c r="G1871" s="3">
        <v>58.556652</v>
      </c>
      <c r="H1871" s="3">
        <v>1531.79259265369</v>
      </c>
      <c r="I1871" s="3">
        <v>52.51</v>
      </c>
      <c r="J1871" s="3">
        <v>53.14</v>
      </c>
      <c r="K1871" s="3">
        <v>52.51</v>
      </c>
      <c r="L1871" s="3">
        <v>1371.37252471529</v>
      </c>
    </row>
    <row r="1872" spans="1:12" ht="15" customHeight="1" x14ac:dyDescent="0.2">
      <c r="A1872" s="2">
        <v>43333</v>
      </c>
      <c r="B1872" s="3">
        <v>52.51</v>
      </c>
      <c r="C1872" s="1">
        <v>460286</v>
      </c>
      <c r="D1872" s="3">
        <v>0.369999999999997</v>
      </c>
      <c r="E1872" s="3">
        <v>0.70962792481779002</v>
      </c>
      <c r="F1872" s="3">
        <v>0.70962586642910797</v>
      </c>
      <c r="G1872" s="3">
        <v>58.235035000000003</v>
      </c>
      <c r="H1872" s="3">
        <v>1522.83012262942</v>
      </c>
      <c r="I1872" s="3">
        <v>52.39</v>
      </c>
      <c r="J1872" s="3">
        <v>53.19</v>
      </c>
      <c r="K1872" s="3">
        <v>52.186700000000002</v>
      </c>
      <c r="L1872" s="3">
        <v>1363.2911225909099</v>
      </c>
    </row>
    <row r="1873" spans="1:12" ht="15" customHeight="1" x14ac:dyDescent="0.2">
      <c r="A1873" s="2">
        <v>43332</v>
      </c>
      <c r="B1873" s="3">
        <v>52.14</v>
      </c>
      <c r="C1873" s="1">
        <v>539659</v>
      </c>
      <c r="D1873" s="3">
        <v>0.82</v>
      </c>
      <c r="E1873" s="3">
        <v>1.5978176149649299</v>
      </c>
      <c r="F1873" s="3">
        <v>1.5978237131006401</v>
      </c>
      <c r="G1873" s="3">
        <v>57.824696000000003</v>
      </c>
      <c r="H1873" s="3">
        <v>1511.39524515936</v>
      </c>
      <c r="I1873" s="3">
        <v>51.48</v>
      </c>
      <c r="J1873" s="3">
        <v>52.33</v>
      </c>
      <c r="K1873" s="3">
        <v>51.37</v>
      </c>
      <c r="L1873" s="3">
        <v>1352.9803681563501</v>
      </c>
    </row>
    <row r="1874" spans="1:12" ht="15" customHeight="1" x14ac:dyDescent="0.2">
      <c r="A1874" s="2">
        <v>43329</v>
      </c>
      <c r="B1874" s="3">
        <v>51.32</v>
      </c>
      <c r="C1874" s="1">
        <v>678383</v>
      </c>
      <c r="D1874" s="3">
        <v>0.96999999999999797</v>
      </c>
      <c r="E1874" s="3">
        <v>1.92651439920554</v>
      </c>
      <c r="F1874" s="3">
        <v>1.92651138660091</v>
      </c>
      <c r="G1874" s="3">
        <v>56.915289999999999</v>
      </c>
      <c r="H1874" s="3">
        <v>1486.0529155720301</v>
      </c>
      <c r="I1874" s="3">
        <v>50.18</v>
      </c>
      <c r="J1874" s="3">
        <v>51.48</v>
      </c>
      <c r="K1874" s="3">
        <v>50.16</v>
      </c>
      <c r="L1874" s="3">
        <v>1330.1295069770599</v>
      </c>
    </row>
    <row r="1875" spans="1:12" ht="15" customHeight="1" x14ac:dyDescent="0.2">
      <c r="A1875" s="2">
        <v>43328</v>
      </c>
      <c r="B1875" s="3">
        <v>50.35</v>
      </c>
      <c r="C1875" s="1">
        <v>342823</v>
      </c>
      <c r="D1875" s="3">
        <v>-0.17000000000000101</v>
      </c>
      <c r="E1875" s="3">
        <v>-0.33650039588282099</v>
      </c>
      <c r="F1875" s="3">
        <v>-0.33650452937234998</v>
      </c>
      <c r="G1875" s="3">
        <v>55.839534999999998</v>
      </c>
      <c r="H1875" s="3">
        <v>1456.0749543916299</v>
      </c>
      <c r="I1875" s="3">
        <v>50.69</v>
      </c>
      <c r="J1875" s="3">
        <v>50.98</v>
      </c>
      <c r="K1875" s="3">
        <v>50.3</v>
      </c>
      <c r="L1875" s="3">
        <v>1303.0986102161901</v>
      </c>
    </row>
    <row r="1876" spans="1:12" ht="15" customHeight="1" x14ac:dyDescent="0.2">
      <c r="A1876" s="2">
        <v>43327</v>
      </c>
      <c r="B1876" s="3">
        <v>50.52</v>
      </c>
      <c r="C1876" s="1">
        <v>476126</v>
      </c>
      <c r="D1876" s="3">
        <v>0.17999999999999899</v>
      </c>
      <c r="E1876" s="3">
        <v>0.35756853396899901</v>
      </c>
      <c r="F1876" s="3">
        <v>0.35757220176919602</v>
      </c>
      <c r="G1876" s="3">
        <v>56.028072000000002</v>
      </c>
      <c r="H1876" s="3">
        <v>1461.3288968479201</v>
      </c>
      <c r="I1876" s="3">
        <v>50.18</v>
      </c>
      <c r="J1876" s="3">
        <v>50.9</v>
      </c>
      <c r="K1876" s="3">
        <v>50.02</v>
      </c>
      <c r="L1876" s="3">
        <v>1307.8359838753099</v>
      </c>
    </row>
    <row r="1877" spans="1:12" ht="15" customHeight="1" x14ac:dyDescent="0.2">
      <c r="A1877" s="2">
        <v>43326</v>
      </c>
      <c r="B1877" s="3">
        <v>50.34</v>
      </c>
      <c r="C1877" s="1">
        <v>592394</v>
      </c>
      <c r="D1877" s="3">
        <v>0.56000000000000205</v>
      </c>
      <c r="E1877" s="3">
        <v>1.1249497790277201</v>
      </c>
      <c r="F1877" s="3">
        <v>1.7878718132106499</v>
      </c>
      <c r="G1877" s="3">
        <v>55.828445000000002</v>
      </c>
      <c r="H1877" s="3">
        <v>1455.7659104276299</v>
      </c>
      <c r="I1877" s="3">
        <v>49.66</v>
      </c>
      <c r="J1877" s="3">
        <v>50.52</v>
      </c>
      <c r="K1877" s="3">
        <v>49.37</v>
      </c>
      <c r="L1877" s="3">
        <v>1302.8199411774201</v>
      </c>
    </row>
    <row r="1878" spans="1:12" ht="15" customHeight="1" x14ac:dyDescent="0.2">
      <c r="A1878" s="2">
        <v>43325</v>
      </c>
      <c r="B1878" s="3">
        <v>49.78</v>
      </c>
      <c r="C1878" s="1">
        <v>544498</v>
      </c>
      <c r="D1878" s="3">
        <v>0.53999999999999904</v>
      </c>
      <c r="E1878" s="3">
        <v>1.09666937449228</v>
      </c>
      <c r="F1878" s="3">
        <v>1.0966628214012299</v>
      </c>
      <c r="G1878" s="3">
        <v>54.847836000000001</v>
      </c>
      <c r="H1878" s="3">
        <v>1428.43937368353</v>
      </c>
      <c r="I1878" s="3">
        <v>49.12</v>
      </c>
      <c r="J1878" s="3">
        <v>49.92</v>
      </c>
      <c r="K1878" s="3">
        <v>49.05</v>
      </c>
      <c r="L1878" s="3">
        <v>1287.2144750062</v>
      </c>
    </row>
    <row r="1879" spans="1:12" ht="15" customHeight="1" x14ac:dyDescent="0.2">
      <c r="A1879" s="2">
        <v>43322</v>
      </c>
      <c r="B1879" s="3">
        <v>49.24</v>
      </c>
      <c r="C1879" s="1">
        <v>555539</v>
      </c>
      <c r="D1879" s="3">
        <v>-0.21</v>
      </c>
      <c r="E1879" s="3">
        <v>-0.42467138523761799</v>
      </c>
      <c r="F1879" s="3">
        <v>-0.42467322434219801</v>
      </c>
      <c r="G1879" s="3">
        <v>54.252865</v>
      </c>
      <c r="H1879" s="3">
        <v>1411.8593740168201</v>
      </c>
      <c r="I1879" s="3">
        <v>49.1</v>
      </c>
      <c r="J1879" s="3">
        <v>49.82</v>
      </c>
      <c r="K1879" s="3">
        <v>48.94</v>
      </c>
      <c r="L1879" s="3">
        <v>1272.1663469125201</v>
      </c>
    </row>
    <row r="1880" spans="1:12" ht="15" customHeight="1" x14ac:dyDescent="0.2">
      <c r="A1880" s="2">
        <v>43321</v>
      </c>
      <c r="B1880" s="3">
        <v>49.45</v>
      </c>
      <c r="C1880" s="1">
        <v>611989</v>
      </c>
      <c r="D1880" s="3">
        <v>-0.12999999999999501</v>
      </c>
      <c r="E1880" s="3">
        <v>-0.26220250100845699</v>
      </c>
      <c r="F1880" s="3">
        <v>-0.26220319882959098</v>
      </c>
      <c r="G1880" s="3">
        <v>54.484245000000001</v>
      </c>
      <c r="H1880" s="3">
        <v>1418.3072182359199</v>
      </c>
      <c r="I1880" s="3">
        <v>49.65</v>
      </c>
      <c r="J1880" s="3">
        <v>50.15</v>
      </c>
      <c r="K1880" s="3">
        <v>49.37</v>
      </c>
      <c r="L1880" s="3">
        <v>1278.0183967267301</v>
      </c>
    </row>
    <row r="1881" spans="1:12" ht="15" customHeight="1" x14ac:dyDescent="0.2">
      <c r="A1881" s="2">
        <v>43320</v>
      </c>
      <c r="B1881" s="3">
        <v>49.58</v>
      </c>
      <c r="C1881" s="1">
        <v>1032799</v>
      </c>
      <c r="D1881" s="3">
        <v>9.9999999999980105E-3</v>
      </c>
      <c r="E1881" s="3">
        <v>2.0173492031472201E-2</v>
      </c>
      <c r="F1881" s="3">
        <v>2.01770674994383E-2</v>
      </c>
      <c r="G1881" s="3">
        <v>54.627479999999998</v>
      </c>
      <c r="H1881" s="3">
        <v>1422.2987342127699</v>
      </c>
      <c r="I1881" s="3">
        <v>49.55</v>
      </c>
      <c r="J1881" s="3">
        <v>49.77</v>
      </c>
      <c r="K1881" s="3">
        <v>49.02</v>
      </c>
      <c r="L1881" s="3">
        <v>1281.64109423076</v>
      </c>
    </row>
    <row r="1882" spans="1:12" ht="15" customHeight="1" x14ac:dyDescent="0.2">
      <c r="A1882" s="2">
        <v>43319</v>
      </c>
      <c r="B1882" s="3">
        <v>49.57</v>
      </c>
      <c r="C1882" s="1">
        <v>705834</v>
      </c>
      <c r="D1882" s="3">
        <v>-0.869999999999997</v>
      </c>
      <c r="E1882" s="3">
        <v>-1.7248215701823799</v>
      </c>
      <c r="F1882" s="3">
        <v>-1.72481607611275</v>
      </c>
      <c r="G1882" s="3">
        <v>54.616460000000004</v>
      </c>
      <c r="H1882" s="3">
        <v>1421.9916409320399</v>
      </c>
      <c r="I1882" s="3">
        <v>50.64</v>
      </c>
      <c r="J1882" s="3">
        <v>50.73</v>
      </c>
      <c r="K1882" s="3">
        <v>49.55</v>
      </c>
      <c r="L1882" s="3">
        <v>1281.36242519199</v>
      </c>
    </row>
    <row r="1883" spans="1:12" ht="15" customHeight="1" x14ac:dyDescent="0.2">
      <c r="A1883" s="2">
        <v>43318</v>
      </c>
      <c r="B1883" s="3">
        <v>50.44</v>
      </c>
      <c r="C1883" s="1">
        <v>882200</v>
      </c>
      <c r="D1883" s="3">
        <v>0.75</v>
      </c>
      <c r="E1883" s="3">
        <v>1.50935801972227</v>
      </c>
      <c r="F1883" s="3">
        <v>1.5093533951396201</v>
      </c>
      <c r="G1883" s="3">
        <v>55.575026999999999</v>
      </c>
      <c r="H1883" s="3">
        <v>1448.70393538088</v>
      </c>
      <c r="I1883" s="3">
        <v>49.94</v>
      </c>
      <c r="J1883" s="3">
        <v>50.74</v>
      </c>
      <c r="K1883" s="3">
        <v>49.78</v>
      </c>
      <c r="L1883" s="3">
        <v>1305.6066315651401</v>
      </c>
    </row>
    <row r="1884" spans="1:12" ht="15" customHeight="1" x14ac:dyDescent="0.2">
      <c r="A1884" s="2">
        <v>43315</v>
      </c>
      <c r="B1884" s="3">
        <v>49.69</v>
      </c>
      <c r="C1884" s="1">
        <v>1093435</v>
      </c>
      <c r="D1884" s="3">
        <v>-0.46</v>
      </c>
      <c r="E1884" s="3">
        <v>-0.91724825523430398</v>
      </c>
      <c r="F1884" s="3">
        <v>-0.91725512985039104</v>
      </c>
      <c r="G1884" s="3">
        <v>54.748676000000003</v>
      </c>
      <c r="H1884" s="3">
        <v>1425.6760914950701</v>
      </c>
      <c r="I1884" s="3">
        <v>50.06</v>
      </c>
      <c r="J1884" s="3">
        <v>50.19</v>
      </c>
      <c r="K1884" s="3">
        <v>49.29</v>
      </c>
      <c r="L1884" s="3">
        <v>1284.70645365725</v>
      </c>
    </row>
    <row r="1885" spans="1:12" ht="15" customHeight="1" x14ac:dyDescent="0.2">
      <c r="A1885" s="2">
        <v>43314</v>
      </c>
      <c r="B1885" s="3">
        <v>50.15</v>
      </c>
      <c r="C1885" s="1">
        <v>1794380</v>
      </c>
      <c r="D1885" s="3">
        <v>1.0899999999999901</v>
      </c>
      <c r="E1885" s="3">
        <v>2.2217692621279999</v>
      </c>
      <c r="F1885" s="3">
        <v>2.2217745262470099</v>
      </c>
      <c r="G1885" s="3">
        <v>55.255510000000001</v>
      </c>
      <c r="H1885" s="3">
        <v>1439.79998585475</v>
      </c>
      <c r="I1885" s="3">
        <v>48.72</v>
      </c>
      <c r="J1885" s="3">
        <v>50.26</v>
      </c>
      <c r="K1885" s="3">
        <v>48.070099999999996</v>
      </c>
      <c r="L1885" s="3">
        <v>1297.5252294407501</v>
      </c>
    </row>
    <row r="1886" spans="1:12" ht="15" customHeight="1" x14ac:dyDescent="0.2">
      <c r="A1886" s="2">
        <v>43313</v>
      </c>
      <c r="B1886" s="3">
        <v>49.06</v>
      </c>
      <c r="C1886" s="1">
        <v>6975318</v>
      </c>
      <c r="D1886" s="3">
        <v>-6.96999999999999</v>
      </c>
      <c r="E1886" s="3">
        <v>-12.4397644119221</v>
      </c>
      <c r="F1886" s="3">
        <v>-12.4397602129752</v>
      </c>
      <c r="G1886" s="3">
        <v>54.054540000000003</v>
      </c>
      <c r="H1886" s="3">
        <v>1406.3326703053699</v>
      </c>
      <c r="I1886" s="3">
        <v>49.8</v>
      </c>
      <c r="J1886" s="3">
        <v>50.39</v>
      </c>
      <c r="K1886" s="3">
        <v>48.03</v>
      </c>
      <c r="L1886" s="3">
        <v>1267.1503042146201</v>
      </c>
    </row>
    <row r="1887" spans="1:12" ht="15" customHeight="1" x14ac:dyDescent="0.2">
      <c r="A1887" s="2">
        <v>43312</v>
      </c>
      <c r="B1887" s="3">
        <v>56.03</v>
      </c>
      <c r="C1887" s="1">
        <v>1977955</v>
      </c>
      <c r="D1887" s="3">
        <v>-1.17</v>
      </c>
      <c r="E1887" s="3">
        <v>-2.0454545454545499</v>
      </c>
      <c r="F1887" s="3">
        <v>-2.0454584761840899</v>
      </c>
      <c r="G1887" s="3">
        <v>61.734116</v>
      </c>
      <c r="H1887" s="3">
        <v>1620.3386765149</v>
      </c>
      <c r="I1887" s="3">
        <v>56.49</v>
      </c>
      <c r="J1887" s="3">
        <v>57.09</v>
      </c>
      <c r="K1887" s="3">
        <v>55.39</v>
      </c>
      <c r="L1887" s="3">
        <v>1461.3826242385901</v>
      </c>
    </row>
    <row r="1888" spans="1:12" ht="15" customHeight="1" x14ac:dyDescent="0.2">
      <c r="A1888" s="2">
        <v>43311</v>
      </c>
      <c r="B1888" s="3">
        <v>57.2</v>
      </c>
      <c r="C1888" s="1">
        <v>898460</v>
      </c>
      <c r="D1888" s="3">
        <v>-2.0499999999999901</v>
      </c>
      <c r="E1888" s="3">
        <v>-3.4599156118143402</v>
      </c>
      <c r="F1888" s="3">
        <v>-3.4599160901033401</v>
      </c>
      <c r="G1888" s="3">
        <v>63.023229999999998</v>
      </c>
      <c r="H1888" s="3">
        <v>1656.2622924396301</v>
      </c>
      <c r="I1888" s="3">
        <v>59.34</v>
      </c>
      <c r="J1888" s="3">
        <v>59.375</v>
      </c>
      <c r="K1888" s="3">
        <v>57.03</v>
      </c>
      <c r="L1888" s="3">
        <v>1493.9869017748999</v>
      </c>
    </row>
    <row r="1889" spans="1:12" ht="15" customHeight="1" x14ac:dyDescent="0.2">
      <c r="A1889" s="2">
        <v>43308</v>
      </c>
      <c r="B1889" s="3">
        <v>59.25</v>
      </c>
      <c r="C1889" s="1">
        <v>960933</v>
      </c>
      <c r="D1889" s="3">
        <v>-0.130000000000002</v>
      </c>
      <c r="E1889" s="3">
        <v>-0.218928932300443</v>
      </c>
      <c r="F1889" s="3">
        <v>-0.21892189487958599</v>
      </c>
      <c r="G1889" s="3">
        <v>65.281930000000003</v>
      </c>
      <c r="H1889" s="3">
        <v>1719.20526822703</v>
      </c>
      <c r="I1889" s="3">
        <v>59.63</v>
      </c>
      <c r="J1889" s="3">
        <v>60.186199999999999</v>
      </c>
      <c r="K1889" s="3">
        <v>58.98</v>
      </c>
      <c r="L1889" s="3">
        <v>1551.11405472313</v>
      </c>
    </row>
    <row r="1890" spans="1:12" ht="15" customHeight="1" x14ac:dyDescent="0.2">
      <c r="A1890" s="2">
        <v>43307</v>
      </c>
      <c r="B1890" s="3">
        <v>59.38</v>
      </c>
      <c r="C1890" s="1">
        <v>521159.99999999901</v>
      </c>
      <c r="D1890" s="3">
        <v>0.65000000000000502</v>
      </c>
      <c r="E1890" s="3">
        <v>1.1067597479993101</v>
      </c>
      <c r="F1890" s="3">
        <v>1.1067550273926301</v>
      </c>
      <c r="G1890" s="3">
        <v>65.425160000000005</v>
      </c>
      <c r="H1890" s="3">
        <v>1723.1966448693599</v>
      </c>
      <c r="I1890" s="3">
        <v>58.74</v>
      </c>
      <c r="J1890" s="3">
        <v>59.58</v>
      </c>
      <c r="K1890" s="3">
        <v>57.889000000000003</v>
      </c>
      <c r="L1890" s="3">
        <v>1554.73675222716</v>
      </c>
    </row>
    <row r="1891" spans="1:12" ht="15" customHeight="1" x14ac:dyDescent="0.2">
      <c r="A1891" s="2">
        <v>43306</v>
      </c>
      <c r="B1891" s="3">
        <v>58.73</v>
      </c>
      <c r="C1891" s="1">
        <v>696331</v>
      </c>
      <c r="D1891" s="3">
        <v>0.41999999999999399</v>
      </c>
      <c r="E1891" s="3">
        <v>0.72028811524609204</v>
      </c>
      <c r="F1891" s="3">
        <v>0.72029129180031204</v>
      </c>
      <c r="G1891" s="3">
        <v>64.70899</v>
      </c>
      <c r="H1891" s="3">
        <v>1703.2392043196301</v>
      </c>
      <c r="I1891" s="3">
        <v>58.38</v>
      </c>
      <c r="J1891" s="3">
        <v>58.8</v>
      </c>
      <c r="K1891" s="3">
        <v>57.72</v>
      </c>
      <c r="L1891" s="3">
        <v>1536.6232647069901</v>
      </c>
    </row>
    <row r="1892" spans="1:12" ht="15" customHeight="1" x14ac:dyDescent="0.2">
      <c r="A1892" s="2">
        <v>43305</v>
      </c>
      <c r="B1892" s="3">
        <v>58.31</v>
      </c>
      <c r="C1892" s="1">
        <v>969733</v>
      </c>
      <c r="D1892" s="3">
        <v>-1.21999999999999</v>
      </c>
      <c r="E1892" s="3">
        <v>-2.0493868637661601</v>
      </c>
      <c r="F1892" s="3">
        <v>-2.0493843385384101</v>
      </c>
      <c r="G1892" s="3">
        <v>64.246229999999997</v>
      </c>
      <c r="H1892" s="3">
        <v>1690.34351588143</v>
      </c>
      <c r="I1892" s="3">
        <v>59.91</v>
      </c>
      <c r="J1892" s="3">
        <v>59.91</v>
      </c>
      <c r="K1892" s="3">
        <v>57.86</v>
      </c>
      <c r="L1892" s="3">
        <v>1524.9191650785699</v>
      </c>
    </row>
    <row r="1893" spans="1:12" ht="15" customHeight="1" x14ac:dyDescent="0.2">
      <c r="A1893" s="2">
        <v>43304</v>
      </c>
      <c r="B1893" s="3">
        <v>59.53</v>
      </c>
      <c r="C1893" s="1">
        <v>614435</v>
      </c>
      <c r="D1893" s="3">
        <v>0.48000000000000398</v>
      </c>
      <c r="E1893" s="3">
        <v>0.81287044877222903</v>
      </c>
      <c r="F1893" s="3">
        <v>0.81286080246756298</v>
      </c>
      <c r="G1893" s="3">
        <v>65.590429999999998</v>
      </c>
      <c r="H1893" s="3">
        <v>1727.80220807314</v>
      </c>
      <c r="I1893" s="3">
        <v>59.2</v>
      </c>
      <c r="J1893" s="3">
        <v>59.74</v>
      </c>
      <c r="K1893" s="3">
        <v>58.62</v>
      </c>
      <c r="L1893" s="3">
        <v>1558.9167878087401</v>
      </c>
    </row>
    <row r="1894" spans="1:12" ht="15" customHeight="1" x14ac:dyDescent="0.2">
      <c r="A1894" s="2">
        <v>43301</v>
      </c>
      <c r="B1894" s="3">
        <v>59.05</v>
      </c>
      <c r="C1894" s="1">
        <v>471044</v>
      </c>
      <c r="D1894" s="3">
        <v>-0.45000000000000201</v>
      </c>
      <c r="E1894" s="3">
        <v>-0.756302521008411</v>
      </c>
      <c r="F1894" s="3">
        <v>-0.75629929078921898</v>
      </c>
      <c r="G1894" s="3">
        <v>65.061570000000003</v>
      </c>
      <c r="H1894" s="3">
        <v>1713.06451728865</v>
      </c>
      <c r="I1894" s="3">
        <v>59.44</v>
      </c>
      <c r="J1894" s="3">
        <v>59.71</v>
      </c>
      <c r="K1894" s="3">
        <v>58.638100000000001</v>
      </c>
      <c r="L1894" s="3">
        <v>1545.54067394769</v>
      </c>
    </row>
    <row r="1895" spans="1:12" ht="15" customHeight="1" x14ac:dyDescent="0.2">
      <c r="A1895" s="2">
        <v>43300</v>
      </c>
      <c r="B1895" s="3">
        <v>59.5</v>
      </c>
      <c r="C1895" s="1">
        <v>547239</v>
      </c>
      <c r="D1895" s="3">
        <v>0.95000000000000195</v>
      </c>
      <c r="E1895" s="3">
        <v>1.62254483347565</v>
      </c>
      <c r="F1895" s="3">
        <v>1.6225440921660801</v>
      </c>
      <c r="G1895" s="3">
        <v>65.557379999999995</v>
      </c>
      <c r="H1895" s="3">
        <v>1726.8812069000001</v>
      </c>
      <c r="I1895" s="3">
        <v>58.51</v>
      </c>
      <c r="J1895" s="3">
        <v>59.62</v>
      </c>
      <c r="K1895" s="3">
        <v>58.51</v>
      </c>
      <c r="L1895" s="3">
        <v>1558.0807806924199</v>
      </c>
    </row>
    <row r="1896" spans="1:12" ht="15" customHeight="1" x14ac:dyDescent="0.2">
      <c r="A1896" s="2">
        <v>43299</v>
      </c>
      <c r="B1896" s="3">
        <v>58.55</v>
      </c>
      <c r="C1896" s="1">
        <v>701474</v>
      </c>
      <c r="D1896" s="3">
        <v>1.4199999999999899</v>
      </c>
      <c r="E1896" s="3">
        <v>2.4855592508314199</v>
      </c>
      <c r="F1896" s="3">
        <v>2.4855548649824302</v>
      </c>
      <c r="G1896" s="3">
        <v>64.510666000000001</v>
      </c>
      <c r="H1896" s="3">
        <v>1697.71252847509</v>
      </c>
      <c r="I1896" s="3">
        <v>57.39</v>
      </c>
      <c r="J1896" s="3">
        <v>58.8</v>
      </c>
      <c r="K1896" s="3">
        <v>57.39</v>
      </c>
      <c r="L1896" s="3">
        <v>1531.6072220091</v>
      </c>
    </row>
    <row r="1897" spans="1:12" ht="15" customHeight="1" x14ac:dyDescent="0.2">
      <c r="A1897" s="2">
        <v>43298</v>
      </c>
      <c r="B1897" s="3">
        <v>57.13</v>
      </c>
      <c r="C1897" s="1">
        <v>667082</v>
      </c>
      <c r="D1897" s="3">
        <v>0.260000000000005</v>
      </c>
      <c r="E1897" s="3">
        <v>0.45718304905926199</v>
      </c>
      <c r="F1897" s="3">
        <v>0.45718747734786402</v>
      </c>
      <c r="G1897" s="3">
        <v>62.946106</v>
      </c>
      <c r="H1897" s="3">
        <v>1654.1130853450099</v>
      </c>
      <c r="I1897" s="3">
        <v>56.75</v>
      </c>
      <c r="J1897" s="3">
        <v>57.37</v>
      </c>
      <c r="K1897" s="3">
        <v>56.11</v>
      </c>
      <c r="L1897" s="3">
        <v>1492.0362185035001</v>
      </c>
    </row>
    <row r="1898" spans="1:12" ht="15" customHeight="1" x14ac:dyDescent="0.2">
      <c r="A1898" s="2">
        <v>43297</v>
      </c>
      <c r="B1898" s="3">
        <v>56.87</v>
      </c>
      <c r="C1898" s="1">
        <v>504219</v>
      </c>
      <c r="D1898" s="3">
        <v>-0.69000000000000405</v>
      </c>
      <c r="E1898" s="3">
        <v>-1.19874913134121</v>
      </c>
      <c r="F1898" s="3">
        <v>-1.19875029722541</v>
      </c>
      <c r="G1898" s="3">
        <v>62.659633999999997</v>
      </c>
      <c r="H1898" s="3">
        <v>1646.1299976575001</v>
      </c>
      <c r="I1898" s="3">
        <v>57.37</v>
      </c>
      <c r="J1898" s="3">
        <v>57.83</v>
      </c>
      <c r="K1898" s="3">
        <v>56.08</v>
      </c>
      <c r="L1898" s="3">
        <v>1484.79082349543</v>
      </c>
    </row>
    <row r="1899" spans="1:12" ht="15" customHeight="1" x14ac:dyDescent="0.2">
      <c r="A1899" s="2">
        <v>43294</v>
      </c>
      <c r="B1899" s="3">
        <v>57.56</v>
      </c>
      <c r="C1899" s="1">
        <v>755564</v>
      </c>
      <c r="D1899" s="3">
        <v>0.21</v>
      </c>
      <c r="E1899" s="3">
        <v>0.36617262423714803</v>
      </c>
      <c r="F1899" s="3">
        <v>0.36617422474025602</v>
      </c>
      <c r="G1899" s="3">
        <v>63.419879999999999</v>
      </c>
      <c r="H1899" s="3">
        <v>1667.31569986252</v>
      </c>
      <c r="I1899" s="3">
        <v>57.43</v>
      </c>
      <c r="J1899" s="3">
        <v>57.86</v>
      </c>
      <c r="K1899" s="3">
        <v>57.206099999999999</v>
      </c>
      <c r="L1899" s="3">
        <v>1504.01898717069</v>
      </c>
    </row>
    <row r="1900" spans="1:12" ht="15" customHeight="1" x14ac:dyDescent="0.2">
      <c r="A1900" s="2">
        <v>43293</v>
      </c>
      <c r="B1900" s="3">
        <v>57.35</v>
      </c>
      <c r="C1900" s="1">
        <v>581284</v>
      </c>
      <c r="D1900" s="3">
        <v>0.25</v>
      </c>
      <c r="E1900" s="3">
        <v>0.43782837127845903</v>
      </c>
      <c r="F1900" s="3">
        <v>0.43782968518708498</v>
      </c>
      <c r="G1900" s="3">
        <v>63.188499999999998</v>
      </c>
      <c r="H1900" s="3">
        <v>1660.8678556434099</v>
      </c>
      <c r="I1900" s="3">
        <v>57.81</v>
      </c>
      <c r="J1900" s="3">
        <v>58.1</v>
      </c>
      <c r="K1900" s="3">
        <v>57.1</v>
      </c>
      <c r="L1900" s="3">
        <v>1498.16693735648</v>
      </c>
    </row>
    <row r="1901" spans="1:12" ht="15" customHeight="1" x14ac:dyDescent="0.2">
      <c r="A1901" s="2">
        <v>43292</v>
      </c>
      <c r="B1901" s="3">
        <v>57.1</v>
      </c>
      <c r="C1901" s="1">
        <v>612950</v>
      </c>
      <c r="D1901" s="3">
        <v>0.21</v>
      </c>
      <c r="E1901" s="3">
        <v>0.369133415362976</v>
      </c>
      <c r="F1901" s="3">
        <v>0.369136640861844</v>
      </c>
      <c r="G1901" s="3">
        <v>62.913048000000003</v>
      </c>
      <c r="H1901" s="3">
        <v>1653.1918612366401</v>
      </c>
      <c r="I1901" s="3">
        <v>55.76</v>
      </c>
      <c r="J1901" s="3">
        <v>57.35</v>
      </c>
      <c r="K1901" s="3">
        <v>55.76</v>
      </c>
      <c r="L1901" s="3">
        <v>1491.2002113871799</v>
      </c>
    </row>
    <row r="1902" spans="1:12" ht="15" customHeight="1" x14ac:dyDescent="0.2">
      <c r="A1902" s="2">
        <v>43291</v>
      </c>
      <c r="B1902" s="3">
        <v>56.89</v>
      </c>
      <c r="C1902" s="1">
        <v>636255</v>
      </c>
      <c r="D1902" s="3">
        <v>-0.109999999999999</v>
      </c>
      <c r="E1902" s="3">
        <v>-0.19298245614034401</v>
      </c>
      <c r="F1902" s="3">
        <v>-0.19298640947415999</v>
      </c>
      <c r="G1902" s="3">
        <v>62.681666999999997</v>
      </c>
      <c r="H1902" s="3">
        <v>1646.7439891506301</v>
      </c>
      <c r="I1902" s="3">
        <v>57.65</v>
      </c>
      <c r="J1902" s="3">
        <v>57.65</v>
      </c>
      <c r="K1902" s="3">
        <v>56.475000000000001</v>
      </c>
      <c r="L1902" s="3">
        <v>1485.34816157297</v>
      </c>
    </row>
    <row r="1903" spans="1:12" ht="15" customHeight="1" x14ac:dyDescent="0.2">
      <c r="A1903" s="2">
        <v>43290</v>
      </c>
      <c r="B1903" s="3">
        <v>57</v>
      </c>
      <c r="C1903" s="1">
        <v>445224</v>
      </c>
      <c r="D1903" s="3">
        <v>-6.0000000000002197E-2</v>
      </c>
      <c r="E1903" s="3">
        <v>-0.10515247108306899</v>
      </c>
      <c r="F1903" s="3">
        <v>-0.10515361177263401</v>
      </c>
      <c r="G1903" s="3">
        <v>62.802867999999997</v>
      </c>
      <c r="H1903" s="3">
        <v>1650.1214857674499</v>
      </c>
      <c r="I1903" s="3">
        <v>57.2</v>
      </c>
      <c r="J1903" s="3">
        <v>57.479900000000001</v>
      </c>
      <c r="K1903" s="3">
        <v>56.88</v>
      </c>
      <c r="L1903" s="3">
        <v>1488.4135209994599</v>
      </c>
    </row>
    <row r="1904" spans="1:12" ht="15" customHeight="1" x14ac:dyDescent="0.2">
      <c r="A1904" s="2">
        <v>43287</v>
      </c>
      <c r="B1904" s="3">
        <v>57.06</v>
      </c>
      <c r="C1904" s="1">
        <v>828306</v>
      </c>
      <c r="D1904" s="3">
        <v>0.380000000000002</v>
      </c>
      <c r="E1904" s="3">
        <v>0.67043048694426199</v>
      </c>
      <c r="F1904" s="3">
        <v>0.67043243514162099</v>
      </c>
      <c r="G1904" s="3">
        <v>62.868977000000001</v>
      </c>
      <c r="H1904" s="3">
        <v>1651.9637389158599</v>
      </c>
      <c r="I1904" s="3">
        <v>56.84</v>
      </c>
      <c r="J1904" s="3">
        <v>57.49</v>
      </c>
      <c r="K1904" s="3">
        <v>56.17</v>
      </c>
      <c r="L1904" s="3">
        <v>1490.08553523209</v>
      </c>
    </row>
    <row r="1905" spans="1:12" ht="15" customHeight="1" x14ac:dyDescent="0.2">
      <c r="A1905" s="2">
        <v>43286</v>
      </c>
      <c r="B1905" s="3">
        <v>56.68</v>
      </c>
      <c r="C1905" s="1">
        <v>466382</v>
      </c>
      <c r="D1905" s="3">
        <v>0.40999999999999598</v>
      </c>
      <c r="E1905" s="3">
        <v>0.72862982050825298</v>
      </c>
      <c r="F1905" s="3">
        <v>0.72862994376481305</v>
      </c>
      <c r="G1905" s="3">
        <v>62.450290000000003</v>
      </c>
      <c r="H1905" s="3">
        <v>1640.2962285322401</v>
      </c>
      <c r="I1905" s="3">
        <v>56.42</v>
      </c>
      <c r="J1905" s="3">
        <v>56.94</v>
      </c>
      <c r="K1905" s="3">
        <v>56.09</v>
      </c>
      <c r="L1905" s="3">
        <v>1479.49611175876</v>
      </c>
    </row>
    <row r="1906" spans="1:12" ht="15" customHeight="1" x14ac:dyDescent="0.2">
      <c r="A1906" s="2">
        <v>43284</v>
      </c>
      <c r="B1906" s="3">
        <v>56.27</v>
      </c>
      <c r="C1906" s="1">
        <v>416571</v>
      </c>
      <c r="D1906" s="3">
        <v>0.510000000000005</v>
      </c>
      <c r="E1906" s="3">
        <v>0.914634146341475</v>
      </c>
      <c r="F1906" s="3">
        <v>0.91463350121905296</v>
      </c>
      <c r="G1906" s="3">
        <v>61.998550000000002</v>
      </c>
      <c r="H1906" s="3">
        <v>1627.70763337476</v>
      </c>
      <c r="I1906" s="3">
        <v>55.79</v>
      </c>
      <c r="J1906" s="3">
        <v>56.47</v>
      </c>
      <c r="K1906" s="3">
        <v>55.52</v>
      </c>
      <c r="L1906" s="3">
        <v>1468.07068116912</v>
      </c>
    </row>
    <row r="1907" spans="1:12" ht="15" customHeight="1" x14ac:dyDescent="0.2">
      <c r="A1907" s="2">
        <v>43283</v>
      </c>
      <c r="B1907" s="3">
        <v>55.76</v>
      </c>
      <c r="C1907" s="1">
        <v>1141596</v>
      </c>
      <c r="D1907" s="3">
        <v>0.69999999999999496</v>
      </c>
      <c r="E1907" s="3">
        <v>1.27134035597529</v>
      </c>
      <c r="F1907" s="3">
        <v>1.27133987337453</v>
      </c>
      <c r="G1907" s="3">
        <v>61.436630000000001</v>
      </c>
      <c r="H1907" s="3">
        <v>1612.04866274809</v>
      </c>
      <c r="I1907" s="3">
        <v>54.79</v>
      </c>
      <c r="J1907" s="3">
        <v>55.78</v>
      </c>
      <c r="K1907" s="3">
        <v>54.09</v>
      </c>
      <c r="L1907" s="3">
        <v>1453.85856019176</v>
      </c>
    </row>
    <row r="1908" spans="1:12" ht="15" customHeight="1" x14ac:dyDescent="0.2">
      <c r="A1908" s="2">
        <v>43280</v>
      </c>
      <c r="B1908" s="3">
        <v>55.06</v>
      </c>
      <c r="C1908" s="1">
        <v>738976</v>
      </c>
      <c r="D1908" s="3">
        <v>-0.97999999999999599</v>
      </c>
      <c r="E1908" s="3">
        <v>-1.74875089221984</v>
      </c>
      <c r="F1908" s="3">
        <v>-1.7487515129936699</v>
      </c>
      <c r="G1908" s="3">
        <v>60.665367000000003</v>
      </c>
      <c r="H1908" s="3">
        <v>1590.5559508630599</v>
      </c>
      <c r="I1908" s="3">
        <v>56.05</v>
      </c>
      <c r="J1908" s="3">
        <v>56.43</v>
      </c>
      <c r="K1908" s="3">
        <v>54.97</v>
      </c>
      <c r="L1908" s="3">
        <v>1434.35172747773</v>
      </c>
    </row>
    <row r="1909" spans="1:12" ht="15" customHeight="1" x14ac:dyDescent="0.2">
      <c r="A1909" s="2">
        <v>43279</v>
      </c>
      <c r="B1909" s="3">
        <v>56.04</v>
      </c>
      <c r="C1909" s="1">
        <v>1686912</v>
      </c>
      <c r="D1909" s="3">
        <v>0.96</v>
      </c>
      <c r="E1909" s="3">
        <v>1.7429193899782101</v>
      </c>
      <c r="F1909" s="3">
        <v>1.7429168375217201</v>
      </c>
      <c r="G1909" s="3">
        <v>61.745136000000002</v>
      </c>
      <c r="H1909" s="3">
        <v>1620.64576979563</v>
      </c>
      <c r="I1909" s="3">
        <v>54.98</v>
      </c>
      <c r="J1909" s="3">
        <v>56.13</v>
      </c>
      <c r="K1909" s="3">
        <v>54.39</v>
      </c>
      <c r="L1909" s="3">
        <v>1461.6612932773701</v>
      </c>
    </row>
    <row r="1910" spans="1:12" ht="15" customHeight="1" x14ac:dyDescent="0.2">
      <c r="A1910" s="2">
        <v>43278</v>
      </c>
      <c r="B1910" s="3">
        <v>55.08</v>
      </c>
      <c r="C1910" s="1">
        <v>939240</v>
      </c>
      <c r="D1910" s="3">
        <v>-1.27</v>
      </c>
      <c r="E1910" s="3">
        <v>-2.2537710736468499</v>
      </c>
      <c r="F1910" s="3">
        <v>-2.2537647479468701</v>
      </c>
      <c r="G1910" s="3">
        <v>60.687404999999998</v>
      </c>
      <c r="H1910" s="3">
        <v>1591.17008169071</v>
      </c>
      <c r="I1910" s="3">
        <v>56.19</v>
      </c>
      <c r="J1910" s="3">
        <v>56.38</v>
      </c>
      <c r="K1910" s="3">
        <v>54.9</v>
      </c>
      <c r="L1910" s="3">
        <v>1434.90906555527</v>
      </c>
    </row>
    <row r="1911" spans="1:12" ht="15" customHeight="1" x14ac:dyDescent="0.2">
      <c r="A1911" s="2">
        <v>43277</v>
      </c>
      <c r="B1911" s="3">
        <v>56.35</v>
      </c>
      <c r="C1911" s="1">
        <v>720885</v>
      </c>
      <c r="D1911" s="3">
        <v>0.32999999999999802</v>
      </c>
      <c r="E1911" s="3">
        <v>0.589075330239197</v>
      </c>
      <c r="F1911" s="3">
        <v>0.58907119052671297</v>
      </c>
      <c r="G1911" s="3">
        <v>62.086692999999997</v>
      </c>
      <c r="H1911" s="3">
        <v>1630.16390588321</v>
      </c>
      <c r="I1911" s="3">
        <v>56.12</v>
      </c>
      <c r="J1911" s="3">
        <v>56.579900000000002</v>
      </c>
      <c r="K1911" s="3">
        <v>55.82</v>
      </c>
      <c r="L1911" s="3">
        <v>1470.3000334792901</v>
      </c>
    </row>
    <row r="1912" spans="1:12" ht="15" customHeight="1" x14ac:dyDescent="0.2">
      <c r="A1912" s="2">
        <v>43276</v>
      </c>
      <c r="B1912" s="3">
        <v>56.02</v>
      </c>
      <c r="C1912" s="1">
        <v>1393014</v>
      </c>
      <c r="D1912" s="3">
        <v>-1.6499999999999899</v>
      </c>
      <c r="E1912" s="3">
        <v>-2.8611062944338399</v>
      </c>
      <c r="F1912" s="3">
        <v>-2.8611051084324401</v>
      </c>
      <c r="G1912" s="3">
        <v>61.723100000000002</v>
      </c>
      <c r="H1912" s="3">
        <v>1620.03169470179</v>
      </c>
      <c r="I1912" s="3">
        <v>57.51</v>
      </c>
      <c r="J1912" s="3">
        <v>57.7</v>
      </c>
      <c r="K1912" s="3">
        <v>55.78</v>
      </c>
      <c r="L1912" s="3">
        <v>1461.1039551998199</v>
      </c>
    </row>
    <row r="1913" spans="1:12" ht="15" customHeight="1" x14ac:dyDescent="0.2">
      <c r="A1913" s="2">
        <v>43273</v>
      </c>
      <c r="B1913" s="3">
        <v>57.67</v>
      </c>
      <c r="C1913" s="1">
        <v>1728674</v>
      </c>
      <c r="D1913" s="3">
        <v>-2.1599999999999899</v>
      </c>
      <c r="E1913" s="3">
        <v>-3.6102289821159901</v>
      </c>
      <c r="F1913" s="3">
        <v>-3.6102287625448399</v>
      </c>
      <c r="G1913" s="3">
        <v>63.541077000000001</v>
      </c>
      <c r="H1913" s="3">
        <v>1670.6930850117201</v>
      </c>
      <c r="I1913" s="3">
        <v>58.5</v>
      </c>
      <c r="J1913" s="3">
        <v>58.88</v>
      </c>
      <c r="K1913" s="3">
        <v>57.12</v>
      </c>
      <c r="L1913" s="3">
        <v>1507.08434659718</v>
      </c>
    </row>
    <row r="1914" spans="1:12" ht="15" customHeight="1" x14ac:dyDescent="0.2">
      <c r="A1914" s="2">
        <v>43272</v>
      </c>
      <c r="B1914" s="3">
        <v>59.83</v>
      </c>
      <c r="C1914" s="1">
        <v>1422223</v>
      </c>
      <c r="D1914" s="3">
        <v>2.0699999999999998</v>
      </c>
      <c r="E1914" s="3">
        <v>3.5837950138504202</v>
      </c>
      <c r="F1914" s="3">
        <v>3.5837938386153101</v>
      </c>
      <c r="G1914" s="3">
        <v>65.920974999999999</v>
      </c>
      <c r="H1914" s="3">
        <v>1737.0134738152201</v>
      </c>
      <c r="I1914" s="3">
        <v>58.47</v>
      </c>
      <c r="J1914" s="3">
        <v>60.08</v>
      </c>
      <c r="K1914" s="3">
        <v>58.35</v>
      </c>
      <c r="L1914" s="3">
        <v>1567.2768589718901</v>
      </c>
    </row>
    <row r="1915" spans="1:12" ht="15" customHeight="1" x14ac:dyDescent="0.2">
      <c r="A1915" s="2">
        <v>43271</v>
      </c>
      <c r="B1915" s="3">
        <v>57.76</v>
      </c>
      <c r="C1915" s="1">
        <v>616538</v>
      </c>
      <c r="D1915" s="3">
        <v>-0.17999999999999899</v>
      </c>
      <c r="E1915" s="3">
        <v>-0.31066620642042903</v>
      </c>
      <c r="F1915" s="3">
        <v>-0.31066175958036601</v>
      </c>
      <c r="G1915" s="3">
        <v>63.640239999999999</v>
      </c>
      <c r="H1915" s="3">
        <v>1673.45645080089</v>
      </c>
      <c r="I1915" s="3">
        <v>57.95</v>
      </c>
      <c r="J1915" s="3">
        <v>58.41</v>
      </c>
      <c r="K1915" s="3">
        <v>57.45</v>
      </c>
      <c r="L1915" s="3">
        <v>1509.59236794612</v>
      </c>
    </row>
    <row r="1916" spans="1:12" ht="15" customHeight="1" x14ac:dyDescent="0.2">
      <c r="A1916" s="2">
        <v>43270</v>
      </c>
      <c r="B1916" s="3">
        <v>57.94</v>
      </c>
      <c r="C1916" s="1">
        <v>781535</v>
      </c>
      <c r="D1916" s="3">
        <v>0.83999999999999597</v>
      </c>
      <c r="E1916" s="3">
        <v>1.4711033274956</v>
      </c>
      <c r="F1916" s="3">
        <v>1.4711002398103401</v>
      </c>
      <c r="G1916" s="3">
        <v>63.838562000000003</v>
      </c>
      <c r="H1916" s="3">
        <v>1678.98307091162</v>
      </c>
      <c r="I1916" s="3">
        <v>56.74</v>
      </c>
      <c r="J1916" s="3">
        <v>58.2</v>
      </c>
      <c r="K1916" s="3">
        <v>56.65</v>
      </c>
      <c r="L1916" s="3">
        <v>1514.6084106440201</v>
      </c>
    </row>
    <row r="1917" spans="1:12" ht="15" customHeight="1" x14ac:dyDescent="0.2">
      <c r="A1917" s="2">
        <v>43269</v>
      </c>
      <c r="B1917" s="3">
        <v>57.1</v>
      </c>
      <c r="C1917" s="1">
        <v>1043971</v>
      </c>
      <c r="D1917" s="3">
        <v>-0.75999999999999801</v>
      </c>
      <c r="E1917" s="3">
        <v>-1.31351538195644</v>
      </c>
      <c r="F1917" s="3">
        <v>-1.3135160521295199</v>
      </c>
      <c r="G1917" s="3">
        <v>62.913048000000003</v>
      </c>
      <c r="H1917" s="3">
        <v>1653.1918612366401</v>
      </c>
      <c r="I1917" s="3">
        <v>56.65</v>
      </c>
      <c r="J1917" s="3">
        <v>57.33</v>
      </c>
      <c r="K1917" s="3">
        <v>56.65</v>
      </c>
      <c r="L1917" s="3">
        <v>1491.2002113871799</v>
      </c>
    </row>
    <row r="1918" spans="1:12" ht="15" customHeight="1" x14ac:dyDescent="0.2">
      <c r="A1918" s="2">
        <v>43266</v>
      </c>
      <c r="B1918" s="3">
        <v>57.86</v>
      </c>
      <c r="C1918" s="1">
        <v>3227983</v>
      </c>
      <c r="D1918" s="3">
        <v>3</v>
      </c>
      <c r="E1918" s="3">
        <v>5.4684651841049901</v>
      </c>
      <c r="F1918" s="3">
        <v>5.4684632595046301</v>
      </c>
      <c r="G1918" s="3">
        <v>63.750419999999998</v>
      </c>
      <c r="H1918" s="3">
        <v>1676.5268262700799</v>
      </c>
      <c r="I1918" s="3">
        <v>54.67</v>
      </c>
      <c r="J1918" s="3">
        <v>58.83</v>
      </c>
      <c r="K1918" s="3">
        <v>54.67</v>
      </c>
      <c r="L1918" s="3">
        <v>1512.37905833384</v>
      </c>
    </row>
    <row r="1919" spans="1:12" ht="15" customHeight="1" x14ac:dyDescent="0.2">
      <c r="A1919" s="2">
        <v>43265</v>
      </c>
      <c r="B1919" s="3">
        <v>54.86</v>
      </c>
      <c r="C1919" s="1">
        <v>865364</v>
      </c>
      <c r="D1919" s="3">
        <v>0.439999999999997</v>
      </c>
      <c r="E1919" s="3">
        <v>0.80852627710399305</v>
      </c>
      <c r="F1919" s="3">
        <v>0.80853119093477999</v>
      </c>
      <c r="G1919" s="3">
        <v>60.445006999999997</v>
      </c>
      <c r="H1919" s="3">
        <v>1584.4151999246899</v>
      </c>
      <c r="I1919" s="3">
        <v>54.83</v>
      </c>
      <c r="J1919" s="3">
        <v>55.37</v>
      </c>
      <c r="K1919" s="3">
        <v>54.7</v>
      </c>
      <c r="L1919" s="3">
        <v>1428.77834670229</v>
      </c>
    </row>
    <row r="1920" spans="1:12" ht="15" customHeight="1" x14ac:dyDescent="0.2">
      <c r="A1920" s="2">
        <v>43264</v>
      </c>
      <c r="B1920" s="3">
        <v>54.42</v>
      </c>
      <c r="C1920" s="1">
        <v>719840</v>
      </c>
      <c r="D1920" s="3">
        <v>0.34000000000000302</v>
      </c>
      <c r="E1920" s="3">
        <v>0.62869822485207505</v>
      </c>
      <c r="F1920" s="3">
        <v>0.62869216723502297</v>
      </c>
      <c r="G1920" s="3">
        <v>59.960210000000004</v>
      </c>
      <c r="H1920" s="3">
        <v>1570.9054085257401</v>
      </c>
      <c r="I1920" s="3">
        <v>54.31</v>
      </c>
      <c r="J1920" s="3">
        <v>55.4</v>
      </c>
      <c r="K1920" s="3">
        <v>53.99</v>
      </c>
      <c r="L1920" s="3">
        <v>1416.5169089963299</v>
      </c>
    </row>
    <row r="1921" spans="1:12" ht="15" customHeight="1" x14ac:dyDescent="0.2">
      <c r="A1921" s="2">
        <v>43263</v>
      </c>
      <c r="B1921" s="3">
        <v>54.08</v>
      </c>
      <c r="C1921" s="1">
        <v>832721</v>
      </c>
      <c r="D1921" s="3">
        <v>0.71999999999999797</v>
      </c>
      <c r="E1921" s="3">
        <v>1.3493253373313401</v>
      </c>
      <c r="F1921" s="3">
        <v>1.34932635736313</v>
      </c>
      <c r="G1921" s="3">
        <v>59.585599999999999</v>
      </c>
      <c r="H1921" s="3">
        <v>1560.4661876643099</v>
      </c>
      <c r="I1921" s="3">
        <v>53.65</v>
      </c>
      <c r="J1921" s="3">
        <v>54.16</v>
      </c>
      <c r="K1921" s="3">
        <v>53.23</v>
      </c>
      <c r="L1921" s="3">
        <v>1407.04216167809</v>
      </c>
    </row>
    <row r="1922" spans="1:12" ht="15" customHeight="1" x14ac:dyDescent="0.2">
      <c r="A1922" s="2">
        <v>43262</v>
      </c>
      <c r="B1922" s="3">
        <v>53.36</v>
      </c>
      <c r="C1922" s="1">
        <v>844093</v>
      </c>
      <c r="D1922" s="3">
        <v>-0.70000000000000195</v>
      </c>
      <c r="E1922" s="3">
        <v>-1.2948575656677801</v>
      </c>
      <c r="F1922" s="3">
        <v>-1.29485871597609</v>
      </c>
      <c r="G1922" s="3">
        <v>58.792299999999997</v>
      </c>
      <c r="H1922" s="3">
        <v>1538.3593728185399</v>
      </c>
      <c r="I1922" s="3">
        <v>54.04</v>
      </c>
      <c r="J1922" s="3">
        <v>54.234999999999999</v>
      </c>
      <c r="K1922" s="3">
        <v>53.3</v>
      </c>
      <c r="L1922" s="3">
        <v>1386.97799088651</v>
      </c>
    </row>
    <row r="1923" spans="1:12" ht="15" customHeight="1" x14ac:dyDescent="0.2">
      <c r="A1923" s="2">
        <v>43259</v>
      </c>
      <c r="B1923" s="3">
        <v>54.06</v>
      </c>
      <c r="C1923" s="1">
        <v>552061</v>
      </c>
      <c r="D1923" s="3">
        <v>0.440000000000004</v>
      </c>
      <c r="E1923" s="3">
        <v>0.82058933233868303</v>
      </c>
      <c r="F1923" s="3">
        <v>0.82059601583417396</v>
      </c>
      <c r="G1923" s="3">
        <v>59.563564</v>
      </c>
      <c r="H1923" s="3">
        <v>1559.8521125704699</v>
      </c>
      <c r="I1923" s="3">
        <v>53.49</v>
      </c>
      <c r="J1923" s="3">
        <v>54.26</v>
      </c>
      <c r="K1923" s="3">
        <v>53.49</v>
      </c>
      <c r="L1923" s="3">
        <v>1406.48482360054</v>
      </c>
    </row>
    <row r="1924" spans="1:12" ht="15" customHeight="1" x14ac:dyDescent="0.2">
      <c r="A1924" s="2">
        <v>43258</v>
      </c>
      <c r="B1924" s="3">
        <v>53.62</v>
      </c>
      <c r="C1924" s="1">
        <v>897235</v>
      </c>
      <c r="D1924" s="3">
        <v>-0.74000000000000199</v>
      </c>
      <c r="E1924" s="3">
        <v>-1.36129506990434</v>
      </c>
      <c r="F1924" s="3">
        <v>-1.3612992691233801</v>
      </c>
      <c r="G1924" s="3">
        <v>59.078766000000002</v>
      </c>
      <c r="H1924" s="3">
        <v>1546.3422933046199</v>
      </c>
      <c r="I1924" s="3">
        <v>54.42</v>
      </c>
      <c r="J1924" s="3">
        <v>54.71</v>
      </c>
      <c r="K1924" s="3">
        <v>53.4</v>
      </c>
      <c r="L1924" s="3">
        <v>1394.2233858945799</v>
      </c>
    </row>
    <row r="1925" spans="1:12" ht="15" customHeight="1" x14ac:dyDescent="0.2">
      <c r="A1925" s="2">
        <v>43257</v>
      </c>
      <c r="B1925" s="3">
        <v>54.36</v>
      </c>
      <c r="C1925" s="1">
        <v>593680</v>
      </c>
      <c r="D1925" s="3">
        <v>0.64999999999999802</v>
      </c>
      <c r="E1925" s="3">
        <v>1.2102029417240701</v>
      </c>
      <c r="F1925" s="3">
        <v>1.2102045475399199</v>
      </c>
      <c r="G1925" s="3">
        <v>59.894103999999999</v>
      </c>
      <c r="H1925" s="3">
        <v>1569.0632389780401</v>
      </c>
      <c r="I1925" s="3">
        <v>53.87</v>
      </c>
      <c r="J1925" s="3">
        <v>54.67</v>
      </c>
      <c r="K1925" s="3">
        <v>53.6</v>
      </c>
      <c r="L1925" s="3">
        <v>1414.8448947637</v>
      </c>
    </row>
    <row r="1926" spans="1:12" ht="15" customHeight="1" x14ac:dyDescent="0.2">
      <c r="A1926" s="2">
        <v>43256</v>
      </c>
      <c r="B1926" s="3">
        <v>53.71</v>
      </c>
      <c r="C1926" s="1">
        <v>566656</v>
      </c>
      <c r="D1926" s="3">
        <v>0.93999999999999695</v>
      </c>
      <c r="E1926" s="3">
        <v>1.7813151411786901</v>
      </c>
      <c r="F1926" s="3">
        <v>1.7813126722768799</v>
      </c>
      <c r="G1926" s="3">
        <v>59.177930000000003</v>
      </c>
      <c r="H1926" s="3">
        <v>1549.1056869607</v>
      </c>
      <c r="I1926" s="3">
        <v>52.76</v>
      </c>
      <c r="J1926" s="3">
        <v>53.85</v>
      </c>
      <c r="K1926" s="3">
        <v>52.59</v>
      </c>
      <c r="L1926" s="3">
        <v>1396.7314072435299</v>
      </c>
    </row>
    <row r="1927" spans="1:12" ht="15" customHeight="1" x14ac:dyDescent="0.2">
      <c r="A1927" s="2">
        <v>43255</v>
      </c>
      <c r="B1927" s="3">
        <v>52.77</v>
      </c>
      <c r="C1927" s="1">
        <v>740933</v>
      </c>
      <c r="D1927" s="3">
        <v>0.73000000000000398</v>
      </c>
      <c r="E1927" s="3">
        <v>1.40276710222906</v>
      </c>
      <c r="F1927" s="3">
        <v>1.4027680845120201</v>
      </c>
      <c r="G1927" s="3">
        <v>58.142234999999999</v>
      </c>
      <c r="H1927" s="3">
        <v>1520.2440739496201</v>
      </c>
      <c r="I1927" s="3">
        <v>52.21</v>
      </c>
      <c r="J1927" s="3">
        <v>52.86</v>
      </c>
      <c r="K1927" s="3">
        <v>52</v>
      </c>
      <c r="L1927" s="3">
        <v>1370.53651759898</v>
      </c>
    </row>
    <row r="1928" spans="1:12" ht="15" customHeight="1" x14ac:dyDescent="0.2">
      <c r="A1928" s="2">
        <v>43252</v>
      </c>
      <c r="B1928" s="3">
        <v>52.04</v>
      </c>
      <c r="C1928" s="1">
        <v>397419</v>
      </c>
      <c r="D1928" s="3">
        <v>0.22999999999999601</v>
      </c>
      <c r="E1928" s="3">
        <v>0.443929743292792</v>
      </c>
      <c r="F1928" s="3">
        <v>0.44392783799833602</v>
      </c>
      <c r="G1928" s="3">
        <v>57.337916999999997</v>
      </c>
      <c r="H1928" s="3">
        <v>1497.8302215569299</v>
      </c>
      <c r="I1928" s="3">
        <v>52.14</v>
      </c>
      <c r="J1928" s="3">
        <v>52.32</v>
      </c>
      <c r="K1928" s="3">
        <v>51.78</v>
      </c>
      <c r="L1928" s="3">
        <v>1350.1936777686301</v>
      </c>
    </row>
    <row r="1929" spans="1:12" ht="15" customHeight="1" x14ac:dyDescent="0.2">
      <c r="A1929" s="2">
        <v>43251</v>
      </c>
      <c r="B1929" s="3">
        <v>51.81</v>
      </c>
      <c r="C1929" s="1">
        <v>406770</v>
      </c>
      <c r="D1929" s="3">
        <v>-0.32999999999999802</v>
      </c>
      <c r="E1929" s="3">
        <v>-0.63291139240505501</v>
      </c>
      <c r="F1929" s="3">
        <v>-0.63290869321571597</v>
      </c>
      <c r="G1929" s="3">
        <v>57.084502999999998</v>
      </c>
      <c r="H1929" s="3">
        <v>1490.7683579778</v>
      </c>
      <c r="I1929" s="3">
        <v>52.1</v>
      </c>
      <c r="J1929" s="3">
        <v>52.39</v>
      </c>
      <c r="K1929" s="3">
        <v>51.51</v>
      </c>
      <c r="L1929" s="3">
        <v>1343.7842898768799</v>
      </c>
    </row>
    <row r="1930" spans="1:12" ht="15" customHeight="1" x14ac:dyDescent="0.2">
      <c r="A1930" s="2">
        <v>43250</v>
      </c>
      <c r="B1930" s="3">
        <v>52.14</v>
      </c>
      <c r="C1930" s="1">
        <v>752329</v>
      </c>
      <c r="D1930" s="3">
        <v>0.91000000000000303</v>
      </c>
      <c r="E1930" s="3">
        <v>1.77630294749171</v>
      </c>
      <c r="F1930" s="3">
        <v>1.77630425295187</v>
      </c>
      <c r="G1930" s="3">
        <v>57.448096999999997</v>
      </c>
      <c r="H1930" s="3">
        <v>1500.9005970261201</v>
      </c>
      <c r="I1930" s="3">
        <v>51.52</v>
      </c>
      <c r="J1930" s="3">
        <v>52.23</v>
      </c>
      <c r="K1930" s="3">
        <v>51.414999999999999</v>
      </c>
      <c r="L1930" s="3">
        <v>1352.9803681563501</v>
      </c>
    </row>
    <row r="1931" spans="1:12" ht="15" customHeight="1" x14ac:dyDescent="0.2">
      <c r="A1931" s="2">
        <v>43249</v>
      </c>
      <c r="B1931" s="3">
        <v>51.23</v>
      </c>
      <c r="C1931" s="1">
        <v>581739</v>
      </c>
      <c r="D1931" s="3">
        <v>-0.100000000000001</v>
      </c>
      <c r="E1931" s="3">
        <v>-0.194817845314632</v>
      </c>
      <c r="F1931" s="3">
        <v>-0.19482231276078901</v>
      </c>
      <c r="G1931" s="3">
        <v>56.445453999999998</v>
      </c>
      <c r="H1931" s="3">
        <v>1472.96004092199</v>
      </c>
      <c r="I1931" s="3">
        <v>51</v>
      </c>
      <c r="J1931" s="3">
        <v>51.5</v>
      </c>
      <c r="K1931" s="3">
        <v>50.84</v>
      </c>
      <c r="L1931" s="3">
        <v>1327.6214856281099</v>
      </c>
    </row>
    <row r="1932" spans="1:12" ht="15" customHeight="1" x14ac:dyDescent="0.2">
      <c r="A1932" s="2">
        <v>43245</v>
      </c>
      <c r="B1932" s="3">
        <v>51.33</v>
      </c>
      <c r="C1932" s="1">
        <v>760639</v>
      </c>
      <c r="D1932" s="3">
        <v>0.56999999999999995</v>
      </c>
      <c r="E1932" s="3">
        <v>1.12293144208037</v>
      </c>
      <c r="F1932" s="3">
        <v>1.1229374116771</v>
      </c>
      <c r="G1932" s="3">
        <v>56.555636999999997</v>
      </c>
      <c r="H1932" s="3">
        <v>1476.0304999918901</v>
      </c>
      <c r="I1932" s="3">
        <v>50.71</v>
      </c>
      <c r="J1932" s="3">
        <v>51.91</v>
      </c>
      <c r="K1932" s="3">
        <v>49.64</v>
      </c>
      <c r="L1932" s="3">
        <v>1330.4081760158299</v>
      </c>
    </row>
    <row r="1933" spans="1:12" ht="15" customHeight="1" x14ac:dyDescent="0.2">
      <c r="A1933" s="2">
        <v>43244</v>
      </c>
      <c r="B1933" s="3">
        <v>50.76</v>
      </c>
      <c r="C1933" s="1">
        <v>752556</v>
      </c>
      <c r="D1933" s="3">
        <v>0.46</v>
      </c>
      <c r="E1933" s="3">
        <v>0.91451292246520399</v>
      </c>
      <c r="F1933" s="3">
        <v>0.91451083254410204</v>
      </c>
      <c r="G1933" s="3">
        <v>55.927605</v>
      </c>
      <c r="H1933" s="3">
        <v>1458.5291926160901</v>
      </c>
      <c r="I1933" s="3">
        <v>50.3</v>
      </c>
      <c r="J1933" s="3">
        <v>51.15</v>
      </c>
      <c r="K1933" s="3">
        <v>50.18</v>
      </c>
      <c r="L1933" s="3">
        <v>1314.5240408058401</v>
      </c>
    </row>
    <row r="1934" spans="1:12" ht="15" customHeight="1" x14ac:dyDescent="0.2">
      <c r="A1934" s="2">
        <v>43243</v>
      </c>
      <c r="B1934" s="3">
        <v>50.3</v>
      </c>
      <c r="C1934" s="1">
        <v>852694</v>
      </c>
      <c r="D1934" s="3">
        <v>-0.190000000000004</v>
      </c>
      <c r="E1934" s="3">
        <v>-0.37631214101803101</v>
      </c>
      <c r="F1934" s="3">
        <v>-0.37631949870037201</v>
      </c>
      <c r="G1934" s="3">
        <v>55.420775999999996</v>
      </c>
      <c r="H1934" s="3">
        <v>1444.40543759092</v>
      </c>
      <c r="I1934" s="3">
        <v>50.22</v>
      </c>
      <c r="J1934" s="3">
        <v>50.65</v>
      </c>
      <c r="K1934" s="3">
        <v>49.64</v>
      </c>
      <c r="L1934" s="3">
        <v>1301.70526502233</v>
      </c>
    </row>
    <row r="1935" spans="1:12" ht="15" customHeight="1" x14ac:dyDescent="0.2">
      <c r="A1935" s="2">
        <v>43242</v>
      </c>
      <c r="B1935" s="3">
        <v>50.49</v>
      </c>
      <c r="C1935" s="1">
        <v>627028</v>
      </c>
      <c r="D1935" s="3">
        <v>-0.50999999999999801</v>
      </c>
      <c r="E1935" s="3">
        <v>-1</v>
      </c>
      <c r="F1935" s="3">
        <v>-0.99999394932094299</v>
      </c>
      <c r="G1935" s="3">
        <v>55.630122999999998</v>
      </c>
      <c r="H1935" s="3">
        <v>1450.2392903169</v>
      </c>
      <c r="I1935" s="3">
        <v>51.02</v>
      </c>
      <c r="J1935" s="3">
        <v>51.44</v>
      </c>
      <c r="K1935" s="3">
        <v>50.45</v>
      </c>
      <c r="L1935" s="3">
        <v>1306.999976759</v>
      </c>
    </row>
    <row r="1936" spans="1:12" ht="15" customHeight="1" x14ac:dyDescent="0.2">
      <c r="A1936" s="2">
        <v>43241</v>
      </c>
      <c r="B1936" s="3">
        <v>51</v>
      </c>
      <c r="C1936" s="1">
        <v>1059714</v>
      </c>
      <c r="D1936" s="3">
        <v>0.59000000000000297</v>
      </c>
      <c r="E1936" s="3">
        <v>1.1704026978774</v>
      </c>
      <c r="F1936" s="3">
        <v>1.1703994620140901</v>
      </c>
      <c r="G1936" s="3">
        <v>56.192039999999999</v>
      </c>
      <c r="H1936" s="3">
        <v>1465.89817734285</v>
      </c>
      <c r="I1936" s="3">
        <v>50.73</v>
      </c>
      <c r="J1936" s="3">
        <v>51.3</v>
      </c>
      <c r="K1936" s="3">
        <v>50.37</v>
      </c>
      <c r="L1936" s="3">
        <v>1321.21209773636</v>
      </c>
    </row>
    <row r="1937" spans="1:12" ht="15" customHeight="1" x14ac:dyDescent="0.2">
      <c r="A1937" s="2">
        <v>43238</v>
      </c>
      <c r="B1937" s="3">
        <v>50.41</v>
      </c>
      <c r="C1937" s="1">
        <v>1570740</v>
      </c>
      <c r="D1937" s="3">
        <v>-1.92</v>
      </c>
      <c r="E1937" s="3">
        <v>-3.6690235046818298</v>
      </c>
      <c r="F1937" s="3">
        <v>-3.6690266741619499</v>
      </c>
      <c r="G1937" s="3">
        <v>55.541977000000003</v>
      </c>
      <c r="H1937" s="3">
        <v>1447.78293420774</v>
      </c>
      <c r="I1937" s="3">
        <v>52.46</v>
      </c>
      <c r="J1937" s="3">
        <v>52.46</v>
      </c>
      <c r="K1937" s="3">
        <v>49.99</v>
      </c>
      <c r="L1937" s="3">
        <v>1304.7706244488199</v>
      </c>
    </row>
    <row r="1938" spans="1:12" ht="15" customHeight="1" x14ac:dyDescent="0.2">
      <c r="A1938" s="2">
        <v>43237</v>
      </c>
      <c r="B1938" s="3">
        <v>52.33</v>
      </c>
      <c r="C1938" s="1">
        <v>588864</v>
      </c>
      <c r="D1938" s="3">
        <v>0.17999999999999899</v>
      </c>
      <c r="E1938" s="3">
        <v>0.3451581975072</v>
      </c>
      <c r="F1938" s="3">
        <v>0.34516018850132502</v>
      </c>
      <c r="G1938" s="3">
        <v>57.657443999999998</v>
      </c>
      <c r="H1938" s="3">
        <v>1506.7344497520901</v>
      </c>
      <c r="I1938" s="3">
        <v>52.29</v>
      </c>
      <c r="J1938" s="3">
        <v>52.715000000000003</v>
      </c>
      <c r="K1938" s="3">
        <v>52</v>
      </c>
      <c r="L1938" s="3">
        <v>1358.2750798930199</v>
      </c>
    </row>
    <row r="1939" spans="1:12" ht="15" customHeight="1" x14ac:dyDescent="0.2">
      <c r="A1939" s="2">
        <v>43236</v>
      </c>
      <c r="B1939" s="3">
        <v>52.15</v>
      </c>
      <c r="C1939" s="1">
        <v>737414</v>
      </c>
      <c r="D1939" s="3">
        <v>0.35000000000000098</v>
      </c>
      <c r="E1939" s="3">
        <v>0.67567567567567899</v>
      </c>
      <c r="F1939" s="3">
        <v>0.67568155950810105</v>
      </c>
      <c r="G1939" s="3">
        <v>57.459117999999997</v>
      </c>
      <c r="H1939" s="3">
        <v>1501.20771817375</v>
      </c>
      <c r="I1939" s="3">
        <v>52.02</v>
      </c>
      <c r="J1939" s="3">
        <v>52.84</v>
      </c>
      <c r="K1939" s="3">
        <v>51.96</v>
      </c>
      <c r="L1939" s="3">
        <v>1353.2590371951201</v>
      </c>
    </row>
    <row r="1940" spans="1:12" ht="15" customHeight="1" x14ac:dyDescent="0.2">
      <c r="A1940" s="2">
        <v>43235</v>
      </c>
      <c r="B1940" s="3">
        <v>51.8</v>
      </c>
      <c r="C1940" s="1">
        <v>1053325</v>
      </c>
      <c r="D1940" s="3">
        <v>-0.12000000000000401</v>
      </c>
      <c r="E1940" s="3">
        <v>-0.231124807395999</v>
      </c>
      <c r="F1940" s="3">
        <v>-0.23112556965476599</v>
      </c>
      <c r="G1940" s="3">
        <v>57.073483000000003</v>
      </c>
      <c r="H1940" s="3">
        <v>1490.46126469707</v>
      </c>
      <c r="I1940" s="3">
        <v>51.67</v>
      </c>
      <c r="J1940" s="3">
        <v>52.06</v>
      </c>
      <c r="K1940" s="3">
        <v>51.23</v>
      </c>
      <c r="L1940" s="3">
        <v>1343.50562083811</v>
      </c>
    </row>
    <row r="1941" spans="1:12" ht="15" customHeight="1" x14ac:dyDescent="0.2">
      <c r="A1941" s="2">
        <v>43234</v>
      </c>
      <c r="B1941" s="3">
        <v>51.92</v>
      </c>
      <c r="C1941" s="1">
        <v>1914241</v>
      </c>
      <c r="D1941" s="3">
        <v>-1.64</v>
      </c>
      <c r="E1941" s="3">
        <v>-3.0619865571321898</v>
      </c>
      <c r="F1941" s="3">
        <v>-3.0619870380355598</v>
      </c>
      <c r="G1941" s="3">
        <v>57.2057</v>
      </c>
      <c r="H1941" s="3">
        <v>1494.1457431270001</v>
      </c>
      <c r="I1941" s="3">
        <v>53.5</v>
      </c>
      <c r="J1941" s="3">
        <v>53.5</v>
      </c>
      <c r="K1941" s="3">
        <v>51.42</v>
      </c>
      <c r="L1941" s="3">
        <v>1346.8496493033699</v>
      </c>
    </row>
    <row r="1942" spans="1:12" ht="15" customHeight="1" x14ac:dyDescent="0.2">
      <c r="A1942" s="2">
        <v>43231</v>
      </c>
      <c r="B1942" s="3">
        <v>53.56</v>
      </c>
      <c r="C1942" s="1">
        <v>868610</v>
      </c>
      <c r="D1942" s="3">
        <v>-0.19999999999999499</v>
      </c>
      <c r="E1942" s="3">
        <v>-0.37202380952380198</v>
      </c>
      <c r="F1942" s="3">
        <v>-0.372022226791757</v>
      </c>
      <c r="G1942" s="3">
        <v>59.012659999999997</v>
      </c>
      <c r="H1942" s="3">
        <v>1544.5001237569199</v>
      </c>
      <c r="I1942" s="3">
        <v>53.93</v>
      </c>
      <c r="J1942" s="3">
        <v>54.2</v>
      </c>
      <c r="K1942" s="3">
        <v>53.29</v>
      </c>
      <c r="L1942" s="3">
        <v>1392.55137166195</v>
      </c>
    </row>
    <row r="1943" spans="1:12" ht="15" customHeight="1" x14ac:dyDescent="0.2">
      <c r="A1943" s="2">
        <v>43230</v>
      </c>
      <c r="B1943" s="3">
        <v>53.76</v>
      </c>
      <c r="C1943" s="1">
        <v>520067</v>
      </c>
      <c r="D1943" s="3">
        <v>0.58999999999999597</v>
      </c>
      <c r="E1943" s="3">
        <v>1.1096482979123501</v>
      </c>
      <c r="F1943" s="3">
        <v>1.1096504283481601</v>
      </c>
      <c r="G1943" s="3">
        <v>59.233020000000003</v>
      </c>
      <c r="H1943" s="3">
        <v>1550.64087469529</v>
      </c>
      <c r="I1943" s="3">
        <v>53.4</v>
      </c>
      <c r="J1943" s="3">
        <v>54.02</v>
      </c>
      <c r="K1943" s="3">
        <v>53.18</v>
      </c>
      <c r="L1943" s="3">
        <v>1398.12475243739</v>
      </c>
    </row>
    <row r="1944" spans="1:12" ht="15" customHeight="1" x14ac:dyDescent="0.2">
      <c r="A1944" s="2">
        <v>43229</v>
      </c>
      <c r="B1944" s="3">
        <v>53.17</v>
      </c>
      <c r="C1944" s="1">
        <v>884239</v>
      </c>
      <c r="D1944" s="3">
        <v>-0.96</v>
      </c>
      <c r="E1944" s="3">
        <v>-1.7735082209495701</v>
      </c>
      <c r="F1944" s="3">
        <v>-1.2377632374847301</v>
      </c>
      <c r="G1944" s="3">
        <v>58.582954000000001</v>
      </c>
      <c r="H1944" s="3">
        <v>1532.52554795947</v>
      </c>
      <c r="I1944" s="3">
        <v>53.89</v>
      </c>
      <c r="J1944" s="3">
        <v>54.12</v>
      </c>
      <c r="K1944" s="3">
        <v>53.04</v>
      </c>
      <c r="L1944" s="3">
        <v>1381.68327914985</v>
      </c>
    </row>
    <row r="1945" spans="1:12" ht="15" customHeight="1" x14ac:dyDescent="0.2">
      <c r="A1945" s="2">
        <v>43228</v>
      </c>
      <c r="B1945" s="3">
        <v>54.13</v>
      </c>
      <c r="C1945" s="1">
        <v>959564</v>
      </c>
      <c r="D1945" s="3">
        <v>0.880000000000002</v>
      </c>
      <c r="E1945" s="3">
        <v>1.6525821596244199</v>
      </c>
      <c r="F1945" s="3">
        <v>1.6525795756994399</v>
      </c>
      <c r="G1945" s="3">
        <v>59.317160000000001</v>
      </c>
      <c r="H1945" s="3">
        <v>1552.9855959875199</v>
      </c>
      <c r="I1945" s="3">
        <v>53.2</v>
      </c>
      <c r="J1945" s="3">
        <v>54.48</v>
      </c>
      <c r="K1945" s="3">
        <v>53.2</v>
      </c>
      <c r="L1945" s="3">
        <v>1408.4355068719501</v>
      </c>
    </row>
    <row r="1946" spans="1:12" ht="15" customHeight="1" x14ac:dyDescent="0.2">
      <c r="A1946" s="2">
        <v>43227</v>
      </c>
      <c r="B1946" s="3">
        <v>53.25</v>
      </c>
      <c r="C1946" s="1">
        <v>1097236</v>
      </c>
      <c r="D1946" s="3">
        <v>0.28999999999999898</v>
      </c>
      <c r="E1946" s="3">
        <v>0.54758308157099</v>
      </c>
      <c r="F1946" s="3">
        <v>0.54758814674720202</v>
      </c>
      <c r="G1946" s="3">
        <v>58.352832999999997</v>
      </c>
      <c r="H1946" s="3">
        <v>1526.1127881723401</v>
      </c>
      <c r="I1946" s="3">
        <v>52.88</v>
      </c>
      <c r="J1946" s="3">
        <v>53.38</v>
      </c>
      <c r="K1946" s="3">
        <v>52.3</v>
      </c>
      <c r="L1946" s="3">
        <v>1383.9126314600201</v>
      </c>
    </row>
    <row r="1947" spans="1:12" ht="15" customHeight="1" x14ac:dyDescent="0.2">
      <c r="A1947" s="2">
        <v>43224</v>
      </c>
      <c r="B1947" s="3">
        <v>52.96</v>
      </c>
      <c r="C1947" s="1">
        <v>1262512</v>
      </c>
      <c r="D1947" s="3">
        <v>0.92999999999999905</v>
      </c>
      <c r="E1947" s="3">
        <v>1.7874303286565301</v>
      </c>
      <c r="F1947" s="3">
        <v>1.78742524259407</v>
      </c>
      <c r="G1947" s="3">
        <v>58.035040000000002</v>
      </c>
      <c r="H1947" s="3">
        <v>1517.2568811885001</v>
      </c>
      <c r="I1947" s="3">
        <v>52.07</v>
      </c>
      <c r="J1947" s="3">
        <v>53.62</v>
      </c>
      <c r="K1947" s="3">
        <v>51.9</v>
      </c>
      <c r="L1947" s="3">
        <v>1375.83122933564</v>
      </c>
    </row>
    <row r="1948" spans="1:12" ht="15" customHeight="1" x14ac:dyDescent="0.2">
      <c r="A1948" s="2">
        <v>43223</v>
      </c>
      <c r="B1948" s="3">
        <v>52.03</v>
      </c>
      <c r="C1948" s="1">
        <v>631319</v>
      </c>
      <c r="D1948" s="3">
        <v>-8.9999999999996305E-2</v>
      </c>
      <c r="E1948" s="3">
        <v>-0.17267843438218899</v>
      </c>
      <c r="F1948" s="3">
        <v>-0.17267929705054799</v>
      </c>
      <c r="G1948" s="3">
        <v>57.015923000000001</v>
      </c>
      <c r="H1948" s="3">
        <v>1488.8572457099001</v>
      </c>
      <c r="I1948" s="3">
        <v>52.06</v>
      </c>
      <c r="J1948" s="3">
        <v>52.295000000000002</v>
      </c>
      <c r="K1948" s="3">
        <v>51.57</v>
      </c>
      <c r="L1948" s="3">
        <v>1349.9150087298599</v>
      </c>
    </row>
    <row r="1949" spans="1:12" ht="15" customHeight="1" x14ac:dyDescent="0.2">
      <c r="A1949" s="2">
        <v>43222</v>
      </c>
      <c r="B1949" s="3">
        <v>52.12</v>
      </c>
      <c r="C1949" s="1">
        <v>801728</v>
      </c>
      <c r="D1949" s="3">
        <v>-0.64</v>
      </c>
      <c r="E1949" s="3">
        <v>-1.2130401819560199</v>
      </c>
      <c r="F1949" s="3">
        <v>-1.2130370557734</v>
      </c>
      <c r="G1949" s="3">
        <v>57.114547999999999</v>
      </c>
      <c r="H1949" s="3">
        <v>1491.6056191047901</v>
      </c>
      <c r="I1949" s="3">
        <v>52.44</v>
      </c>
      <c r="J1949" s="3">
        <v>52.78</v>
      </c>
      <c r="K1949" s="3">
        <v>51.740099999999998</v>
      </c>
      <c r="L1949" s="3">
        <v>1352.4230300788099</v>
      </c>
    </row>
    <row r="1950" spans="1:12" ht="15" customHeight="1" x14ac:dyDescent="0.2">
      <c r="A1950" s="2">
        <v>43221</v>
      </c>
      <c r="B1950" s="3">
        <v>52.76</v>
      </c>
      <c r="C1950" s="1">
        <v>990761</v>
      </c>
      <c r="D1950" s="3">
        <v>0.80999999999999495</v>
      </c>
      <c r="E1950" s="3">
        <v>1.5591915303176</v>
      </c>
      <c r="F1950" s="3">
        <v>1.559188787389</v>
      </c>
      <c r="G1950" s="3">
        <v>57.815876000000003</v>
      </c>
      <c r="H1950" s="3">
        <v>1511.14945906716</v>
      </c>
      <c r="I1950" s="3">
        <v>52.04</v>
      </c>
      <c r="J1950" s="3">
        <v>52.87</v>
      </c>
      <c r="K1950" s="3">
        <v>51.53</v>
      </c>
      <c r="L1950" s="3">
        <v>1370.2578485602</v>
      </c>
    </row>
    <row r="1951" spans="1:12" ht="15" customHeight="1" x14ac:dyDescent="0.2">
      <c r="A1951" s="2">
        <v>43220</v>
      </c>
      <c r="B1951" s="3">
        <v>51.95</v>
      </c>
      <c r="C1951" s="1">
        <v>1250389</v>
      </c>
      <c r="D1951" s="3">
        <v>-0.87999999999999501</v>
      </c>
      <c r="E1951" s="3">
        <v>-1.6657202347151101</v>
      </c>
      <c r="F1951" s="3">
        <v>-1.66572785912669</v>
      </c>
      <c r="G1951" s="3">
        <v>56.928257000000002</v>
      </c>
      <c r="H1951" s="3">
        <v>1486.4142657146001</v>
      </c>
      <c r="I1951" s="3">
        <v>52.76</v>
      </c>
      <c r="J1951" s="3">
        <v>52.965000000000003</v>
      </c>
      <c r="K1951" s="3">
        <v>51.5</v>
      </c>
      <c r="L1951" s="3">
        <v>1347.6856564196901</v>
      </c>
    </row>
    <row r="1952" spans="1:12" ht="15" customHeight="1" x14ac:dyDescent="0.2">
      <c r="A1952" s="2">
        <v>43217</v>
      </c>
      <c r="B1952" s="3">
        <v>52.83</v>
      </c>
      <c r="C1952" s="1">
        <v>1375322</v>
      </c>
      <c r="D1952" s="3">
        <v>0.71999999999999797</v>
      </c>
      <c r="E1952" s="3">
        <v>1.3816925734024099</v>
      </c>
      <c r="F1952" s="3">
        <v>1.3816959185334501</v>
      </c>
      <c r="G1952" s="3">
        <v>57.892589999999998</v>
      </c>
      <c r="H1952" s="3">
        <v>1513.2872407312</v>
      </c>
      <c r="I1952" s="3">
        <v>52.26</v>
      </c>
      <c r="J1952" s="3">
        <v>53.28</v>
      </c>
      <c r="K1952" s="3">
        <v>51.94</v>
      </c>
      <c r="L1952" s="3">
        <v>1372.2085318316099</v>
      </c>
    </row>
    <row r="1953" spans="1:12" ht="15" customHeight="1" x14ac:dyDescent="0.2">
      <c r="A1953" s="2">
        <v>43216</v>
      </c>
      <c r="B1953" s="3">
        <v>52.11</v>
      </c>
      <c r="C1953" s="1">
        <v>2915010</v>
      </c>
      <c r="D1953" s="3">
        <v>1.18999999999999</v>
      </c>
      <c r="E1953" s="3">
        <v>2.3369992144540399</v>
      </c>
      <c r="F1953" s="3">
        <v>2.33700617637564</v>
      </c>
      <c r="G1953" s="3">
        <v>57.103591999999999</v>
      </c>
      <c r="H1953" s="3">
        <v>1491.3003093059101</v>
      </c>
      <c r="I1953" s="3">
        <v>50.95</v>
      </c>
      <c r="J1953" s="3">
        <v>53.5916</v>
      </c>
      <c r="K1953" s="3">
        <v>50.95</v>
      </c>
      <c r="L1953" s="3">
        <v>1352.1443610400299</v>
      </c>
    </row>
    <row r="1954" spans="1:12" ht="15" customHeight="1" x14ac:dyDescent="0.2">
      <c r="A1954" s="2">
        <v>43215</v>
      </c>
      <c r="B1954" s="3">
        <v>50.92</v>
      </c>
      <c r="C1954" s="1">
        <v>2158901</v>
      </c>
      <c r="D1954" s="3">
        <v>0.27000000000000302</v>
      </c>
      <c r="E1954" s="3">
        <v>0.53307008884502205</v>
      </c>
      <c r="F1954" s="3">
        <v>0.53306915865758397</v>
      </c>
      <c r="G1954" s="3">
        <v>55.799553000000003</v>
      </c>
      <c r="H1954" s="3">
        <v>1454.9607798408099</v>
      </c>
      <c r="I1954" s="3">
        <v>50.61</v>
      </c>
      <c r="J1954" s="3">
        <v>51.18</v>
      </c>
      <c r="K1954" s="3">
        <v>49.79</v>
      </c>
      <c r="L1954" s="3">
        <v>1318.9827454261899</v>
      </c>
    </row>
    <row r="1955" spans="1:12" ht="15" customHeight="1" x14ac:dyDescent="0.2">
      <c r="A1955" s="2">
        <v>43214</v>
      </c>
      <c r="B1955" s="3">
        <v>50.65</v>
      </c>
      <c r="C1955" s="1">
        <v>1214938</v>
      </c>
      <c r="D1955" s="3">
        <v>-0.45000000000000201</v>
      </c>
      <c r="E1955" s="3">
        <v>-0.88062622309198402</v>
      </c>
      <c r="F1955" s="3">
        <v>-0.88062706008411595</v>
      </c>
      <c r="G1955" s="3">
        <v>55.503680000000003</v>
      </c>
      <c r="H1955" s="3">
        <v>1446.71571538996</v>
      </c>
      <c r="I1955" s="3">
        <v>51.24</v>
      </c>
      <c r="J1955" s="3">
        <v>51.25</v>
      </c>
      <c r="K1955" s="3">
        <v>49.97</v>
      </c>
      <c r="L1955" s="3">
        <v>1311.4586813793501</v>
      </c>
    </row>
    <row r="1956" spans="1:12" ht="15" customHeight="1" x14ac:dyDescent="0.2">
      <c r="A1956" s="2">
        <v>43213</v>
      </c>
      <c r="B1956" s="3">
        <v>51.1</v>
      </c>
      <c r="C1956" s="1">
        <v>1200815</v>
      </c>
      <c r="D1956" s="3">
        <v>-0.5</v>
      </c>
      <c r="E1956" s="3">
        <v>-0.968992248062017</v>
      </c>
      <c r="F1956" s="3">
        <v>-0.96899063035350497</v>
      </c>
      <c r="G1956" s="3">
        <v>55.996803</v>
      </c>
      <c r="H1956" s="3">
        <v>1460.4575266305801</v>
      </c>
      <c r="I1956" s="3">
        <v>51.75</v>
      </c>
      <c r="J1956" s="3">
        <v>51.75</v>
      </c>
      <c r="K1956" s="3">
        <v>50.77</v>
      </c>
      <c r="L1956" s="3">
        <v>1323.99878812408</v>
      </c>
    </row>
    <row r="1957" spans="1:12" ht="15" customHeight="1" x14ac:dyDescent="0.2">
      <c r="A1957" s="2">
        <v>43210</v>
      </c>
      <c r="B1957" s="3">
        <v>51.6</v>
      </c>
      <c r="C1957" s="1">
        <v>1146694</v>
      </c>
      <c r="D1957" s="3">
        <v>-0.72999999999999599</v>
      </c>
      <c r="E1957" s="3">
        <v>-1.3949933116758899</v>
      </c>
      <c r="F1957" s="3">
        <v>-1.39499792770637</v>
      </c>
      <c r="G1957" s="3">
        <v>56.544716000000001</v>
      </c>
      <c r="H1957" s="3">
        <v>1475.7261655346399</v>
      </c>
      <c r="I1957" s="3">
        <v>52.42</v>
      </c>
      <c r="J1957" s="3">
        <v>52.545000000000002</v>
      </c>
      <c r="K1957" s="3">
        <v>51.18</v>
      </c>
      <c r="L1957" s="3">
        <v>1337.93224006267</v>
      </c>
    </row>
    <row r="1958" spans="1:12" ht="15" customHeight="1" x14ac:dyDescent="0.2">
      <c r="A1958" s="2">
        <v>43209</v>
      </c>
      <c r="B1958" s="3">
        <v>52.33</v>
      </c>
      <c r="C1958" s="1">
        <v>934116</v>
      </c>
      <c r="D1958" s="3">
        <v>-0.74000000000000199</v>
      </c>
      <c r="E1958" s="3">
        <v>-1.3943847748256999</v>
      </c>
      <c r="F1958" s="3">
        <v>-1.39437861700016</v>
      </c>
      <c r="G1958" s="3">
        <v>57.344673</v>
      </c>
      <c r="H1958" s="3">
        <v>1498.01849035952</v>
      </c>
      <c r="I1958" s="3">
        <v>52.83</v>
      </c>
      <c r="J1958" s="3">
        <v>53.1</v>
      </c>
      <c r="K1958" s="3">
        <v>51.75</v>
      </c>
      <c r="L1958" s="3">
        <v>1358.2750798930199</v>
      </c>
    </row>
    <row r="1959" spans="1:12" ht="15" customHeight="1" x14ac:dyDescent="0.2">
      <c r="A1959" s="2">
        <v>43208</v>
      </c>
      <c r="B1959" s="3">
        <v>53.07</v>
      </c>
      <c r="C1959" s="1">
        <v>845540</v>
      </c>
      <c r="D1959" s="3">
        <v>0.53500000000000303</v>
      </c>
      <c r="E1959" s="3">
        <v>1.0183687065765601</v>
      </c>
      <c r="F1959" s="3">
        <v>1.0183636536803</v>
      </c>
      <c r="G1959" s="3">
        <v>58.155582000000003</v>
      </c>
      <c r="H1959" s="3">
        <v>1520.6160135156699</v>
      </c>
      <c r="I1959" s="3">
        <v>52.84</v>
      </c>
      <c r="J1959" s="3">
        <v>53.38</v>
      </c>
      <c r="K1959" s="3">
        <v>52.5</v>
      </c>
      <c r="L1959" s="3">
        <v>1378.89658876213</v>
      </c>
    </row>
    <row r="1960" spans="1:12" ht="15" customHeight="1" x14ac:dyDescent="0.2">
      <c r="A1960" s="2">
        <v>43207</v>
      </c>
      <c r="B1960" s="3">
        <v>52.534999999999997</v>
      </c>
      <c r="C1960" s="1">
        <v>863128</v>
      </c>
      <c r="D1960" s="3">
        <v>0.184999999999995</v>
      </c>
      <c r="E1960" s="3">
        <v>0.35339063992358899</v>
      </c>
      <c r="F1960" s="3">
        <v>0.35338861870646199</v>
      </c>
      <c r="G1960" s="3">
        <v>57.569316999999998</v>
      </c>
      <c r="H1960" s="3">
        <v>1504.2786231141099</v>
      </c>
      <c r="I1960" s="3">
        <v>52.46</v>
      </c>
      <c r="J1960" s="3">
        <v>53.3</v>
      </c>
      <c r="K1960" s="3">
        <v>51.46</v>
      </c>
      <c r="L1960" s="3">
        <v>1363.98779518784</v>
      </c>
    </row>
    <row r="1961" spans="1:12" ht="15" customHeight="1" x14ac:dyDescent="0.2">
      <c r="A1961" s="2">
        <v>43206</v>
      </c>
      <c r="B1961" s="3">
        <v>52.35</v>
      </c>
      <c r="C1961" s="1">
        <v>994746</v>
      </c>
      <c r="D1961" s="3">
        <v>0.160000000000003</v>
      </c>
      <c r="E1961" s="3">
        <v>0.306572140256755</v>
      </c>
      <c r="F1961" s="3">
        <v>0.306578345003583</v>
      </c>
      <c r="G1961" s="3">
        <v>57.366590000000002</v>
      </c>
      <c r="H1961" s="3">
        <v>1498.6292492918001</v>
      </c>
      <c r="I1961" s="3">
        <v>52.28</v>
      </c>
      <c r="J1961" s="3">
        <v>53.11</v>
      </c>
      <c r="K1961" s="3">
        <v>51.87</v>
      </c>
      <c r="L1961" s="3">
        <v>1358.8324179705601</v>
      </c>
    </row>
    <row r="1962" spans="1:12" ht="15" customHeight="1" x14ac:dyDescent="0.2">
      <c r="A1962" s="2">
        <v>43203</v>
      </c>
      <c r="B1962" s="3">
        <v>52.19</v>
      </c>
      <c r="C1962" s="1">
        <v>1142969</v>
      </c>
      <c r="D1962" s="3">
        <v>1.47999999999999</v>
      </c>
      <c r="E1962" s="3">
        <v>2.9185564977322001</v>
      </c>
      <c r="F1962" s="3">
        <v>2.91855432024406</v>
      </c>
      <c r="G1962" s="3">
        <v>57.191254000000001</v>
      </c>
      <c r="H1962" s="3">
        <v>1493.7431778335899</v>
      </c>
      <c r="I1962" s="3">
        <v>51.02</v>
      </c>
      <c r="J1962" s="3">
        <v>52.41</v>
      </c>
      <c r="K1962" s="3">
        <v>50.72</v>
      </c>
      <c r="L1962" s="3">
        <v>1354.37371335021</v>
      </c>
    </row>
    <row r="1963" spans="1:12" ht="15" customHeight="1" x14ac:dyDescent="0.2">
      <c r="A1963" s="2">
        <v>43202</v>
      </c>
      <c r="B1963" s="3">
        <v>50.71</v>
      </c>
      <c r="C1963" s="1">
        <v>809285</v>
      </c>
      <c r="D1963" s="3">
        <v>-0.32999999999999802</v>
      </c>
      <c r="E1963" s="3">
        <v>-0.64655172413792195</v>
      </c>
      <c r="F1963" s="3">
        <v>-0.64655849432633195</v>
      </c>
      <c r="G1963" s="3">
        <v>55.569429999999997</v>
      </c>
      <c r="H1963" s="3">
        <v>1448.5479643198801</v>
      </c>
      <c r="I1963" s="3">
        <v>51.39</v>
      </c>
      <c r="J1963" s="3">
        <v>51.77</v>
      </c>
      <c r="K1963" s="3">
        <v>50.68</v>
      </c>
      <c r="L1963" s="3">
        <v>1313.1306956119799</v>
      </c>
    </row>
    <row r="1964" spans="1:12" ht="15" customHeight="1" x14ac:dyDescent="0.2">
      <c r="A1964" s="2">
        <v>43201</v>
      </c>
      <c r="B1964" s="3">
        <v>51.04</v>
      </c>
      <c r="C1964" s="1">
        <v>1108846</v>
      </c>
      <c r="D1964" s="3">
        <v>-0.89999999999999802</v>
      </c>
      <c r="E1964" s="3">
        <v>-1.73276857912976</v>
      </c>
      <c r="F1964" s="3">
        <v>-1.73275972680149</v>
      </c>
      <c r="G1964" s="3">
        <v>55.931057000000003</v>
      </c>
      <c r="H1964" s="3">
        <v>1458.62538916827</v>
      </c>
      <c r="I1964" s="3">
        <v>51.72</v>
      </c>
      <c r="J1964" s="3">
        <v>52.19</v>
      </c>
      <c r="K1964" s="3">
        <v>50.79</v>
      </c>
      <c r="L1964" s="3">
        <v>1322.3267738914501</v>
      </c>
    </row>
    <row r="1965" spans="1:12" ht="15" customHeight="1" x14ac:dyDescent="0.2">
      <c r="A1965" s="2">
        <v>43200</v>
      </c>
      <c r="B1965" s="3">
        <v>51.94</v>
      </c>
      <c r="C1965" s="1">
        <v>966337</v>
      </c>
      <c r="D1965" s="3">
        <v>0.489999999999994</v>
      </c>
      <c r="E1965" s="3">
        <v>0.952380952380949</v>
      </c>
      <c r="F1965" s="3">
        <v>0.95237623949224703</v>
      </c>
      <c r="G1965" s="3">
        <v>56.917296999999998</v>
      </c>
      <c r="H1965" s="3">
        <v>1486.1088444481099</v>
      </c>
      <c r="I1965" s="3">
        <v>52.09</v>
      </c>
      <c r="J1965" s="3">
        <v>52.12</v>
      </c>
      <c r="K1965" s="3">
        <v>51.33</v>
      </c>
      <c r="L1965" s="3">
        <v>1347.4069873809101</v>
      </c>
    </row>
    <row r="1966" spans="1:12" ht="15" customHeight="1" x14ac:dyDescent="0.2">
      <c r="A1966" s="2">
        <v>43199</v>
      </c>
      <c r="B1966" s="3">
        <v>51.45</v>
      </c>
      <c r="C1966" s="1">
        <v>875264</v>
      </c>
      <c r="D1966" s="3">
        <v>-0.60999999999999899</v>
      </c>
      <c r="E1966" s="3">
        <v>-1.17172493276987</v>
      </c>
      <c r="F1966" s="3">
        <v>-1.17172666208579</v>
      </c>
      <c r="G1966" s="3">
        <v>56.380344000000001</v>
      </c>
      <c r="H1966" s="3">
        <v>1471.1456268105401</v>
      </c>
      <c r="I1966" s="3">
        <v>52.5</v>
      </c>
      <c r="J1966" s="3">
        <v>52.76</v>
      </c>
      <c r="K1966" s="3">
        <v>51.265000000000001</v>
      </c>
      <c r="L1966" s="3">
        <v>1333.7522044810901</v>
      </c>
    </row>
    <row r="1967" spans="1:12" ht="15" customHeight="1" x14ac:dyDescent="0.2">
      <c r="A1967" s="2">
        <v>43196</v>
      </c>
      <c r="B1967" s="3">
        <v>52.06</v>
      </c>
      <c r="C1967" s="1">
        <v>2032593</v>
      </c>
      <c r="D1967" s="3">
        <v>0.32</v>
      </c>
      <c r="E1967" s="3">
        <v>0.61847700038655196</v>
      </c>
      <c r="F1967" s="3">
        <v>0.61847713333074095</v>
      </c>
      <c r="G1967" s="3">
        <v>57.0488</v>
      </c>
      <c r="H1967" s="3">
        <v>1489.7734259086701</v>
      </c>
      <c r="I1967" s="3">
        <v>51.36</v>
      </c>
      <c r="J1967" s="3">
        <v>53.03</v>
      </c>
      <c r="K1967" s="3">
        <v>51.36</v>
      </c>
      <c r="L1967" s="3">
        <v>1350.7510158461801</v>
      </c>
    </row>
    <row r="1968" spans="1:12" ht="15" customHeight="1" x14ac:dyDescent="0.2">
      <c r="A1968" s="2">
        <v>43195</v>
      </c>
      <c r="B1968" s="3">
        <v>51.74</v>
      </c>
      <c r="C1968" s="1">
        <v>1954576</v>
      </c>
      <c r="D1968" s="3">
        <v>1.73</v>
      </c>
      <c r="E1968" s="3">
        <v>3.4593081383723399</v>
      </c>
      <c r="F1968" s="3">
        <v>3.4593133323662202</v>
      </c>
      <c r="G1968" s="3">
        <v>56.698135000000001</v>
      </c>
      <c r="H1968" s="3">
        <v>1480.00147806058</v>
      </c>
      <c r="I1968" s="3">
        <v>50.29</v>
      </c>
      <c r="J1968" s="3">
        <v>51.82</v>
      </c>
      <c r="K1968" s="3">
        <v>50.05</v>
      </c>
      <c r="L1968" s="3">
        <v>1341.8336066054801</v>
      </c>
    </row>
    <row r="1969" spans="1:12" ht="15" customHeight="1" x14ac:dyDescent="0.2">
      <c r="A1969" s="2">
        <v>43194</v>
      </c>
      <c r="B1969" s="3">
        <v>50.01</v>
      </c>
      <c r="C1969" s="1">
        <v>1051214</v>
      </c>
      <c r="D1969" s="3">
        <v>1.6099999999999901</v>
      </c>
      <c r="E1969" s="3">
        <v>3.3264462809917199</v>
      </c>
      <c r="F1969" s="3">
        <v>3.3264407999763201</v>
      </c>
      <c r="G1969" s="3">
        <v>54.802349999999997</v>
      </c>
      <c r="H1969" s="3">
        <v>1427.17181969377</v>
      </c>
      <c r="I1969" s="3">
        <v>47.84</v>
      </c>
      <c r="J1969" s="3">
        <v>50.14</v>
      </c>
      <c r="K1969" s="3">
        <v>47.84</v>
      </c>
      <c r="L1969" s="3">
        <v>1293.6238628979499</v>
      </c>
    </row>
    <row r="1970" spans="1:12" ht="15" customHeight="1" x14ac:dyDescent="0.2">
      <c r="A1970" s="2">
        <v>43193</v>
      </c>
      <c r="B1970" s="3">
        <v>48.4</v>
      </c>
      <c r="C1970" s="1">
        <v>1044531</v>
      </c>
      <c r="D1970" s="3">
        <v>0.92999999999999905</v>
      </c>
      <c r="E1970" s="3">
        <v>1.9591320834211099</v>
      </c>
      <c r="F1970" s="3">
        <v>1.95913220086141</v>
      </c>
      <c r="G1970" s="3">
        <v>53.038069999999998</v>
      </c>
      <c r="H1970" s="3">
        <v>1378.00679852133</v>
      </c>
      <c r="I1970" s="3">
        <v>47.85</v>
      </c>
      <c r="J1970" s="3">
        <v>48.46</v>
      </c>
      <c r="K1970" s="3">
        <v>47.58</v>
      </c>
      <c r="L1970" s="3">
        <v>1248.75814765568</v>
      </c>
    </row>
    <row r="1971" spans="1:12" ht="15" customHeight="1" x14ac:dyDescent="0.2">
      <c r="A1971" s="2">
        <v>43192</v>
      </c>
      <c r="B1971" s="3">
        <v>47.47</v>
      </c>
      <c r="C1971" s="1">
        <v>1122717</v>
      </c>
      <c r="D1971" s="3">
        <v>-0.75</v>
      </c>
      <c r="E1971" s="3">
        <v>-1.5553712152633701</v>
      </c>
      <c r="F1971" s="3">
        <v>-1.55536950410687</v>
      </c>
      <c r="G1971" s="3">
        <v>52.018949999999997</v>
      </c>
      <c r="H1971" s="3">
        <v>1349.60707944202</v>
      </c>
      <c r="I1971" s="3">
        <v>48.12</v>
      </c>
      <c r="J1971" s="3">
        <v>48.545000000000002</v>
      </c>
      <c r="K1971" s="3">
        <v>46.85</v>
      </c>
      <c r="L1971" s="3">
        <v>1222.8419270499001</v>
      </c>
    </row>
    <row r="1972" spans="1:12" ht="15" customHeight="1" x14ac:dyDescent="0.2">
      <c r="A1972" s="2">
        <v>43188</v>
      </c>
      <c r="B1972" s="3">
        <v>48.22</v>
      </c>
      <c r="C1972" s="1">
        <v>996089</v>
      </c>
      <c r="D1972" s="3">
        <v>0.219999999999998</v>
      </c>
      <c r="E1972" s="3">
        <v>0.45833333333333798</v>
      </c>
      <c r="F1972" s="3">
        <v>0.45832926170357102</v>
      </c>
      <c r="G1972" s="3">
        <v>52.840820000000001</v>
      </c>
      <c r="H1972" s="3">
        <v>1372.51005173156</v>
      </c>
      <c r="I1972" s="3">
        <v>48.11</v>
      </c>
      <c r="J1972" s="3">
        <v>48.46</v>
      </c>
      <c r="K1972" s="3">
        <v>47.51</v>
      </c>
      <c r="L1972" s="3">
        <v>1243.7421049577899</v>
      </c>
    </row>
    <row r="1973" spans="1:12" ht="15" customHeight="1" x14ac:dyDescent="0.2">
      <c r="A1973" s="2">
        <v>43187</v>
      </c>
      <c r="B1973" s="3">
        <v>48</v>
      </c>
      <c r="C1973" s="1">
        <v>837566</v>
      </c>
      <c r="D1973" s="3">
        <v>-0.310000000000002</v>
      </c>
      <c r="E1973" s="3">
        <v>-0.64168909128545704</v>
      </c>
      <c r="F1973" s="3">
        <v>-0.64168598669669397</v>
      </c>
      <c r="G1973" s="3">
        <v>52.599739999999997</v>
      </c>
      <c r="H1973" s="3">
        <v>1365.79189854485</v>
      </c>
      <c r="I1973" s="3">
        <v>48.29</v>
      </c>
      <c r="J1973" s="3">
        <v>48.94</v>
      </c>
      <c r="K1973" s="3">
        <v>47.84</v>
      </c>
      <c r="L1973" s="3">
        <v>1237.61138610481</v>
      </c>
    </row>
    <row r="1974" spans="1:12" ht="15" customHeight="1" x14ac:dyDescent="0.2">
      <c r="A1974" s="2">
        <v>43186</v>
      </c>
      <c r="B1974" s="3">
        <v>48.31</v>
      </c>
      <c r="C1974" s="1">
        <v>943176</v>
      </c>
      <c r="D1974" s="3">
        <v>0.42999999999999899</v>
      </c>
      <c r="E1974" s="3">
        <v>0.89807852965748602</v>
      </c>
      <c r="F1974" s="3">
        <v>0.89807662692706902</v>
      </c>
      <c r="G1974" s="3">
        <v>52.939444999999999</v>
      </c>
      <c r="H1974" s="3">
        <v>1375.25842512645</v>
      </c>
      <c r="I1974" s="3">
        <v>48.04</v>
      </c>
      <c r="J1974" s="3">
        <v>48.69</v>
      </c>
      <c r="K1974" s="3">
        <v>47.67</v>
      </c>
      <c r="L1974" s="3">
        <v>1246.25012630674</v>
      </c>
    </row>
    <row r="1975" spans="1:12" ht="15" customHeight="1" x14ac:dyDescent="0.2">
      <c r="A1975" s="2">
        <v>43185</v>
      </c>
      <c r="B1975" s="3">
        <v>47.88</v>
      </c>
      <c r="C1975" s="1">
        <v>1127384</v>
      </c>
      <c r="D1975" s="3">
        <v>0.64</v>
      </c>
      <c r="E1975" s="3">
        <v>1.35478408128704</v>
      </c>
      <c r="F1975" s="3">
        <v>1.3547843593523201</v>
      </c>
      <c r="G1975" s="3">
        <v>52.468240000000002</v>
      </c>
      <c r="H1975" s="3">
        <v>1362.1274006850001</v>
      </c>
      <c r="I1975" s="3">
        <v>47.84</v>
      </c>
      <c r="J1975" s="3">
        <v>48.06</v>
      </c>
      <c r="K1975" s="3">
        <v>47.51</v>
      </c>
      <c r="L1975" s="3">
        <v>1234.26735763955</v>
      </c>
    </row>
    <row r="1976" spans="1:12" ht="15" customHeight="1" x14ac:dyDescent="0.2">
      <c r="A1976" s="2">
        <v>43182</v>
      </c>
      <c r="B1976" s="3">
        <v>47.24</v>
      </c>
      <c r="C1976" s="1">
        <v>1294449</v>
      </c>
      <c r="D1976" s="3">
        <v>0.260000000000005</v>
      </c>
      <c r="E1976" s="3">
        <v>0.55342699020861597</v>
      </c>
      <c r="F1976" s="3">
        <v>0.55343625994255197</v>
      </c>
      <c r="G1976" s="3">
        <v>51.766910000000003</v>
      </c>
      <c r="H1976" s="3">
        <v>1342.5835049888101</v>
      </c>
      <c r="I1976" s="3">
        <v>47.17</v>
      </c>
      <c r="J1976" s="3">
        <v>48.21</v>
      </c>
      <c r="K1976" s="3">
        <v>47.17</v>
      </c>
      <c r="L1976" s="3">
        <v>1216.4325391581499</v>
      </c>
    </row>
    <row r="1977" spans="1:12" ht="15" customHeight="1" x14ac:dyDescent="0.2">
      <c r="A1977" s="2">
        <v>43181</v>
      </c>
      <c r="B1977" s="3">
        <v>46.98</v>
      </c>
      <c r="C1977" s="1">
        <v>633357</v>
      </c>
      <c r="D1977" s="3">
        <v>-0.96</v>
      </c>
      <c r="E1977" s="3">
        <v>-2.0025031289111301</v>
      </c>
      <c r="F1977" s="3">
        <v>-2.0025037125966998</v>
      </c>
      <c r="G1977" s="3">
        <v>51.481990000000003</v>
      </c>
      <c r="H1977" s="3">
        <v>1334.6436667361199</v>
      </c>
      <c r="I1977" s="3">
        <v>47</v>
      </c>
      <c r="J1977" s="3">
        <v>47.64</v>
      </c>
      <c r="K1977" s="3">
        <v>46.71</v>
      </c>
      <c r="L1977" s="3">
        <v>1209.18714415008</v>
      </c>
    </row>
    <row r="1978" spans="1:12" ht="15" customHeight="1" x14ac:dyDescent="0.2">
      <c r="A1978" s="2">
        <v>43180</v>
      </c>
      <c r="B1978" s="3">
        <v>47.94</v>
      </c>
      <c r="C1978" s="1">
        <v>577886</v>
      </c>
      <c r="D1978" s="3">
        <v>-0.5</v>
      </c>
      <c r="E1978" s="3">
        <v>-1.03220478943022</v>
      </c>
      <c r="F1978" s="3">
        <v>-1.0322068350982001</v>
      </c>
      <c r="G1978" s="3">
        <v>52.533985000000001</v>
      </c>
      <c r="H1978" s="3">
        <v>1363.9595102804001</v>
      </c>
      <c r="I1978" s="3">
        <v>48.34</v>
      </c>
      <c r="J1978" s="3">
        <v>48.66</v>
      </c>
      <c r="K1978" s="3">
        <v>47.9</v>
      </c>
      <c r="L1978" s="3">
        <v>1235.9393718721799</v>
      </c>
    </row>
    <row r="1979" spans="1:12" ht="15" customHeight="1" x14ac:dyDescent="0.2">
      <c r="A1979" s="2">
        <v>43179</v>
      </c>
      <c r="B1979" s="3">
        <v>48.44</v>
      </c>
      <c r="C1979" s="1">
        <v>505988</v>
      </c>
      <c r="D1979" s="3">
        <v>0.439999999999997</v>
      </c>
      <c r="E1979" s="3">
        <v>0.91666666666665397</v>
      </c>
      <c r="F1979" s="3">
        <v>0.91665852340714304</v>
      </c>
      <c r="G1979" s="3">
        <v>53.081899999999997</v>
      </c>
      <c r="H1979" s="3">
        <v>1379.22820491827</v>
      </c>
      <c r="I1979" s="3">
        <v>48.03</v>
      </c>
      <c r="J1979" s="3">
        <v>48.87</v>
      </c>
      <c r="K1979" s="3">
        <v>48.03</v>
      </c>
      <c r="L1979" s="3">
        <v>1249.8728238107699</v>
      </c>
    </row>
    <row r="1980" spans="1:12" ht="15" customHeight="1" x14ac:dyDescent="0.2">
      <c r="A1980" s="2">
        <v>43178</v>
      </c>
      <c r="B1980" s="3">
        <v>48</v>
      </c>
      <c r="C1980" s="1">
        <v>738051</v>
      </c>
      <c r="D1980" s="3">
        <v>0.149999999999998</v>
      </c>
      <c r="E1980" s="3">
        <v>0.313479623824441</v>
      </c>
      <c r="F1980" s="3">
        <v>0.31349074365083401</v>
      </c>
      <c r="G1980" s="3">
        <v>52.599739999999997</v>
      </c>
      <c r="H1980" s="3">
        <v>1365.79189854485</v>
      </c>
      <c r="I1980" s="3">
        <v>47.39</v>
      </c>
      <c r="J1980" s="3">
        <v>48.09</v>
      </c>
      <c r="K1980" s="3">
        <v>47.27</v>
      </c>
      <c r="L1980" s="3">
        <v>1237.61138610481</v>
      </c>
    </row>
    <row r="1981" spans="1:12" ht="15" customHeight="1" x14ac:dyDescent="0.2">
      <c r="A1981" s="2">
        <v>43175</v>
      </c>
      <c r="B1981" s="3">
        <v>47.85</v>
      </c>
      <c r="C1981" s="1">
        <v>860324</v>
      </c>
      <c r="D1981" s="3">
        <v>0.23000000000000301</v>
      </c>
      <c r="E1981" s="3">
        <v>0.48299034019321202</v>
      </c>
      <c r="F1981" s="3">
        <v>0.48298380691471599</v>
      </c>
      <c r="G1981" s="3">
        <v>52.435360000000003</v>
      </c>
      <c r="H1981" s="3">
        <v>1361.2111368855201</v>
      </c>
      <c r="I1981" s="3">
        <v>47.69</v>
      </c>
      <c r="J1981" s="3">
        <v>48.81</v>
      </c>
      <c r="K1981" s="3">
        <v>47.69</v>
      </c>
      <c r="L1981" s="3">
        <v>1233.4313505232301</v>
      </c>
    </row>
    <row r="1982" spans="1:12" ht="15" customHeight="1" x14ac:dyDescent="0.2">
      <c r="A1982" s="2">
        <v>43174</v>
      </c>
      <c r="B1982" s="3">
        <v>47.62</v>
      </c>
      <c r="C1982" s="1">
        <v>607166</v>
      </c>
      <c r="D1982" s="3">
        <v>-0.67999999999999905</v>
      </c>
      <c r="E1982" s="3">
        <v>-1.40786749482401</v>
      </c>
      <c r="F1982" s="3">
        <v>-1.4078675894866799</v>
      </c>
      <c r="G1982" s="3">
        <v>52.183323000000001</v>
      </c>
      <c r="H1982" s="3">
        <v>1354.18764603302</v>
      </c>
      <c r="I1982" s="3">
        <v>48.35</v>
      </c>
      <c r="J1982" s="3">
        <v>48.81</v>
      </c>
      <c r="K1982" s="3">
        <v>47.49</v>
      </c>
      <c r="L1982" s="3">
        <v>1227.0219626314799</v>
      </c>
    </row>
    <row r="1983" spans="1:12" ht="15" customHeight="1" x14ac:dyDescent="0.2">
      <c r="A1983" s="2">
        <v>43173</v>
      </c>
      <c r="B1983" s="3">
        <v>48.3</v>
      </c>
      <c r="C1983" s="1">
        <v>595242</v>
      </c>
      <c r="D1983" s="3">
        <v>-0.35999999999999899</v>
      </c>
      <c r="E1983" s="3">
        <v>-0.73982737361282203</v>
      </c>
      <c r="F1983" s="3">
        <v>-0.73982545200068595</v>
      </c>
      <c r="G1983" s="3">
        <v>52.928485999999999</v>
      </c>
      <c r="H1983" s="3">
        <v>1374.95303172686</v>
      </c>
      <c r="I1983" s="3">
        <v>49.11</v>
      </c>
      <c r="J1983" s="3">
        <v>49.18</v>
      </c>
      <c r="K1983" s="3">
        <v>48.07</v>
      </c>
      <c r="L1983" s="3">
        <v>1245.97145726797</v>
      </c>
    </row>
    <row r="1984" spans="1:12" ht="15" customHeight="1" x14ac:dyDescent="0.2">
      <c r="A1984" s="2">
        <v>43172</v>
      </c>
      <c r="B1984" s="3">
        <v>48.66</v>
      </c>
      <c r="C1984" s="1">
        <v>970732</v>
      </c>
      <c r="D1984" s="3">
        <v>-0.41000000000000297</v>
      </c>
      <c r="E1984" s="3">
        <v>-0.835541063786438</v>
      </c>
      <c r="F1984" s="3">
        <v>-0.83554398313153699</v>
      </c>
      <c r="G1984" s="3">
        <v>53.322983000000001</v>
      </c>
      <c r="H1984" s="3">
        <v>1385.9464417056899</v>
      </c>
      <c r="I1984" s="3">
        <v>49.18</v>
      </c>
      <c r="J1984" s="3">
        <v>49.48</v>
      </c>
      <c r="K1984" s="3">
        <v>48.52</v>
      </c>
      <c r="L1984" s="3">
        <v>1256.0035426637501</v>
      </c>
    </row>
    <row r="1985" spans="1:12" ht="15" customHeight="1" x14ac:dyDescent="0.2">
      <c r="A1985" s="2">
        <v>43171</v>
      </c>
      <c r="B1985" s="3">
        <v>49.07</v>
      </c>
      <c r="C1985" s="1">
        <v>1131263</v>
      </c>
      <c r="D1985" s="3">
        <v>-0.24000000000000199</v>
      </c>
      <c r="E1985" s="3">
        <v>-0.486716690326505</v>
      </c>
      <c r="F1985" s="3">
        <v>-0.48672094293957802</v>
      </c>
      <c r="G1985" s="3">
        <v>53.772274000000003</v>
      </c>
      <c r="H1985" s="3">
        <v>1398.46679081558</v>
      </c>
      <c r="I1985" s="3">
        <v>49.28</v>
      </c>
      <c r="J1985" s="3">
        <v>49.975000000000001</v>
      </c>
      <c r="K1985" s="3">
        <v>48.98</v>
      </c>
      <c r="L1985" s="3">
        <v>1267.4289732534</v>
      </c>
    </row>
    <row r="1986" spans="1:12" ht="15" customHeight="1" x14ac:dyDescent="0.2">
      <c r="A1986" s="2">
        <v>43168</v>
      </c>
      <c r="B1986" s="3">
        <v>49.31</v>
      </c>
      <c r="C1986" s="1">
        <v>803408</v>
      </c>
      <c r="D1986" s="3">
        <v>0.14000000000000001</v>
      </c>
      <c r="E1986" s="3">
        <v>0.28472645922310502</v>
      </c>
      <c r="F1986" s="3">
        <v>0.284734072351433</v>
      </c>
      <c r="G1986" s="3">
        <v>54.035274999999999</v>
      </c>
      <c r="H1986" s="3">
        <v>1405.79581440218</v>
      </c>
      <c r="I1986" s="3">
        <v>49.55</v>
      </c>
      <c r="J1986" s="3">
        <v>49.77</v>
      </c>
      <c r="K1986" s="3">
        <v>48.78</v>
      </c>
      <c r="L1986" s="3">
        <v>1274.11703018392</v>
      </c>
    </row>
    <row r="1987" spans="1:12" ht="15" customHeight="1" x14ac:dyDescent="0.2">
      <c r="A1987" s="2">
        <v>43167</v>
      </c>
      <c r="B1987" s="3">
        <v>49.17</v>
      </c>
      <c r="C1987" s="1">
        <v>1144560</v>
      </c>
      <c r="D1987" s="3">
        <v>-0.67000000000000104</v>
      </c>
      <c r="E1987" s="3">
        <v>-1.34430176565008</v>
      </c>
      <c r="F1987" s="3">
        <v>-1.3443060028751099</v>
      </c>
      <c r="G1987" s="3">
        <v>53.881855000000002</v>
      </c>
      <c r="H1987" s="3">
        <v>1401.52047400934</v>
      </c>
      <c r="I1987" s="3">
        <v>49.9</v>
      </c>
      <c r="J1987" s="3">
        <v>50.18</v>
      </c>
      <c r="K1987" s="3">
        <v>48.94</v>
      </c>
      <c r="L1987" s="3">
        <v>1270.21566364111</v>
      </c>
    </row>
    <row r="1988" spans="1:12" ht="15" customHeight="1" x14ac:dyDescent="0.2">
      <c r="A1988" s="2">
        <v>43166</v>
      </c>
      <c r="B1988" s="3">
        <v>49.84</v>
      </c>
      <c r="C1988" s="1">
        <v>1124671</v>
      </c>
      <c r="D1988" s="3">
        <v>1.29</v>
      </c>
      <c r="E1988" s="3">
        <v>2.6570545829042298</v>
      </c>
      <c r="F1988" s="3">
        <v>2.65705848614994</v>
      </c>
      <c r="G1988" s="3">
        <v>54.616061999999999</v>
      </c>
      <c r="H1988" s="3">
        <v>1421.9805499043</v>
      </c>
      <c r="I1988" s="3">
        <v>48.18</v>
      </c>
      <c r="J1988" s="3">
        <v>49.9</v>
      </c>
      <c r="K1988" s="3">
        <v>48.08</v>
      </c>
      <c r="L1988" s="3">
        <v>1288.8864892388301</v>
      </c>
    </row>
    <row r="1989" spans="1:12" ht="15" customHeight="1" x14ac:dyDescent="0.2">
      <c r="A1989" s="2">
        <v>43165</v>
      </c>
      <c r="B1989" s="3">
        <v>48.55</v>
      </c>
      <c r="C1989" s="1">
        <v>1092367</v>
      </c>
      <c r="D1989" s="3">
        <v>0.119999999999997</v>
      </c>
      <c r="E1989" s="3">
        <v>0.24778030146603799</v>
      </c>
      <c r="F1989" s="3">
        <v>0.24778154493658699</v>
      </c>
      <c r="G1989" s="3">
        <v>53.202441999999998</v>
      </c>
      <c r="H1989" s="3">
        <v>1382.58733724543</v>
      </c>
      <c r="I1989" s="3">
        <v>48.67</v>
      </c>
      <c r="J1989" s="3">
        <v>48.83</v>
      </c>
      <c r="K1989" s="3">
        <v>47.91</v>
      </c>
      <c r="L1989" s="3">
        <v>1252.9381832372601</v>
      </c>
    </row>
    <row r="1990" spans="1:12" ht="15" customHeight="1" x14ac:dyDescent="0.2">
      <c r="A1990" s="2">
        <v>43164</v>
      </c>
      <c r="B1990" s="3">
        <v>48.43</v>
      </c>
      <c r="C1990" s="1">
        <v>969138</v>
      </c>
      <c r="D1990" s="3">
        <v>0.35999999999999899</v>
      </c>
      <c r="E1990" s="3">
        <v>0.74890784272936195</v>
      </c>
      <c r="F1990" s="3">
        <v>0.74890589142832997</v>
      </c>
      <c r="G1990" s="3">
        <v>53.070942000000002</v>
      </c>
      <c r="H1990" s="3">
        <v>1378.9228393855799</v>
      </c>
      <c r="I1990" s="3">
        <v>47.83</v>
      </c>
      <c r="J1990" s="3">
        <v>48.53</v>
      </c>
      <c r="K1990" s="3">
        <v>47.65</v>
      </c>
      <c r="L1990" s="3">
        <v>1249.5941547719999</v>
      </c>
    </row>
    <row r="1991" spans="1:12" ht="15" customHeight="1" x14ac:dyDescent="0.2">
      <c r="A1991" s="2">
        <v>43161</v>
      </c>
      <c r="B1991" s="3">
        <v>48.07</v>
      </c>
      <c r="C1991" s="1">
        <v>1037006</v>
      </c>
      <c r="D1991" s="3">
        <v>0.96999999999999797</v>
      </c>
      <c r="E1991" s="3">
        <v>2.05944798301485</v>
      </c>
      <c r="F1991" s="3">
        <v>2.0594518991062301</v>
      </c>
      <c r="G1991" s="3">
        <v>52.676445000000001</v>
      </c>
      <c r="H1991" s="3">
        <v>1367.9294294067499</v>
      </c>
      <c r="I1991" s="3">
        <v>46.72</v>
      </c>
      <c r="J1991" s="3">
        <v>48.23</v>
      </c>
      <c r="K1991" s="3">
        <v>46.67</v>
      </c>
      <c r="L1991" s="3">
        <v>1239.56206937621</v>
      </c>
    </row>
    <row r="1992" spans="1:12" ht="15" customHeight="1" x14ac:dyDescent="0.2">
      <c r="A1992" s="2">
        <v>43160</v>
      </c>
      <c r="B1992" s="3">
        <v>47.1</v>
      </c>
      <c r="C1992" s="1">
        <v>951760</v>
      </c>
      <c r="D1992" s="3">
        <v>0.60999999999999899</v>
      </c>
      <c r="E1992" s="3">
        <v>1.3121101312110099</v>
      </c>
      <c r="F1992" s="3">
        <v>1.3121042328008501</v>
      </c>
      <c r="G1992" s="3">
        <v>51.613489999999999</v>
      </c>
      <c r="H1992" s="3">
        <v>1338.3081645959701</v>
      </c>
      <c r="I1992" s="3">
        <v>46.55</v>
      </c>
      <c r="J1992" s="3">
        <v>47.4998</v>
      </c>
      <c r="K1992" s="3">
        <v>46.2</v>
      </c>
      <c r="L1992" s="3">
        <v>1212.53117261534</v>
      </c>
    </row>
    <row r="1993" spans="1:12" ht="15" customHeight="1" x14ac:dyDescent="0.2">
      <c r="A1993" s="2">
        <v>43159</v>
      </c>
      <c r="B1993" s="3">
        <v>46.49</v>
      </c>
      <c r="C1993" s="1">
        <v>1190403</v>
      </c>
      <c r="D1993" s="3">
        <v>-0.78000000000000103</v>
      </c>
      <c r="E1993" s="3">
        <v>-1.6500951977998699</v>
      </c>
      <c r="F1993" s="3">
        <v>-1.6500880891772101</v>
      </c>
      <c r="G1993" s="3">
        <v>50.945037999999997</v>
      </c>
      <c r="H1993" s="3">
        <v>1319.68047696546</v>
      </c>
      <c r="I1993" s="3">
        <v>47.4</v>
      </c>
      <c r="J1993" s="3">
        <v>47.645000000000003</v>
      </c>
      <c r="K1993" s="3">
        <v>46.47</v>
      </c>
      <c r="L1993" s="3">
        <v>1195.53236125026</v>
      </c>
    </row>
    <row r="1994" spans="1:12" ht="15" customHeight="1" x14ac:dyDescent="0.2">
      <c r="A1994" s="2">
        <v>43158</v>
      </c>
      <c r="B1994" s="3">
        <v>47.27</v>
      </c>
      <c r="C1994" s="1">
        <v>1165943</v>
      </c>
      <c r="D1994" s="3">
        <v>-1.43999999999999</v>
      </c>
      <c r="E1994" s="3">
        <v>-2.9562718127694501</v>
      </c>
      <c r="F1994" s="3">
        <v>-2.3609155493729799</v>
      </c>
      <c r="G1994" s="3">
        <v>51.799779999999998</v>
      </c>
      <c r="H1994" s="3">
        <v>1343.4994901192499</v>
      </c>
      <c r="I1994" s="3">
        <v>48.59</v>
      </c>
      <c r="J1994" s="3">
        <v>49.18</v>
      </c>
      <c r="K1994" s="3">
        <v>47.115000000000002</v>
      </c>
      <c r="L1994" s="3">
        <v>1217.2685462744701</v>
      </c>
    </row>
    <row r="1995" spans="1:12" ht="15" customHeight="1" x14ac:dyDescent="0.2">
      <c r="A1995" s="2">
        <v>43157</v>
      </c>
      <c r="B1995" s="3">
        <v>48.71</v>
      </c>
      <c r="C1995" s="1">
        <v>825102</v>
      </c>
      <c r="D1995" s="3">
        <v>0.189999999999997</v>
      </c>
      <c r="E1995" s="3">
        <v>0.39159109645505702</v>
      </c>
      <c r="F1995" s="3">
        <v>0.39158780323664799</v>
      </c>
      <c r="G1995" s="3">
        <v>53.052300000000002</v>
      </c>
      <c r="H1995" s="3">
        <v>1378.40334456351</v>
      </c>
      <c r="I1995" s="3">
        <v>48.66</v>
      </c>
      <c r="J1995" s="3">
        <v>48.87</v>
      </c>
      <c r="K1995" s="3">
        <v>48.33</v>
      </c>
      <c r="L1995" s="3">
        <v>1257.39688785761</v>
      </c>
    </row>
    <row r="1996" spans="1:12" ht="15" customHeight="1" x14ac:dyDescent="0.2">
      <c r="A1996" s="2">
        <v>43154</v>
      </c>
      <c r="B1996" s="3">
        <v>48.52</v>
      </c>
      <c r="C1996" s="1">
        <v>1265273</v>
      </c>
      <c r="D1996" s="3">
        <v>0.59000000000000297</v>
      </c>
      <c r="E1996" s="3">
        <v>1.2309618193198499</v>
      </c>
      <c r="F1996" s="3">
        <v>1.2309654243225201</v>
      </c>
      <c r="G1996" s="3">
        <v>52.845364000000004</v>
      </c>
      <c r="H1996" s="3">
        <v>1372.63667894278</v>
      </c>
      <c r="I1996" s="3">
        <v>48.09</v>
      </c>
      <c r="J1996" s="3">
        <v>48.89</v>
      </c>
      <c r="K1996" s="3">
        <v>47.89</v>
      </c>
      <c r="L1996" s="3">
        <v>1252.1021761209499</v>
      </c>
    </row>
    <row r="1997" spans="1:12" ht="15" customHeight="1" x14ac:dyDescent="0.2">
      <c r="A1997" s="2">
        <v>43153</v>
      </c>
      <c r="B1997" s="3">
        <v>47.93</v>
      </c>
      <c r="C1997" s="1">
        <v>3427181</v>
      </c>
      <c r="D1997" s="3">
        <v>1.71</v>
      </c>
      <c r="E1997" s="3">
        <v>3.69969710082216</v>
      </c>
      <c r="F1997" s="3">
        <v>3.6996896921414502</v>
      </c>
      <c r="G1997" s="3">
        <v>52.202765999999997</v>
      </c>
      <c r="H1997" s="3">
        <v>1354.72946224511</v>
      </c>
      <c r="I1997" s="3">
        <v>45.75</v>
      </c>
      <c r="J1997" s="3">
        <v>49.46</v>
      </c>
      <c r="K1997" s="3">
        <v>45.74</v>
      </c>
      <c r="L1997" s="3">
        <v>1235.6607028334099</v>
      </c>
    </row>
    <row r="1998" spans="1:12" ht="15" customHeight="1" x14ac:dyDescent="0.2">
      <c r="A1998" s="2">
        <v>43152</v>
      </c>
      <c r="B1998" s="3">
        <v>46.22</v>
      </c>
      <c r="C1998" s="1">
        <v>2305593</v>
      </c>
      <c r="D1998" s="3">
        <v>0.60999999999999899</v>
      </c>
      <c r="E1998" s="3">
        <v>1.33742600306949</v>
      </c>
      <c r="F1998" s="3">
        <v>1.3374278700256399</v>
      </c>
      <c r="G1998" s="3">
        <v>50.340330000000002</v>
      </c>
      <c r="H1998" s="3">
        <v>1302.8291372557001</v>
      </c>
      <c r="I1998" s="3">
        <v>45.61</v>
      </c>
      <c r="J1998" s="3">
        <v>47.09</v>
      </c>
      <c r="K1998" s="3">
        <v>45.51</v>
      </c>
      <c r="L1998" s="3">
        <v>1188.0082972034199</v>
      </c>
    </row>
    <row r="1999" spans="1:12" ht="15" customHeight="1" x14ac:dyDescent="0.2">
      <c r="A1999" s="2">
        <v>43151</v>
      </c>
      <c r="B1999" s="3">
        <v>45.61</v>
      </c>
      <c r="C1999" s="1">
        <v>1784842</v>
      </c>
      <c r="D1999" s="3">
        <v>-0.92000000000000104</v>
      </c>
      <c r="E1999" s="3">
        <v>-1.9772189984955999</v>
      </c>
      <c r="F1999" s="3">
        <v>-1.97721060595177</v>
      </c>
      <c r="G1999" s="3">
        <v>49.67595</v>
      </c>
      <c r="H1999" s="3">
        <v>1284.3149236577799</v>
      </c>
      <c r="I1999" s="3">
        <v>46.15</v>
      </c>
      <c r="J1999" s="3">
        <v>46.57</v>
      </c>
      <c r="K1999" s="3">
        <v>45.22</v>
      </c>
      <c r="L1999" s="3">
        <v>1171.00948583834</v>
      </c>
    </row>
    <row r="2000" spans="1:12" ht="15" customHeight="1" x14ac:dyDescent="0.2">
      <c r="A2000" s="2">
        <v>43147</v>
      </c>
      <c r="B2000" s="3">
        <v>46.53</v>
      </c>
      <c r="C2000" s="1">
        <v>925472</v>
      </c>
      <c r="D2000" s="3">
        <v>-0.53000000000000103</v>
      </c>
      <c r="E2000" s="3">
        <v>-1.1262218444538801</v>
      </c>
      <c r="F2000" s="3">
        <v>-1.12622697282871</v>
      </c>
      <c r="G2000" s="3">
        <v>50.677959999999999</v>
      </c>
      <c r="H2000" s="3">
        <v>1312.23784001175</v>
      </c>
      <c r="I2000" s="3">
        <v>46.85</v>
      </c>
      <c r="J2000" s="3">
        <v>47.37</v>
      </c>
      <c r="K2000" s="3">
        <v>46.42</v>
      </c>
      <c r="L2000" s="3">
        <v>1196.6470374053499</v>
      </c>
    </row>
    <row r="2001" spans="1:12" ht="15" customHeight="1" x14ac:dyDescent="0.2">
      <c r="A2001" s="2">
        <v>43146</v>
      </c>
      <c r="B2001" s="3">
        <v>47.06</v>
      </c>
      <c r="C2001" s="1">
        <v>612130</v>
      </c>
      <c r="D2001" s="3">
        <v>0.69000000000000405</v>
      </c>
      <c r="E2001" s="3">
        <v>1.4880310545611399</v>
      </c>
      <c r="F2001" s="3">
        <v>1.4880376279787499</v>
      </c>
      <c r="G2001" s="3">
        <v>51.255209999999998</v>
      </c>
      <c r="H2001" s="3">
        <v>1328.32401027486</v>
      </c>
      <c r="I2001" s="3">
        <v>46.68</v>
      </c>
      <c r="J2001" s="3">
        <v>47.46</v>
      </c>
      <c r="K2001" s="3">
        <v>46.56</v>
      </c>
      <c r="L2001" s="3">
        <v>1211.4164964602601</v>
      </c>
    </row>
    <row r="2002" spans="1:12" ht="15" customHeight="1" x14ac:dyDescent="0.2">
      <c r="A2002" s="2">
        <v>43145</v>
      </c>
      <c r="B2002" s="3">
        <v>46.37</v>
      </c>
      <c r="C2002" s="1">
        <v>835730</v>
      </c>
      <c r="D2002" s="3">
        <v>1.1599999999999899</v>
      </c>
      <c r="E2002" s="3">
        <v>2.5658040256580201</v>
      </c>
      <c r="F2002" s="3">
        <v>2.5658014022988702</v>
      </c>
      <c r="G2002" s="3">
        <v>50.503695999999998</v>
      </c>
      <c r="H2002" s="3">
        <v>1307.3816418745</v>
      </c>
      <c r="I2002" s="3">
        <v>44.94</v>
      </c>
      <c r="J2002" s="3">
        <v>46.44</v>
      </c>
      <c r="K2002" s="3">
        <v>44.94</v>
      </c>
      <c r="L2002" s="3">
        <v>1192.1883327850001</v>
      </c>
    </row>
    <row r="2003" spans="1:12" ht="15" customHeight="1" x14ac:dyDescent="0.2">
      <c r="A2003" s="2">
        <v>43144</v>
      </c>
      <c r="B2003" s="3">
        <v>45.21</v>
      </c>
      <c r="C2003" s="1">
        <v>783523</v>
      </c>
      <c r="D2003" s="3">
        <v>-0.22999999999999601</v>
      </c>
      <c r="E2003" s="3">
        <v>-0.506161971830976</v>
      </c>
      <c r="F2003" s="3">
        <v>-0.506158822681956</v>
      </c>
      <c r="G2003" s="3">
        <v>49.240288</v>
      </c>
      <c r="H2003" s="3">
        <v>1272.1743725808301</v>
      </c>
      <c r="I2003" s="3">
        <v>45.3</v>
      </c>
      <c r="J2003" s="3">
        <v>45.41</v>
      </c>
      <c r="K2003" s="3">
        <v>44.78</v>
      </c>
      <c r="L2003" s="3">
        <v>1159.86272428747</v>
      </c>
    </row>
    <row r="2004" spans="1:12" ht="15" customHeight="1" x14ac:dyDescent="0.2">
      <c r="A2004" s="2">
        <v>43143</v>
      </c>
      <c r="B2004" s="3">
        <v>45.44</v>
      </c>
      <c r="C2004" s="1">
        <v>1143170</v>
      </c>
      <c r="D2004" s="3">
        <v>0.29999999999999699</v>
      </c>
      <c r="E2004" s="3">
        <v>0.66459902525475201</v>
      </c>
      <c r="F2004" s="3">
        <v>0.66459744455129499</v>
      </c>
      <c r="G2004" s="3">
        <v>49.490789999999997</v>
      </c>
      <c r="H2004" s="3">
        <v>1279.15508773588</v>
      </c>
      <c r="I2004" s="3">
        <v>45.33</v>
      </c>
      <c r="J2004" s="3">
        <v>45.91</v>
      </c>
      <c r="K2004" s="3">
        <v>44.66</v>
      </c>
      <c r="L2004" s="3">
        <v>1166.2721121792199</v>
      </c>
    </row>
    <row r="2005" spans="1:12" ht="15" customHeight="1" x14ac:dyDescent="0.2">
      <c r="A2005" s="2">
        <v>43140</v>
      </c>
      <c r="B2005" s="3">
        <v>45.14</v>
      </c>
      <c r="C2005" s="1">
        <v>1622683</v>
      </c>
      <c r="D2005" s="3">
        <v>0.64</v>
      </c>
      <c r="E2005" s="3">
        <v>1.4382022471910201</v>
      </c>
      <c r="F2005" s="3">
        <v>1.4381993354446601</v>
      </c>
      <c r="G2005" s="3">
        <v>49.164046999999997</v>
      </c>
      <c r="H2005" s="3">
        <v>1270.0497719623299</v>
      </c>
      <c r="I2005" s="3">
        <v>45.03</v>
      </c>
      <c r="J2005" s="3">
        <v>45.51</v>
      </c>
      <c r="K2005" s="3">
        <v>43.26</v>
      </c>
      <c r="L2005" s="3">
        <v>1157.9120410160599</v>
      </c>
    </row>
    <row r="2006" spans="1:12" ht="15" customHeight="1" x14ac:dyDescent="0.2">
      <c r="A2006" s="2">
        <v>43139</v>
      </c>
      <c r="B2006" s="3">
        <v>44.5</v>
      </c>
      <c r="C2006" s="1">
        <v>1017038</v>
      </c>
      <c r="D2006" s="3">
        <v>-1.6599999999999899</v>
      </c>
      <c r="E2006" s="3">
        <v>-3.5961871750433101</v>
      </c>
      <c r="F2006" s="3">
        <v>-3.5961923803848399</v>
      </c>
      <c r="G2006" s="3">
        <v>48.466994999999997</v>
      </c>
      <c r="H2006" s="3">
        <v>1250.62509088094</v>
      </c>
      <c r="I2006" s="3">
        <v>46.16</v>
      </c>
      <c r="J2006" s="3">
        <v>46.77</v>
      </c>
      <c r="K2006" s="3">
        <v>44.45</v>
      </c>
      <c r="L2006" s="3">
        <v>1140.07722253467</v>
      </c>
    </row>
    <row r="2007" spans="1:12" ht="15" customHeight="1" x14ac:dyDescent="0.2">
      <c r="A2007" s="2">
        <v>43138</v>
      </c>
      <c r="B2007" s="3">
        <v>46.16</v>
      </c>
      <c r="C2007" s="1">
        <v>1137052</v>
      </c>
      <c r="D2007" s="3">
        <v>-0.49000000000000199</v>
      </c>
      <c r="E2007" s="3">
        <v>-1.05037513397642</v>
      </c>
      <c r="F2007" s="3">
        <v>-1.05037601659339</v>
      </c>
      <c r="G2007" s="3">
        <v>50.274979999999999</v>
      </c>
      <c r="H2007" s="3">
        <v>1301.00803508733</v>
      </c>
      <c r="I2007" s="3">
        <v>46.55</v>
      </c>
      <c r="J2007" s="3">
        <v>47.05</v>
      </c>
      <c r="K2007" s="3">
        <v>46.12</v>
      </c>
      <c r="L2007" s="3">
        <v>1186.3362829707901</v>
      </c>
    </row>
    <row r="2008" spans="1:12" ht="15" customHeight="1" x14ac:dyDescent="0.2">
      <c r="A2008" s="2">
        <v>43137</v>
      </c>
      <c r="B2008" s="3">
        <v>46.65</v>
      </c>
      <c r="C2008" s="1">
        <v>1572606</v>
      </c>
      <c r="D2008" s="3">
        <v>-0.46</v>
      </c>
      <c r="E2008" s="3">
        <v>-0.97643812354064596</v>
      </c>
      <c r="F2008" s="3">
        <v>-0.97643200405943498</v>
      </c>
      <c r="G2008" s="3">
        <v>50.808661999999998</v>
      </c>
      <c r="H2008" s="3">
        <v>1315.88010008231</v>
      </c>
      <c r="I2008" s="3">
        <v>46.26</v>
      </c>
      <c r="J2008" s="3">
        <v>47.48</v>
      </c>
      <c r="K2008" s="3">
        <v>45.35</v>
      </c>
      <c r="L2008" s="3">
        <v>1199.9910658706101</v>
      </c>
    </row>
    <row r="2009" spans="1:12" ht="15" customHeight="1" x14ac:dyDescent="0.2">
      <c r="A2009" s="2">
        <v>43136</v>
      </c>
      <c r="B2009" s="3">
        <v>47.11</v>
      </c>
      <c r="C2009" s="1">
        <v>1382142</v>
      </c>
      <c r="D2009" s="3">
        <v>-2.21999999999999</v>
      </c>
      <c r="E2009" s="3">
        <v>-4.5003040745996303</v>
      </c>
      <c r="F2009" s="3">
        <v>-4.5003093662913098</v>
      </c>
      <c r="G2009" s="3">
        <v>51.309666</v>
      </c>
      <c r="H2009" s="3">
        <v>1329.84153039239</v>
      </c>
      <c r="I2009" s="3">
        <v>49.16</v>
      </c>
      <c r="J2009" s="3">
        <v>49.91</v>
      </c>
      <c r="K2009" s="3">
        <v>47.02</v>
      </c>
      <c r="L2009" s="3">
        <v>1212.80984165412</v>
      </c>
    </row>
    <row r="2010" spans="1:12" ht="15" customHeight="1" x14ac:dyDescent="0.2">
      <c r="A2010" s="2">
        <v>43133</v>
      </c>
      <c r="B2010" s="3">
        <v>49.33</v>
      </c>
      <c r="C2010" s="1">
        <v>1660093</v>
      </c>
      <c r="D2010" s="3">
        <v>-1.56</v>
      </c>
      <c r="E2010" s="3">
        <v>-3.0654352525054098</v>
      </c>
      <c r="F2010" s="3">
        <v>-3.065426882483</v>
      </c>
      <c r="G2010" s="3">
        <v>53.727573</v>
      </c>
      <c r="H2010" s="3">
        <v>1397.2211123453601</v>
      </c>
      <c r="I2010" s="3">
        <v>50.53</v>
      </c>
      <c r="J2010" s="3">
        <v>50.53</v>
      </c>
      <c r="K2010" s="3">
        <v>48.54</v>
      </c>
      <c r="L2010" s="3">
        <v>1274.6743682614599</v>
      </c>
    </row>
    <row r="2011" spans="1:12" ht="15" customHeight="1" x14ac:dyDescent="0.2">
      <c r="A2011" s="2">
        <v>43132</v>
      </c>
      <c r="B2011" s="3">
        <v>50.89</v>
      </c>
      <c r="C2011" s="1">
        <v>1926176</v>
      </c>
      <c r="D2011" s="3">
        <v>1.7</v>
      </c>
      <c r="E2011" s="3">
        <v>3.45598698922546</v>
      </c>
      <c r="F2011" s="3">
        <v>3.4559829950822198</v>
      </c>
      <c r="G2011" s="3">
        <v>55.426636000000002</v>
      </c>
      <c r="H2011" s="3">
        <v>1444.5687376476401</v>
      </c>
      <c r="I2011" s="3">
        <v>49.13</v>
      </c>
      <c r="J2011" s="3">
        <v>50.96</v>
      </c>
      <c r="K2011" s="3">
        <v>48.7</v>
      </c>
      <c r="L2011" s="3">
        <v>1318.14673830987</v>
      </c>
    </row>
    <row r="2012" spans="1:12" ht="15" customHeight="1" x14ac:dyDescent="0.2">
      <c r="A2012" s="2">
        <v>43131</v>
      </c>
      <c r="B2012" s="3">
        <v>49.19</v>
      </c>
      <c r="C2012" s="1">
        <v>730046</v>
      </c>
      <c r="D2012" s="3">
        <v>0.41999999999999399</v>
      </c>
      <c r="E2012" s="3">
        <v>0.86118515480826296</v>
      </c>
      <c r="F2012" s="3">
        <v>0.86118267656796199</v>
      </c>
      <c r="G2012" s="3">
        <v>53.575090000000003</v>
      </c>
      <c r="H2012" s="3">
        <v>1392.9718832414601</v>
      </c>
      <c r="I2012" s="3">
        <v>49.06</v>
      </c>
      <c r="J2012" s="3">
        <v>49.86</v>
      </c>
      <c r="K2012" s="3">
        <v>48.96</v>
      </c>
      <c r="L2012" s="3">
        <v>1270.77300171866</v>
      </c>
    </row>
    <row r="2013" spans="1:12" ht="15" customHeight="1" x14ac:dyDescent="0.2">
      <c r="A2013" s="2">
        <v>43130</v>
      </c>
      <c r="B2013" s="3">
        <v>48.77</v>
      </c>
      <c r="C2013" s="1">
        <v>770992</v>
      </c>
      <c r="D2013" s="3">
        <v>-1</v>
      </c>
      <c r="E2013" s="3">
        <v>-2.0092425155716298</v>
      </c>
      <c r="F2013" s="3">
        <v>-2.0092407234185301</v>
      </c>
      <c r="G2013" s="3">
        <v>53.117649999999998</v>
      </c>
      <c r="H2013" s="3">
        <v>1380.2244467318801</v>
      </c>
      <c r="I2013" s="3">
        <v>49.13</v>
      </c>
      <c r="J2013" s="3">
        <v>50.09</v>
      </c>
      <c r="K2013" s="3">
        <v>47.9</v>
      </c>
      <c r="L2013" s="3">
        <v>1259.06890209024</v>
      </c>
    </row>
    <row r="2014" spans="1:12" ht="15" customHeight="1" x14ac:dyDescent="0.2">
      <c r="A2014" s="2">
        <v>43129</v>
      </c>
      <c r="B2014" s="3">
        <v>49.77</v>
      </c>
      <c r="C2014" s="1">
        <v>838164</v>
      </c>
      <c r="D2014" s="3">
        <v>-0.27999999999999398</v>
      </c>
      <c r="E2014" s="3">
        <v>-0.55944055944054905</v>
      </c>
      <c r="F2014" s="3">
        <v>-0.55943532030605603</v>
      </c>
      <c r="G2014" s="3">
        <v>54.206795</v>
      </c>
      <c r="H2014" s="3">
        <v>1410.57554575519</v>
      </c>
      <c r="I2014" s="3">
        <v>49.99</v>
      </c>
      <c r="J2014" s="3">
        <v>50.16</v>
      </c>
      <c r="K2014" s="3">
        <v>49.65</v>
      </c>
      <c r="L2014" s="3">
        <v>1286.93580596743</v>
      </c>
    </row>
    <row r="2015" spans="1:12" ht="15" customHeight="1" x14ac:dyDescent="0.2">
      <c r="A2015" s="2">
        <v>43126</v>
      </c>
      <c r="B2015" s="3">
        <v>50.05</v>
      </c>
      <c r="C2015" s="1">
        <v>943676</v>
      </c>
      <c r="D2015" s="3">
        <v>0.64</v>
      </c>
      <c r="E2015" s="3">
        <v>1.2952843553936499</v>
      </c>
      <c r="F2015" s="3">
        <v>1.29528363068083</v>
      </c>
      <c r="G2015" s="3">
        <v>54.511752999999999</v>
      </c>
      <c r="H2015" s="3">
        <v>1419.0737810277701</v>
      </c>
      <c r="I2015" s="3">
        <v>49.5</v>
      </c>
      <c r="J2015" s="3">
        <v>50.17</v>
      </c>
      <c r="K2015" s="3">
        <v>48.88</v>
      </c>
      <c r="L2015" s="3">
        <v>1294.7385390530401</v>
      </c>
    </row>
    <row r="2016" spans="1:12" ht="15" customHeight="1" x14ac:dyDescent="0.2">
      <c r="A2016" s="2">
        <v>43125</v>
      </c>
      <c r="B2016" s="3">
        <v>49.41</v>
      </c>
      <c r="C2016" s="1">
        <v>606709</v>
      </c>
      <c r="D2016" s="3">
        <v>6.9999999999993096E-2</v>
      </c>
      <c r="E2016" s="3">
        <v>0.14187271990269101</v>
      </c>
      <c r="F2016" s="3">
        <v>0.141872320122304</v>
      </c>
      <c r="G2016" s="3">
        <v>53.814700000000002</v>
      </c>
      <c r="H2016" s="3">
        <v>1399.64907207947</v>
      </c>
      <c r="I2016" s="3">
        <v>49.58</v>
      </c>
      <c r="J2016" s="3">
        <v>49.77</v>
      </c>
      <c r="K2016" s="3">
        <v>48.55</v>
      </c>
      <c r="L2016" s="3">
        <v>1276.90372057164</v>
      </c>
    </row>
    <row r="2017" spans="1:12" ht="15" customHeight="1" x14ac:dyDescent="0.2">
      <c r="A2017" s="2">
        <v>43124</v>
      </c>
      <c r="B2017" s="3">
        <v>49.34</v>
      </c>
      <c r="C2017" s="1">
        <v>525802</v>
      </c>
      <c r="D2017" s="3">
        <v>2.0000000000003099E-2</v>
      </c>
      <c r="E2017" s="3">
        <v>4.0551500405516798E-2</v>
      </c>
      <c r="F2017" s="3">
        <v>4.0546065021151899E-2</v>
      </c>
      <c r="G2017" s="3">
        <v>53.738460000000003</v>
      </c>
      <c r="H2017" s="3">
        <v>1397.52449932787</v>
      </c>
      <c r="I2017" s="3">
        <v>49.5</v>
      </c>
      <c r="J2017" s="3">
        <v>49.79</v>
      </c>
      <c r="K2017" s="3">
        <v>48.83</v>
      </c>
      <c r="L2017" s="3">
        <v>1274.9530373002401</v>
      </c>
    </row>
    <row r="2018" spans="1:12" ht="15" customHeight="1" x14ac:dyDescent="0.2">
      <c r="A2018" s="2">
        <v>43123</v>
      </c>
      <c r="B2018" s="3">
        <v>49.32</v>
      </c>
      <c r="C2018" s="1">
        <v>661596</v>
      </c>
      <c r="D2018" s="3">
        <v>0.42000000000000098</v>
      </c>
      <c r="E2018" s="3">
        <v>0.85889570552146699</v>
      </c>
      <c r="F2018" s="3">
        <v>0.85889321740226698</v>
      </c>
      <c r="G2018" s="3">
        <v>53.716679999999997</v>
      </c>
      <c r="H2018" s="3">
        <v>1396.91755816143</v>
      </c>
      <c r="I2018" s="3">
        <v>48.95</v>
      </c>
      <c r="J2018" s="3">
        <v>49.64</v>
      </c>
      <c r="K2018" s="3">
        <v>48.77</v>
      </c>
      <c r="L2018" s="3">
        <v>1274.3956992226899</v>
      </c>
    </row>
    <row r="2019" spans="1:12" ht="15" customHeight="1" x14ac:dyDescent="0.2">
      <c r="A2019" s="2">
        <v>43122</v>
      </c>
      <c r="B2019" s="3">
        <v>48.9</v>
      </c>
      <c r="C2019" s="1">
        <v>1262720</v>
      </c>
      <c r="D2019" s="3">
        <v>0.55999999999999495</v>
      </c>
      <c r="E2019" s="3">
        <v>1.15846090194455</v>
      </c>
      <c r="F2019" s="3">
        <v>1.1584671139595899</v>
      </c>
      <c r="G2019" s="3">
        <v>53.259239999999998</v>
      </c>
      <c r="H2019" s="3">
        <v>1384.17012165185</v>
      </c>
      <c r="I2019" s="3">
        <v>48.51</v>
      </c>
      <c r="J2019" s="3">
        <v>48.96</v>
      </c>
      <c r="K2019" s="3">
        <v>47.74</v>
      </c>
      <c r="L2019" s="3">
        <v>1262.69159959428</v>
      </c>
    </row>
    <row r="2020" spans="1:12" ht="15" customHeight="1" x14ac:dyDescent="0.2">
      <c r="A2020" s="2">
        <v>43119</v>
      </c>
      <c r="B2020" s="3">
        <v>48.34</v>
      </c>
      <c r="C2020" s="1">
        <v>824918</v>
      </c>
      <c r="D2020" s="3">
        <v>0.60000000000000098</v>
      </c>
      <c r="E2020" s="3">
        <v>1.2568077084206</v>
      </c>
      <c r="F2020" s="3">
        <v>1.25680270898647</v>
      </c>
      <c r="G2020" s="3">
        <v>52.649315000000001</v>
      </c>
      <c r="H2020" s="3">
        <v>1367.1734003045599</v>
      </c>
      <c r="I2020" s="3">
        <v>47.76</v>
      </c>
      <c r="J2020" s="3">
        <v>48.61</v>
      </c>
      <c r="K2020" s="3">
        <v>47.76</v>
      </c>
      <c r="L2020" s="3">
        <v>1247.0861334230499</v>
      </c>
    </row>
    <row r="2021" spans="1:12" ht="15" customHeight="1" x14ac:dyDescent="0.2">
      <c r="A2021" s="2">
        <v>43118</v>
      </c>
      <c r="B2021" s="3">
        <v>47.74</v>
      </c>
      <c r="C2021" s="1">
        <v>592215</v>
      </c>
      <c r="D2021" s="3">
        <v>0.149999999999998</v>
      </c>
      <c r="E2021" s="3">
        <v>0.315192267283048</v>
      </c>
      <c r="F2021" s="3">
        <v>0.31518859031580598</v>
      </c>
      <c r="G2021" s="3">
        <v>51.995829999999998</v>
      </c>
      <c r="H2021" s="3">
        <v>1348.96279662438</v>
      </c>
      <c r="I2021" s="3">
        <v>47.55</v>
      </c>
      <c r="J2021" s="3">
        <v>48.26</v>
      </c>
      <c r="K2021" s="3">
        <v>47.49</v>
      </c>
      <c r="L2021" s="3">
        <v>1230.3659910967399</v>
      </c>
    </row>
    <row r="2022" spans="1:12" ht="15" customHeight="1" x14ac:dyDescent="0.2">
      <c r="A2022" s="2">
        <v>43117</v>
      </c>
      <c r="B2022" s="3">
        <v>47.59</v>
      </c>
      <c r="C2022" s="1">
        <v>810511</v>
      </c>
      <c r="D2022" s="3">
        <v>-3.9999999999999099E-2</v>
      </c>
      <c r="E2022" s="3">
        <v>-8.3980684442575004E-2</v>
      </c>
      <c r="F2022" s="3">
        <v>-8.3973285384142393E-2</v>
      </c>
      <c r="G2022" s="3">
        <v>51.832459999999998</v>
      </c>
      <c r="H2022" s="3">
        <v>1344.4101805379601</v>
      </c>
      <c r="I2022" s="3">
        <v>47.86</v>
      </c>
      <c r="J2022" s="3">
        <v>48.07</v>
      </c>
      <c r="K2022" s="3">
        <v>47.37</v>
      </c>
      <c r="L2022" s="3">
        <v>1226.18595551516</v>
      </c>
    </row>
    <row r="2023" spans="1:12" ht="15" customHeight="1" x14ac:dyDescent="0.2">
      <c r="A2023" s="2">
        <v>43116</v>
      </c>
      <c r="B2023" s="3">
        <v>47.63</v>
      </c>
      <c r="C2023" s="1">
        <v>1118615</v>
      </c>
      <c r="D2023" s="3">
        <v>-0.54999999999999705</v>
      </c>
      <c r="E2023" s="3">
        <v>-1.1415525114155201</v>
      </c>
      <c r="F2023" s="3">
        <v>-1.1415482214881201</v>
      </c>
      <c r="G2023" s="3">
        <v>51.876021999999999</v>
      </c>
      <c r="H2023" s="3">
        <v>1345.62411860466</v>
      </c>
      <c r="I2023" s="3">
        <v>48.58</v>
      </c>
      <c r="J2023" s="3">
        <v>48.73</v>
      </c>
      <c r="K2023" s="3">
        <v>47.11</v>
      </c>
      <c r="L2023" s="3">
        <v>1227.3006316702499</v>
      </c>
    </row>
    <row r="2024" spans="1:12" ht="15" customHeight="1" x14ac:dyDescent="0.2">
      <c r="A2024" s="2">
        <v>43112</v>
      </c>
      <c r="B2024" s="3">
        <v>48.18</v>
      </c>
      <c r="C2024" s="1">
        <v>832976</v>
      </c>
      <c r="D2024" s="3">
        <v>6.0000000000002197E-2</v>
      </c>
      <c r="E2024" s="3">
        <v>0.124688279301743</v>
      </c>
      <c r="F2024" s="3">
        <v>0.124686837563015</v>
      </c>
      <c r="G2024" s="3">
        <v>52.475050000000003</v>
      </c>
      <c r="H2024" s="3">
        <v>1362.3171743004</v>
      </c>
      <c r="I2024" s="3">
        <v>48.35</v>
      </c>
      <c r="J2024" s="3">
        <v>48.89</v>
      </c>
      <c r="K2024" s="3">
        <v>47.91</v>
      </c>
      <c r="L2024" s="3">
        <v>1242.6274288027</v>
      </c>
    </row>
    <row r="2025" spans="1:12" ht="15" customHeight="1" x14ac:dyDescent="0.2">
      <c r="A2025" s="2">
        <v>43111</v>
      </c>
      <c r="B2025" s="3">
        <v>48.12</v>
      </c>
      <c r="C2025" s="1">
        <v>1051249</v>
      </c>
      <c r="D2025" s="3">
        <v>0.87999999999999501</v>
      </c>
      <c r="E2025" s="3">
        <v>1.8628281117696699</v>
      </c>
      <c r="F2025" s="3">
        <v>1.8628233293274701</v>
      </c>
      <c r="G2025" s="3">
        <v>52.409702000000003</v>
      </c>
      <c r="H2025" s="3">
        <v>1360.49612786583</v>
      </c>
      <c r="I2025" s="3">
        <v>47.44</v>
      </c>
      <c r="J2025" s="3">
        <v>48.37</v>
      </c>
      <c r="K2025" s="3">
        <v>46.94</v>
      </c>
      <c r="L2025" s="3">
        <v>1240.9554145700699</v>
      </c>
    </row>
    <row r="2026" spans="1:12" ht="15" customHeight="1" x14ac:dyDescent="0.2">
      <c r="A2026" s="2">
        <v>43110</v>
      </c>
      <c r="B2026" s="3">
        <v>47.24</v>
      </c>
      <c r="C2026" s="1">
        <v>1189839</v>
      </c>
      <c r="D2026" s="3">
        <v>-0.17999999999999899</v>
      </c>
      <c r="E2026" s="3">
        <v>-0.37958667229017701</v>
      </c>
      <c r="F2026" s="3">
        <v>-0.37958228213285</v>
      </c>
      <c r="G2026" s="3">
        <v>51.451256000000001</v>
      </c>
      <c r="H2026" s="3">
        <v>1333.7872053123599</v>
      </c>
      <c r="I2026" s="3">
        <v>47.31</v>
      </c>
      <c r="J2026" s="3">
        <v>47.91</v>
      </c>
      <c r="K2026" s="3">
        <v>46.65</v>
      </c>
      <c r="L2026" s="3">
        <v>1216.4325391581499</v>
      </c>
    </row>
    <row r="2027" spans="1:12" ht="15" customHeight="1" x14ac:dyDescent="0.2">
      <c r="A2027" s="2">
        <v>43109</v>
      </c>
      <c r="B2027" s="3">
        <v>47.42</v>
      </c>
      <c r="C2027" s="1">
        <v>995237</v>
      </c>
      <c r="D2027" s="3">
        <v>-1.0799999999999901</v>
      </c>
      <c r="E2027" s="3">
        <v>-2.2268041237113301</v>
      </c>
      <c r="F2027" s="3">
        <v>-2.2268048559679099</v>
      </c>
      <c r="G2027" s="3">
        <v>51.647300000000001</v>
      </c>
      <c r="H2027" s="3">
        <v>1339.2503446160599</v>
      </c>
      <c r="I2027" s="3">
        <v>48.5</v>
      </c>
      <c r="J2027" s="3">
        <v>48.53</v>
      </c>
      <c r="K2027" s="3">
        <v>47.305</v>
      </c>
      <c r="L2027" s="3">
        <v>1221.4485818560399</v>
      </c>
    </row>
    <row r="2028" spans="1:12" ht="15" customHeight="1" x14ac:dyDescent="0.2">
      <c r="A2028" s="2">
        <v>43108</v>
      </c>
      <c r="B2028" s="3">
        <v>48.5</v>
      </c>
      <c r="C2028" s="1">
        <v>1479766</v>
      </c>
      <c r="D2028" s="3">
        <v>-1.71</v>
      </c>
      <c r="E2028" s="3">
        <v>-3.4056960764787898</v>
      </c>
      <c r="F2028" s="3">
        <v>-3.40569333117995</v>
      </c>
      <c r="G2028" s="3">
        <v>52.823577999999998</v>
      </c>
      <c r="H2028" s="3">
        <v>1372.0295705749099</v>
      </c>
      <c r="I2028" s="3">
        <v>50.02</v>
      </c>
      <c r="J2028" s="3">
        <v>50.1</v>
      </c>
      <c r="K2028" s="3">
        <v>47.67</v>
      </c>
      <c r="L2028" s="3">
        <v>1251.5448380434</v>
      </c>
    </row>
    <row r="2029" spans="1:12" ht="15" customHeight="1" x14ac:dyDescent="0.2">
      <c r="A2029" s="2">
        <v>43105</v>
      </c>
      <c r="B2029" s="3">
        <v>50.21</v>
      </c>
      <c r="C2029" s="1">
        <v>845911</v>
      </c>
      <c r="D2029" s="3">
        <v>2.0000000000003099E-2</v>
      </c>
      <c r="E2029" s="3">
        <v>3.9848575413436997E-2</v>
      </c>
      <c r="F2029" s="3">
        <v>3.9846895138051501E-2</v>
      </c>
      <c r="G2029" s="3">
        <v>54.686016000000002</v>
      </c>
      <c r="H2029" s="3">
        <v>1423.9299512981199</v>
      </c>
      <c r="I2029" s="3">
        <v>50.54</v>
      </c>
      <c r="J2029" s="3">
        <v>50.68</v>
      </c>
      <c r="K2029" s="3">
        <v>50.03</v>
      </c>
      <c r="L2029" s="3">
        <v>1299.1972436733899</v>
      </c>
    </row>
    <row r="2030" spans="1:12" ht="15" customHeight="1" x14ac:dyDescent="0.2">
      <c r="A2030" s="2">
        <v>43104</v>
      </c>
      <c r="B2030" s="3">
        <v>50.19</v>
      </c>
      <c r="C2030" s="1">
        <v>795209</v>
      </c>
      <c r="D2030" s="3">
        <v>-0.219999999999998</v>
      </c>
      <c r="E2030" s="3">
        <v>-0.43642134497123802</v>
      </c>
      <c r="F2030" s="3">
        <v>-0.43642297050696599</v>
      </c>
      <c r="G2030" s="3">
        <v>54.664234</v>
      </c>
      <c r="H2030" s="3">
        <v>1423.32295439787</v>
      </c>
      <c r="I2030" s="3">
        <v>50.68</v>
      </c>
      <c r="J2030" s="3">
        <v>51.13</v>
      </c>
      <c r="K2030" s="3">
        <v>49.76</v>
      </c>
      <c r="L2030" s="3">
        <v>1298.63990559584</v>
      </c>
    </row>
    <row r="2031" spans="1:12" ht="15" customHeight="1" x14ac:dyDescent="0.2">
      <c r="A2031" s="2">
        <v>43103</v>
      </c>
      <c r="B2031" s="3">
        <v>50.41</v>
      </c>
      <c r="C2031" s="1">
        <v>970457</v>
      </c>
      <c r="D2031" s="3">
        <v>1.0999999999999901</v>
      </c>
      <c r="E2031" s="3">
        <v>2.2307848306631399</v>
      </c>
      <c r="F2031" s="3">
        <v>2.2307819038052301</v>
      </c>
      <c r="G2031" s="3">
        <v>54.903846999999999</v>
      </c>
      <c r="H2031" s="3">
        <v>1430.0002268365899</v>
      </c>
      <c r="I2031" s="3">
        <v>49.3</v>
      </c>
      <c r="J2031" s="3">
        <v>50.64</v>
      </c>
      <c r="K2031" s="3">
        <v>49.3</v>
      </c>
      <c r="L2031" s="3">
        <v>1304.7706244488199</v>
      </c>
    </row>
    <row r="2032" spans="1:12" ht="15" customHeight="1" x14ac:dyDescent="0.2">
      <c r="A2032" s="2">
        <v>43102</v>
      </c>
      <c r="B2032" s="3">
        <v>49.31</v>
      </c>
      <c r="C2032" s="1">
        <v>1341338</v>
      </c>
      <c r="D2032" s="3">
        <v>1.1299999999999999</v>
      </c>
      <c r="E2032" s="3">
        <v>2.3453715234537098</v>
      </c>
      <c r="F2032" s="3">
        <v>2.3453774698642502</v>
      </c>
      <c r="G2032" s="3">
        <v>53.705787999999998</v>
      </c>
      <c r="H2032" s="3">
        <v>1396.6140318444</v>
      </c>
      <c r="I2032" s="3">
        <v>48.62</v>
      </c>
      <c r="J2032" s="3">
        <v>49.39</v>
      </c>
      <c r="K2032" s="3">
        <v>48.34</v>
      </c>
      <c r="L2032" s="3">
        <v>1274.11703018392</v>
      </c>
    </row>
    <row r="2033" spans="1:12" ht="15" customHeight="1" x14ac:dyDescent="0.2">
      <c r="A2033" s="2">
        <v>43098</v>
      </c>
      <c r="B2033" s="3">
        <v>48.18</v>
      </c>
      <c r="C2033" s="1">
        <v>970386</v>
      </c>
      <c r="D2033" s="3">
        <v>-1.35</v>
      </c>
      <c r="E2033" s="3">
        <v>-2.72562083585705</v>
      </c>
      <c r="F2033" s="3">
        <v>-2.7256262813882102</v>
      </c>
      <c r="G2033" s="3">
        <v>52.475050000000003</v>
      </c>
      <c r="H2033" s="3">
        <v>1362.3171743004</v>
      </c>
      <c r="I2033" s="3">
        <v>49.5</v>
      </c>
      <c r="J2033" s="3">
        <v>49.68</v>
      </c>
      <c r="K2033" s="3">
        <v>48.16</v>
      </c>
      <c r="L2033" s="3">
        <v>1242.6274288027</v>
      </c>
    </row>
    <row r="2034" spans="1:12" ht="15" customHeight="1" x14ac:dyDescent="0.2">
      <c r="A2034" s="2">
        <v>43097</v>
      </c>
      <c r="B2034" s="3">
        <v>49.53</v>
      </c>
      <c r="C2034" s="1">
        <v>380142</v>
      </c>
      <c r="D2034" s="3">
        <v>7.9999999999998295E-2</v>
      </c>
      <c r="E2034" s="3">
        <v>0.16177957532861301</v>
      </c>
      <c r="F2034" s="3">
        <v>0.16177645512935801</v>
      </c>
      <c r="G2034" s="3">
        <v>53.945399999999999</v>
      </c>
      <c r="H2034" s="3">
        <v>1403.2912764162199</v>
      </c>
      <c r="I2034" s="3">
        <v>49.67</v>
      </c>
      <c r="J2034" s="3">
        <v>49.8</v>
      </c>
      <c r="K2034" s="3">
        <v>49.06</v>
      </c>
      <c r="L2034" s="3">
        <v>1280.2477490368999</v>
      </c>
    </row>
    <row r="2035" spans="1:12" ht="15" customHeight="1" x14ac:dyDescent="0.2">
      <c r="A2035" s="2">
        <v>43096</v>
      </c>
      <c r="B2035" s="3">
        <v>49.45</v>
      </c>
      <c r="C2035" s="1">
        <v>468729</v>
      </c>
      <c r="D2035" s="3">
        <v>-0.25</v>
      </c>
      <c r="E2035" s="3">
        <v>-0.50301810865190899</v>
      </c>
      <c r="F2035" s="3">
        <v>-0.50301351063208799</v>
      </c>
      <c r="G2035" s="3">
        <v>53.858269999999997</v>
      </c>
      <c r="H2035" s="3">
        <v>1400.8632330814</v>
      </c>
      <c r="I2035" s="3">
        <v>49.78</v>
      </c>
      <c r="J2035" s="3">
        <v>50.35</v>
      </c>
      <c r="K2035" s="3">
        <v>49.37</v>
      </c>
      <c r="L2035" s="3">
        <v>1278.0183967267301</v>
      </c>
    </row>
    <row r="2036" spans="1:12" ht="15" customHeight="1" x14ac:dyDescent="0.2">
      <c r="A2036" s="2">
        <v>43095</v>
      </c>
      <c r="B2036" s="3">
        <v>49.7</v>
      </c>
      <c r="C2036" s="1">
        <v>589576</v>
      </c>
      <c r="D2036" s="3">
        <v>0.25</v>
      </c>
      <c r="E2036" s="3">
        <v>0.50556117290192404</v>
      </c>
      <c r="F2036" s="3">
        <v>0.50555652827317599</v>
      </c>
      <c r="G2036" s="3">
        <v>54.130553999999997</v>
      </c>
      <c r="H2036" s="3">
        <v>1408.4509451366901</v>
      </c>
      <c r="I2036" s="3">
        <v>49.45</v>
      </c>
      <c r="J2036" s="3">
        <v>50.18</v>
      </c>
      <c r="K2036" s="3">
        <v>49.35</v>
      </c>
      <c r="L2036" s="3">
        <v>1284.98512269602</v>
      </c>
    </row>
    <row r="2037" spans="1:12" ht="15" customHeight="1" x14ac:dyDescent="0.2">
      <c r="A2037" s="2">
        <v>43091</v>
      </c>
      <c r="B2037" s="3">
        <v>49.45</v>
      </c>
      <c r="C2037" s="1">
        <v>848126</v>
      </c>
      <c r="D2037" s="3">
        <v>0.25</v>
      </c>
      <c r="E2037" s="3">
        <v>0.50813008130081705</v>
      </c>
      <c r="F2037" s="3">
        <v>0.50813101627713497</v>
      </c>
      <c r="G2037" s="3">
        <v>53.858269999999997</v>
      </c>
      <c r="H2037" s="3">
        <v>1400.8632330814</v>
      </c>
      <c r="I2037" s="3">
        <v>49.08</v>
      </c>
      <c r="J2037" s="3">
        <v>49.95</v>
      </c>
      <c r="K2037" s="3">
        <v>49.08</v>
      </c>
      <c r="L2037" s="3">
        <v>1278.0183967267301</v>
      </c>
    </row>
    <row r="2038" spans="1:12" ht="15" customHeight="1" x14ac:dyDescent="0.2">
      <c r="A2038" s="2">
        <v>43090</v>
      </c>
      <c r="B2038" s="3">
        <v>49.2</v>
      </c>
      <c r="C2038" s="1">
        <v>681413</v>
      </c>
      <c r="D2038" s="3">
        <v>0.32</v>
      </c>
      <c r="E2038" s="3">
        <v>0.65466448445172798</v>
      </c>
      <c r="F2038" s="3">
        <v>0.65466312562600903</v>
      </c>
      <c r="G2038" s="3">
        <v>53.585982999999999</v>
      </c>
      <c r="H2038" s="3">
        <v>1393.27543742539</v>
      </c>
      <c r="I2038" s="3">
        <v>48.84</v>
      </c>
      <c r="J2038" s="3">
        <v>49.26</v>
      </c>
      <c r="K2038" s="3">
        <v>48.26</v>
      </c>
      <c r="L2038" s="3">
        <v>1271.05167075743</v>
      </c>
    </row>
    <row r="2039" spans="1:12" ht="15" customHeight="1" x14ac:dyDescent="0.2">
      <c r="A2039" s="2">
        <v>43089</v>
      </c>
      <c r="B2039" s="3">
        <v>48.88</v>
      </c>
      <c r="C2039" s="1">
        <v>1196386</v>
      </c>
      <c r="D2039" s="3">
        <v>-0.12999999999999501</v>
      </c>
      <c r="E2039" s="3">
        <v>-0.26525198938991401</v>
      </c>
      <c r="F2039" s="3">
        <v>-0.26524828732414901</v>
      </c>
      <c r="G2039" s="3">
        <v>53.237456999999999</v>
      </c>
      <c r="H2039" s="3">
        <v>1383.5630968846899</v>
      </c>
      <c r="I2039" s="3">
        <v>49.16</v>
      </c>
      <c r="J2039" s="3">
        <v>49.47</v>
      </c>
      <c r="K2039" s="3">
        <v>48.52</v>
      </c>
      <c r="L2039" s="3">
        <v>1262.13426151673</v>
      </c>
    </row>
    <row r="2040" spans="1:12" ht="15" customHeight="1" x14ac:dyDescent="0.2">
      <c r="A2040" s="2">
        <v>43088</v>
      </c>
      <c r="B2040" s="3">
        <v>49.01</v>
      </c>
      <c r="C2040" s="1">
        <v>1211436</v>
      </c>
      <c r="D2040" s="3">
        <v>1.39</v>
      </c>
      <c r="E2040" s="3">
        <v>2.9189416211675701</v>
      </c>
      <c r="F2040" s="3">
        <v>2.9189438067541702</v>
      </c>
      <c r="G2040" s="3">
        <v>53.379044</v>
      </c>
      <c r="H2040" s="3">
        <v>1387.50868820395</v>
      </c>
      <c r="I2040" s="3">
        <v>47.89</v>
      </c>
      <c r="J2040" s="3">
        <v>49.46</v>
      </c>
      <c r="K2040" s="3">
        <v>47.89</v>
      </c>
      <c r="L2040" s="3">
        <v>1265.75695902077</v>
      </c>
    </row>
    <row r="2041" spans="1:12" ht="15" customHeight="1" x14ac:dyDescent="0.2">
      <c r="A2041" s="2">
        <v>43087</v>
      </c>
      <c r="B2041" s="3">
        <v>47.62</v>
      </c>
      <c r="C2041" s="1">
        <v>1013841</v>
      </c>
      <c r="D2041" s="3">
        <v>0.39</v>
      </c>
      <c r="E2041" s="3">
        <v>0.82574634766039401</v>
      </c>
      <c r="F2041" s="3">
        <v>0.82574258561345304</v>
      </c>
      <c r="G2041" s="3">
        <v>51.865130000000001</v>
      </c>
      <c r="H2041" s="3">
        <v>1345.32059228763</v>
      </c>
      <c r="I2041" s="3">
        <v>47.61</v>
      </c>
      <c r="J2041" s="3">
        <v>48.25</v>
      </c>
      <c r="K2041" s="3">
        <v>47.260399999999997</v>
      </c>
      <c r="L2041" s="3">
        <v>1227.0219626314799</v>
      </c>
    </row>
    <row r="2042" spans="1:12" ht="15" customHeight="1" x14ac:dyDescent="0.2">
      <c r="A2042" s="2">
        <v>43084</v>
      </c>
      <c r="B2042" s="3">
        <v>47.23</v>
      </c>
      <c r="C2042" s="1">
        <v>2374598</v>
      </c>
      <c r="D2042" s="3">
        <v>-0.64</v>
      </c>
      <c r="E2042" s="3">
        <v>-1.3369542510967201</v>
      </c>
      <c r="F2042" s="3">
        <v>-1.3369515409633701</v>
      </c>
      <c r="G2042" s="3">
        <v>51.440365</v>
      </c>
      <c r="H2042" s="3">
        <v>1333.4837068622401</v>
      </c>
      <c r="I2042" s="3">
        <v>47.87</v>
      </c>
      <c r="J2042" s="3">
        <v>48.16</v>
      </c>
      <c r="K2042" s="3">
        <v>47.16</v>
      </c>
      <c r="L2042" s="3">
        <v>1216.1538701193799</v>
      </c>
    </row>
    <row r="2043" spans="1:12" ht="15" customHeight="1" x14ac:dyDescent="0.2">
      <c r="A2043" s="2">
        <v>43083</v>
      </c>
      <c r="B2043" s="3">
        <v>47.87</v>
      </c>
      <c r="C2043" s="1">
        <v>904966</v>
      </c>
      <c r="D2043" s="3">
        <v>-0.42999999999999899</v>
      </c>
      <c r="E2043" s="3">
        <v>-0.89026915113871097</v>
      </c>
      <c r="F2043" s="3">
        <v>-0.89026959980610298</v>
      </c>
      <c r="G2043" s="3">
        <v>52.137416999999999</v>
      </c>
      <c r="H2043" s="3">
        <v>1352.90838794364</v>
      </c>
      <c r="I2043" s="3">
        <v>48.3</v>
      </c>
      <c r="J2043" s="3">
        <v>48.66</v>
      </c>
      <c r="K2043" s="3">
        <v>47.79</v>
      </c>
      <c r="L2043" s="3">
        <v>1233.9886886007801</v>
      </c>
    </row>
    <row r="2044" spans="1:12" ht="15" customHeight="1" x14ac:dyDescent="0.2">
      <c r="A2044" s="2">
        <v>43082</v>
      </c>
      <c r="B2044" s="3">
        <v>48.3</v>
      </c>
      <c r="C2044" s="1">
        <v>762786</v>
      </c>
      <c r="D2044" s="3">
        <v>9.9999999999994302E-2</v>
      </c>
      <c r="E2044" s="3">
        <v>0.207468879668049</v>
      </c>
      <c r="F2044" s="3">
        <v>0.2074639238272</v>
      </c>
      <c r="G2044" s="3">
        <v>52.60575</v>
      </c>
      <c r="H2044" s="3">
        <v>1365.9593786371499</v>
      </c>
      <c r="I2044" s="3">
        <v>48.1</v>
      </c>
      <c r="J2044" s="3">
        <v>49.05</v>
      </c>
      <c r="K2044" s="3">
        <v>47.87</v>
      </c>
      <c r="L2044" s="3">
        <v>1245.97145726797</v>
      </c>
    </row>
    <row r="2045" spans="1:12" ht="15" customHeight="1" x14ac:dyDescent="0.2">
      <c r="A2045" s="2">
        <v>43081</v>
      </c>
      <c r="B2045" s="3">
        <v>48.2</v>
      </c>
      <c r="C2045" s="1">
        <v>849017</v>
      </c>
      <c r="D2045" s="3">
        <v>-0.219999999999998</v>
      </c>
      <c r="E2045" s="3">
        <v>-0.45435770342833098</v>
      </c>
      <c r="F2045" s="3">
        <v>-0.45434991959830601</v>
      </c>
      <c r="G2045" s="3">
        <v>52.496837999999997</v>
      </c>
      <c r="H2045" s="3">
        <v>1362.9243384020799</v>
      </c>
      <c r="I2045" s="3">
        <v>48.52</v>
      </c>
      <c r="J2045" s="3">
        <v>48.65</v>
      </c>
      <c r="K2045" s="3">
        <v>47.54</v>
      </c>
      <c r="L2045" s="3">
        <v>1243.18476688025</v>
      </c>
    </row>
    <row r="2046" spans="1:12" ht="15" customHeight="1" x14ac:dyDescent="0.2">
      <c r="A2046" s="2">
        <v>43080</v>
      </c>
      <c r="B2046" s="3">
        <v>48.42</v>
      </c>
      <c r="C2046" s="1">
        <v>930707</v>
      </c>
      <c r="D2046" s="3">
        <v>-7.0000000000000201E-2</v>
      </c>
      <c r="E2046" s="3">
        <v>-0.14435966178593099</v>
      </c>
      <c r="F2046" s="3">
        <v>-0.144366817899266</v>
      </c>
      <c r="G2046" s="3">
        <v>52.736446000000001</v>
      </c>
      <c r="H2046" s="3">
        <v>1369.6014715062799</v>
      </c>
      <c r="I2046" s="3">
        <v>48.51</v>
      </c>
      <c r="J2046" s="3">
        <v>48.78</v>
      </c>
      <c r="K2046" s="3">
        <v>48.03</v>
      </c>
      <c r="L2046" s="3">
        <v>1249.3154857332299</v>
      </c>
    </row>
    <row r="2047" spans="1:12" ht="15" customHeight="1" x14ac:dyDescent="0.2">
      <c r="A2047" s="2">
        <v>43077</v>
      </c>
      <c r="B2047" s="3">
        <v>48.49</v>
      </c>
      <c r="C2047" s="1">
        <v>1294281</v>
      </c>
      <c r="D2047" s="3">
        <v>0.49000000000000199</v>
      </c>
      <c r="E2047" s="3">
        <v>1.0208333333333299</v>
      </c>
      <c r="F2047" s="3">
        <v>1.02083614556796</v>
      </c>
      <c r="G2047" s="3">
        <v>52.812690000000003</v>
      </c>
      <c r="H2047" s="3">
        <v>1371.7261557254899</v>
      </c>
      <c r="I2047" s="3">
        <v>48.13</v>
      </c>
      <c r="J2047" s="3">
        <v>48.59</v>
      </c>
      <c r="K2047" s="3">
        <v>46.941000000000003</v>
      </c>
      <c r="L2047" s="3">
        <v>1251.26616900463</v>
      </c>
    </row>
    <row r="2048" spans="1:12" ht="15" customHeight="1" x14ac:dyDescent="0.2">
      <c r="A2048" s="2">
        <v>43076</v>
      </c>
      <c r="B2048" s="3">
        <v>48</v>
      </c>
      <c r="C2048" s="1">
        <v>1049972</v>
      </c>
      <c r="D2048" s="3">
        <v>-0.25999999999999801</v>
      </c>
      <c r="E2048" s="3">
        <v>-0.53874844591793503</v>
      </c>
      <c r="F2048" s="3">
        <v>-0.53874474734049105</v>
      </c>
      <c r="G2048" s="3">
        <v>52.279007</v>
      </c>
      <c r="H2048" s="3">
        <v>1356.8540628636099</v>
      </c>
      <c r="I2048" s="3">
        <v>48.14</v>
      </c>
      <c r="J2048" s="3">
        <v>48.48</v>
      </c>
      <c r="K2048" s="3">
        <v>47.8</v>
      </c>
      <c r="L2048" s="3">
        <v>1237.61138610481</v>
      </c>
    </row>
    <row r="2049" spans="1:12" ht="15" customHeight="1" x14ac:dyDescent="0.2">
      <c r="A2049" s="2">
        <v>43075</v>
      </c>
      <c r="B2049" s="3">
        <v>48.26</v>
      </c>
      <c r="C2049" s="1">
        <v>1215958</v>
      </c>
      <c r="D2049" s="3">
        <v>-1.35</v>
      </c>
      <c r="E2049" s="3">
        <v>-2.7212255593630301</v>
      </c>
      <c r="F2049" s="3">
        <v>-2.7212255283992799</v>
      </c>
      <c r="G2049" s="3">
        <v>52.562182999999997</v>
      </c>
      <c r="H2049" s="3">
        <v>1364.7453012359299</v>
      </c>
      <c r="I2049" s="3">
        <v>49.67</v>
      </c>
      <c r="J2049" s="3">
        <v>50.04</v>
      </c>
      <c r="K2049" s="3">
        <v>48.12</v>
      </c>
      <c r="L2049" s="3">
        <v>1244.8567811128801</v>
      </c>
    </row>
    <row r="2050" spans="1:12" ht="15" customHeight="1" x14ac:dyDescent="0.2">
      <c r="A2050" s="2">
        <v>43074</v>
      </c>
      <c r="B2050" s="3">
        <v>49.61</v>
      </c>
      <c r="C2050" s="1">
        <v>1224907</v>
      </c>
      <c r="D2050" s="3">
        <v>4.9999999999997102E-2</v>
      </c>
      <c r="E2050" s="3">
        <v>0.10088781275221501</v>
      </c>
      <c r="F2050" s="3">
        <v>0.1008798442375</v>
      </c>
      <c r="G2050" s="3">
        <v>54.032530000000001</v>
      </c>
      <c r="H2050" s="3">
        <v>1405.7193197510401</v>
      </c>
      <c r="I2050" s="3">
        <v>49.62</v>
      </c>
      <c r="J2050" s="3">
        <v>49.83</v>
      </c>
      <c r="K2050" s="3">
        <v>48.87</v>
      </c>
      <c r="L2050" s="3">
        <v>1282.47710134708</v>
      </c>
    </row>
    <row r="2051" spans="1:12" ht="15" customHeight="1" x14ac:dyDescent="0.2">
      <c r="A2051" s="2">
        <v>43073</v>
      </c>
      <c r="B2051" s="3">
        <v>49.56</v>
      </c>
      <c r="C2051" s="1">
        <v>2122950</v>
      </c>
      <c r="D2051" s="3">
        <v>1.53</v>
      </c>
      <c r="E2051" s="3">
        <v>3.1855090568394702</v>
      </c>
      <c r="F2051" s="3">
        <v>3.1855161218297501</v>
      </c>
      <c r="G2051" s="3">
        <v>53.978076999999999</v>
      </c>
      <c r="H2051" s="3">
        <v>1404.2018832342101</v>
      </c>
      <c r="I2051" s="3">
        <v>48.55</v>
      </c>
      <c r="J2051" s="3">
        <v>51.07</v>
      </c>
      <c r="K2051" s="3">
        <v>48.55</v>
      </c>
      <c r="L2051" s="3">
        <v>1281.0837561532201</v>
      </c>
    </row>
    <row r="2052" spans="1:12" ht="15" customHeight="1" x14ac:dyDescent="0.2">
      <c r="A2052" s="2">
        <v>43070</v>
      </c>
      <c r="B2052" s="3">
        <v>48.03</v>
      </c>
      <c r="C2052" s="1">
        <v>1631478</v>
      </c>
      <c r="D2052" s="3">
        <v>-1.00999999999999</v>
      </c>
      <c r="E2052" s="3">
        <v>-2.0595432300163101</v>
      </c>
      <c r="F2052" s="3">
        <v>-2.0595479793573301</v>
      </c>
      <c r="G2052" s="3">
        <v>52.311680000000003</v>
      </c>
      <c r="H2052" s="3">
        <v>1357.7645582139901</v>
      </c>
      <c r="I2052" s="3">
        <v>48.99</v>
      </c>
      <c r="J2052" s="3">
        <v>48.99</v>
      </c>
      <c r="K2052" s="3">
        <v>47.52</v>
      </c>
      <c r="L2052" s="3">
        <v>1238.4473932211299</v>
      </c>
    </row>
    <row r="2053" spans="1:12" ht="15" customHeight="1" x14ac:dyDescent="0.2">
      <c r="A2053" s="2">
        <v>43069</v>
      </c>
      <c r="B2053" s="3">
        <v>49.04</v>
      </c>
      <c r="C2053" s="1">
        <v>1915985</v>
      </c>
      <c r="D2053" s="3">
        <v>-0.100000000000001</v>
      </c>
      <c r="E2053" s="3">
        <v>-0.20350020350020601</v>
      </c>
      <c r="F2053" s="3">
        <v>-0.203499084110247</v>
      </c>
      <c r="G2053" s="3">
        <v>53.411720000000003</v>
      </c>
      <c r="H2053" s="3">
        <v>1388.41926715504</v>
      </c>
      <c r="I2053" s="3">
        <v>49.14</v>
      </c>
      <c r="J2053" s="3">
        <v>49.61</v>
      </c>
      <c r="K2053" s="3">
        <v>48.04</v>
      </c>
      <c r="L2053" s="3">
        <v>1266.5929661370801</v>
      </c>
    </row>
    <row r="2054" spans="1:12" ht="15" customHeight="1" x14ac:dyDescent="0.2">
      <c r="A2054" s="2">
        <v>43068</v>
      </c>
      <c r="B2054" s="3">
        <v>49.14</v>
      </c>
      <c r="C2054" s="1">
        <v>2288784</v>
      </c>
      <c r="D2054" s="3">
        <v>1.96</v>
      </c>
      <c r="E2054" s="3">
        <v>4.1543026706231503</v>
      </c>
      <c r="F2054" s="3">
        <v>4.1543064356985404</v>
      </c>
      <c r="G2054" s="3">
        <v>53.520634000000001</v>
      </c>
      <c r="H2054" s="3">
        <v>1391.4543631239201</v>
      </c>
      <c r="I2054" s="3">
        <v>47.51</v>
      </c>
      <c r="J2054" s="3">
        <v>49.77</v>
      </c>
      <c r="K2054" s="3">
        <v>47.5</v>
      </c>
      <c r="L2054" s="3">
        <v>1269.3796565248001</v>
      </c>
    </row>
    <row r="2055" spans="1:12" ht="15" customHeight="1" x14ac:dyDescent="0.2">
      <c r="A2055" s="2">
        <v>43067</v>
      </c>
      <c r="B2055" s="3">
        <v>47.18</v>
      </c>
      <c r="C2055" s="1">
        <v>1358444</v>
      </c>
      <c r="D2055" s="3">
        <v>1.95</v>
      </c>
      <c r="E2055" s="3">
        <v>4.3112978111872602</v>
      </c>
      <c r="F2055" s="3">
        <v>4.3113007634474103</v>
      </c>
      <c r="G2055" s="3">
        <v>51.385905999999999</v>
      </c>
      <c r="H2055" s="3">
        <v>1331.96610314399</v>
      </c>
      <c r="I2055" s="3">
        <v>45.38</v>
      </c>
      <c r="J2055" s="3">
        <v>47.28</v>
      </c>
      <c r="K2055" s="3">
        <v>45.15</v>
      </c>
      <c r="L2055" s="3">
        <v>1214.76052492552</v>
      </c>
    </row>
    <row r="2056" spans="1:12" ht="15" customHeight="1" x14ac:dyDescent="0.2">
      <c r="A2056" s="2">
        <v>43066</v>
      </c>
      <c r="B2056" s="3">
        <v>45.23</v>
      </c>
      <c r="C2056" s="1">
        <v>1199290</v>
      </c>
      <c r="D2056" s="3">
        <v>0.39999999999999802</v>
      </c>
      <c r="E2056" s="3">
        <v>0.89225964755743603</v>
      </c>
      <c r="F2056" s="3">
        <v>0.89225062105726605</v>
      </c>
      <c r="G2056" s="3">
        <v>49.262070000000001</v>
      </c>
      <c r="H2056" s="3">
        <v>1272.78136948109</v>
      </c>
      <c r="I2056" s="3">
        <v>44.83</v>
      </c>
      <c r="J2056" s="3">
        <v>45.38</v>
      </c>
      <c r="K2056" s="3">
        <v>44.73</v>
      </c>
      <c r="L2056" s="3">
        <v>1160.4200623650099</v>
      </c>
    </row>
    <row r="2057" spans="1:12" ht="15" customHeight="1" x14ac:dyDescent="0.2">
      <c r="A2057" s="2">
        <v>43063</v>
      </c>
      <c r="B2057" s="3">
        <v>44.83</v>
      </c>
      <c r="C2057" s="1">
        <v>427196</v>
      </c>
      <c r="D2057" s="3">
        <v>-9.0000000000003397E-2</v>
      </c>
      <c r="E2057" s="3">
        <v>-0.20035618878005901</v>
      </c>
      <c r="F2057" s="3">
        <v>-0.20034774034692801</v>
      </c>
      <c r="G2057" s="3">
        <v>48.826416000000002</v>
      </c>
      <c r="H2057" s="3">
        <v>1260.6410413393801</v>
      </c>
      <c r="I2057" s="3">
        <v>44.98</v>
      </c>
      <c r="J2057" s="3">
        <v>45.11</v>
      </c>
      <c r="K2057" s="3">
        <v>44.74</v>
      </c>
      <c r="L2057" s="3">
        <v>1149.2733008141399</v>
      </c>
    </row>
    <row r="2058" spans="1:12" ht="15" customHeight="1" x14ac:dyDescent="0.2">
      <c r="A2058" s="2">
        <v>43061</v>
      </c>
      <c r="B2058" s="3">
        <v>44.92</v>
      </c>
      <c r="C2058" s="1">
        <v>1662589</v>
      </c>
      <c r="D2058" s="3">
        <v>-0.28999999999999898</v>
      </c>
      <c r="E2058" s="3">
        <v>-0.64145100641450603</v>
      </c>
      <c r="F2058" s="3">
        <v>-0.64145238143203898</v>
      </c>
      <c r="G2058" s="3">
        <v>48.924435000000003</v>
      </c>
      <c r="H2058" s="3">
        <v>1263.37252739051</v>
      </c>
      <c r="I2058" s="3">
        <v>45.11</v>
      </c>
      <c r="J2058" s="3">
        <v>45.27</v>
      </c>
      <c r="K2058" s="3">
        <v>44.58</v>
      </c>
      <c r="L2058" s="3">
        <v>1151.7813221630799</v>
      </c>
    </row>
    <row r="2059" spans="1:12" ht="15" customHeight="1" x14ac:dyDescent="0.2">
      <c r="A2059" s="2">
        <v>43060</v>
      </c>
      <c r="B2059" s="3">
        <v>45.21</v>
      </c>
      <c r="C2059" s="1">
        <v>1600352</v>
      </c>
      <c r="D2059" s="3">
        <v>-0.76999999999999602</v>
      </c>
      <c r="E2059" s="3">
        <v>-1.67464114832535</v>
      </c>
      <c r="F2059" s="3">
        <v>-1.6746404126446</v>
      </c>
      <c r="G2059" s="3">
        <v>49.240288</v>
      </c>
      <c r="H2059" s="3">
        <v>1272.1743725808301</v>
      </c>
      <c r="I2059" s="3">
        <v>46.1</v>
      </c>
      <c r="J2059" s="3">
        <v>46.15</v>
      </c>
      <c r="K2059" s="3">
        <v>44.95</v>
      </c>
      <c r="L2059" s="3">
        <v>1159.86272428747</v>
      </c>
    </row>
    <row r="2060" spans="1:12" ht="15" customHeight="1" x14ac:dyDescent="0.2">
      <c r="A2060" s="2">
        <v>43059</v>
      </c>
      <c r="B2060" s="3">
        <v>45.98</v>
      </c>
      <c r="C2060" s="1">
        <v>1994023</v>
      </c>
      <c r="D2060" s="3">
        <v>0.53999999999999904</v>
      </c>
      <c r="E2060" s="3">
        <v>1.1883802816901401</v>
      </c>
      <c r="F2060" s="3">
        <v>1.1883827273721099</v>
      </c>
      <c r="G2060" s="3">
        <v>50.07893</v>
      </c>
      <c r="H2060" s="3">
        <v>1295.5447285821999</v>
      </c>
      <c r="I2060" s="3">
        <v>45.35</v>
      </c>
      <c r="J2060" s="3">
        <v>46.4</v>
      </c>
      <c r="K2060" s="3">
        <v>44.56</v>
      </c>
      <c r="L2060" s="3">
        <v>1181.3202402729</v>
      </c>
    </row>
    <row r="2061" spans="1:12" ht="15" customHeight="1" x14ac:dyDescent="0.2">
      <c r="A2061" s="2">
        <v>43056</v>
      </c>
      <c r="B2061" s="3">
        <v>45.44</v>
      </c>
      <c r="C2061" s="1">
        <v>1252677</v>
      </c>
      <c r="D2061" s="3">
        <v>0.51999999999999602</v>
      </c>
      <c r="E2061" s="3">
        <v>1.1576135351736201</v>
      </c>
      <c r="F2061" s="3">
        <v>1.15761173327806</v>
      </c>
      <c r="G2061" s="3">
        <v>49.490789999999997</v>
      </c>
      <c r="H2061" s="3">
        <v>1279.15508773588</v>
      </c>
      <c r="I2061" s="3">
        <v>44.78</v>
      </c>
      <c r="J2061" s="3">
        <v>45.7</v>
      </c>
      <c r="K2061" s="3">
        <v>44.75</v>
      </c>
      <c r="L2061" s="3">
        <v>1166.2721121792199</v>
      </c>
    </row>
    <row r="2062" spans="1:12" ht="15" customHeight="1" x14ac:dyDescent="0.2">
      <c r="A2062" s="2">
        <v>43055</v>
      </c>
      <c r="B2062" s="3">
        <v>44.92</v>
      </c>
      <c r="C2062" s="1">
        <v>1136940</v>
      </c>
      <c r="D2062" s="3">
        <v>-0.14000000000000001</v>
      </c>
      <c r="E2062" s="3">
        <v>-0.31069684864625202</v>
      </c>
      <c r="F2062" s="3">
        <v>-0.31070613233267202</v>
      </c>
      <c r="G2062" s="3">
        <v>48.924435000000003</v>
      </c>
      <c r="H2062" s="3">
        <v>1263.37252739051</v>
      </c>
      <c r="I2062" s="3">
        <v>45.12</v>
      </c>
      <c r="J2062" s="3">
        <v>45.22</v>
      </c>
      <c r="K2062" s="3">
        <v>44.28</v>
      </c>
      <c r="L2062" s="3">
        <v>1151.7813221630799</v>
      </c>
    </row>
    <row r="2063" spans="1:12" ht="15" customHeight="1" x14ac:dyDescent="0.2">
      <c r="A2063" s="2">
        <v>43054</v>
      </c>
      <c r="B2063" s="3">
        <v>45.06</v>
      </c>
      <c r="C2063" s="1">
        <v>1040146.99999999</v>
      </c>
      <c r="D2063" s="3">
        <v>0.160000000000003</v>
      </c>
      <c r="E2063" s="3">
        <v>0.35634743875279001</v>
      </c>
      <c r="F2063" s="3">
        <v>0.35634669093747001</v>
      </c>
      <c r="G2063" s="3">
        <v>49.076920000000001</v>
      </c>
      <c r="H2063" s="3">
        <v>1267.6218122282301</v>
      </c>
      <c r="I2063" s="3">
        <v>44.68</v>
      </c>
      <c r="J2063" s="3">
        <v>45.39</v>
      </c>
      <c r="K2063" s="3">
        <v>44.325000000000003</v>
      </c>
      <c r="L2063" s="3">
        <v>1155.6826887058901</v>
      </c>
    </row>
    <row r="2064" spans="1:12" ht="15" customHeight="1" x14ac:dyDescent="0.2">
      <c r="A2064" s="2">
        <v>43053</v>
      </c>
      <c r="B2064" s="3">
        <v>44.9</v>
      </c>
      <c r="C2064" s="1">
        <v>1761355</v>
      </c>
      <c r="D2064" s="3">
        <v>0.60999999999999899</v>
      </c>
      <c r="E2064" s="3">
        <v>1.3772860690900799</v>
      </c>
      <c r="F2064" s="3">
        <v>2.0320636595410502</v>
      </c>
      <c r="G2064" s="3">
        <v>48.902656999999998</v>
      </c>
      <c r="H2064" s="3">
        <v>1262.76564195788</v>
      </c>
      <c r="I2064" s="3">
        <v>45.21</v>
      </c>
      <c r="J2064" s="3">
        <v>45.7</v>
      </c>
      <c r="K2064" s="3">
        <v>44.1</v>
      </c>
      <c r="L2064" s="3">
        <v>1151.22398408554</v>
      </c>
    </row>
    <row r="2065" spans="1:12" ht="15" customHeight="1" x14ac:dyDescent="0.2">
      <c r="A2065" s="2">
        <v>43052</v>
      </c>
      <c r="B2065" s="3">
        <v>44.29</v>
      </c>
      <c r="C2065" s="1">
        <v>1311281</v>
      </c>
      <c r="D2065" s="3">
        <v>-2.0000000000003099E-2</v>
      </c>
      <c r="E2065" s="3">
        <v>-4.5136538027534798E-2</v>
      </c>
      <c r="F2065" s="3">
        <v>-4.5140432730861303E-2</v>
      </c>
      <c r="G2065" s="3">
        <v>47.928714999999997</v>
      </c>
      <c r="H2065" s="3">
        <v>1235.6248938619201</v>
      </c>
      <c r="I2065" s="3">
        <v>44.21</v>
      </c>
      <c r="J2065" s="3">
        <v>44.54</v>
      </c>
      <c r="K2065" s="3">
        <v>43.999099999999999</v>
      </c>
      <c r="L2065" s="3">
        <v>1134.22517272046</v>
      </c>
    </row>
    <row r="2066" spans="1:12" ht="15" customHeight="1" x14ac:dyDescent="0.2">
      <c r="A2066" s="2">
        <v>43049</v>
      </c>
      <c r="B2066" s="3">
        <v>44.31</v>
      </c>
      <c r="C2066" s="1">
        <v>1160037</v>
      </c>
      <c r="D2066" s="3"/>
      <c r="E2066" s="3"/>
      <c r="F2066" s="3"/>
      <c r="G2066" s="3">
        <v>47.950360000000003</v>
      </c>
      <c r="H2066" s="3">
        <v>1236.22807299635</v>
      </c>
      <c r="I2066" s="3">
        <v>44.37</v>
      </c>
      <c r="J2066" s="3">
        <v>44.6</v>
      </c>
      <c r="K2066" s="3">
        <v>43.84</v>
      </c>
      <c r="L2066" s="3">
        <v>1134.782510798</v>
      </c>
    </row>
    <row r="2067" spans="1:12" ht="15" customHeight="1" x14ac:dyDescent="0.2">
      <c r="A2067" s="2">
        <v>43048</v>
      </c>
      <c r="B2067" s="3">
        <v>44.31</v>
      </c>
      <c r="C2067" s="1">
        <v>1115800</v>
      </c>
      <c r="D2067" s="3">
        <v>0.45000000000000201</v>
      </c>
      <c r="E2067" s="3">
        <v>1.02599179206566</v>
      </c>
      <c r="F2067" s="3">
        <v>1.02599715439608</v>
      </c>
      <c r="G2067" s="3">
        <v>47.950360000000003</v>
      </c>
      <c r="H2067" s="3">
        <v>1236.22807299635</v>
      </c>
      <c r="I2067" s="3">
        <v>43.47</v>
      </c>
      <c r="J2067" s="3">
        <v>44.33</v>
      </c>
      <c r="K2067" s="3">
        <v>43.14</v>
      </c>
      <c r="L2067" s="3">
        <v>1134.782510798</v>
      </c>
    </row>
    <row r="2068" spans="1:12" ht="15" customHeight="1" x14ac:dyDescent="0.2">
      <c r="A2068" s="2">
        <v>43047</v>
      </c>
      <c r="B2068" s="3">
        <v>43.86</v>
      </c>
      <c r="C2068" s="1">
        <v>1570101</v>
      </c>
      <c r="D2068" s="3">
        <v>1.0899999999999901</v>
      </c>
      <c r="E2068" s="3">
        <v>2.5485153144727501</v>
      </c>
      <c r="F2068" s="3">
        <v>2.5485160737325199</v>
      </c>
      <c r="G2068" s="3">
        <v>47.463386999999997</v>
      </c>
      <c r="H2068" s="3">
        <v>1222.65764321456</v>
      </c>
      <c r="I2068" s="3">
        <v>42.72</v>
      </c>
      <c r="J2068" s="3">
        <v>44.08</v>
      </c>
      <c r="K2068" s="3">
        <v>42.72</v>
      </c>
      <c r="L2068" s="3">
        <v>1122.2424040532701</v>
      </c>
    </row>
    <row r="2069" spans="1:12" ht="15" customHeight="1" x14ac:dyDescent="0.2">
      <c r="A2069" s="2">
        <v>43046</v>
      </c>
      <c r="B2069" s="3">
        <v>42.77</v>
      </c>
      <c r="C2069" s="1">
        <v>1999864</v>
      </c>
      <c r="D2069" s="3">
        <v>-0.82999999999999796</v>
      </c>
      <c r="E2069" s="3">
        <v>-1.90366972477064</v>
      </c>
      <c r="F2069" s="3">
        <v>-1.9036698424098999</v>
      </c>
      <c r="G2069" s="3">
        <v>46.283836000000001</v>
      </c>
      <c r="H2069" s="3">
        <v>1189.7872088793299</v>
      </c>
      <c r="I2069" s="3">
        <v>43.54</v>
      </c>
      <c r="J2069" s="3">
        <v>43.7</v>
      </c>
      <c r="K2069" s="3">
        <v>42.079799999999999</v>
      </c>
      <c r="L2069" s="3">
        <v>1091.8674788271401</v>
      </c>
    </row>
    <row r="2070" spans="1:12" ht="15" customHeight="1" x14ac:dyDescent="0.2">
      <c r="A2070" s="2">
        <v>43045</v>
      </c>
      <c r="B2070" s="3">
        <v>43.6</v>
      </c>
      <c r="C2070" s="1">
        <v>1126489</v>
      </c>
      <c r="D2070" s="3">
        <v>0.14000000000000001</v>
      </c>
      <c r="E2070" s="3">
        <v>0.32213529682467701</v>
      </c>
      <c r="F2070" s="3">
        <v>0.32213333786939002</v>
      </c>
      <c r="G2070" s="3">
        <v>47.182026</v>
      </c>
      <c r="H2070" s="3">
        <v>1214.8169832727699</v>
      </c>
      <c r="I2070" s="3">
        <v>43.7</v>
      </c>
      <c r="J2070" s="3">
        <v>43.88</v>
      </c>
      <c r="K2070" s="3">
        <v>43.182200000000002</v>
      </c>
      <c r="L2070" s="3">
        <v>1114.9970090452</v>
      </c>
    </row>
    <row r="2071" spans="1:12" ht="15" customHeight="1" x14ac:dyDescent="0.2">
      <c r="A2071" s="2">
        <v>43042</v>
      </c>
      <c r="B2071" s="3">
        <v>43.46</v>
      </c>
      <c r="C2071" s="1">
        <v>1916979</v>
      </c>
      <c r="D2071" s="3">
        <v>1.28</v>
      </c>
      <c r="E2071" s="3">
        <v>3.0346135609293499</v>
      </c>
      <c r="F2071" s="3">
        <v>3.0346171198156302</v>
      </c>
      <c r="G2071" s="3">
        <v>47.030524999999997</v>
      </c>
      <c r="H2071" s="3">
        <v>1210.5951194684801</v>
      </c>
      <c r="I2071" s="3">
        <v>41.78</v>
      </c>
      <c r="J2071" s="3">
        <v>43.7</v>
      </c>
      <c r="K2071" s="3">
        <v>41.75</v>
      </c>
      <c r="L2071" s="3">
        <v>1111.0956425024001</v>
      </c>
    </row>
    <row r="2072" spans="1:12" ht="15" customHeight="1" x14ac:dyDescent="0.2">
      <c r="A2072" s="2">
        <v>43041</v>
      </c>
      <c r="B2072" s="3">
        <v>42.18</v>
      </c>
      <c r="C2072" s="1">
        <v>4433000</v>
      </c>
      <c r="D2072" s="3">
        <v>-2.82</v>
      </c>
      <c r="E2072" s="3">
        <v>-6.2666666666666604</v>
      </c>
      <c r="F2072" s="3">
        <v>-6.26666579597725</v>
      </c>
      <c r="G2072" s="3">
        <v>45.645363000000003</v>
      </c>
      <c r="H2072" s="3">
        <v>1171.9949431601499</v>
      </c>
      <c r="I2072" s="3">
        <v>41.85</v>
      </c>
      <c r="J2072" s="3">
        <v>42.85</v>
      </c>
      <c r="K2072" s="3">
        <v>41.5</v>
      </c>
      <c r="L2072" s="3">
        <v>1075.4260055396001</v>
      </c>
    </row>
    <row r="2073" spans="1:12" ht="15" customHeight="1" x14ac:dyDescent="0.2">
      <c r="A2073" s="2">
        <v>43040</v>
      </c>
      <c r="B2073" s="3">
        <v>45</v>
      </c>
      <c r="C2073" s="1">
        <v>2700182</v>
      </c>
      <c r="D2073" s="3">
        <v>0.25999999999999801</v>
      </c>
      <c r="E2073" s="3">
        <v>0.58113544926239302</v>
      </c>
      <c r="F2073" s="3">
        <v>0.58112568802077802</v>
      </c>
      <c r="G2073" s="3">
        <v>48.697043999999998</v>
      </c>
      <c r="H2073" s="3">
        <v>1257.0358442509801</v>
      </c>
      <c r="I2073" s="3">
        <v>44.7</v>
      </c>
      <c r="J2073" s="3">
        <v>45.38</v>
      </c>
      <c r="K2073" s="3">
        <v>44.26</v>
      </c>
      <c r="L2073" s="3">
        <v>1154.01067447326</v>
      </c>
    </row>
    <row r="2074" spans="1:12" ht="15" customHeight="1" x14ac:dyDescent="0.2">
      <c r="A2074" s="2">
        <v>43039</v>
      </c>
      <c r="B2074" s="3">
        <v>44.74</v>
      </c>
      <c r="C2074" s="1">
        <v>1744464</v>
      </c>
      <c r="D2074" s="3">
        <v>-0.309999999999995</v>
      </c>
      <c r="E2074" s="3">
        <v>-0.68812430632629795</v>
      </c>
      <c r="F2074" s="3">
        <v>-0.68811502136399905</v>
      </c>
      <c r="G2074" s="3">
        <v>48.415688000000003</v>
      </c>
      <c r="H2074" s="3">
        <v>1249.19532364371</v>
      </c>
      <c r="I2074" s="3">
        <v>45.3</v>
      </c>
      <c r="J2074" s="3">
        <v>45.3</v>
      </c>
      <c r="K2074" s="3">
        <v>44.521299999999997</v>
      </c>
      <c r="L2074" s="3">
        <v>1146.7652794651899</v>
      </c>
    </row>
    <row r="2075" spans="1:12" ht="15" customHeight="1" x14ac:dyDescent="0.2">
      <c r="A2075" s="2">
        <v>43038</v>
      </c>
      <c r="B2075" s="3">
        <v>45.05</v>
      </c>
      <c r="C2075" s="1">
        <v>1790787</v>
      </c>
      <c r="D2075" s="3">
        <v>0.149999999999998</v>
      </c>
      <c r="E2075" s="3">
        <v>0.33407572383072898</v>
      </c>
      <c r="F2075" s="3">
        <v>0.334066471610872</v>
      </c>
      <c r="G2075" s="3">
        <v>48.751151999999998</v>
      </c>
      <c r="H2075" s="3">
        <v>1258.54366668596</v>
      </c>
      <c r="I2075" s="3">
        <v>44.86</v>
      </c>
      <c r="J2075" s="3">
        <v>45.17</v>
      </c>
      <c r="K2075" s="3">
        <v>44.12</v>
      </c>
      <c r="L2075" s="3">
        <v>1155.4040196671201</v>
      </c>
    </row>
    <row r="2076" spans="1:12" ht="15" customHeight="1" x14ac:dyDescent="0.2">
      <c r="A2076" s="2">
        <v>43035</v>
      </c>
      <c r="B2076" s="3">
        <v>44.9</v>
      </c>
      <c r="C2076" s="1">
        <v>1785135</v>
      </c>
      <c r="D2076" s="3">
        <v>0.71999999999999797</v>
      </c>
      <c r="E2076" s="3">
        <v>1.62969669533725</v>
      </c>
      <c r="F2076" s="3">
        <v>1.62970354307141</v>
      </c>
      <c r="G2076" s="3">
        <v>48.588833000000001</v>
      </c>
      <c r="H2076" s="3">
        <v>1254.02033871552</v>
      </c>
      <c r="I2076" s="3">
        <v>44.02</v>
      </c>
      <c r="J2076" s="3">
        <v>45.35</v>
      </c>
      <c r="K2076" s="3">
        <v>44.02</v>
      </c>
      <c r="L2076" s="3">
        <v>1151.22398408554</v>
      </c>
    </row>
    <row r="2077" spans="1:12" ht="15" customHeight="1" x14ac:dyDescent="0.2">
      <c r="A2077" s="2">
        <v>43034</v>
      </c>
      <c r="B2077" s="3">
        <v>44.18</v>
      </c>
      <c r="C2077" s="1">
        <v>1326819</v>
      </c>
      <c r="D2077" s="3">
        <v>0.67000000000000104</v>
      </c>
      <c r="E2077" s="3">
        <v>1.53987589059987</v>
      </c>
      <c r="F2077" s="3">
        <v>1.53988042382409</v>
      </c>
      <c r="G2077" s="3">
        <v>47.809677000000001</v>
      </c>
      <c r="H2077" s="3">
        <v>1232.30767335819</v>
      </c>
      <c r="I2077" s="3">
        <v>43.9</v>
      </c>
      <c r="J2077" s="3">
        <v>44.58</v>
      </c>
      <c r="K2077" s="3">
        <v>43.9</v>
      </c>
      <c r="L2077" s="3">
        <v>1131.15981329397</v>
      </c>
    </row>
    <row r="2078" spans="1:12" ht="15" customHeight="1" x14ac:dyDescent="0.2">
      <c r="A2078" s="2">
        <v>43033</v>
      </c>
      <c r="B2078" s="3">
        <v>43.51</v>
      </c>
      <c r="C2078" s="1">
        <v>1172421</v>
      </c>
      <c r="D2078" s="3">
        <v>-0.260000000000005</v>
      </c>
      <c r="E2078" s="3">
        <v>-0.59401416495317105</v>
      </c>
      <c r="F2078" s="3">
        <v>-0.594019004309709</v>
      </c>
      <c r="G2078" s="3">
        <v>47.084629999999997</v>
      </c>
      <c r="H2078" s="3">
        <v>1212.1028583027501</v>
      </c>
      <c r="I2078" s="3">
        <v>43.41</v>
      </c>
      <c r="J2078" s="3">
        <v>44.11</v>
      </c>
      <c r="K2078" s="3">
        <v>43.32</v>
      </c>
      <c r="L2078" s="3">
        <v>1112.48898769626</v>
      </c>
    </row>
    <row r="2079" spans="1:12" ht="15" customHeight="1" x14ac:dyDescent="0.2">
      <c r="A2079" s="2">
        <v>43032</v>
      </c>
      <c r="B2079" s="3">
        <v>43.77</v>
      </c>
      <c r="C2079" s="1">
        <v>1128629</v>
      </c>
      <c r="D2079" s="3">
        <v>0.69000000000000405</v>
      </c>
      <c r="E2079" s="3">
        <v>1.6016713091922199</v>
      </c>
      <c r="F2079" s="3">
        <v>1.6016603420342299</v>
      </c>
      <c r="G2079" s="3">
        <v>47.365993000000003</v>
      </c>
      <c r="H2079" s="3">
        <v>1219.9435739783501</v>
      </c>
      <c r="I2079" s="3">
        <v>43.16</v>
      </c>
      <c r="J2079" s="3">
        <v>44.06</v>
      </c>
      <c r="K2079" s="3">
        <v>43.001100000000001</v>
      </c>
      <c r="L2079" s="3">
        <v>1119.7343827043201</v>
      </c>
    </row>
    <row r="2080" spans="1:12" ht="15" customHeight="1" x14ac:dyDescent="0.2">
      <c r="A2080" s="2">
        <v>43031</v>
      </c>
      <c r="B2080" s="3">
        <v>43.08</v>
      </c>
      <c r="C2080" s="1">
        <v>988488</v>
      </c>
      <c r="D2080" s="3">
        <v>-0.880000000000002</v>
      </c>
      <c r="E2080" s="3">
        <v>-2.0018198362147399</v>
      </c>
      <c r="F2080" s="3">
        <v>-2.0018035971041401</v>
      </c>
      <c r="G2080" s="3">
        <v>46.619309999999999</v>
      </c>
      <c r="H2080" s="3">
        <v>1199.1358305906199</v>
      </c>
      <c r="I2080" s="3">
        <v>44.06</v>
      </c>
      <c r="J2080" s="3">
        <v>44.28</v>
      </c>
      <c r="K2080" s="3">
        <v>42.97</v>
      </c>
      <c r="L2080" s="3">
        <v>1100.5062190290701</v>
      </c>
    </row>
    <row r="2081" spans="1:12" ht="15" customHeight="1" x14ac:dyDescent="0.2">
      <c r="A2081" s="2">
        <v>43028</v>
      </c>
      <c r="B2081" s="3">
        <v>43.96</v>
      </c>
      <c r="C2081" s="1">
        <v>1556301</v>
      </c>
      <c r="D2081" s="3">
        <v>0.24000000000000199</v>
      </c>
      <c r="E2081" s="3">
        <v>0.54894784995425105</v>
      </c>
      <c r="F2081" s="3">
        <v>0.54894028109553294</v>
      </c>
      <c r="G2081" s="3">
        <v>47.571599999999997</v>
      </c>
      <c r="H2081" s="3">
        <v>1225.67320448382</v>
      </c>
      <c r="I2081" s="3">
        <v>44.2</v>
      </c>
      <c r="J2081" s="3">
        <v>44.54</v>
      </c>
      <c r="K2081" s="3">
        <v>43.69</v>
      </c>
      <c r="L2081" s="3">
        <v>1125.0290944409901</v>
      </c>
    </row>
    <row r="2082" spans="1:12" ht="15" customHeight="1" x14ac:dyDescent="0.2">
      <c r="A2082" s="2">
        <v>43027</v>
      </c>
      <c r="B2082" s="3">
        <v>43.72</v>
      </c>
      <c r="C2082" s="1">
        <v>1332962</v>
      </c>
      <c r="D2082" s="3">
        <v>0.71999999999999797</v>
      </c>
      <c r="E2082" s="3">
        <v>1.67441860465116</v>
      </c>
      <c r="F2082" s="3">
        <v>1.6744169813877701</v>
      </c>
      <c r="G2082" s="3">
        <v>47.311886000000001</v>
      </c>
      <c r="H2082" s="3">
        <v>1218.43577941027</v>
      </c>
      <c r="I2082" s="3">
        <v>42.96</v>
      </c>
      <c r="J2082" s="3">
        <v>43.73</v>
      </c>
      <c r="K2082" s="3">
        <v>42.72</v>
      </c>
      <c r="L2082" s="3">
        <v>1118.34103751046</v>
      </c>
    </row>
    <row r="2083" spans="1:12" ht="15" customHeight="1" x14ac:dyDescent="0.2">
      <c r="A2083" s="2">
        <v>43026</v>
      </c>
      <c r="B2083" s="3">
        <v>43</v>
      </c>
      <c r="C2083" s="1">
        <v>875973</v>
      </c>
      <c r="D2083" s="3">
        <v>-0.219999999999998</v>
      </c>
      <c r="E2083" s="3">
        <v>-0.50902360018509896</v>
      </c>
      <c r="F2083" s="3">
        <v>-0.50902689091764097</v>
      </c>
      <c r="G2083" s="3">
        <v>46.532733999999998</v>
      </c>
      <c r="H2083" s="3">
        <v>1196.7232255205499</v>
      </c>
      <c r="I2083" s="3">
        <v>43.13</v>
      </c>
      <c r="J2083" s="3">
        <v>43.215000000000003</v>
      </c>
      <c r="K2083" s="3">
        <v>42.33</v>
      </c>
      <c r="L2083" s="3">
        <v>1098.27686671889</v>
      </c>
    </row>
    <row r="2084" spans="1:12" ht="15" customHeight="1" x14ac:dyDescent="0.2">
      <c r="A2084" s="2">
        <v>43025</v>
      </c>
      <c r="B2084" s="3">
        <v>43.22</v>
      </c>
      <c r="C2084" s="1">
        <v>1860310</v>
      </c>
      <c r="D2084" s="3">
        <v>1.01999999999999</v>
      </c>
      <c r="E2084" s="3">
        <v>2.4170616113743999</v>
      </c>
      <c r="F2084" s="3">
        <v>2.4170688479759601</v>
      </c>
      <c r="G2084" s="3">
        <v>46.770809999999997</v>
      </c>
      <c r="H2084" s="3">
        <v>1203.35766652801</v>
      </c>
      <c r="I2084" s="3">
        <v>42.15</v>
      </c>
      <c r="J2084" s="3">
        <v>43.56</v>
      </c>
      <c r="K2084" s="3">
        <v>42.1</v>
      </c>
      <c r="L2084" s="3">
        <v>1104.40758557187</v>
      </c>
    </row>
    <row r="2085" spans="1:12" ht="15" customHeight="1" x14ac:dyDescent="0.2">
      <c r="A2085" s="2">
        <v>43024</v>
      </c>
      <c r="B2085" s="3">
        <v>42.2</v>
      </c>
      <c r="C2085" s="1">
        <v>962206</v>
      </c>
      <c r="D2085" s="3">
        <v>1.00000000000051E-2</v>
      </c>
      <c r="E2085" s="3">
        <v>2.3702299123029499E-2</v>
      </c>
      <c r="F2085" s="3">
        <v>2.37032507205636E-2</v>
      </c>
      <c r="G2085" s="3">
        <v>45.667006999999998</v>
      </c>
      <c r="H2085" s="3">
        <v>1172.59809442767</v>
      </c>
      <c r="I2085" s="3">
        <v>42.1</v>
      </c>
      <c r="J2085" s="3">
        <v>42.58</v>
      </c>
      <c r="K2085" s="3">
        <v>41.95</v>
      </c>
      <c r="L2085" s="3">
        <v>1075.98334361714</v>
      </c>
    </row>
    <row r="2086" spans="1:12" ht="15" customHeight="1" x14ac:dyDescent="0.2">
      <c r="A2086" s="2">
        <v>43021</v>
      </c>
      <c r="B2086" s="3">
        <v>42.19</v>
      </c>
      <c r="C2086" s="1">
        <v>988282</v>
      </c>
      <c r="D2086" s="3">
        <v>0.149999999999998</v>
      </c>
      <c r="E2086" s="3">
        <v>0.35680304471930002</v>
      </c>
      <c r="F2086" s="3">
        <v>0.356801979132925</v>
      </c>
      <c r="G2086" s="3">
        <v>45.656185000000001</v>
      </c>
      <c r="H2086" s="3">
        <v>1172.2965187939101</v>
      </c>
      <c r="I2086" s="3">
        <v>42.18</v>
      </c>
      <c r="J2086" s="3">
        <v>42.82</v>
      </c>
      <c r="K2086" s="3">
        <v>42</v>
      </c>
      <c r="L2086" s="3">
        <v>1075.70467457837</v>
      </c>
    </row>
    <row r="2087" spans="1:12" ht="15" customHeight="1" x14ac:dyDescent="0.2">
      <c r="A2087" s="2">
        <v>43020</v>
      </c>
      <c r="B2087" s="3">
        <v>42.04</v>
      </c>
      <c r="C2087" s="1">
        <v>1067878</v>
      </c>
      <c r="D2087" s="3">
        <v>-0.219999999999998</v>
      </c>
      <c r="E2087" s="3">
        <v>-0.52058684335067795</v>
      </c>
      <c r="F2087" s="3">
        <v>-0.52058152624816501</v>
      </c>
      <c r="G2087" s="3">
        <v>45.493862</v>
      </c>
      <c r="H2087" s="3">
        <v>1167.7730793558501</v>
      </c>
      <c r="I2087" s="3">
        <v>41.98</v>
      </c>
      <c r="J2087" s="3">
        <v>42.2</v>
      </c>
      <c r="K2087" s="3">
        <v>41.01</v>
      </c>
      <c r="L2087" s="3">
        <v>1071.5246389967999</v>
      </c>
    </row>
    <row r="2088" spans="1:12" ht="15" customHeight="1" x14ac:dyDescent="0.2">
      <c r="A2088" s="2">
        <v>43019</v>
      </c>
      <c r="B2088" s="3">
        <v>42.26</v>
      </c>
      <c r="C2088" s="1">
        <v>1342225</v>
      </c>
      <c r="D2088" s="3">
        <v>-0.160000000000003</v>
      </c>
      <c r="E2088" s="3">
        <v>-0.377180575200386</v>
      </c>
      <c r="F2088" s="3">
        <v>-0.37718265603718898</v>
      </c>
      <c r="G2088" s="3">
        <v>45.731934000000003</v>
      </c>
      <c r="H2088" s="3">
        <v>1174.4074088957</v>
      </c>
      <c r="I2088" s="3">
        <v>42.41</v>
      </c>
      <c r="J2088" s="3">
        <v>42.9</v>
      </c>
      <c r="K2088" s="3">
        <v>42.13</v>
      </c>
      <c r="L2088" s="3">
        <v>1077.6553578497801</v>
      </c>
    </row>
    <row r="2089" spans="1:12" ht="15" customHeight="1" x14ac:dyDescent="0.2">
      <c r="A2089" s="2">
        <v>43018</v>
      </c>
      <c r="B2089" s="3">
        <v>42.42</v>
      </c>
      <c r="C2089" s="1">
        <v>1047983.99999999</v>
      </c>
      <c r="D2089" s="3">
        <v>0.56000000000000205</v>
      </c>
      <c r="E2089" s="3">
        <v>1.33779264214046</v>
      </c>
      <c r="F2089" s="3">
        <v>1.3377844616521499</v>
      </c>
      <c r="G2089" s="3">
        <v>45.905079999999998</v>
      </c>
      <c r="H2089" s="3">
        <v>1179.2324518344201</v>
      </c>
      <c r="I2089" s="3">
        <v>41.88</v>
      </c>
      <c r="J2089" s="3">
        <v>42.569600000000001</v>
      </c>
      <c r="K2089" s="3">
        <v>41.82</v>
      </c>
      <c r="L2089" s="3">
        <v>1082.11406247013</v>
      </c>
    </row>
    <row r="2090" spans="1:12" ht="15" customHeight="1" x14ac:dyDescent="0.2">
      <c r="A2090" s="2">
        <v>43017</v>
      </c>
      <c r="B2090" s="3">
        <v>41.86</v>
      </c>
      <c r="C2090" s="1">
        <v>1628507</v>
      </c>
      <c r="D2090" s="3">
        <v>0.53000000000000103</v>
      </c>
      <c r="E2090" s="3">
        <v>1.28236148076457</v>
      </c>
      <c r="F2090" s="3">
        <v>1.2823614645352599</v>
      </c>
      <c r="G2090" s="3">
        <v>45.299075999999999</v>
      </c>
      <c r="H2090" s="3">
        <v>1162.34499661723</v>
      </c>
      <c r="I2090" s="3">
        <v>41.75</v>
      </c>
      <c r="J2090" s="3">
        <v>42.39</v>
      </c>
      <c r="K2090" s="3">
        <v>41.73</v>
      </c>
      <c r="L2090" s="3">
        <v>1066.5085962989001</v>
      </c>
    </row>
    <row r="2091" spans="1:12" ht="15" customHeight="1" x14ac:dyDescent="0.2">
      <c r="A2091" s="2">
        <v>43014</v>
      </c>
      <c r="B2091" s="3">
        <v>41.33</v>
      </c>
      <c r="C2091" s="1">
        <v>1323405</v>
      </c>
      <c r="D2091" s="3">
        <v>-2.0000000000003099E-2</v>
      </c>
      <c r="E2091" s="3">
        <v>-4.8367593712217397E-2</v>
      </c>
      <c r="F2091" s="3">
        <v>-4.8360596992347203E-2</v>
      </c>
      <c r="G2091" s="3">
        <v>44.725532999999999</v>
      </c>
      <c r="H2091" s="3">
        <v>1146.3621289667999</v>
      </c>
      <c r="I2091" s="3">
        <v>41.43</v>
      </c>
      <c r="J2091" s="3">
        <v>41.83</v>
      </c>
      <c r="K2091" s="3">
        <v>41.27</v>
      </c>
      <c r="L2091" s="3">
        <v>1051.7391372439999</v>
      </c>
    </row>
    <row r="2092" spans="1:12" ht="15" customHeight="1" x14ac:dyDescent="0.2">
      <c r="A2092" s="2">
        <v>43013</v>
      </c>
      <c r="B2092" s="3">
        <v>41.35</v>
      </c>
      <c r="C2092" s="1">
        <v>1069538</v>
      </c>
      <c r="D2092" s="3">
        <v>0.46</v>
      </c>
      <c r="E2092" s="3">
        <v>1.12496943017852</v>
      </c>
      <c r="F2092" s="3">
        <v>1.1249671238346299</v>
      </c>
      <c r="G2092" s="3">
        <v>44.747172999999997</v>
      </c>
      <c r="H2092" s="3">
        <v>1146.9651687666999</v>
      </c>
      <c r="I2092" s="3">
        <v>40.909999999999997</v>
      </c>
      <c r="J2092" s="3">
        <v>41.42</v>
      </c>
      <c r="K2092" s="3">
        <v>40.869999999999997</v>
      </c>
      <c r="L2092" s="3">
        <v>1052.2964753215399</v>
      </c>
    </row>
    <row r="2093" spans="1:12" ht="15" customHeight="1" x14ac:dyDescent="0.2">
      <c r="A2093" s="2">
        <v>43012</v>
      </c>
      <c r="B2093" s="3">
        <v>40.89</v>
      </c>
      <c r="C2093" s="1">
        <v>1685874</v>
      </c>
      <c r="D2093" s="3">
        <v>-1.3999999999999899</v>
      </c>
      <c r="E2093" s="3">
        <v>-3.3104752896665799</v>
      </c>
      <c r="F2093" s="3">
        <v>-3.3104812202951401</v>
      </c>
      <c r="G2093" s="3">
        <v>44.249381999999997</v>
      </c>
      <c r="H2093" s="3">
        <v>1133.0932748187799</v>
      </c>
      <c r="I2093" s="3">
        <v>42.44</v>
      </c>
      <c r="J2093" s="3">
        <v>42.67</v>
      </c>
      <c r="K2093" s="3">
        <v>40.82</v>
      </c>
      <c r="L2093" s="3">
        <v>1039.47769953803</v>
      </c>
    </row>
    <row r="2094" spans="1:12" ht="15" customHeight="1" x14ac:dyDescent="0.2">
      <c r="A2094" s="2">
        <v>43011</v>
      </c>
      <c r="B2094" s="3">
        <v>42.29</v>
      </c>
      <c r="C2094" s="1">
        <v>1553059</v>
      </c>
      <c r="D2094" s="3">
        <v>-3.0000000000001099E-2</v>
      </c>
      <c r="E2094" s="3">
        <v>-7.0888468809071598E-2</v>
      </c>
      <c r="F2094" s="3">
        <v>-7.0884761614808903E-2</v>
      </c>
      <c r="G2094" s="3">
        <v>45.764403999999999</v>
      </c>
      <c r="H2094" s="3">
        <v>1175.31224726459</v>
      </c>
      <c r="I2094" s="3">
        <v>42.3</v>
      </c>
      <c r="J2094" s="3">
        <v>42.59</v>
      </c>
      <c r="K2094" s="3">
        <v>41.77</v>
      </c>
      <c r="L2094" s="3">
        <v>1078.49136496609</v>
      </c>
    </row>
    <row r="2095" spans="1:12" ht="15" customHeight="1" x14ac:dyDescent="0.2">
      <c r="A2095" s="2">
        <v>43010</v>
      </c>
      <c r="B2095" s="3">
        <v>42.32</v>
      </c>
      <c r="C2095" s="1">
        <v>1309071</v>
      </c>
      <c r="D2095" s="3">
        <v>0.20000000000000201</v>
      </c>
      <c r="E2095" s="3">
        <v>0.47483380816715198</v>
      </c>
      <c r="F2095" s="3">
        <v>0.47483971905224398</v>
      </c>
      <c r="G2095" s="3">
        <v>45.796866999999999</v>
      </c>
      <c r="H2095" s="3">
        <v>1176.2168905651599</v>
      </c>
      <c r="I2095" s="3">
        <v>42.31</v>
      </c>
      <c r="J2095" s="3">
        <v>42.51</v>
      </c>
      <c r="K2095" s="3">
        <v>41.85</v>
      </c>
      <c r="L2095" s="3">
        <v>1079.32737208241</v>
      </c>
    </row>
    <row r="2096" spans="1:12" ht="15" customHeight="1" x14ac:dyDescent="0.2">
      <c r="A2096" s="2">
        <v>43007</v>
      </c>
      <c r="B2096" s="3">
        <v>42.12</v>
      </c>
      <c r="C2096" s="1">
        <v>976206</v>
      </c>
      <c r="D2096" s="3">
        <v>0.189999999999997</v>
      </c>
      <c r="E2096" s="3">
        <v>0.453136179346524</v>
      </c>
      <c r="F2096" s="3">
        <v>0.45313232613017801</v>
      </c>
      <c r="G2096" s="3">
        <v>45.580432999999999</v>
      </c>
      <c r="H2096" s="3">
        <v>1170.1855450913999</v>
      </c>
      <c r="I2096" s="3">
        <v>41.99</v>
      </c>
      <c r="J2096" s="3">
        <v>42.41</v>
      </c>
      <c r="K2096" s="3">
        <v>41.67</v>
      </c>
      <c r="L2096" s="3">
        <v>1073.75399130697</v>
      </c>
    </row>
    <row r="2097" spans="1:12" ht="15" customHeight="1" x14ac:dyDescent="0.2">
      <c r="A2097" s="2">
        <v>43006</v>
      </c>
      <c r="B2097" s="3">
        <v>41.93</v>
      </c>
      <c r="C2097" s="1">
        <v>1271541</v>
      </c>
      <c r="D2097" s="3">
        <v>-0.27000000000000302</v>
      </c>
      <c r="E2097" s="3">
        <v>-0.63981042654028797</v>
      </c>
      <c r="F2097" s="3">
        <v>-0.63980983032235705</v>
      </c>
      <c r="G2097" s="3">
        <v>45.374825000000001</v>
      </c>
      <c r="H2097" s="3">
        <v>1164.4558867190201</v>
      </c>
      <c r="I2097" s="3">
        <v>42.17</v>
      </c>
      <c r="J2097" s="3">
        <v>42.77</v>
      </c>
      <c r="K2097" s="3">
        <v>41.68</v>
      </c>
      <c r="L2097" s="3">
        <v>1068.4592795703099</v>
      </c>
    </row>
    <row r="2098" spans="1:12" ht="15" customHeight="1" x14ac:dyDescent="0.2">
      <c r="A2098" s="2">
        <v>43005</v>
      </c>
      <c r="B2098" s="3">
        <v>42.2</v>
      </c>
      <c r="C2098" s="1">
        <v>1375519</v>
      </c>
      <c r="D2098" s="3">
        <v>0.85000000000000098</v>
      </c>
      <c r="E2098" s="3">
        <v>2.0556227327690402</v>
      </c>
      <c r="F2098" s="3">
        <v>2.05562483243355</v>
      </c>
      <c r="G2098" s="3">
        <v>45.667006999999998</v>
      </c>
      <c r="H2098" s="3">
        <v>1172.59809442767</v>
      </c>
      <c r="I2098" s="3">
        <v>41.66</v>
      </c>
      <c r="J2098" s="3">
        <v>42.4</v>
      </c>
      <c r="K2098" s="3">
        <v>41.37</v>
      </c>
      <c r="L2098" s="3">
        <v>1075.98334361714</v>
      </c>
    </row>
    <row r="2099" spans="1:12" ht="15" customHeight="1" x14ac:dyDescent="0.2">
      <c r="A2099" s="2">
        <v>43004</v>
      </c>
      <c r="B2099" s="3">
        <v>41.35</v>
      </c>
      <c r="C2099" s="1">
        <v>1729153</v>
      </c>
      <c r="D2099" s="3">
        <v>-0.25</v>
      </c>
      <c r="E2099" s="3">
        <v>-0.60096153846154099</v>
      </c>
      <c r="F2099" s="3">
        <v>-0.60095682343682599</v>
      </c>
      <c r="G2099" s="3">
        <v>44.747172999999997</v>
      </c>
      <c r="H2099" s="3">
        <v>1146.9651687666999</v>
      </c>
      <c r="I2099" s="3">
        <v>40.520000000000003</v>
      </c>
      <c r="J2099" s="3">
        <v>41.54</v>
      </c>
      <c r="K2099" s="3">
        <v>40.301000000000002</v>
      </c>
      <c r="L2099" s="3">
        <v>1052.2964753215399</v>
      </c>
    </row>
    <row r="2100" spans="1:12" ht="15" customHeight="1" x14ac:dyDescent="0.2">
      <c r="A2100" s="2">
        <v>43003</v>
      </c>
      <c r="B2100" s="3">
        <v>41.6</v>
      </c>
      <c r="C2100" s="1">
        <v>1035253.99999999</v>
      </c>
      <c r="D2100" s="3">
        <v>7.9999999999998295E-2</v>
      </c>
      <c r="E2100" s="3">
        <v>0.19267822736031001</v>
      </c>
      <c r="F2100" s="3">
        <v>0.19267260968673899</v>
      </c>
      <c r="G2100" s="3">
        <v>45.017710000000001</v>
      </c>
      <c r="H2100" s="3">
        <v>1154.50419734092</v>
      </c>
      <c r="I2100" s="3">
        <v>41.57</v>
      </c>
      <c r="J2100" s="3">
        <v>42.01</v>
      </c>
      <c r="K2100" s="3">
        <v>41.32</v>
      </c>
      <c r="L2100" s="3">
        <v>1059.26320129083</v>
      </c>
    </row>
    <row r="2101" spans="1:12" ht="15" customHeight="1" x14ac:dyDescent="0.2">
      <c r="A2101" s="2">
        <v>43000</v>
      </c>
      <c r="B2101" s="3">
        <v>41.52</v>
      </c>
      <c r="C2101" s="1">
        <v>1017040</v>
      </c>
      <c r="D2101" s="3">
        <v>0.41000000000000297</v>
      </c>
      <c r="E2101" s="3">
        <v>0.99732425200682595</v>
      </c>
      <c r="F2101" s="3">
        <v>0.99732155964768998</v>
      </c>
      <c r="G2101" s="3">
        <v>44.931139999999999</v>
      </c>
      <c r="H2101" s="3">
        <v>1152.09175947228</v>
      </c>
      <c r="I2101" s="3">
        <v>41.18</v>
      </c>
      <c r="J2101" s="3">
        <v>41.57</v>
      </c>
      <c r="K2101" s="3">
        <v>41.04</v>
      </c>
      <c r="L2101" s="3">
        <v>1057.03384898066</v>
      </c>
    </row>
    <row r="2102" spans="1:12" ht="15" customHeight="1" x14ac:dyDescent="0.2">
      <c r="A2102" s="2">
        <v>42999</v>
      </c>
      <c r="B2102" s="3">
        <v>41.11</v>
      </c>
      <c r="C2102" s="1">
        <v>1326913</v>
      </c>
      <c r="D2102" s="3">
        <v>-0.71999999999999797</v>
      </c>
      <c r="E2102" s="3">
        <v>-1.7212526894573199</v>
      </c>
      <c r="F2102" s="3">
        <v>-1.72125977262757</v>
      </c>
      <c r="G2102" s="3">
        <v>44.487456999999999</v>
      </c>
      <c r="H2102" s="3">
        <v>1139.7276879593401</v>
      </c>
      <c r="I2102" s="3">
        <v>41.86</v>
      </c>
      <c r="J2102" s="3">
        <v>41.87</v>
      </c>
      <c r="K2102" s="3">
        <v>41.01</v>
      </c>
      <c r="L2102" s="3">
        <v>1045.60841839101</v>
      </c>
    </row>
    <row r="2103" spans="1:12" ht="15" customHeight="1" x14ac:dyDescent="0.2">
      <c r="A2103" s="2">
        <v>42998</v>
      </c>
      <c r="B2103" s="3">
        <v>41.83</v>
      </c>
      <c r="C2103" s="1">
        <v>1682562</v>
      </c>
      <c r="D2103" s="3">
        <v>1.1199999999999899</v>
      </c>
      <c r="E2103" s="3">
        <v>2.7511667894866099</v>
      </c>
      <c r="F2103" s="3">
        <v>2.7511797181097402</v>
      </c>
      <c r="G2103" s="3">
        <v>45.266613</v>
      </c>
      <c r="H2103" s="3">
        <v>1161.4403533166701</v>
      </c>
      <c r="I2103" s="3">
        <v>40.770000000000003</v>
      </c>
      <c r="J2103" s="3">
        <v>41.9</v>
      </c>
      <c r="K2103" s="3">
        <v>40.74</v>
      </c>
      <c r="L2103" s="3">
        <v>1065.6725891825899</v>
      </c>
    </row>
    <row r="2104" spans="1:12" ht="15" customHeight="1" x14ac:dyDescent="0.2">
      <c r="A2104" s="2">
        <v>42997</v>
      </c>
      <c r="B2104" s="3">
        <v>40.71</v>
      </c>
      <c r="C2104" s="1">
        <v>1124398</v>
      </c>
      <c r="D2104" s="3">
        <v>0.160000000000003</v>
      </c>
      <c r="E2104" s="3">
        <v>0.39457459926017702</v>
      </c>
      <c r="F2104" s="3">
        <v>0.39457449978803599</v>
      </c>
      <c r="G2104" s="3">
        <v>44.054592</v>
      </c>
      <c r="H2104" s="3">
        <v>1127.6650806125399</v>
      </c>
      <c r="I2104" s="3">
        <v>40.68</v>
      </c>
      <c r="J2104" s="3">
        <v>40.83</v>
      </c>
      <c r="K2104" s="3">
        <v>40.0672</v>
      </c>
      <c r="L2104" s="3">
        <v>1034.46165684014</v>
      </c>
    </row>
    <row r="2105" spans="1:12" ht="15" customHeight="1" x14ac:dyDescent="0.2">
      <c r="A2105" s="2">
        <v>42996</v>
      </c>
      <c r="B2105" s="3">
        <v>40.549999999999997</v>
      </c>
      <c r="C2105" s="1">
        <v>1226088</v>
      </c>
      <c r="D2105" s="3">
        <v>-0.20000000000000201</v>
      </c>
      <c r="E2105" s="3">
        <v>-0.49079754601227799</v>
      </c>
      <c r="F2105" s="3">
        <v>-0.49080137185734102</v>
      </c>
      <c r="G2105" s="3">
        <v>43.881447000000001</v>
      </c>
      <c r="H2105" s="3">
        <v>1122.8400655407199</v>
      </c>
      <c r="I2105" s="3">
        <v>40.93</v>
      </c>
      <c r="J2105" s="3">
        <v>41.07</v>
      </c>
      <c r="K2105" s="3">
        <v>40.42</v>
      </c>
      <c r="L2105" s="3">
        <v>1030.0029522197899</v>
      </c>
    </row>
    <row r="2106" spans="1:12" ht="15" customHeight="1" x14ac:dyDescent="0.2">
      <c r="A2106" s="2">
        <v>42993</v>
      </c>
      <c r="B2106" s="3">
        <v>40.75</v>
      </c>
      <c r="C2106" s="1">
        <v>1570284</v>
      </c>
      <c r="D2106" s="3">
        <v>0.52000000000000302</v>
      </c>
      <c r="E2106" s="3">
        <v>1.2925677355207501</v>
      </c>
      <c r="F2106" s="3">
        <v>1.2925644467598201</v>
      </c>
      <c r="G2106" s="3">
        <v>44.097880000000004</v>
      </c>
      <c r="H2106" s="3">
        <v>1128.87138314757</v>
      </c>
      <c r="I2106" s="3">
        <v>40.17</v>
      </c>
      <c r="J2106" s="3">
        <v>40.83</v>
      </c>
      <c r="K2106" s="3">
        <v>40.01</v>
      </c>
      <c r="L2106" s="3">
        <v>1035.5763329952299</v>
      </c>
    </row>
    <row r="2107" spans="1:12" ht="15" customHeight="1" x14ac:dyDescent="0.2">
      <c r="A2107" s="2">
        <v>42992</v>
      </c>
      <c r="B2107" s="3">
        <v>40.229999999999997</v>
      </c>
      <c r="C2107" s="1">
        <v>1654534</v>
      </c>
      <c r="D2107" s="3">
        <v>-0.46</v>
      </c>
      <c r="E2107" s="3">
        <v>-1.1304988940771601</v>
      </c>
      <c r="F2107" s="3">
        <v>-1.1304943230013</v>
      </c>
      <c r="G2107" s="3">
        <v>43.535159999999998</v>
      </c>
      <c r="H2107" s="3">
        <v>1113.19011899781</v>
      </c>
      <c r="I2107" s="3">
        <v>40.869999999999997</v>
      </c>
      <c r="J2107" s="3">
        <v>40.869999999999997</v>
      </c>
      <c r="K2107" s="3">
        <v>39.78</v>
      </c>
      <c r="L2107" s="3">
        <v>1021.08554297909</v>
      </c>
    </row>
    <row r="2108" spans="1:12" ht="15" customHeight="1" x14ac:dyDescent="0.2">
      <c r="A2108" s="2">
        <v>42991</v>
      </c>
      <c r="B2108" s="3">
        <v>40.69</v>
      </c>
      <c r="C2108" s="1">
        <v>2378724</v>
      </c>
      <c r="D2108" s="3">
        <v>0.53000000000000103</v>
      </c>
      <c r="E2108" s="3">
        <v>1.3197211155378401</v>
      </c>
      <c r="F2108" s="3">
        <v>1.31971885120938</v>
      </c>
      <c r="G2108" s="3">
        <v>44.03295</v>
      </c>
      <c r="H2108" s="3">
        <v>1127.06198507883</v>
      </c>
      <c r="I2108" s="3">
        <v>40.31</v>
      </c>
      <c r="J2108" s="3">
        <v>41.75</v>
      </c>
      <c r="K2108" s="3">
        <v>40.06</v>
      </c>
      <c r="L2108" s="3">
        <v>1033.9043187626</v>
      </c>
    </row>
    <row r="2109" spans="1:12" ht="15" customHeight="1" x14ac:dyDescent="0.2">
      <c r="A2109" s="2">
        <v>42990</v>
      </c>
      <c r="B2109" s="3">
        <v>40.159999999999997</v>
      </c>
      <c r="C2109" s="1">
        <v>2461745</v>
      </c>
      <c r="D2109" s="3">
        <v>1.28999999999999</v>
      </c>
      <c r="E2109" s="3">
        <v>3.3187548237715498</v>
      </c>
      <c r="F2109" s="3">
        <v>3.3187622414847202</v>
      </c>
      <c r="G2109" s="3">
        <v>43.459408000000003</v>
      </c>
      <c r="H2109" s="3">
        <v>1111.0791452952999</v>
      </c>
      <c r="I2109" s="3">
        <v>38.72</v>
      </c>
      <c r="J2109" s="3">
        <v>40.422499999999999</v>
      </c>
      <c r="K2109" s="3">
        <v>38.5</v>
      </c>
      <c r="L2109" s="3">
        <v>1019.13485970769</v>
      </c>
    </row>
    <row r="2110" spans="1:12" ht="15" customHeight="1" x14ac:dyDescent="0.2">
      <c r="A2110" s="2">
        <v>42989</v>
      </c>
      <c r="B2110" s="3">
        <v>38.869999999999997</v>
      </c>
      <c r="C2110" s="1">
        <v>1329583</v>
      </c>
      <c r="D2110" s="3">
        <v>-0.20000000000000201</v>
      </c>
      <c r="E2110" s="3">
        <v>-0.51190171487075498</v>
      </c>
      <c r="F2110" s="3">
        <v>-0.51191042316177604</v>
      </c>
      <c r="G2110" s="3">
        <v>42.063423</v>
      </c>
      <c r="H2110" s="3">
        <v>1072.17736548631</v>
      </c>
      <c r="I2110" s="3">
        <v>39.43</v>
      </c>
      <c r="J2110" s="3">
        <v>39.85</v>
      </c>
      <c r="K2110" s="3">
        <v>38.78</v>
      </c>
      <c r="L2110" s="3">
        <v>983.18655370612805</v>
      </c>
    </row>
    <row r="2111" spans="1:12" ht="15" customHeight="1" x14ac:dyDescent="0.2">
      <c r="A2111" s="2">
        <v>42986</v>
      </c>
      <c r="B2111" s="3">
        <v>39.07</v>
      </c>
      <c r="C2111" s="1">
        <v>1757582</v>
      </c>
      <c r="D2111" s="3">
        <v>0.32</v>
      </c>
      <c r="E2111" s="3">
        <v>0.82580645161289801</v>
      </c>
      <c r="F2111" s="3">
        <v>0.82580859386467398</v>
      </c>
      <c r="G2111" s="3">
        <v>42.279857999999997</v>
      </c>
      <c r="H2111" s="3">
        <v>1078.2087388269699</v>
      </c>
      <c r="I2111" s="3">
        <v>38.450000000000003</v>
      </c>
      <c r="J2111" s="3">
        <v>39.65</v>
      </c>
      <c r="K2111" s="3">
        <v>38.450000000000003</v>
      </c>
      <c r="L2111" s="3">
        <v>988.75993448156498</v>
      </c>
    </row>
    <row r="2112" spans="1:12" ht="15" customHeight="1" x14ac:dyDescent="0.2">
      <c r="A2112" s="2">
        <v>42985</v>
      </c>
      <c r="B2112" s="3">
        <v>38.75</v>
      </c>
      <c r="C2112" s="1">
        <v>2409271</v>
      </c>
      <c r="D2112" s="3">
        <v>-0.67000000000000104</v>
      </c>
      <c r="E2112" s="3">
        <v>-1.6996448503297801</v>
      </c>
      <c r="F2112" s="3">
        <v>-1.6996404711733499</v>
      </c>
      <c r="G2112" s="3">
        <v>41.933566999999996</v>
      </c>
      <c r="H2112" s="3">
        <v>1068.5586808164301</v>
      </c>
      <c r="I2112" s="3">
        <v>39.58</v>
      </c>
      <c r="J2112" s="3">
        <v>39.799999999999997</v>
      </c>
      <c r="K2112" s="3">
        <v>38.340000000000003</v>
      </c>
      <c r="L2112" s="3">
        <v>979.84252524086605</v>
      </c>
    </row>
    <row r="2113" spans="1:12" ht="15" customHeight="1" x14ac:dyDescent="0.2">
      <c r="A2113" s="2">
        <v>42984</v>
      </c>
      <c r="B2113" s="3">
        <v>39.42</v>
      </c>
      <c r="C2113" s="1">
        <v>1804641</v>
      </c>
      <c r="D2113" s="3">
        <v>-1.1199999999999899</v>
      </c>
      <c r="E2113" s="3">
        <v>-2.7627035027133502</v>
      </c>
      <c r="F2113" s="3">
        <v>-2.76271391589315</v>
      </c>
      <c r="G2113" s="3">
        <v>42.658610000000003</v>
      </c>
      <c r="H2113" s="3">
        <v>1088.76338440426</v>
      </c>
      <c r="I2113" s="3">
        <v>40.6</v>
      </c>
      <c r="J2113" s="3">
        <v>40.6</v>
      </c>
      <c r="K2113" s="3">
        <v>39.130000000000003</v>
      </c>
      <c r="L2113" s="3">
        <v>998.51335083857896</v>
      </c>
    </row>
    <row r="2114" spans="1:12" ht="15" customHeight="1" x14ac:dyDescent="0.2">
      <c r="A2114" s="2">
        <v>42983</v>
      </c>
      <c r="B2114" s="3">
        <v>40.54</v>
      </c>
      <c r="C2114" s="1">
        <v>1032608</v>
      </c>
      <c r="D2114" s="3">
        <v>-0.77000000000000302</v>
      </c>
      <c r="E2114" s="3">
        <v>-1.8639554587267</v>
      </c>
      <c r="F2114" s="3">
        <v>-1.8639497307258801</v>
      </c>
      <c r="G2114" s="3">
        <v>43.870629999999998</v>
      </c>
      <c r="H2114" s="3">
        <v>1122.5386292414801</v>
      </c>
      <c r="I2114" s="3">
        <v>41.5</v>
      </c>
      <c r="J2114" s="3">
        <v>41.64</v>
      </c>
      <c r="K2114" s="3">
        <v>40.21</v>
      </c>
      <c r="L2114" s="3">
        <v>1029.7242831810199</v>
      </c>
    </row>
    <row r="2115" spans="1:12" ht="15" customHeight="1" x14ac:dyDescent="0.2">
      <c r="A2115" s="2">
        <v>42979</v>
      </c>
      <c r="B2115" s="3">
        <v>41.31</v>
      </c>
      <c r="C2115" s="1">
        <v>826110</v>
      </c>
      <c r="D2115" s="3">
        <v>-0.119999999999997</v>
      </c>
      <c r="E2115" s="3">
        <v>-0.28964518464880101</v>
      </c>
      <c r="F2115" s="3">
        <v>-0.28964787864713598</v>
      </c>
      <c r="G2115" s="3">
        <v>44.703887999999999</v>
      </c>
      <c r="H2115" s="3">
        <v>1145.75894983238</v>
      </c>
      <c r="I2115" s="3">
        <v>41.54</v>
      </c>
      <c r="J2115" s="3">
        <v>41.67</v>
      </c>
      <c r="K2115" s="3">
        <v>41.18</v>
      </c>
      <c r="L2115" s="3">
        <v>1051.18179916645</v>
      </c>
    </row>
    <row r="2116" spans="1:12" ht="15" customHeight="1" x14ac:dyDescent="0.2">
      <c r="A2116" s="2">
        <v>42978</v>
      </c>
      <c r="B2116" s="3">
        <v>41.43</v>
      </c>
      <c r="C2116" s="1">
        <v>982830</v>
      </c>
      <c r="D2116" s="3">
        <v>0.56000000000000205</v>
      </c>
      <c r="E2116" s="3">
        <v>1.37019818938097</v>
      </c>
      <c r="F2116" s="3">
        <v>1.37020576024498</v>
      </c>
      <c r="G2116" s="3">
        <v>44.833748</v>
      </c>
      <c r="H2116" s="3">
        <v>1149.3777459698699</v>
      </c>
      <c r="I2116" s="3">
        <v>41.04</v>
      </c>
      <c r="J2116" s="3">
        <v>41.64</v>
      </c>
      <c r="K2116" s="3">
        <v>40.909999999999997</v>
      </c>
      <c r="L2116" s="3">
        <v>1054.5258276317099</v>
      </c>
    </row>
    <row r="2117" spans="1:12" ht="15" customHeight="1" x14ac:dyDescent="0.2">
      <c r="A2117" s="2">
        <v>42977</v>
      </c>
      <c r="B2117" s="3">
        <v>40.869999999999997</v>
      </c>
      <c r="C2117" s="1">
        <v>1291424</v>
      </c>
      <c r="D2117" s="3">
        <v>0.489999999999994</v>
      </c>
      <c r="E2117" s="3">
        <v>1.2134720158494201</v>
      </c>
      <c r="F2117" s="3">
        <v>1.2134657733032299</v>
      </c>
      <c r="G2117" s="3">
        <v>44.227736999999998</v>
      </c>
      <c r="H2117" s="3">
        <v>1132.4900956843501</v>
      </c>
      <c r="I2117" s="3">
        <v>40.33</v>
      </c>
      <c r="J2117" s="3">
        <v>41.3</v>
      </c>
      <c r="K2117" s="3">
        <v>40.22</v>
      </c>
      <c r="L2117" s="3">
        <v>1038.9203614604901</v>
      </c>
    </row>
    <row r="2118" spans="1:12" ht="15" customHeight="1" x14ac:dyDescent="0.2">
      <c r="A2118" s="2">
        <v>42976</v>
      </c>
      <c r="B2118" s="3">
        <v>40.380000000000003</v>
      </c>
      <c r="C2118" s="1">
        <v>1260567</v>
      </c>
      <c r="D2118" s="3">
        <v>-0.989999999999994</v>
      </c>
      <c r="E2118" s="3">
        <v>-2.3930384336475501</v>
      </c>
      <c r="F2118" s="3">
        <v>-2.3930383866735099</v>
      </c>
      <c r="G2118" s="3">
        <v>43.697482999999998</v>
      </c>
      <c r="H2118" s="3">
        <v>1117.71355843586</v>
      </c>
      <c r="I2118" s="3">
        <v>41.12</v>
      </c>
      <c r="J2118" s="3">
        <v>41.35</v>
      </c>
      <c r="K2118" s="3">
        <v>40.369999999999997</v>
      </c>
      <c r="L2118" s="3">
        <v>1025.2655785606701</v>
      </c>
    </row>
    <row r="2119" spans="1:12" ht="15" customHeight="1" x14ac:dyDescent="0.2">
      <c r="A2119" s="2">
        <v>42975</v>
      </c>
      <c r="B2119" s="3">
        <v>41.37</v>
      </c>
      <c r="C2119" s="1">
        <v>964499</v>
      </c>
      <c r="D2119" s="3">
        <v>-0.260000000000005</v>
      </c>
      <c r="E2119" s="3">
        <v>-0.62454960365122503</v>
      </c>
      <c r="F2119" s="3">
        <v>-0.62455244351963202</v>
      </c>
      <c r="G2119" s="3">
        <v>44.768818000000003</v>
      </c>
      <c r="H2119" s="3">
        <v>1147.56834790112</v>
      </c>
      <c r="I2119" s="3">
        <v>41.66</v>
      </c>
      <c r="J2119" s="3">
        <v>42.397500000000001</v>
      </c>
      <c r="K2119" s="3">
        <v>41.28</v>
      </c>
      <c r="L2119" s="3">
        <v>1052.8538133990801</v>
      </c>
    </row>
    <row r="2120" spans="1:12" ht="15" customHeight="1" x14ac:dyDescent="0.2">
      <c r="A2120" s="2">
        <v>42972</v>
      </c>
      <c r="B2120" s="3">
        <v>41.63</v>
      </c>
      <c r="C2120" s="1">
        <v>976674</v>
      </c>
      <c r="D2120" s="3">
        <v>0.59000000000000297</v>
      </c>
      <c r="E2120" s="3">
        <v>1.43762183235869</v>
      </c>
      <c r="F2120" s="3">
        <v>1.4376277605194301</v>
      </c>
      <c r="G2120" s="3">
        <v>45.050179999999997</v>
      </c>
      <c r="H2120" s="3">
        <v>1155.40903570982</v>
      </c>
      <c r="I2120" s="3">
        <v>41.3</v>
      </c>
      <c r="J2120" s="3">
        <v>42.02</v>
      </c>
      <c r="K2120" s="3">
        <v>41.1</v>
      </c>
      <c r="L2120" s="3">
        <v>1060.0992084071499</v>
      </c>
    </row>
    <row r="2121" spans="1:12" ht="15" customHeight="1" x14ac:dyDescent="0.2">
      <c r="A2121" s="2">
        <v>42971</v>
      </c>
      <c r="B2121" s="3">
        <v>41.04</v>
      </c>
      <c r="C2121" s="1">
        <v>1058019</v>
      </c>
      <c r="D2121" s="3">
        <v>-0.27000000000000302</v>
      </c>
      <c r="E2121" s="3">
        <v>-0.65359477124183796</v>
      </c>
      <c r="F2121" s="3">
        <v>-0.65359639412124704</v>
      </c>
      <c r="G2121" s="3">
        <v>44.411704999999998</v>
      </c>
      <c r="H2121" s="3">
        <v>1137.6167142568299</v>
      </c>
      <c r="I2121" s="3">
        <v>41.5</v>
      </c>
      <c r="J2121" s="3">
        <v>41.776699999999998</v>
      </c>
      <c r="K2121" s="3">
        <v>40.96</v>
      </c>
      <c r="L2121" s="3">
        <v>1043.6577351196099</v>
      </c>
    </row>
    <row r="2122" spans="1:12" ht="15" customHeight="1" x14ac:dyDescent="0.2">
      <c r="A2122" s="2">
        <v>42970</v>
      </c>
      <c r="B2122" s="3">
        <v>41.31</v>
      </c>
      <c r="C2122" s="1">
        <v>932750</v>
      </c>
      <c r="D2122" s="3">
        <v>-0.68999999999999695</v>
      </c>
      <c r="E2122" s="3">
        <v>-1.6428571428571299</v>
      </c>
      <c r="F2122" s="3">
        <v>-1.6428592314680699</v>
      </c>
      <c r="G2122" s="3">
        <v>44.703887999999999</v>
      </c>
      <c r="H2122" s="3">
        <v>1145.75894983238</v>
      </c>
      <c r="I2122" s="3">
        <v>41.85</v>
      </c>
      <c r="J2122" s="3">
        <v>41.98</v>
      </c>
      <c r="K2122" s="3">
        <v>41.24</v>
      </c>
      <c r="L2122" s="3">
        <v>1051.18179916645</v>
      </c>
    </row>
    <row r="2123" spans="1:12" ht="15" customHeight="1" x14ac:dyDescent="0.2">
      <c r="A2123" s="2">
        <v>42969</v>
      </c>
      <c r="B2123" s="3">
        <v>42</v>
      </c>
      <c r="C2123" s="1">
        <v>997375</v>
      </c>
      <c r="D2123" s="3">
        <v>0.189999999999997</v>
      </c>
      <c r="E2123" s="3">
        <v>0.45443673762257603</v>
      </c>
      <c r="F2123" s="3">
        <v>0.45443062510595</v>
      </c>
      <c r="G2123" s="3">
        <v>45.450577000000003</v>
      </c>
      <c r="H2123" s="3">
        <v>1166.56686042153</v>
      </c>
      <c r="I2123" s="3">
        <v>41.8</v>
      </c>
      <c r="J2123" s="3">
        <v>42.12</v>
      </c>
      <c r="K2123" s="3">
        <v>41.76</v>
      </c>
      <c r="L2123" s="3">
        <v>1070.40996284171</v>
      </c>
    </row>
    <row r="2124" spans="1:12" ht="15" customHeight="1" x14ac:dyDescent="0.2">
      <c r="A2124" s="2">
        <v>42968</v>
      </c>
      <c r="B2124" s="3">
        <v>41.81</v>
      </c>
      <c r="C2124" s="1">
        <v>1503180</v>
      </c>
      <c r="D2124" s="3">
        <v>-1.07</v>
      </c>
      <c r="E2124" s="3">
        <v>-2.4953358208955199</v>
      </c>
      <c r="F2124" s="3">
        <v>-2.4953281988524898</v>
      </c>
      <c r="G2124" s="3">
        <v>45.244970000000002</v>
      </c>
      <c r="H2124" s="3">
        <v>1160.8372299160501</v>
      </c>
      <c r="I2124" s="3">
        <v>42.78</v>
      </c>
      <c r="J2124" s="3">
        <v>42.865000000000002</v>
      </c>
      <c r="K2124" s="3">
        <v>41.78</v>
      </c>
      <c r="L2124" s="3">
        <v>1065.11525110504</v>
      </c>
    </row>
    <row r="2125" spans="1:12" ht="15" customHeight="1" x14ac:dyDescent="0.2">
      <c r="A2125" s="2">
        <v>42965</v>
      </c>
      <c r="B2125" s="3">
        <v>42.88</v>
      </c>
      <c r="C2125" s="1">
        <v>1360456</v>
      </c>
      <c r="D2125" s="3">
        <v>-0.47999999999999599</v>
      </c>
      <c r="E2125" s="3">
        <v>-1.1070110701106901</v>
      </c>
      <c r="F2125" s="3">
        <v>-1.10701284740671</v>
      </c>
      <c r="G2125" s="3">
        <v>46.402873999999997</v>
      </c>
      <c r="H2125" s="3">
        <v>1193.1044293830601</v>
      </c>
      <c r="I2125" s="3">
        <v>43.32</v>
      </c>
      <c r="J2125" s="3">
        <v>43.32</v>
      </c>
      <c r="K2125" s="3">
        <v>42.23</v>
      </c>
      <c r="L2125" s="3">
        <v>1094.9328382536301</v>
      </c>
    </row>
    <row r="2126" spans="1:12" ht="15" customHeight="1" x14ac:dyDescent="0.2">
      <c r="A2126" s="2">
        <v>42964</v>
      </c>
      <c r="B2126" s="3">
        <v>43.36</v>
      </c>
      <c r="C2126" s="1">
        <v>920730</v>
      </c>
      <c r="D2126" s="3">
        <v>-0.78999999999999904</v>
      </c>
      <c r="E2126" s="3">
        <v>-1.7893544733861799</v>
      </c>
      <c r="F2126" s="3">
        <v>-1.78935506787817</v>
      </c>
      <c r="G2126" s="3">
        <v>46.922310000000003</v>
      </c>
      <c r="H2126" s="3">
        <v>1207.5795024654101</v>
      </c>
      <c r="I2126" s="3">
        <v>43.97</v>
      </c>
      <c r="J2126" s="3">
        <v>44.344999999999999</v>
      </c>
      <c r="K2126" s="3">
        <v>43.31</v>
      </c>
      <c r="L2126" s="3">
        <v>1108.3089521146801</v>
      </c>
    </row>
    <row r="2127" spans="1:12" ht="15" customHeight="1" x14ac:dyDescent="0.2">
      <c r="A2127" s="2">
        <v>42963</v>
      </c>
      <c r="B2127" s="3">
        <v>44.15</v>
      </c>
      <c r="C2127" s="1">
        <v>549983</v>
      </c>
      <c r="D2127" s="3">
        <v>3.9999999999999099E-2</v>
      </c>
      <c r="E2127" s="3">
        <v>9.0682384946716404E-2</v>
      </c>
      <c r="F2127" s="3">
        <v>9.0677637479252796E-2</v>
      </c>
      <c r="G2127" s="3">
        <v>47.777214000000001</v>
      </c>
      <c r="H2127" s="3">
        <v>1231.4030300576301</v>
      </c>
      <c r="I2127" s="3">
        <v>44.05</v>
      </c>
      <c r="J2127" s="3">
        <v>44.63</v>
      </c>
      <c r="K2127" s="3">
        <v>44.05</v>
      </c>
      <c r="L2127" s="3">
        <v>1130.3238061776501</v>
      </c>
    </row>
    <row r="2128" spans="1:12" ht="15" customHeight="1" x14ac:dyDescent="0.2">
      <c r="A2128" s="2">
        <v>42962</v>
      </c>
      <c r="B2128" s="3">
        <v>44.11</v>
      </c>
      <c r="C2128" s="1">
        <v>1061827</v>
      </c>
      <c r="D2128" s="3">
        <v>-0.85000000000000098</v>
      </c>
      <c r="E2128" s="3">
        <v>-1.89056939501779</v>
      </c>
      <c r="F2128" s="3">
        <v>-1.89056303151081</v>
      </c>
      <c r="G2128" s="3">
        <v>47.733930000000001</v>
      </c>
      <c r="H2128" s="3">
        <v>1230.1968389902099</v>
      </c>
      <c r="I2128" s="3">
        <v>44.94</v>
      </c>
      <c r="J2128" s="3">
        <v>45.174999999999997</v>
      </c>
      <c r="K2128" s="3">
        <v>44.05</v>
      </c>
      <c r="L2128" s="3">
        <v>1129.20913002257</v>
      </c>
    </row>
    <row r="2129" spans="1:12" ht="15" customHeight="1" x14ac:dyDescent="0.2">
      <c r="A2129" s="2">
        <v>42961</v>
      </c>
      <c r="B2129" s="3">
        <v>44.96</v>
      </c>
      <c r="C2129" s="1">
        <v>1118228</v>
      </c>
      <c r="D2129" s="3">
        <v>0.160000000000003</v>
      </c>
      <c r="E2129" s="3">
        <v>0.35714285714285499</v>
      </c>
      <c r="F2129" s="3">
        <v>1.00446523566266</v>
      </c>
      <c r="G2129" s="3">
        <v>48.653759999999998</v>
      </c>
      <c r="H2129" s="3">
        <v>1255.8296531835599</v>
      </c>
      <c r="I2129" s="3">
        <v>44.88</v>
      </c>
      <c r="J2129" s="3">
        <v>45.19</v>
      </c>
      <c r="K2129" s="3">
        <v>44.53</v>
      </c>
      <c r="L2129" s="3">
        <v>1152.8959983181701</v>
      </c>
    </row>
    <row r="2130" spans="1:12" ht="15" customHeight="1" x14ac:dyDescent="0.2">
      <c r="A2130" s="2">
        <v>42958</v>
      </c>
      <c r="B2130" s="3">
        <v>44.8</v>
      </c>
      <c r="C2130" s="1">
        <v>1090284</v>
      </c>
      <c r="D2130" s="3">
        <v>-0.14000000000000001</v>
      </c>
      <c r="E2130" s="3">
        <v>-0.31152647975077802</v>
      </c>
      <c r="F2130" s="3">
        <v>-0.31152448115123699</v>
      </c>
      <c r="G2130" s="3">
        <v>48.169910000000002</v>
      </c>
      <c r="H2130" s="3">
        <v>1242.3462517425801</v>
      </c>
      <c r="I2130" s="3">
        <v>44.83</v>
      </c>
      <c r="J2130" s="3">
        <v>45.08</v>
      </c>
      <c r="K2130" s="3">
        <v>44.49</v>
      </c>
      <c r="L2130" s="3">
        <v>1148.43729369782</v>
      </c>
    </row>
    <row r="2131" spans="1:12" ht="15" customHeight="1" x14ac:dyDescent="0.2">
      <c r="A2131" s="2">
        <v>42957</v>
      </c>
      <c r="B2131" s="3">
        <v>44.94</v>
      </c>
      <c r="C2131" s="1">
        <v>961415</v>
      </c>
      <c r="D2131" s="3"/>
      <c r="E2131" s="3"/>
      <c r="F2131" s="3"/>
      <c r="G2131" s="3">
        <v>48.320439999999998</v>
      </c>
      <c r="H2131" s="3">
        <v>1246.54105678321</v>
      </c>
      <c r="I2131" s="3">
        <v>44.94</v>
      </c>
      <c r="J2131" s="3">
        <v>45.21</v>
      </c>
      <c r="K2131" s="3">
        <v>44.77</v>
      </c>
      <c r="L2131" s="3">
        <v>1152.3386602406299</v>
      </c>
    </row>
    <row r="2132" spans="1:12" ht="15" customHeight="1" x14ac:dyDescent="0.2">
      <c r="A2132" s="2">
        <v>42956</v>
      </c>
      <c r="B2132" s="3">
        <v>44.94</v>
      </c>
      <c r="C2132" s="1">
        <v>1030596</v>
      </c>
      <c r="D2132" s="3">
        <v>9.9999999999980105E-3</v>
      </c>
      <c r="E2132" s="3">
        <v>2.2256843979517799E-2</v>
      </c>
      <c r="F2132" s="3">
        <v>2.2252264504274401E-2</v>
      </c>
      <c r="G2132" s="3">
        <v>48.320439999999998</v>
      </c>
      <c r="H2132" s="3">
        <v>1246.54105678321</v>
      </c>
      <c r="I2132" s="3">
        <v>44.71</v>
      </c>
      <c r="J2132" s="3">
        <v>45.1</v>
      </c>
      <c r="K2132" s="3">
        <v>44.59</v>
      </c>
      <c r="L2132" s="3">
        <v>1152.3386602406299</v>
      </c>
    </row>
    <row r="2133" spans="1:12" ht="15" customHeight="1" x14ac:dyDescent="0.2">
      <c r="A2133" s="2">
        <v>42955</v>
      </c>
      <c r="B2133" s="3">
        <v>44.93</v>
      </c>
      <c r="C2133" s="1">
        <v>1018410</v>
      </c>
      <c r="D2133" s="3">
        <v>-0.880000000000002</v>
      </c>
      <c r="E2133" s="3">
        <v>-1.92097795241213</v>
      </c>
      <c r="F2133" s="3">
        <v>-1.92098057072812</v>
      </c>
      <c r="G2133" s="3">
        <v>48.309690000000003</v>
      </c>
      <c r="H2133" s="3">
        <v>1246.2414875665399</v>
      </c>
      <c r="I2133" s="3">
        <v>45.74</v>
      </c>
      <c r="J2133" s="3">
        <v>45.9</v>
      </c>
      <c r="K2133" s="3">
        <v>44.88</v>
      </c>
      <c r="L2133" s="3">
        <v>1152.0599912018599</v>
      </c>
    </row>
    <row r="2134" spans="1:12" ht="15" customHeight="1" x14ac:dyDescent="0.2">
      <c r="A2134" s="2">
        <v>42954</v>
      </c>
      <c r="B2134" s="3">
        <v>45.81</v>
      </c>
      <c r="C2134" s="1">
        <v>1402951</v>
      </c>
      <c r="D2134" s="3">
        <v>0.67999999999999905</v>
      </c>
      <c r="E2134" s="3">
        <v>1.5067582539330699</v>
      </c>
      <c r="F2134" s="3">
        <v>1.5067614796198501</v>
      </c>
      <c r="G2134" s="3">
        <v>49.255885999999997</v>
      </c>
      <c r="H2134" s="3">
        <v>1272.6090405475099</v>
      </c>
      <c r="I2134" s="3">
        <v>45.19</v>
      </c>
      <c r="J2134" s="3">
        <v>46.21</v>
      </c>
      <c r="K2134" s="3">
        <v>45.1</v>
      </c>
      <c r="L2134" s="3">
        <v>1176.58286661378</v>
      </c>
    </row>
    <row r="2135" spans="1:12" ht="15" customHeight="1" x14ac:dyDescent="0.2">
      <c r="A2135" s="2">
        <v>42951</v>
      </c>
      <c r="B2135" s="3">
        <v>45.13</v>
      </c>
      <c r="C2135" s="1">
        <v>1889752</v>
      </c>
      <c r="D2135" s="3">
        <v>0.94000000000000405</v>
      </c>
      <c r="E2135" s="3">
        <v>2.1271780945915499</v>
      </c>
      <c r="F2135" s="3">
        <v>2.1271846418898299</v>
      </c>
      <c r="G2135" s="3">
        <v>48.524734000000002</v>
      </c>
      <c r="H2135" s="3">
        <v>1252.2340980439001</v>
      </c>
      <c r="I2135" s="3">
        <v>44.48</v>
      </c>
      <c r="J2135" s="3">
        <v>45.38</v>
      </c>
      <c r="K2135" s="3">
        <v>44.02</v>
      </c>
      <c r="L2135" s="3">
        <v>1157.6333719772899</v>
      </c>
    </row>
    <row r="2136" spans="1:12" ht="15" customHeight="1" x14ac:dyDescent="0.2">
      <c r="A2136" s="2">
        <v>42950</v>
      </c>
      <c r="B2136" s="3">
        <v>44.19</v>
      </c>
      <c r="C2136" s="1">
        <v>3408954</v>
      </c>
      <c r="D2136" s="3">
        <v>-2.94</v>
      </c>
      <c r="E2136" s="3">
        <v>-6.23806492679822</v>
      </c>
      <c r="F2136" s="3">
        <v>-6.2380774967153396</v>
      </c>
      <c r="G2136" s="3">
        <v>47.514023000000002</v>
      </c>
      <c r="H2136" s="3">
        <v>1224.06871175929</v>
      </c>
      <c r="I2136" s="3">
        <v>45</v>
      </c>
      <c r="J2136" s="3">
        <v>45.99</v>
      </c>
      <c r="K2136" s="3">
        <v>44.12</v>
      </c>
      <c r="L2136" s="3">
        <v>1131.43848233274</v>
      </c>
    </row>
    <row r="2137" spans="1:12" ht="15" customHeight="1" x14ac:dyDescent="0.2">
      <c r="A2137" s="2">
        <v>42949</v>
      </c>
      <c r="B2137" s="3">
        <v>47.13</v>
      </c>
      <c r="C2137" s="1">
        <v>2316848</v>
      </c>
      <c r="D2137" s="3">
        <v>-0.439999999999997</v>
      </c>
      <c r="E2137" s="3">
        <v>-0.924952701282311</v>
      </c>
      <c r="F2137" s="3">
        <v>-0.92494423027734696</v>
      </c>
      <c r="G2137" s="3">
        <v>50.675179999999997</v>
      </c>
      <c r="H2137" s="3">
        <v>1312.1603700189701</v>
      </c>
      <c r="I2137" s="3">
        <v>47.8</v>
      </c>
      <c r="J2137" s="3">
        <v>47.899900000000002</v>
      </c>
      <c r="K2137" s="3">
        <v>46.69</v>
      </c>
      <c r="L2137" s="3">
        <v>1213.3671797316599</v>
      </c>
    </row>
    <row r="2138" spans="1:12" ht="15" customHeight="1" x14ac:dyDescent="0.2">
      <c r="A2138" s="2">
        <v>42948</v>
      </c>
      <c r="B2138" s="3">
        <v>47.57</v>
      </c>
      <c r="C2138" s="1">
        <v>1941596</v>
      </c>
      <c r="D2138" s="3">
        <v>-9.9999999999980105E-3</v>
      </c>
      <c r="E2138" s="3">
        <v>-2.1017234131981401E-2</v>
      </c>
      <c r="F2138" s="3">
        <v>-2.1020728169829299E-2</v>
      </c>
      <c r="G2138" s="3">
        <v>51.148273000000003</v>
      </c>
      <c r="H2138" s="3">
        <v>1325.3440071749401</v>
      </c>
      <c r="I2138" s="3">
        <v>48.03</v>
      </c>
      <c r="J2138" s="3">
        <v>48.54</v>
      </c>
      <c r="K2138" s="3">
        <v>47.55</v>
      </c>
      <c r="L2138" s="3">
        <v>1225.6286174376201</v>
      </c>
    </row>
    <row r="2139" spans="1:12" ht="15" customHeight="1" x14ac:dyDescent="0.2">
      <c r="A2139" s="2">
        <v>42947</v>
      </c>
      <c r="B2139" s="3">
        <v>47.58</v>
      </c>
      <c r="C2139" s="1">
        <v>812195</v>
      </c>
      <c r="D2139" s="3">
        <v>-9.0000000000003397E-2</v>
      </c>
      <c r="E2139" s="3">
        <v>-0.18879798615481999</v>
      </c>
      <c r="F2139" s="3">
        <v>-0.18879426219025</v>
      </c>
      <c r="G2139" s="3">
        <v>51.159027000000002</v>
      </c>
      <c r="H2139" s="3">
        <v>1325.6436878592399</v>
      </c>
      <c r="I2139" s="3">
        <v>47.66</v>
      </c>
      <c r="J2139" s="3">
        <v>47.99</v>
      </c>
      <c r="K2139" s="3">
        <v>47.35</v>
      </c>
      <c r="L2139" s="3">
        <v>1225.90728647639</v>
      </c>
    </row>
    <row r="2140" spans="1:12" ht="15" customHeight="1" x14ac:dyDescent="0.2">
      <c r="A2140" s="2">
        <v>42944</v>
      </c>
      <c r="B2140" s="3">
        <v>47.67</v>
      </c>
      <c r="C2140" s="1">
        <v>1709236</v>
      </c>
      <c r="D2140" s="3">
        <v>-1.0799999999999901</v>
      </c>
      <c r="E2140" s="3">
        <v>-2.2153846153846</v>
      </c>
      <c r="F2140" s="3">
        <v>-2.2153847926611001</v>
      </c>
      <c r="G2140" s="3">
        <v>51.255794999999999</v>
      </c>
      <c r="H2140" s="3">
        <v>1328.34031241363</v>
      </c>
      <c r="I2140" s="3">
        <v>48.56</v>
      </c>
      <c r="J2140" s="3">
        <v>48.63</v>
      </c>
      <c r="K2140" s="3">
        <v>47.37</v>
      </c>
      <c r="L2140" s="3">
        <v>1228.4153078253401</v>
      </c>
    </row>
    <row r="2141" spans="1:12" ht="15" customHeight="1" x14ac:dyDescent="0.2">
      <c r="A2141" s="2">
        <v>42943</v>
      </c>
      <c r="B2141" s="3">
        <v>48.75</v>
      </c>
      <c r="C2141" s="1">
        <v>1592040</v>
      </c>
      <c r="D2141" s="3">
        <v>-0.21</v>
      </c>
      <c r="E2141" s="3">
        <v>-0.42892156862744901</v>
      </c>
      <c r="F2141" s="3">
        <v>-0.42892070961989498</v>
      </c>
      <c r="G2141" s="3">
        <v>52.417034000000001</v>
      </c>
      <c r="H2141" s="3">
        <v>1360.70044800506</v>
      </c>
      <c r="I2141" s="3">
        <v>48.96</v>
      </c>
      <c r="J2141" s="3">
        <v>49.085000000000001</v>
      </c>
      <c r="K2141" s="3">
        <v>48.25</v>
      </c>
      <c r="L2141" s="3">
        <v>1258.5115640127001</v>
      </c>
    </row>
    <row r="2142" spans="1:12" ht="15" customHeight="1" x14ac:dyDescent="0.2">
      <c r="A2142" s="2">
        <v>42942</v>
      </c>
      <c r="B2142" s="3">
        <v>48.96</v>
      </c>
      <c r="C2142" s="1">
        <v>1736319</v>
      </c>
      <c r="D2142" s="3">
        <v>-1.43999999999999</v>
      </c>
      <c r="E2142" s="3">
        <v>-2.8571428571428501</v>
      </c>
      <c r="F2142" s="3">
        <v>-2.8571454933139502</v>
      </c>
      <c r="G2142" s="3">
        <v>52.642829999999996</v>
      </c>
      <c r="H2142" s="3">
        <v>1366.9926834329101</v>
      </c>
      <c r="I2142" s="3">
        <v>50.38</v>
      </c>
      <c r="J2142" s="3">
        <v>50.39</v>
      </c>
      <c r="K2142" s="3">
        <v>48.65</v>
      </c>
      <c r="L2142" s="3">
        <v>1264.3636138269101</v>
      </c>
    </row>
    <row r="2143" spans="1:12" ht="15" customHeight="1" x14ac:dyDescent="0.2">
      <c r="A2143" s="2">
        <v>42941</v>
      </c>
      <c r="B2143" s="3">
        <v>50.4</v>
      </c>
      <c r="C2143" s="1">
        <v>1314577</v>
      </c>
      <c r="D2143" s="3">
        <v>1.1499999999999899</v>
      </c>
      <c r="E2143" s="3">
        <v>2.3350253807106598</v>
      </c>
      <c r="F2143" s="3">
        <v>2.33503037684534</v>
      </c>
      <c r="G2143" s="3">
        <v>54.19115</v>
      </c>
      <c r="H2143" s="3">
        <v>1410.1395680440401</v>
      </c>
      <c r="I2143" s="3">
        <v>49.49</v>
      </c>
      <c r="J2143" s="3">
        <v>50.674999999999997</v>
      </c>
      <c r="K2143" s="3">
        <v>49.35</v>
      </c>
      <c r="L2143" s="3">
        <v>1304.49195541005</v>
      </c>
    </row>
    <row r="2144" spans="1:12" ht="15" customHeight="1" x14ac:dyDescent="0.2">
      <c r="A2144" s="2">
        <v>42940</v>
      </c>
      <c r="B2144" s="3">
        <v>49.25</v>
      </c>
      <c r="C2144" s="1">
        <v>1333207</v>
      </c>
      <c r="D2144" s="3">
        <v>-0.60000000000000098</v>
      </c>
      <c r="E2144" s="3">
        <v>-1.2036108324974899</v>
      </c>
      <c r="F2144" s="3">
        <v>-1.2036132165251401</v>
      </c>
      <c r="G2144" s="3">
        <v>52.954642999999997</v>
      </c>
      <c r="H2144" s="3">
        <v>1375.6819463315701</v>
      </c>
      <c r="I2144" s="3">
        <v>49.73</v>
      </c>
      <c r="J2144" s="3">
        <v>49.74</v>
      </c>
      <c r="K2144" s="3">
        <v>48.83</v>
      </c>
      <c r="L2144" s="3">
        <v>1272.4450159512901</v>
      </c>
    </row>
    <row r="2145" spans="1:12" ht="15" customHeight="1" x14ac:dyDescent="0.2">
      <c r="A2145" s="2">
        <v>42937</v>
      </c>
      <c r="B2145" s="3">
        <v>49.85</v>
      </c>
      <c r="C2145" s="1">
        <v>972016</v>
      </c>
      <c r="D2145" s="3">
        <v>-0.78000000000000103</v>
      </c>
      <c r="E2145" s="3">
        <v>-1.54058858384357</v>
      </c>
      <c r="F2145" s="3">
        <v>-1.5405894179573401</v>
      </c>
      <c r="G2145" s="3">
        <v>53.599777000000003</v>
      </c>
      <c r="H2145" s="3">
        <v>1393.6598334974699</v>
      </c>
      <c r="I2145" s="3">
        <v>50.91</v>
      </c>
      <c r="J2145" s="3">
        <v>50.91</v>
      </c>
      <c r="K2145" s="3">
        <v>49.774999999999999</v>
      </c>
      <c r="L2145" s="3">
        <v>1289.1651582776001</v>
      </c>
    </row>
    <row r="2146" spans="1:12" ht="15" customHeight="1" x14ac:dyDescent="0.2">
      <c r="A2146" s="2">
        <v>42936</v>
      </c>
      <c r="B2146" s="3">
        <v>50.63</v>
      </c>
      <c r="C2146" s="1">
        <v>561321</v>
      </c>
      <c r="D2146" s="3">
        <v>0.23000000000000301</v>
      </c>
      <c r="E2146" s="3">
        <v>0.45634920634920401</v>
      </c>
      <c r="F2146" s="3">
        <v>0.45634757704902101</v>
      </c>
      <c r="G2146" s="3">
        <v>54.438450000000003</v>
      </c>
      <c r="H2146" s="3">
        <v>1417.03105337286</v>
      </c>
      <c r="I2146" s="3">
        <v>50.4</v>
      </c>
      <c r="J2146" s="3">
        <v>50.81</v>
      </c>
      <c r="K2146" s="3">
        <v>50.3</v>
      </c>
      <c r="L2146" s="3">
        <v>1310.9013433017999</v>
      </c>
    </row>
    <row r="2147" spans="1:12" ht="15" customHeight="1" x14ac:dyDescent="0.2">
      <c r="A2147" s="2">
        <v>42935</v>
      </c>
      <c r="B2147" s="3">
        <v>50.4</v>
      </c>
      <c r="C2147" s="1">
        <v>528690</v>
      </c>
      <c r="D2147" s="3">
        <v>0.58999999999999597</v>
      </c>
      <c r="E2147" s="3">
        <v>1.1845011041959399</v>
      </c>
      <c r="F2147" s="3">
        <v>1.1845001108169799</v>
      </c>
      <c r="G2147" s="3">
        <v>54.19115</v>
      </c>
      <c r="H2147" s="3">
        <v>1410.1395680440401</v>
      </c>
      <c r="I2147" s="3">
        <v>49.97</v>
      </c>
      <c r="J2147" s="3">
        <v>50.66</v>
      </c>
      <c r="K2147" s="3">
        <v>49.695</v>
      </c>
      <c r="L2147" s="3">
        <v>1304.49195541005</v>
      </c>
    </row>
    <row r="2148" spans="1:12" ht="15" customHeight="1" x14ac:dyDescent="0.2">
      <c r="A2148" s="2">
        <v>42934</v>
      </c>
      <c r="B2148" s="3">
        <v>49.81</v>
      </c>
      <c r="C2148" s="1">
        <v>842188</v>
      </c>
      <c r="D2148" s="3">
        <v>-0.82</v>
      </c>
      <c r="E2148" s="3">
        <v>-1.6195931266047701</v>
      </c>
      <c r="F2148" s="3">
        <v>-1.61959056512447</v>
      </c>
      <c r="G2148" s="3">
        <v>53.55677</v>
      </c>
      <c r="H2148" s="3">
        <v>1392.4613615624301</v>
      </c>
      <c r="I2148" s="3">
        <v>50.65</v>
      </c>
      <c r="J2148" s="3">
        <v>50.65</v>
      </c>
      <c r="K2148" s="3">
        <v>49.79</v>
      </c>
      <c r="L2148" s="3">
        <v>1288.0504821225099</v>
      </c>
    </row>
    <row r="2149" spans="1:12" ht="15" customHeight="1" x14ac:dyDescent="0.2">
      <c r="A2149" s="2">
        <v>42933</v>
      </c>
      <c r="B2149" s="3">
        <v>50.63</v>
      </c>
      <c r="C2149" s="1">
        <v>820425</v>
      </c>
      <c r="D2149" s="3">
        <v>0.630000000000002</v>
      </c>
      <c r="E2149" s="3">
        <v>1.25999999999999</v>
      </c>
      <c r="F2149" s="3">
        <v>1.2600011978930401</v>
      </c>
      <c r="G2149" s="3">
        <v>54.438450000000003</v>
      </c>
      <c r="H2149" s="3">
        <v>1417.03105337286</v>
      </c>
      <c r="I2149" s="3">
        <v>50.02</v>
      </c>
      <c r="J2149" s="3">
        <v>50.9</v>
      </c>
      <c r="K2149" s="3">
        <v>49.91</v>
      </c>
      <c r="L2149" s="3">
        <v>1310.9013433017999</v>
      </c>
    </row>
    <row r="2150" spans="1:12" ht="15" customHeight="1" x14ac:dyDescent="0.2">
      <c r="A2150" s="2">
        <v>42930</v>
      </c>
      <c r="B2150" s="3">
        <v>50</v>
      </c>
      <c r="C2150" s="1">
        <v>705425</v>
      </c>
      <c r="D2150" s="3">
        <v>0.15999999999999601</v>
      </c>
      <c r="E2150" s="3">
        <v>0.32102728731941899</v>
      </c>
      <c r="F2150" s="3">
        <v>0.321028425522351</v>
      </c>
      <c r="G2150" s="3">
        <v>53.761060000000001</v>
      </c>
      <c r="H2150" s="3">
        <v>1398.1542913554999</v>
      </c>
      <c r="I2150" s="3">
        <v>49.81</v>
      </c>
      <c r="J2150" s="3">
        <v>50.35</v>
      </c>
      <c r="K2150" s="3">
        <v>49.8</v>
      </c>
      <c r="L2150" s="3">
        <v>1293.34519385918</v>
      </c>
    </row>
    <row r="2151" spans="1:12" ht="15" customHeight="1" x14ac:dyDescent="0.2">
      <c r="A2151" s="2">
        <v>42929</v>
      </c>
      <c r="B2151" s="3">
        <v>49.84</v>
      </c>
      <c r="C2151" s="1">
        <v>1038721</v>
      </c>
      <c r="D2151" s="3">
        <v>2.0000000000003099E-2</v>
      </c>
      <c r="E2151" s="3">
        <v>4.0144520272988801E-2</v>
      </c>
      <c r="F2151" s="3">
        <v>4.0143728886454698E-2</v>
      </c>
      <c r="G2151" s="3">
        <v>53.589024000000002</v>
      </c>
      <c r="H2151" s="3">
        <v>1393.36018068008</v>
      </c>
      <c r="I2151" s="3">
        <v>49.87</v>
      </c>
      <c r="J2151" s="3">
        <v>49.975000000000001</v>
      </c>
      <c r="K2151" s="3">
        <v>49.11</v>
      </c>
      <c r="L2151" s="3">
        <v>1288.8864892388301</v>
      </c>
    </row>
    <row r="2152" spans="1:12" ht="15" customHeight="1" x14ac:dyDescent="0.2">
      <c r="A2152" s="2">
        <v>42928</v>
      </c>
      <c r="B2152" s="3">
        <v>49.82</v>
      </c>
      <c r="C2152" s="1">
        <v>694752</v>
      </c>
      <c r="D2152" s="3">
        <v>0.50999999999999801</v>
      </c>
      <c r="E2152" s="3">
        <v>1.03427296694382</v>
      </c>
      <c r="F2152" s="3">
        <v>1.03426761193501</v>
      </c>
      <c r="G2152" s="3">
        <v>53.567520000000002</v>
      </c>
      <c r="H2152" s="3">
        <v>1392.7609307791099</v>
      </c>
      <c r="I2152" s="3">
        <v>49.18</v>
      </c>
      <c r="J2152" s="3">
        <v>50.046500000000002</v>
      </c>
      <c r="K2152" s="3">
        <v>49.18</v>
      </c>
      <c r="L2152" s="3">
        <v>1288.3291511612799</v>
      </c>
    </row>
    <row r="2153" spans="1:12" ht="15" customHeight="1" x14ac:dyDescent="0.2">
      <c r="A2153" s="2">
        <v>42927</v>
      </c>
      <c r="B2153" s="3">
        <v>49.31</v>
      </c>
      <c r="C2153" s="1">
        <v>763461</v>
      </c>
      <c r="D2153" s="3">
        <v>0.33000000000000501</v>
      </c>
      <c r="E2153" s="3">
        <v>0.67374438546345905</v>
      </c>
      <c r="F2153" s="3">
        <v>0.67375200593540097</v>
      </c>
      <c r="G2153" s="3">
        <v>53.019159999999999</v>
      </c>
      <c r="H2153" s="3">
        <v>1377.4798353690201</v>
      </c>
      <c r="I2153" s="3">
        <v>49.58</v>
      </c>
      <c r="J2153" s="3">
        <v>49.93</v>
      </c>
      <c r="K2153" s="3">
        <v>49.07</v>
      </c>
      <c r="L2153" s="3">
        <v>1274.11703018392</v>
      </c>
    </row>
    <row r="2154" spans="1:12" ht="15" customHeight="1" x14ac:dyDescent="0.2">
      <c r="A2154" s="2">
        <v>42926</v>
      </c>
      <c r="B2154" s="3">
        <v>48.98</v>
      </c>
      <c r="C2154" s="1">
        <v>646353</v>
      </c>
      <c r="D2154" s="3">
        <v>-0.630000000000002</v>
      </c>
      <c r="E2154" s="3">
        <v>-1.2699052610360799</v>
      </c>
      <c r="F2154" s="3">
        <v>-1.2699083366709301</v>
      </c>
      <c r="G2154" s="3">
        <v>52.664332999999999</v>
      </c>
      <c r="H2154" s="3">
        <v>1367.5919054669901</v>
      </c>
      <c r="I2154" s="3">
        <v>49.52</v>
      </c>
      <c r="J2154" s="3">
        <v>49.72</v>
      </c>
      <c r="K2154" s="3">
        <v>48.92</v>
      </c>
      <c r="L2154" s="3">
        <v>1264.92095190445</v>
      </c>
    </row>
    <row r="2155" spans="1:12" ht="15" customHeight="1" x14ac:dyDescent="0.2">
      <c r="A2155" s="2">
        <v>42923</v>
      </c>
      <c r="B2155" s="3">
        <v>49.61</v>
      </c>
      <c r="C2155" s="1">
        <v>973408</v>
      </c>
      <c r="D2155" s="3">
        <v>0.310000000000002</v>
      </c>
      <c r="E2155" s="3">
        <v>0.628803245436104</v>
      </c>
      <c r="F2155" s="3">
        <v>0.62880595310887899</v>
      </c>
      <c r="G2155" s="3">
        <v>53.341723999999999</v>
      </c>
      <c r="H2155" s="3">
        <v>1386.4686953512501</v>
      </c>
      <c r="I2155" s="3">
        <v>49.39</v>
      </c>
      <c r="J2155" s="3">
        <v>49.83</v>
      </c>
      <c r="K2155" s="3">
        <v>49.37</v>
      </c>
      <c r="L2155" s="3">
        <v>1282.47710134708</v>
      </c>
    </row>
    <row r="2156" spans="1:12" ht="15" customHeight="1" x14ac:dyDescent="0.2">
      <c r="A2156" s="2">
        <v>42922</v>
      </c>
      <c r="B2156" s="3">
        <v>49.3</v>
      </c>
      <c r="C2156" s="1">
        <v>903325</v>
      </c>
      <c r="D2156" s="3">
        <v>-0.42999999999999899</v>
      </c>
      <c r="E2156" s="3">
        <v>-0.86466921375427597</v>
      </c>
      <c r="F2156" s="3">
        <v>-0.864670871457762</v>
      </c>
      <c r="G2156" s="3">
        <v>53.008403999999999</v>
      </c>
      <c r="H2156" s="3">
        <v>1377.18009895091</v>
      </c>
      <c r="I2156" s="3">
        <v>49.63</v>
      </c>
      <c r="J2156" s="3">
        <v>49.82</v>
      </c>
      <c r="K2156" s="3">
        <v>49.12</v>
      </c>
      <c r="L2156" s="3">
        <v>1273.83836114515</v>
      </c>
    </row>
    <row r="2157" spans="1:12" ht="15" customHeight="1" x14ac:dyDescent="0.2">
      <c r="A2157" s="2">
        <v>42921</v>
      </c>
      <c r="B2157" s="3">
        <v>49.73</v>
      </c>
      <c r="C2157" s="1">
        <v>995889</v>
      </c>
      <c r="D2157" s="3">
        <v>-0.28000000000000103</v>
      </c>
      <c r="E2157" s="3">
        <v>-0.55988802239552704</v>
      </c>
      <c r="F2157" s="3">
        <v>-0.55988814362438699</v>
      </c>
      <c r="G2157" s="3">
        <v>53.470750000000002</v>
      </c>
      <c r="H2157" s="3">
        <v>1390.0642504909099</v>
      </c>
      <c r="I2157" s="3">
        <v>50.19</v>
      </c>
      <c r="J2157" s="3">
        <v>50.19</v>
      </c>
      <c r="K2157" s="3">
        <v>49.28</v>
      </c>
      <c r="L2157" s="3">
        <v>1285.8211298123399</v>
      </c>
    </row>
    <row r="2158" spans="1:12" ht="15" customHeight="1" x14ac:dyDescent="0.2">
      <c r="A2158" s="2">
        <v>42919</v>
      </c>
      <c r="B2158" s="3">
        <v>50.01</v>
      </c>
      <c r="C2158" s="1">
        <v>468266</v>
      </c>
      <c r="D2158" s="3">
        <v>-0.28999999999999898</v>
      </c>
      <c r="E2158" s="3">
        <v>-0.57654075546719197</v>
      </c>
      <c r="F2158" s="3">
        <v>-0.57654048565457505</v>
      </c>
      <c r="G2158" s="3">
        <v>53.771811999999997</v>
      </c>
      <c r="H2158" s="3">
        <v>1398.4539163059801</v>
      </c>
      <c r="I2158" s="3">
        <v>50.1</v>
      </c>
      <c r="J2158" s="3">
        <v>50.4</v>
      </c>
      <c r="K2158" s="3">
        <v>49.76</v>
      </c>
      <c r="L2158" s="3">
        <v>1293.6238628979499</v>
      </c>
    </row>
    <row r="2159" spans="1:12" ht="15" customHeight="1" x14ac:dyDescent="0.2">
      <c r="A2159" s="2">
        <v>42916</v>
      </c>
      <c r="B2159" s="3">
        <v>50.3</v>
      </c>
      <c r="C2159" s="1">
        <v>900769</v>
      </c>
      <c r="D2159" s="3">
        <v>-0.380000000000002</v>
      </c>
      <c r="E2159" s="3">
        <v>-0.74980268350434098</v>
      </c>
      <c r="F2159" s="3">
        <v>-0.74980258646143405</v>
      </c>
      <c r="G2159" s="3">
        <v>54.083626000000002</v>
      </c>
      <c r="H2159" s="3">
        <v>1407.14320707155</v>
      </c>
      <c r="I2159" s="3">
        <v>50.72</v>
      </c>
      <c r="J2159" s="3">
        <v>51.12</v>
      </c>
      <c r="K2159" s="3">
        <v>50.29</v>
      </c>
      <c r="L2159" s="3">
        <v>1301.70526502233</v>
      </c>
    </row>
    <row r="2160" spans="1:12" ht="15" customHeight="1" x14ac:dyDescent="0.2">
      <c r="A2160" s="2">
        <v>42915</v>
      </c>
      <c r="B2160" s="3">
        <v>50.68</v>
      </c>
      <c r="C2160" s="1">
        <v>700371</v>
      </c>
      <c r="D2160" s="3">
        <v>0.380000000000002</v>
      </c>
      <c r="E2160" s="3">
        <v>0.75546719681909202</v>
      </c>
      <c r="F2160" s="3">
        <v>0.75546709830438497</v>
      </c>
      <c r="G2160" s="3">
        <v>54.49221</v>
      </c>
      <c r="H2160" s="3">
        <v>1418.5291781252999</v>
      </c>
      <c r="I2160" s="3">
        <v>50.34</v>
      </c>
      <c r="J2160" s="3">
        <v>50.86</v>
      </c>
      <c r="K2160" s="3">
        <v>50.075400000000002</v>
      </c>
      <c r="L2160" s="3">
        <v>1312.29468849566</v>
      </c>
    </row>
    <row r="2161" spans="1:12" ht="15" customHeight="1" x14ac:dyDescent="0.2">
      <c r="A2161" s="2">
        <v>42914</v>
      </c>
      <c r="B2161" s="3">
        <v>50.3</v>
      </c>
      <c r="C2161" s="1">
        <v>628263</v>
      </c>
      <c r="D2161" s="3">
        <v>-1.00000000000051E-2</v>
      </c>
      <c r="E2161" s="3">
        <v>-1.98767640628205E-2</v>
      </c>
      <c r="F2161" s="3">
        <v>-1.9880068872213299E-2</v>
      </c>
      <c r="G2161" s="3">
        <v>54.083626000000002</v>
      </c>
      <c r="H2161" s="3">
        <v>1407.14320707155</v>
      </c>
      <c r="I2161" s="3">
        <v>50.59</v>
      </c>
      <c r="J2161" s="3">
        <v>50.75</v>
      </c>
      <c r="K2161" s="3">
        <v>50.26</v>
      </c>
      <c r="L2161" s="3">
        <v>1301.70526502233</v>
      </c>
    </row>
    <row r="2162" spans="1:12" ht="15" customHeight="1" x14ac:dyDescent="0.2">
      <c r="A2162" s="2">
        <v>42913</v>
      </c>
      <c r="B2162" s="3">
        <v>50.31</v>
      </c>
      <c r="C2162" s="1">
        <v>1113242</v>
      </c>
      <c r="D2162" s="3">
        <v>0.100000000000001</v>
      </c>
      <c r="E2162" s="3">
        <v>0.199163513244382</v>
      </c>
      <c r="F2162" s="3">
        <v>0.199168853232878</v>
      </c>
      <c r="G2162" s="3">
        <v>54.094380000000001</v>
      </c>
      <c r="H2162" s="3">
        <v>1407.44288775584</v>
      </c>
      <c r="I2162" s="3">
        <v>50.44</v>
      </c>
      <c r="J2162" s="3">
        <v>51.05</v>
      </c>
      <c r="K2162" s="3">
        <v>50.3</v>
      </c>
      <c r="L2162" s="3">
        <v>1301.9839340610999</v>
      </c>
    </row>
    <row r="2163" spans="1:12" ht="15" customHeight="1" x14ac:dyDescent="0.2">
      <c r="A2163" s="2">
        <v>42912</v>
      </c>
      <c r="B2163" s="3">
        <v>50.21</v>
      </c>
      <c r="C2163" s="1">
        <v>994320</v>
      </c>
      <c r="D2163" s="3">
        <v>0.45000000000000201</v>
      </c>
      <c r="E2163" s="3">
        <v>0.90434083601287296</v>
      </c>
      <c r="F2163" s="3">
        <v>0.90433984213895702</v>
      </c>
      <c r="G2163" s="3">
        <v>53.986854999999998</v>
      </c>
      <c r="H2163" s="3">
        <v>1404.4464989164501</v>
      </c>
      <c r="I2163" s="3">
        <v>49.88</v>
      </c>
      <c r="J2163" s="3">
        <v>50.32</v>
      </c>
      <c r="K2163" s="3">
        <v>49.77</v>
      </c>
      <c r="L2163" s="3">
        <v>1299.1972436733899</v>
      </c>
    </row>
    <row r="2164" spans="1:12" ht="15" customHeight="1" x14ac:dyDescent="0.2">
      <c r="A2164" s="2">
        <v>42909</v>
      </c>
      <c r="B2164" s="3">
        <v>49.76</v>
      </c>
      <c r="C2164" s="1">
        <v>1122330</v>
      </c>
      <c r="D2164" s="3">
        <v>-0.25</v>
      </c>
      <c r="E2164" s="3">
        <v>-0.49990001999600198</v>
      </c>
      <c r="F2164" s="3">
        <v>-0.49990132376420598</v>
      </c>
      <c r="G2164" s="3">
        <v>53.503005999999999</v>
      </c>
      <c r="H2164" s="3">
        <v>1390.9631253423699</v>
      </c>
      <c r="I2164" s="3">
        <v>50</v>
      </c>
      <c r="J2164" s="3">
        <v>50.155000000000001</v>
      </c>
      <c r="K2164" s="3">
        <v>49.56</v>
      </c>
      <c r="L2164" s="3">
        <v>1286.6571369286501</v>
      </c>
    </row>
    <row r="2165" spans="1:12" ht="15" customHeight="1" x14ac:dyDescent="0.2">
      <c r="A2165" s="2">
        <v>42908</v>
      </c>
      <c r="B2165" s="3">
        <v>50.01</v>
      </c>
      <c r="C2165" s="1">
        <v>1356123</v>
      </c>
      <c r="D2165" s="3">
        <v>0.21</v>
      </c>
      <c r="E2165" s="3">
        <v>0.421686746987948</v>
      </c>
      <c r="F2165" s="3">
        <v>0.421684025536395</v>
      </c>
      <c r="G2165" s="3">
        <v>53.771811999999997</v>
      </c>
      <c r="H2165" s="3">
        <v>1398.4539163059801</v>
      </c>
      <c r="I2165" s="3">
        <v>49.8</v>
      </c>
      <c r="J2165" s="3">
        <v>50.57</v>
      </c>
      <c r="K2165" s="3">
        <v>49.6</v>
      </c>
      <c r="L2165" s="3">
        <v>1293.6238628979499</v>
      </c>
    </row>
    <row r="2166" spans="1:12" ht="15" customHeight="1" x14ac:dyDescent="0.2">
      <c r="A2166" s="2">
        <v>42907</v>
      </c>
      <c r="B2166" s="3">
        <v>49.8</v>
      </c>
      <c r="C2166" s="1">
        <v>1153542</v>
      </c>
      <c r="D2166" s="3">
        <v>-0.95000000000000195</v>
      </c>
      <c r="E2166" s="3">
        <v>-1.87192118226601</v>
      </c>
      <c r="F2166" s="3">
        <v>-1.87192628283366</v>
      </c>
      <c r="G2166" s="3">
        <v>53.546016999999999</v>
      </c>
      <c r="H2166" s="3">
        <v>1392.16170874504</v>
      </c>
      <c r="I2166" s="3">
        <v>50.52</v>
      </c>
      <c r="J2166" s="3">
        <v>50.95</v>
      </c>
      <c r="K2166" s="3">
        <v>49.64</v>
      </c>
      <c r="L2166" s="3">
        <v>1287.77181308374</v>
      </c>
    </row>
    <row r="2167" spans="1:12" ht="15" customHeight="1" x14ac:dyDescent="0.2">
      <c r="A2167" s="2">
        <v>42906</v>
      </c>
      <c r="B2167" s="3">
        <v>50.75</v>
      </c>
      <c r="C2167" s="1">
        <v>1254810</v>
      </c>
      <c r="D2167" s="3">
        <v>-1.99</v>
      </c>
      <c r="E2167" s="3">
        <v>-3.77322715206674</v>
      </c>
      <c r="F2167" s="3">
        <v>-3.7732265602391899</v>
      </c>
      <c r="G2167" s="3">
        <v>54.567480000000003</v>
      </c>
      <c r="H2167" s="3">
        <v>1420.62671998014</v>
      </c>
      <c r="I2167" s="3">
        <v>51.87</v>
      </c>
      <c r="J2167" s="3">
        <v>52.13</v>
      </c>
      <c r="K2167" s="3">
        <v>50.62</v>
      </c>
      <c r="L2167" s="3">
        <v>1314.2453717670601</v>
      </c>
    </row>
    <row r="2168" spans="1:12" ht="15" customHeight="1" x14ac:dyDescent="0.2">
      <c r="A2168" s="2">
        <v>42905</v>
      </c>
      <c r="B2168" s="3">
        <v>52.74</v>
      </c>
      <c r="C2168" s="1">
        <v>787494</v>
      </c>
      <c r="D2168" s="3">
        <v>-0.22999999999999601</v>
      </c>
      <c r="E2168" s="3">
        <v>-0.43420804228808602</v>
      </c>
      <c r="F2168" s="3">
        <v>-0.43420298474212599</v>
      </c>
      <c r="G2168" s="3">
        <v>56.707169999999998</v>
      </c>
      <c r="H2168" s="3">
        <v>1480.2532555371099</v>
      </c>
      <c r="I2168" s="3">
        <v>53.04</v>
      </c>
      <c r="J2168" s="3">
        <v>53.11</v>
      </c>
      <c r="K2168" s="3">
        <v>52.5</v>
      </c>
      <c r="L2168" s="3">
        <v>1369.7005104826601</v>
      </c>
    </row>
    <row r="2169" spans="1:12" ht="15" customHeight="1" x14ac:dyDescent="0.2">
      <c r="A2169" s="2">
        <v>42902</v>
      </c>
      <c r="B2169" s="3">
        <v>52.97</v>
      </c>
      <c r="C2169" s="1">
        <v>1271972</v>
      </c>
      <c r="D2169" s="3">
        <v>0.56000000000000205</v>
      </c>
      <c r="E2169" s="3">
        <v>1.06849837817211</v>
      </c>
      <c r="F2169" s="3">
        <v>1.06849679458769</v>
      </c>
      <c r="G2169" s="3">
        <v>56.954467999999999</v>
      </c>
      <c r="H2169" s="3">
        <v>1487.14468513213</v>
      </c>
      <c r="I2169" s="3">
        <v>52.05</v>
      </c>
      <c r="J2169" s="3">
        <v>53.005000000000003</v>
      </c>
      <c r="K2169" s="3">
        <v>51.93</v>
      </c>
      <c r="L2169" s="3">
        <v>1376.10989837441</v>
      </c>
    </row>
    <row r="2170" spans="1:12" ht="15" customHeight="1" x14ac:dyDescent="0.2">
      <c r="A2170" s="2">
        <v>42901</v>
      </c>
      <c r="B2170" s="3">
        <v>52.41</v>
      </c>
      <c r="C2170" s="1">
        <v>1199966</v>
      </c>
      <c r="D2170" s="3">
        <v>-1.38</v>
      </c>
      <c r="E2170" s="3">
        <v>-2.56553262688232</v>
      </c>
      <c r="F2170" s="3">
        <v>-2.5655321109721201</v>
      </c>
      <c r="G2170" s="3">
        <v>56.352345</v>
      </c>
      <c r="H2170" s="3">
        <v>1470.36538136889</v>
      </c>
      <c r="I2170" s="3">
        <v>53.24</v>
      </c>
      <c r="J2170" s="3">
        <v>54.043599999999998</v>
      </c>
      <c r="K2170" s="3">
        <v>51.600299999999997</v>
      </c>
      <c r="L2170" s="3">
        <v>1360.5044322031899</v>
      </c>
    </row>
    <row r="2171" spans="1:12" ht="15" customHeight="1" x14ac:dyDescent="0.2">
      <c r="A2171" s="2">
        <v>42900</v>
      </c>
      <c r="B2171" s="3">
        <v>53.79</v>
      </c>
      <c r="C2171" s="1">
        <v>2204929</v>
      </c>
      <c r="D2171" s="3">
        <v>1.21</v>
      </c>
      <c r="E2171" s="3">
        <v>2.3012552301255198</v>
      </c>
      <c r="F2171" s="3">
        <v>2.3012539830763199</v>
      </c>
      <c r="G2171" s="3">
        <v>57.836150000000004</v>
      </c>
      <c r="H2171" s="3">
        <v>1511.7144326763701</v>
      </c>
      <c r="I2171" s="3">
        <v>53.28</v>
      </c>
      <c r="J2171" s="3">
        <v>54.25</v>
      </c>
      <c r="K2171" s="3">
        <v>52.72</v>
      </c>
      <c r="L2171" s="3">
        <v>1398.9607595537</v>
      </c>
    </row>
    <row r="2172" spans="1:12" ht="15" customHeight="1" x14ac:dyDescent="0.2">
      <c r="A2172" s="2">
        <v>42899</v>
      </c>
      <c r="B2172" s="3">
        <v>52.58</v>
      </c>
      <c r="C2172" s="1">
        <v>6021627</v>
      </c>
      <c r="D2172" s="3">
        <v>-5.75</v>
      </c>
      <c r="E2172" s="3">
        <v>-9.8577061546374107</v>
      </c>
      <c r="F2172" s="3">
        <v>-9.8577059362311807</v>
      </c>
      <c r="G2172" s="3">
        <v>56.535133000000002</v>
      </c>
      <c r="H2172" s="3">
        <v>1475.4591169947901</v>
      </c>
      <c r="I2172" s="3">
        <v>52.83</v>
      </c>
      <c r="J2172" s="3">
        <v>53.85</v>
      </c>
      <c r="K2172" s="3">
        <v>52.060099999999998</v>
      </c>
      <c r="L2172" s="3">
        <v>1365.24180586231</v>
      </c>
    </row>
    <row r="2173" spans="1:12" ht="15" customHeight="1" x14ac:dyDescent="0.2">
      <c r="A2173" s="2">
        <v>42898</v>
      </c>
      <c r="B2173" s="3">
        <v>58.33</v>
      </c>
      <c r="C2173" s="1">
        <v>1076860</v>
      </c>
      <c r="D2173" s="3">
        <v>0.21</v>
      </c>
      <c r="E2173" s="3">
        <v>0.36132140399174301</v>
      </c>
      <c r="F2173" s="3">
        <v>0.36132548215563798</v>
      </c>
      <c r="G2173" s="3">
        <v>62.717655000000001</v>
      </c>
      <c r="H2173" s="3">
        <v>1647.7468632873599</v>
      </c>
      <c r="I2173" s="3">
        <v>58.11</v>
      </c>
      <c r="J2173" s="3">
        <v>59.04</v>
      </c>
      <c r="K2173" s="3">
        <v>57.93</v>
      </c>
      <c r="L2173" s="3">
        <v>1525.4765031561201</v>
      </c>
    </row>
    <row r="2174" spans="1:12" ht="15" customHeight="1" x14ac:dyDescent="0.2">
      <c r="A2174" s="2">
        <v>42895</v>
      </c>
      <c r="B2174" s="3">
        <v>58.12</v>
      </c>
      <c r="C2174" s="1">
        <v>791872</v>
      </c>
      <c r="D2174" s="3">
        <v>0.44999999999999502</v>
      </c>
      <c r="E2174" s="3">
        <v>0.78030171666376702</v>
      </c>
      <c r="F2174" s="3">
        <v>0.78030084082527595</v>
      </c>
      <c r="G2174" s="3">
        <v>62.491855999999999</v>
      </c>
      <c r="H2174" s="3">
        <v>1641.4545442588001</v>
      </c>
      <c r="I2174" s="3">
        <v>57.87</v>
      </c>
      <c r="J2174" s="3">
        <v>58.2</v>
      </c>
      <c r="K2174" s="3">
        <v>57.45</v>
      </c>
      <c r="L2174" s="3">
        <v>1519.6244533419101</v>
      </c>
    </row>
    <row r="2175" spans="1:12" ht="15" customHeight="1" x14ac:dyDescent="0.2">
      <c r="A2175" s="2">
        <v>42894</v>
      </c>
      <c r="B2175" s="3">
        <v>57.67</v>
      </c>
      <c r="C2175" s="1">
        <v>913902</v>
      </c>
      <c r="D2175" s="3">
        <v>0.37000000000000399</v>
      </c>
      <c r="E2175" s="3">
        <v>0.64572425828970303</v>
      </c>
      <c r="F2175" s="3">
        <v>0.64572287538993101</v>
      </c>
      <c r="G2175" s="3">
        <v>62.008006999999999</v>
      </c>
      <c r="H2175" s="3">
        <v>1627.9711706847299</v>
      </c>
      <c r="I2175" s="3">
        <v>57.3</v>
      </c>
      <c r="J2175" s="3">
        <v>58.354999999999997</v>
      </c>
      <c r="K2175" s="3">
        <v>57.125999999999998</v>
      </c>
      <c r="L2175" s="3">
        <v>1507.08434659718</v>
      </c>
    </row>
    <row r="2176" spans="1:12" ht="15" customHeight="1" x14ac:dyDescent="0.2">
      <c r="A2176" s="2">
        <v>42893</v>
      </c>
      <c r="B2176" s="3">
        <v>57.3</v>
      </c>
      <c r="C2176" s="1">
        <v>942422</v>
      </c>
      <c r="D2176" s="3">
        <v>-0.80000000000000404</v>
      </c>
      <c r="E2176" s="3">
        <v>-1.3769363166953601</v>
      </c>
      <c r="F2176" s="3">
        <v>-1.3769347737947599</v>
      </c>
      <c r="G2176" s="3">
        <v>61.610176000000003</v>
      </c>
      <c r="H2176" s="3">
        <v>1616.8848524483601</v>
      </c>
      <c r="I2176" s="3">
        <v>58.2</v>
      </c>
      <c r="J2176" s="3">
        <v>58.278199999999998</v>
      </c>
      <c r="K2176" s="3">
        <v>57.21</v>
      </c>
      <c r="L2176" s="3">
        <v>1496.7735921626199</v>
      </c>
    </row>
    <row r="2177" spans="1:12" ht="15" customHeight="1" x14ac:dyDescent="0.2">
      <c r="A2177" s="2">
        <v>42892</v>
      </c>
      <c r="B2177" s="3">
        <v>58.1</v>
      </c>
      <c r="C2177" s="1">
        <v>894461</v>
      </c>
      <c r="D2177" s="3">
        <v>-0.47999999999999599</v>
      </c>
      <c r="E2177" s="3">
        <v>-0.81939228405598596</v>
      </c>
      <c r="F2177" s="3">
        <v>-0.819395152545487</v>
      </c>
      <c r="G2177" s="3">
        <v>62.470351999999998</v>
      </c>
      <c r="H2177" s="3">
        <v>1640.85529435782</v>
      </c>
      <c r="I2177" s="3">
        <v>58.42</v>
      </c>
      <c r="J2177" s="3">
        <v>58.51</v>
      </c>
      <c r="K2177" s="3">
        <v>57.63</v>
      </c>
      <c r="L2177" s="3">
        <v>1519.0671152643599</v>
      </c>
    </row>
    <row r="2178" spans="1:12" ht="15" customHeight="1" x14ac:dyDescent="0.2">
      <c r="A2178" s="2">
        <v>42891</v>
      </c>
      <c r="B2178" s="3">
        <v>58.58</v>
      </c>
      <c r="C2178" s="1">
        <v>808715</v>
      </c>
      <c r="D2178" s="3">
        <v>-0.67000000000000104</v>
      </c>
      <c r="E2178" s="3">
        <v>-1.1308016877637099</v>
      </c>
      <c r="F2178" s="3">
        <v>-1.1307982299424699</v>
      </c>
      <c r="G2178" s="3">
        <v>62.986460000000001</v>
      </c>
      <c r="H2178" s="3">
        <v>1655.2376263840699</v>
      </c>
      <c r="I2178" s="3">
        <v>59.09</v>
      </c>
      <c r="J2178" s="3">
        <v>59.29</v>
      </c>
      <c r="K2178" s="3">
        <v>58.44</v>
      </c>
      <c r="L2178" s="3">
        <v>1532.44322912541</v>
      </c>
    </row>
    <row r="2179" spans="1:12" ht="15" customHeight="1" x14ac:dyDescent="0.2">
      <c r="A2179" s="2">
        <v>42888</v>
      </c>
      <c r="B2179" s="3">
        <v>59.25</v>
      </c>
      <c r="C2179" s="1">
        <v>669012</v>
      </c>
      <c r="D2179" s="3">
        <v>4.9999999999997102E-2</v>
      </c>
      <c r="E2179" s="3">
        <v>8.4459459459451602E-2</v>
      </c>
      <c r="F2179" s="3">
        <v>8.4459365251610102E-2</v>
      </c>
      <c r="G2179" s="3">
        <v>63.706856000000002</v>
      </c>
      <c r="H2179" s="3">
        <v>1675.3128324695799</v>
      </c>
      <c r="I2179" s="3">
        <v>59.18</v>
      </c>
      <c r="J2179" s="3">
        <v>59.77</v>
      </c>
      <c r="K2179" s="3">
        <v>59.15</v>
      </c>
      <c r="L2179" s="3">
        <v>1551.11405472313</v>
      </c>
    </row>
    <row r="2180" spans="1:12" ht="15" customHeight="1" x14ac:dyDescent="0.2">
      <c r="A2180" s="2">
        <v>42887</v>
      </c>
      <c r="B2180" s="3">
        <v>59.2</v>
      </c>
      <c r="C2180" s="1">
        <v>777352</v>
      </c>
      <c r="D2180" s="3">
        <v>0.220000000000005</v>
      </c>
      <c r="E2180" s="3">
        <v>0.37300779925399902</v>
      </c>
      <c r="F2180" s="3">
        <v>0.37300833129574301</v>
      </c>
      <c r="G2180" s="3">
        <v>63.653095</v>
      </c>
      <c r="H2180" s="3">
        <v>1673.81467985023</v>
      </c>
      <c r="I2180" s="3">
        <v>59.07</v>
      </c>
      <c r="J2180" s="3">
        <v>59.3</v>
      </c>
      <c r="K2180" s="3">
        <v>58.72</v>
      </c>
      <c r="L2180" s="3">
        <v>1549.7207095292699</v>
      </c>
    </row>
    <row r="2181" spans="1:12" ht="15" customHeight="1" x14ac:dyDescent="0.2">
      <c r="A2181" s="2">
        <v>42886</v>
      </c>
      <c r="B2181" s="3">
        <v>58.98</v>
      </c>
      <c r="C2181" s="1">
        <v>496468</v>
      </c>
      <c r="D2181" s="3">
        <v>-0.130000000000002</v>
      </c>
      <c r="E2181" s="3">
        <v>-0.21992894603282101</v>
      </c>
      <c r="F2181" s="3">
        <v>-0.21993404024223101</v>
      </c>
      <c r="G2181" s="3">
        <v>63.416545999999997</v>
      </c>
      <c r="H2181" s="3">
        <v>1667.2227916049901</v>
      </c>
      <c r="I2181" s="3">
        <v>59.1</v>
      </c>
      <c r="J2181" s="3">
        <v>59.98</v>
      </c>
      <c r="K2181" s="3">
        <v>58.5</v>
      </c>
      <c r="L2181" s="3">
        <v>1543.58999067629</v>
      </c>
    </row>
    <row r="2182" spans="1:12" ht="15" customHeight="1" x14ac:dyDescent="0.2">
      <c r="A2182" s="2">
        <v>42885</v>
      </c>
      <c r="B2182" s="3">
        <v>59.11</v>
      </c>
      <c r="C2182" s="1">
        <v>621852</v>
      </c>
      <c r="D2182" s="3">
        <v>-0.149999999999998</v>
      </c>
      <c r="E2182" s="3">
        <v>-0.25312183597704302</v>
      </c>
      <c r="F2182" s="3">
        <v>-0.25311371554042</v>
      </c>
      <c r="G2182" s="3">
        <v>63.556328000000001</v>
      </c>
      <c r="H2182" s="3">
        <v>1671.1180831627501</v>
      </c>
      <c r="I2182" s="3">
        <v>59.43</v>
      </c>
      <c r="J2182" s="3">
        <v>59.52</v>
      </c>
      <c r="K2182" s="3">
        <v>58.7</v>
      </c>
      <c r="L2182" s="3">
        <v>1547.2126881803199</v>
      </c>
    </row>
    <row r="2183" spans="1:12" ht="15" customHeight="1" x14ac:dyDescent="0.2">
      <c r="A2183" s="2">
        <v>42881</v>
      </c>
      <c r="B2183" s="3">
        <v>59.26</v>
      </c>
      <c r="C2183" s="1">
        <v>483091</v>
      </c>
      <c r="D2183" s="3">
        <v>5.9999999999995099E-2</v>
      </c>
      <c r="E2183" s="3">
        <v>0.101351351351341</v>
      </c>
      <c r="F2183" s="3">
        <v>0.101347782067784</v>
      </c>
      <c r="G2183" s="3">
        <v>63.717606000000004</v>
      </c>
      <c r="H2183" s="3">
        <v>1675.61240168626</v>
      </c>
      <c r="I2183" s="3">
        <v>59.01</v>
      </c>
      <c r="J2183" s="3">
        <v>59.4</v>
      </c>
      <c r="K2183" s="3">
        <v>58.68</v>
      </c>
      <c r="L2183" s="3">
        <v>1551.3927237619</v>
      </c>
    </row>
    <row r="2184" spans="1:12" ht="15" customHeight="1" x14ac:dyDescent="0.2">
      <c r="A2184" s="2">
        <v>42880</v>
      </c>
      <c r="B2184" s="3">
        <v>59.2</v>
      </c>
      <c r="C2184" s="1">
        <v>676786</v>
      </c>
      <c r="D2184" s="3">
        <v>-1.9999999999996E-2</v>
      </c>
      <c r="E2184" s="3">
        <v>-3.3772374197904499E-2</v>
      </c>
      <c r="F2184" s="3">
        <v>-3.3777988376304503E-2</v>
      </c>
      <c r="G2184" s="3">
        <v>63.653095</v>
      </c>
      <c r="H2184" s="3">
        <v>1673.81467985023</v>
      </c>
      <c r="I2184" s="3">
        <v>59.5</v>
      </c>
      <c r="J2184" s="3">
        <v>60.13</v>
      </c>
      <c r="K2184" s="3">
        <v>59.19</v>
      </c>
      <c r="L2184" s="3">
        <v>1549.7207095292699</v>
      </c>
    </row>
    <row r="2185" spans="1:12" ht="15" customHeight="1" x14ac:dyDescent="0.2">
      <c r="A2185" s="2">
        <v>42879</v>
      </c>
      <c r="B2185" s="3">
        <v>59.22</v>
      </c>
      <c r="C2185" s="1">
        <v>723448</v>
      </c>
      <c r="D2185" s="3">
        <v>0.869999999999997</v>
      </c>
      <c r="E2185" s="3">
        <v>1.4910025706940699</v>
      </c>
      <c r="F2185" s="3">
        <v>1.49101147441339</v>
      </c>
      <c r="G2185" s="3">
        <v>63.674602999999998</v>
      </c>
      <c r="H2185" s="3">
        <v>1674.4140412188201</v>
      </c>
      <c r="I2185" s="3">
        <v>59.89</v>
      </c>
      <c r="J2185" s="3">
        <v>59.89</v>
      </c>
      <c r="K2185" s="3">
        <v>58.46</v>
      </c>
      <c r="L2185" s="3">
        <v>1550.2780476068101</v>
      </c>
    </row>
    <row r="2186" spans="1:12" ht="15" customHeight="1" x14ac:dyDescent="0.2">
      <c r="A2186" s="2">
        <v>42878</v>
      </c>
      <c r="B2186" s="3">
        <v>58.35</v>
      </c>
      <c r="C2186" s="1">
        <v>1041292.99999999</v>
      </c>
      <c r="D2186" s="3">
        <v>-8.9999999999996305E-2</v>
      </c>
      <c r="E2186" s="3">
        <v>-0.15400410677617299</v>
      </c>
      <c r="F2186" s="3">
        <v>-0.15400584690994301</v>
      </c>
      <c r="G2186" s="3">
        <v>62.739154999999997</v>
      </c>
      <c r="H2186" s="3">
        <v>1648.3460017207201</v>
      </c>
      <c r="I2186" s="3">
        <v>58.61</v>
      </c>
      <c r="J2186" s="3">
        <v>58.695</v>
      </c>
      <c r="K2186" s="3">
        <v>57.8</v>
      </c>
      <c r="L2186" s="3">
        <v>1526.03384123366</v>
      </c>
    </row>
    <row r="2187" spans="1:12" ht="15" customHeight="1" x14ac:dyDescent="0.2">
      <c r="A2187" s="2">
        <v>42877</v>
      </c>
      <c r="B2187" s="3">
        <v>58.44</v>
      </c>
      <c r="C2187" s="1">
        <v>905443</v>
      </c>
      <c r="D2187" s="3">
        <v>-0.49000000000000199</v>
      </c>
      <c r="E2187" s="3">
        <v>-0.831494994060755</v>
      </c>
      <c r="F2187" s="3">
        <v>-0.83149596407418003</v>
      </c>
      <c r="G2187" s="3">
        <v>62.835926000000001</v>
      </c>
      <c r="H2187" s="3">
        <v>1651.04270987582</v>
      </c>
      <c r="I2187" s="3">
        <v>59.02</v>
      </c>
      <c r="J2187" s="3">
        <v>59.5</v>
      </c>
      <c r="K2187" s="3">
        <v>58.34</v>
      </c>
      <c r="L2187" s="3">
        <v>1528.5418625826101</v>
      </c>
    </row>
    <row r="2188" spans="1:12" ht="15" customHeight="1" x14ac:dyDescent="0.2">
      <c r="A2188" s="2">
        <v>42874</v>
      </c>
      <c r="B2188" s="3">
        <v>58.93</v>
      </c>
      <c r="C2188" s="1">
        <v>941224</v>
      </c>
      <c r="D2188" s="3">
        <v>0.310000000000002</v>
      </c>
      <c r="E2188" s="3">
        <v>0.52882975093824203</v>
      </c>
      <c r="F2188" s="3">
        <v>0.52883203117779498</v>
      </c>
      <c r="G2188" s="3">
        <v>63.362785000000002</v>
      </c>
      <c r="H2188" s="3">
        <v>1665.72463898565</v>
      </c>
      <c r="I2188" s="3">
        <v>58.68</v>
      </c>
      <c r="J2188" s="3">
        <v>59.255000000000003</v>
      </c>
      <c r="K2188" s="3">
        <v>58.54</v>
      </c>
      <c r="L2188" s="3">
        <v>1542.1966454824301</v>
      </c>
    </row>
    <row r="2189" spans="1:12" ht="15" customHeight="1" x14ac:dyDescent="0.2">
      <c r="A2189" s="2">
        <v>42873</v>
      </c>
      <c r="B2189" s="3">
        <v>58.62</v>
      </c>
      <c r="C2189" s="1">
        <v>913531</v>
      </c>
      <c r="D2189" s="3">
        <v>0.35999999999999899</v>
      </c>
      <c r="E2189" s="3">
        <v>0.61791967044284501</v>
      </c>
      <c r="F2189" s="3">
        <v>0.61791706628293497</v>
      </c>
      <c r="G2189" s="3">
        <v>63.029465000000002</v>
      </c>
      <c r="H2189" s="3">
        <v>1656.4360425853099</v>
      </c>
      <c r="I2189" s="3">
        <v>58</v>
      </c>
      <c r="J2189" s="3">
        <v>58.93</v>
      </c>
      <c r="K2189" s="3">
        <v>57.935000000000002</v>
      </c>
      <c r="L2189" s="3">
        <v>1533.5579052805001</v>
      </c>
    </row>
    <row r="2190" spans="1:12" ht="15" customHeight="1" x14ac:dyDescent="0.2">
      <c r="A2190" s="2">
        <v>42872</v>
      </c>
      <c r="B2190" s="3">
        <v>58.26</v>
      </c>
      <c r="C2190" s="1">
        <v>1043156</v>
      </c>
      <c r="D2190" s="3">
        <v>4.9999999999997102E-2</v>
      </c>
      <c r="E2190" s="3">
        <v>8.5895894176246601E-2</v>
      </c>
      <c r="F2190" s="3">
        <v>8.5894199276803598E-2</v>
      </c>
      <c r="G2190" s="3">
        <v>62.642386999999999</v>
      </c>
      <c r="H2190" s="3">
        <v>1645.6493771663299</v>
      </c>
      <c r="I2190" s="3">
        <v>57.79</v>
      </c>
      <c r="J2190" s="3">
        <v>58.68</v>
      </c>
      <c r="K2190" s="3">
        <v>57.79</v>
      </c>
      <c r="L2190" s="3">
        <v>1523.52581988471</v>
      </c>
    </row>
    <row r="2191" spans="1:12" ht="15" customHeight="1" x14ac:dyDescent="0.2">
      <c r="A2191" s="2">
        <v>42871</v>
      </c>
      <c r="B2191" s="3">
        <v>58.21</v>
      </c>
      <c r="C2191" s="1">
        <v>1271731</v>
      </c>
      <c r="D2191" s="3">
        <v>-0.32</v>
      </c>
      <c r="E2191" s="3">
        <v>-0.54672817358619696</v>
      </c>
      <c r="F2191" s="3">
        <v>-0.54672692638613096</v>
      </c>
      <c r="G2191" s="3">
        <v>62.588627000000002</v>
      </c>
      <c r="H2191" s="3">
        <v>1644.1512524139</v>
      </c>
      <c r="I2191" s="3">
        <v>58.43</v>
      </c>
      <c r="J2191" s="3">
        <v>58.79</v>
      </c>
      <c r="K2191" s="3">
        <v>57.655000000000001</v>
      </c>
      <c r="L2191" s="3">
        <v>1522.1324746908599</v>
      </c>
    </row>
    <row r="2192" spans="1:12" ht="15" customHeight="1" x14ac:dyDescent="0.2">
      <c r="A2192" s="2">
        <v>42870</v>
      </c>
      <c r="B2192" s="3">
        <v>58.53</v>
      </c>
      <c r="C2192" s="1">
        <v>1052458</v>
      </c>
      <c r="D2192" s="3">
        <v>-0.40999999999999598</v>
      </c>
      <c r="E2192" s="3">
        <v>-0.69562266711910004</v>
      </c>
      <c r="F2192" s="3">
        <v>-0.28843183066269401</v>
      </c>
      <c r="G2192" s="3">
        <v>62.932696999999997</v>
      </c>
      <c r="H2192" s="3">
        <v>1653.73941803092</v>
      </c>
      <c r="I2192" s="3">
        <v>58.82</v>
      </c>
      <c r="J2192" s="3">
        <v>59.4</v>
      </c>
      <c r="K2192" s="3">
        <v>58.484999999999999</v>
      </c>
      <c r="L2192" s="3">
        <v>1531.0498839315501</v>
      </c>
    </row>
    <row r="2193" spans="1:12" ht="15" customHeight="1" x14ac:dyDescent="0.2">
      <c r="A2193" s="2">
        <v>42867</v>
      </c>
      <c r="B2193" s="3">
        <v>58.94</v>
      </c>
      <c r="C2193" s="1">
        <v>2043645</v>
      </c>
      <c r="D2193" s="3">
        <v>-1.53999999999999</v>
      </c>
      <c r="E2193" s="3">
        <v>-2.5462962962962901</v>
      </c>
      <c r="F2193" s="3">
        <v>-2.5462982263862601</v>
      </c>
      <c r="G2193" s="3">
        <v>63.114739999999998</v>
      </c>
      <c r="H2193" s="3">
        <v>1658.8123928134301</v>
      </c>
      <c r="I2193" s="3">
        <v>60.21</v>
      </c>
      <c r="J2193" s="3">
        <v>60.3</v>
      </c>
      <c r="K2193" s="3">
        <v>58.16</v>
      </c>
      <c r="L2193" s="3">
        <v>1542.4753145212001</v>
      </c>
    </row>
    <row r="2194" spans="1:12" ht="15" customHeight="1" x14ac:dyDescent="0.2">
      <c r="A2194" s="2">
        <v>42866</v>
      </c>
      <c r="B2194" s="3">
        <v>60.48</v>
      </c>
      <c r="C2194" s="1">
        <v>1390731</v>
      </c>
      <c r="D2194" s="3">
        <v>-1.89</v>
      </c>
      <c r="E2194" s="3">
        <v>-3.0303030303030201</v>
      </c>
      <c r="F2194" s="3">
        <v>-3.0303039377466101</v>
      </c>
      <c r="G2194" s="3">
        <v>64.763819999999996</v>
      </c>
      <c r="H2194" s="3">
        <v>1704.7671466592201</v>
      </c>
      <c r="I2194" s="3">
        <v>62.07</v>
      </c>
      <c r="J2194" s="3">
        <v>62.14</v>
      </c>
      <c r="K2194" s="3">
        <v>60.24</v>
      </c>
      <c r="L2194" s="3">
        <v>1585.39034649206</v>
      </c>
    </row>
    <row r="2195" spans="1:12" ht="15" customHeight="1" x14ac:dyDescent="0.2">
      <c r="A2195" s="2">
        <v>42865</v>
      </c>
      <c r="B2195" s="3">
        <v>62.37</v>
      </c>
      <c r="C2195" s="1">
        <v>852170</v>
      </c>
      <c r="D2195" s="3">
        <v>-0.20000000000000201</v>
      </c>
      <c r="E2195" s="3">
        <v>-0.31964200095892997</v>
      </c>
      <c r="F2195" s="3">
        <v>-0.319638916260434</v>
      </c>
      <c r="G2195" s="3">
        <v>66.787689999999998</v>
      </c>
      <c r="H2195" s="3">
        <v>1761.16613740913</v>
      </c>
      <c r="I2195" s="3">
        <v>62.5</v>
      </c>
      <c r="J2195" s="3">
        <v>62.99</v>
      </c>
      <c r="K2195" s="3">
        <v>61.559399999999997</v>
      </c>
      <c r="L2195" s="3">
        <v>1638.05879481994</v>
      </c>
    </row>
    <row r="2196" spans="1:12" ht="15" customHeight="1" x14ac:dyDescent="0.2">
      <c r="A2196" s="2">
        <v>42864</v>
      </c>
      <c r="B2196" s="3">
        <v>62.57</v>
      </c>
      <c r="C2196" s="1">
        <v>730636</v>
      </c>
      <c r="D2196" s="3">
        <v>0.57999999999999796</v>
      </c>
      <c r="E2196" s="3">
        <v>0.93563477980318499</v>
      </c>
      <c r="F2196" s="3">
        <v>0.93563083588583595</v>
      </c>
      <c r="G2196" s="3">
        <v>67.001853999999994</v>
      </c>
      <c r="H2196" s="3">
        <v>1767.1342250110899</v>
      </c>
      <c r="I2196" s="3">
        <v>62.09</v>
      </c>
      <c r="J2196" s="3">
        <v>62.81</v>
      </c>
      <c r="K2196" s="3">
        <v>62</v>
      </c>
      <c r="L2196" s="3">
        <v>1643.63217559538</v>
      </c>
    </row>
    <row r="2197" spans="1:12" ht="15" customHeight="1" x14ac:dyDescent="0.2">
      <c r="A2197" s="2">
        <v>42863</v>
      </c>
      <c r="B2197" s="3">
        <v>61.99</v>
      </c>
      <c r="C2197" s="1">
        <v>932513</v>
      </c>
      <c r="D2197" s="3">
        <v>-1.0799999999999901</v>
      </c>
      <c r="E2197" s="3">
        <v>-1.71238306643412</v>
      </c>
      <c r="F2197" s="3">
        <v>-1.7123804382380301</v>
      </c>
      <c r="G2197" s="3">
        <v>66.380775</v>
      </c>
      <c r="H2197" s="3">
        <v>1749.8266762179501</v>
      </c>
      <c r="I2197" s="3">
        <v>63.19</v>
      </c>
      <c r="J2197" s="3">
        <v>63.57</v>
      </c>
      <c r="K2197" s="3">
        <v>61.84</v>
      </c>
      <c r="L2197" s="3">
        <v>1627.4693713466099</v>
      </c>
    </row>
    <row r="2198" spans="1:12" ht="15" customHeight="1" x14ac:dyDescent="0.2">
      <c r="A2198" s="2">
        <v>42860</v>
      </c>
      <c r="B2198" s="3">
        <v>63.07</v>
      </c>
      <c r="C2198" s="1">
        <v>1545220</v>
      </c>
      <c r="D2198" s="3">
        <v>0.48499999999999899</v>
      </c>
      <c r="E2198" s="3">
        <v>0.774946073340254</v>
      </c>
      <c r="F2198" s="3">
        <v>0.77495100787530102</v>
      </c>
      <c r="G2198" s="3">
        <v>67.537270000000007</v>
      </c>
      <c r="H2198" s="3">
        <v>1782.0546112173899</v>
      </c>
      <c r="I2198" s="3">
        <v>62.55</v>
      </c>
      <c r="J2198" s="3">
        <v>63.5</v>
      </c>
      <c r="K2198" s="3">
        <v>62.31</v>
      </c>
      <c r="L2198" s="3">
        <v>1657.56562753397</v>
      </c>
    </row>
    <row r="2199" spans="1:12" ht="15" customHeight="1" x14ac:dyDescent="0.2">
      <c r="A2199" s="2">
        <v>42859</v>
      </c>
      <c r="B2199" s="3">
        <v>62.585000000000001</v>
      </c>
      <c r="C2199" s="1">
        <v>5036792</v>
      </c>
      <c r="D2199" s="3">
        <v>-4.5049999999999999</v>
      </c>
      <c r="E2199" s="3">
        <v>-6.71486063496795</v>
      </c>
      <c r="F2199" s="3">
        <v>-6.71485482030009</v>
      </c>
      <c r="G2199" s="3">
        <v>67.017914000000005</v>
      </c>
      <c r="H2199" s="3">
        <v>1767.5817674873599</v>
      </c>
      <c r="I2199" s="3">
        <v>61.2</v>
      </c>
      <c r="J2199" s="3">
        <v>63</v>
      </c>
      <c r="K2199" s="3">
        <v>60.02</v>
      </c>
      <c r="L2199" s="3">
        <v>1644.0501791535301</v>
      </c>
    </row>
    <row r="2200" spans="1:12" ht="15" customHeight="1" x14ac:dyDescent="0.2">
      <c r="A2200" s="2">
        <v>42858</v>
      </c>
      <c r="B2200" s="3">
        <v>67.09</v>
      </c>
      <c r="C2200" s="1">
        <v>1498895</v>
      </c>
      <c r="D2200" s="3">
        <v>1.18</v>
      </c>
      <c r="E2200" s="3">
        <v>1.79032013351541</v>
      </c>
      <c r="F2200" s="3">
        <v>1.7903061884487901</v>
      </c>
      <c r="G2200" s="3">
        <v>71.841999999999999</v>
      </c>
      <c r="H2200" s="3">
        <v>1902.0141083446199</v>
      </c>
      <c r="I2200" s="3">
        <v>65.87</v>
      </c>
      <c r="J2200" s="3">
        <v>67.14</v>
      </c>
      <c r="K2200" s="3">
        <v>65.370099999999994</v>
      </c>
      <c r="L2200" s="3">
        <v>1769.5905811202499</v>
      </c>
    </row>
    <row r="2201" spans="1:12" ht="15" customHeight="1" x14ac:dyDescent="0.2">
      <c r="A2201" s="2">
        <v>42857</v>
      </c>
      <c r="B2201" s="3">
        <v>65.91</v>
      </c>
      <c r="C2201" s="1">
        <v>1400319</v>
      </c>
      <c r="D2201" s="3">
        <v>2.1099999999999901</v>
      </c>
      <c r="E2201" s="3">
        <v>3.30721003134795</v>
      </c>
      <c r="F2201" s="3">
        <v>3.3072068698917798</v>
      </c>
      <c r="G2201" s="3">
        <v>70.578429999999997</v>
      </c>
      <c r="H2201" s="3">
        <v>1866.8023246125299</v>
      </c>
      <c r="I2201" s="3">
        <v>64.02</v>
      </c>
      <c r="J2201" s="3">
        <v>66.25</v>
      </c>
      <c r="K2201" s="3">
        <v>64.02</v>
      </c>
      <c r="L2201" s="3">
        <v>1736.7076345451701</v>
      </c>
    </row>
    <row r="2202" spans="1:12" ht="15" customHeight="1" x14ac:dyDescent="0.2">
      <c r="A2202" s="2">
        <v>42856</v>
      </c>
      <c r="B2202" s="3">
        <v>63.8</v>
      </c>
      <c r="C2202" s="1">
        <v>484708</v>
      </c>
      <c r="D2202" s="3">
        <v>-0.35999999999999899</v>
      </c>
      <c r="E2202" s="3">
        <v>-0.56109725685785605</v>
      </c>
      <c r="F2202" s="3">
        <v>-0.56109154461918498</v>
      </c>
      <c r="G2202" s="3">
        <v>68.318979999999996</v>
      </c>
      <c r="H2202" s="3">
        <v>1803.8384486472301</v>
      </c>
      <c r="I2202" s="3">
        <v>64.19</v>
      </c>
      <c r="J2202" s="3">
        <v>64.5</v>
      </c>
      <c r="K2202" s="3">
        <v>63.58</v>
      </c>
      <c r="L2202" s="3">
        <v>1677.9084673643099</v>
      </c>
    </row>
    <row r="2203" spans="1:12" ht="15" customHeight="1" x14ac:dyDescent="0.2">
      <c r="A2203" s="2">
        <v>42853</v>
      </c>
      <c r="B2203" s="3">
        <v>64.16</v>
      </c>
      <c r="C2203" s="1">
        <v>624726</v>
      </c>
      <c r="D2203" s="3">
        <v>-0.57999999999999796</v>
      </c>
      <c r="E2203" s="3">
        <v>-0.89589125733703301</v>
      </c>
      <c r="F2203" s="3">
        <v>-0.895887539535555</v>
      </c>
      <c r="G2203" s="3">
        <v>68.704475000000002</v>
      </c>
      <c r="H2203" s="3">
        <v>1814.58100075736</v>
      </c>
      <c r="I2203" s="3">
        <v>65.02</v>
      </c>
      <c r="J2203" s="3">
        <v>65.03</v>
      </c>
      <c r="K2203" s="3">
        <v>63.67</v>
      </c>
      <c r="L2203" s="3">
        <v>1687.9405527601</v>
      </c>
    </row>
    <row r="2204" spans="1:12" ht="15" customHeight="1" x14ac:dyDescent="0.2">
      <c r="A2204" s="2">
        <v>42852</v>
      </c>
      <c r="B2204" s="3">
        <v>64.739999999999995</v>
      </c>
      <c r="C2204" s="1">
        <v>370969</v>
      </c>
      <c r="D2204" s="3">
        <v>-0.310000000000002</v>
      </c>
      <c r="E2204" s="3">
        <v>-0.47655649500384301</v>
      </c>
      <c r="F2204" s="3">
        <v>-0.47656878970139199</v>
      </c>
      <c r="G2204" s="3">
        <v>69.325553999999997</v>
      </c>
      <c r="H2204" s="3">
        <v>1831.8885495505001</v>
      </c>
      <c r="I2204" s="3">
        <v>65.06</v>
      </c>
      <c r="J2204" s="3">
        <v>65.28</v>
      </c>
      <c r="K2204" s="3">
        <v>64.42</v>
      </c>
      <c r="L2204" s="3">
        <v>1704.10335700886</v>
      </c>
    </row>
    <row r="2205" spans="1:12" ht="15" customHeight="1" x14ac:dyDescent="0.2">
      <c r="A2205" s="2">
        <v>42851</v>
      </c>
      <c r="B2205" s="3">
        <v>65.05</v>
      </c>
      <c r="C2205" s="1">
        <v>516256.99999999901</v>
      </c>
      <c r="D2205" s="3">
        <v>0.34000000000000302</v>
      </c>
      <c r="E2205" s="3">
        <v>0.52542110956577104</v>
      </c>
      <c r="F2205" s="3">
        <v>0.52543220908534105</v>
      </c>
      <c r="G2205" s="3">
        <v>69.657520000000005</v>
      </c>
      <c r="H2205" s="3">
        <v>1841.1394141629901</v>
      </c>
      <c r="I2205" s="3">
        <v>64.83</v>
      </c>
      <c r="J2205" s="3">
        <v>65.349999999999994</v>
      </c>
      <c r="K2205" s="3">
        <v>64.680000000000007</v>
      </c>
      <c r="L2205" s="3">
        <v>1712.74209721079</v>
      </c>
    </row>
    <row r="2206" spans="1:12" ht="15" customHeight="1" x14ac:dyDescent="0.2">
      <c r="A2206" s="2">
        <v>42850</v>
      </c>
      <c r="B2206" s="3">
        <v>64.709999999999994</v>
      </c>
      <c r="C2206" s="1">
        <v>708234</v>
      </c>
      <c r="D2206" s="3">
        <v>0.31999999999999301</v>
      </c>
      <c r="E2206" s="3">
        <v>0.49697157943779902</v>
      </c>
      <c r="F2206" s="3">
        <v>0.49696326814043701</v>
      </c>
      <c r="G2206" s="3">
        <v>69.293430000000001</v>
      </c>
      <c r="H2206" s="3">
        <v>1830.99335313035</v>
      </c>
      <c r="I2206" s="3">
        <v>64.650000000000006</v>
      </c>
      <c r="J2206" s="3">
        <v>65.09</v>
      </c>
      <c r="K2206" s="3">
        <v>64.38</v>
      </c>
      <c r="L2206" s="3">
        <v>1703.2673498925501</v>
      </c>
    </row>
    <row r="2207" spans="1:12" ht="15" customHeight="1" x14ac:dyDescent="0.2">
      <c r="A2207" s="2">
        <v>42849</v>
      </c>
      <c r="B2207" s="3">
        <v>64.39</v>
      </c>
      <c r="C2207" s="1">
        <v>988570</v>
      </c>
      <c r="D2207" s="3">
        <v>1.3599999999999901</v>
      </c>
      <c r="E2207" s="3">
        <v>2.1577026812628901</v>
      </c>
      <c r="F2207" s="3">
        <v>2.1577036567753001</v>
      </c>
      <c r="G2207" s="3">
        <v>68.950770000000006</v>
      </c>
      <c r="H2207" s="3">
        <v>1821.44447984779</v>
      </c>
      <c r="I2207" s="3">
        <v>63.91</v>
      </c>
      <c r="J2207" s="3">
        <v>64.790000000000006</v>
      </c>
      <c r="K2207" s="3">
        <v>63.575000000000003</v>
      </c>
      <c r="L2207" s="3">
        <v>1694.3499406518499</v>
      </c>
    </row>
    <row r="2208" spans="1:12" ht="15" customHeight="1" x14ac:dyDescent="0.2">
      <c r="A2208" s="2">
        <v>42846</v>
      </c>
      <c r="B2208" s="3">
        <v>63.03</v>
      </c>
      <c r="C2208" s="1">
        <v>461383</v>
      </c>
      <c r="D2208" s="3">
        <v>0.130000000000002</v>
      </c>
      <c r="E2208" s="3">
        <v>0.206677265500809</v>
      </c>
      <c r="F2208" s="3">
        <v>0.206680312724039</v>
      </c>
      <c r="G2208" s="3">
        <v>67.494439999999997</v>
      </c>
      <c r="H2208" s="3">
        <v>1780.86107172433</v>
      </c>
      <c r="I2208" s="3">
        <v>62.87</v>
      </c>
      <c r="J2208" s="3">
        <v>63.24</v>
      </c>
      <c r="K2208" s="3">
        <v>62.47</v>
      </c>
      <c r="L2208" s="3">
        <v>1656.4509513788801</v>
      </c>
    </row>
    <row r="2209" spans="1:12" ht="15" customHeight="1" x14ac:dyDescent="0.2">
      <c r="A2209" s="2">
        <v>42845</v>
      </c>
      <c r="B2209" s="3">
        <v>62.9</v>
      </c>
      <c r="C2209" s="1">
        <v>595066</v>
      </c>
      <c r="D2209" s="3">
        <v>0.68999999999999695</v>
      </c>
      <c r="E2209" s="3">
        <v>1.1091464394791599</v>
      </c>
      <c r="F2209" s="3">
        <v>1.1091480296520699</v>
      </c>
      <c r="G2209" s="3">
        <v>67.355230000000006</v>
      </c>
      <c r="H2209" s="3">
        <v>1776.9817200355899</v>
      </c>
      <c r="I2209" s="3">
        <v>62.71</v>
      </c>
      <c r="J2209" s="3">
        <v>63.03</v>
      </c>
      <c r="K2209" s="3">
        <v>62.31</v>
      </c>
      <c r="L2209" s="3">
        <v>1652.8282538748499</v>
      </c>
    </row>
    <row r="2210" spans="1:12" ht="15" customHeight="1" x14ac:dyDescent="0.2">
      <c r="A2210" s="2">
        <v>42844</v>
      </c>
      <c r="B2210" s="3">
        <v>62.21</v>
      </c>
      <c r="C2210" s="1">
        <v>524841</v>
      </c>
      <c r="D2210" s="3">
        <v>0.60000000000000098</v>
      </c>
      <c r="E2210" s="3">
        <v>0.97386787859114998</v>
      </c>
      <c r="F2210" s="3">
        <v>0.97387368032189003</v>
      </c>
      <c r="G2210" s="3">
        <v>66.616355999999996</v>
      </c>
      <c r="H2210" s="3">
        <v>1756.39158930024</v>
      </c>
      <c r="I2210" s="3">
        <v>61.89</v>
      </c>
      <c r="J2210" s="3">
        <v>62.57</v>
      </c>
      <c r="K2210" s="3">
        <v>61.76</v>
      </c>
      <c r="L2210" s="3">
        <v>1633.6000901995901</v>
      </c>
    </row>
    <row r="2211" spans="1:12" ht="15" customHeight="1" x14ac:dyDescent="0.2">
      <c r="A2211" s="2">
        <v>42843</v>
      </c>
      <c r="B2211" s="3">
        <v>61.61</v>
      </c>
      <c r="C2211" s="1">
        <v>289520</v>
      </c>
      <c r="D2211" s="3">
        <v>-0.24000000000000199</v>
      </c>
      <c r="E2211" s="3">
        <v>-0.38803556992724703</v>
      </c>
      <c r="F2211" s="3">
        <v>-0.388045693503003</v>
      </c>
      <c r="G2211" s="3">
        <v>65.973854000000003</v>
      </c>
      <c r="H2211" s="3">
        <v>1738.4870478253399</v>
      </c>
      <c r="I2211" s="3">
        <v>61.73</v>
      </c>
      <c r="J2211" s="3">
        <v>62.18</v>
      </c>
      <c r="K2211" s="3">
        <v>61.545999999999999</v>
      </c>
      <c r="L2211" s="3">
        <v>1616.8799478732799</v>
      </c>
    </row>
    <row r="2212" spans="1:12" ht="15" customHeight="1" x14ac:dyDescent="0.2">
      <c r="A2212" s="2">
        <v>42842</v>
      </c>
      <c r="B2212" s="3">
        <v>61.85</v>
      </c>
      <c r="C2212" s="1">
        <v>555650</v>
      </c>
      <c r="D2212" s="3">
        <v>0.17999999999999899</v>
      </c>
      <c r="E2212" s="3">
        <v>0.29187611480461201</v>
      </c>
      <c r="F2212" s="3">
        <v>0.29189210470925703</v>
      </c>
      <c r="G2212" s="3">
        <v>66.230860000000007</v>
      </c>
      <c r="H2212" s="3">
        <v>1745.6490093232001</v>
      </c>
      <c r="I2212" s="3">
        <v>61.73</v>
      </c>
      <c r="J2212" s="3">
        <v>62.0899</v>
      </c>
      <c r="K2212" s="3">
        <v>61.39</v>
      </c>
      <c r="L2212" s="3">
        <v>1623.5680048038</v>
      </c>
    </row>
    <row r="2213" spans="1:12" ht="15" customHeight="1" x14ac:dyDescent="0.2">
      <c r="A2213" s="2">
        <v>42838</v>
      </c>
      <c r="B2213" s="3">
        <v>61.67</v>
      </c>
      <c r="C2213" s="1">
        <v>660241</v>
      </c>
      <c r="D2213" s="3">
        <v>-0.53999999999999904</v>
      </c>
      <c r="E2213" s="3">
        <v>-0.86802764828805001</v>
      </c>
      <c r="F2213" s="3">
        <v>-0.86803907436785399</v>
      </c>
      <c r="G2213" s="3">
        <v>66.0381</v>
      </c>
      <c r="H2213" s="3">
        <v>1740.2773849318401</v>
      </c>
      <c r="I2213" s="3">
        <v>62.05</v>
      </c>
      <c r="J2213" s="3">
        <v>62.5</v>
      </c>
      <c r="K2213" s="3">
        <v>61.52</v>
      </c>
      <c r="L2213" s="3">
        <v>1618.55196210591</v>
      </c>
    </row>
    <row r="2214" spans="1:12" ht="15" customHeight="1" x14ac:dyDescent="0.2">
      <c r="A2214" s="2">
        <v>42837</v>
      </c>
      <c r="B2214" s="3">
        <v>62.21</v>
      </c>
      <c r="C2214" s="1">
        <v>499916</v>
      </c>
      <c r="D2214" s="3">
        <v>-0.81000000000000205</v>
      </c>
      <c r="E2214" s="3">
        <v>-1.2853062519834899</v>
      </c>
      <c r="F2214" s="3">
        <v>-1.2853083254289499</v>
      </c>
      <c r="G2214" s="3">
        <v>66.616355999999996</v>
      </c>
      <c r="H2214" s="3">
        <v>1756.39158930024</v>
      </c>
      <c r="I2214" s="3">
        <v>63</v>
      </c>
      <c r="J2214" s="3">
        <v>63</v>
      </c>
      <c r="K2214" s="3">
        <v>61.9</v>
      </c>
      <c r="L2214" s="3">
        <v>1633.6000901995901</v>
      </c>
    </row>
    <row r="2215" spans="1:12" ht="15" customHeight="1" x14ac:dyDescent="0.2">
      <c r="A2215" s="2">
        <v>42836</v>
      </c>
      <c r="B2215" s="3">
        <v>63.02</v>
      </c>
      <c r="C2215" s="1">
        <v>513697</v>
      </c>
      <c r="D2215" s="3">
        <v>0.42000000000000098</v>
      </c>
      <c r="E2215" s="3">
        <v>0.67092651757187904</v>
      </c>
      <c r="F2215" s="3">
        <v>0.67094340376976302</v>
      </c>
      <c r="G2215" s="3">
        <v>67.483729999999994</v>
      </c>
      <c r="H2215" s="3">
        <v>1780.5626171838101</v>
      </c>
      <c r="I2215" s="3">
        <v>62.55</v>
      </c>
      <c r="J2215" s="3">
        <v>63.074599999999997</v>
      </c>
      <c r="K2215" s="3">
        <v>62.26</v>
      </c>
      <c r="L2215" s="3">
        <v>1656.1722823401101</v>
      </c>
    </row>
    <row r="2216" spans="1:12" ht="15" customHeight="1" x14ac:dyDescent="0.2">
      <c r="A2216" s="2">
        <v>42835</v>
      </c>
      <c r="B2216" s="3">
        <v>62.6</v>
      </c>
      <c r="C2216" s="1">
        <v>695275</v>
      </c>
      <c r="D2216" s="3">
        <v>-0.82</v>
      </c>
      <c r="E2216" s="3">
        <v>-1.29296751813308</v>
      </c>
      <c r="F2216" s="3">
        <v>-1.29297513831713</v>
      </c>
      <c r="G2216" s="3">
        <v>67.033969999999997</v>
      </c>
      <c r="H2216" s="3">
        <v>1768.0291984960099</v>
      </c>
      <c r="I2216" s="3">
        <v>63.61</v>
      </c>
      <c r="J2216" s="3">
        <v>63.77</v>
      </c>
      <c r="K2216" s="3">
        <v>62.52</v>
      </c>
      <c r="L2216" s="3">
        <v>1644.4681827116899</v>
      </c>
    </row>
    <row r="2217" spans="1:12" ht="15" customHeight="1" x14ac:dyDescent="0.2">
      <c r="A2217" s="2">
        <v>42832</v>
      </c>
      <c r="B2217" s="3">
        <v>63.42</v>
      </c>
      <c r="C2217" s="1">
        <v>638056</v>
      </c>
      <c r="D2217" s="3">
        <v>-0.51999999999999602</v>
      </c>
      <c r="E2217" s="3">
        <v>-0.81326243353142502</v>
      </c>
      <c r="F2217" s="3">
        <v>-0.81326570359180295</v>
      </c>
      <c r="G2217" s="3">
        <v>67.912056000000007</v>
      </c>
      <c r="H2217" s="3">
        <v>1792.4987366539101</v>
      </c>
      <c r="I2217" s="3">
        <v>63.7</v>
      </c>
      <c r="J2217" s="3">
        <v>64.239999999999995</v>
      </c>
      <c r="K2217" s="3">
        <v>63.4</v>
      </c>
      <c r="L2217" s="3">
        <v>1667.3190438909801</v>
      </c>
    </row>
    <row r="2218" spans="1:12" ht="15" customHeight="1" x14ac:dyDescent="0.2">
      <c r="A2218" s="2">
        <v>42831</v>
      </c>
      <c r="B2218" s="3">
        <v>63.94</v>
      </c>
      <c r="C2218" s="1">
        <v>732345</v>
      </c>
      <c r="D2218" s="3">
        <v>0.51999999999999602</v>
      </c>
      <c r="E2218" s="3">
        <v>0.81993062125511595</v>
      </c>
      <c r="F2218" s="3">
        <v>0.81993394515988904</v>
      </c>
      <c r="G2218" s="3">
        <v>68.468890000000002</v>
      </c>
      <c r="H2218" s="3">
        <v>1808.01597620746</v>
      </c>
      <c r="I2218" s="3">
        <v>63.61</v>
      </c>
      <c r="J2218" s="3">
        <v>64.31</v>
      </c>
      <c r="K2218" s="3">
        <v>63.375</v>
      </c>
      <c r="L2218" s="3">
        <v>1681.80983390712</v>
      </c>
    </row>
    <row r="2219" spans="1:12" ht="15" customHeight="1" x14ac:dyDescent="0.2">
      <c r="A2219" s="2">
        <v>42830</v>
      </c>
      <c r="B2219" s="3">
        <v>63.42</v>
      </c>
      <c r="C2219" s="1">
        <v>1219962</v>
      </c>
      <c r="D2219" s="3">
        <v>-7.0000000000000201E-2</v>
      </c>
      <c r="E2219" s="3">
        <v>-0.11025358324145899</v>
      </c>
      <c r="F2219" s="3">
        <v>-0.110262223583257</v>
      </c>
      <c r="G2219" s="3">
        <v>67.912056000000007</v>
      </c>
      <c r="H2219" s="3">
        <v>1792.4987366539101</v>
      </c>
      <c r="I2219" s="3">
        <v>63.89</v>
      </c>
      <c r="J2219" s="3">
        <v>65.09</v>
      </c>
      <c r="K2219" s="3">
        <v>63.34</v>
      </c>
      <c r="L2219" s="3">
        <v>1667.3190438909801</v>
      </c>
    </row>
    <row r="2220" spans="1:12" ht="15" customHeight="1" x14ac:dyDescent="0.2">
      <c r="A2220" s="2">
        <v>42829</v>
      </c>
      <c r="B2220" s="3">
        <v>63.49</v>
      </c>
      <c r="C2220" s="1">
        <v>501791</v>
      </c>
      <c r="D2220" s="3">
        <v>0.310000000000002</v>
      </c>
      <c r="E2220" s="3">
        <v>0.49066160177271201</v>
      </c>
      <c r="F2220" s="3">
        <v>0.49066544320557298</v>
      </c>
      <c r="G2220" s="3">
        <v>67.987020000000001</v>
      </c>
      <c r="H2220" s="3">
        <v>1794.5877512361601</v>
      </c>
      <c r="I2220" s="3">
        <v>63.04</v>
      </c>
      <c r="J2220" s="3">
        <v>63.6</v>
      </c>
      <c r="K2220" s="3">
        <v>62.74</v>
      </c>
      <c r="L2220" s="3">
        <v>1669.2697271623799</v>
      </c>
    </row>
    <row r="2221" spans="1:12" ht="15" customHeight="1" x14ac:dyDescent="0.2">
      <c r="A2221" s="2">
        <v>42828</v>
      </c>
      <c r="B2221" s="3">
        <v>63.18</v>
      </c>
      <c r="C2221" s="1">
        <v>616768</v>
      </c>
      <c r="D2221" s="3">
        <v>-0.17999999999999899</v>
      </c>
      <c r="E2221" s="3">
        <v>-0.28409090909090601</v>
      </c>
      <c r="F2221" s="3">
        <v>-0.284091704654854</v>
      </c>
      <c r="G2221" s="3">
        <v>67.655060000000006</v>
      </c>
      <c r="H2221" s="3">
        <v>1785.3370538250899</v>
      </c>
      <c r="I2221" s="3">
        <v>63.33</v>
      </c>
      <c r="J2221" s="3">
        <v>63.73</v>
      </c>
      <c r="K2221" s="3">
        <v>62.95</v>
      </c>
      <c r="L2221" s="3">
        <v>1660.6309869604599</v>
      </c>
    </row>
    <row r="2222" spans="1:12" ht="15" customHeight="1" x14ac:dyDescent="0.2">
      <c r="A2222" s="2">
        <v>42825</v>
      </c>
      <c r="B2222" s="3">
        <v>63.36</v>
      </c>
      <c r="C2222" s="1">
        <v>401755</v>
      </c>
      <c r="D2222" s="3">
        <v>0.42999999999999899</v>
      </c>
      <c r="E2222" s="3">
        <v>0.683298903543616</v>
      </c>
      <c r="F2222" s="3">
        <v>0.68330332028192498</v>
      </c>
      <c r="G2222" s="3">
        <v>67.847809999999996</v>
      </c>
      <c r="H2222" s="3">
        <v>1790.70839954741</v>
      </c>
      <c r="I2222" s="3">
        <v>62.97</v>
      </c>
      <c r="J2222" s="3">
        <v>63.42</v>
      </c>
      <c r="K2222" s="3">
        <v>62.7</v>
      </c>
      <c r="L2222" s="3">
        <v>1665.64702965835</v>
      </c>
    </row>
    <row r="2223" spans="1:12" ht="15" customHeight="1" x14ac:dyDescent="0.2">
      <c r="A2223" s="2">
        <v>42824</v>
      </c>
      <c r="B2223" s="3">
        <v>62.93</v>
      </c>
      <c r="C2223" s="1">
        <v>255938</v>
      </c>
      <c r="D2223" s="3">
        <v>0.310000000000002</v>
      </c>
      <c r="E2223" s="3">
        <v>0.49504950495049499</v>
      </c>
      <c r="F2223" s="3">
        <v>0.49503843090934402</v>
      </c>
      <c r="G2223" s="3">
        <v>67.387349999999998</v>
      </c>
      <c r="H2223" s="3">
        <v>1777.8768049881301</v>
      </c>
      <c r="I2223" s="3">
        <v>62.58</v>
      </c>
      <c r="J2223" s="3">
        <v>62.984999999999999</v>
      </c>
      <c r="K2223" s="3">
        <v>62.42</v>
      </c>
      <c r="L2223" s="3">
        <v>1653.6642609911601</v>
      </c>
    </row>
    <row r="2224" spans="1:12" ht="15" customHeight="1" x14ac:dyDescent="0.2">
      <c r="A2224" s="2">
        <v>42823</v>
      </c>
      <c r="B2224" s="3">
        <v>62.62</v>
      </c>
      <c r="C2224" s="1">
        <v>562047</v>
      </c>
      <c r="D2224" s="3">
        <v>0.15999999999999601</v>
      </c>
      <c r="E2224" s="3">
        <v>0.25616394492473599</v>
      </c>
      <c r="F2224" s="3">
        <v>0.25617464011604602</v>
      </c>
      <c r="G2224" s="3">
        <v>67.055400000000006</v>
      </c>
      <c r="H2224" s="3">
        <v>1768.6263862461001</v>
      </c>
      <c r="I2224" s="3">
        <v>62.24</v>
      </c>
      <c r="J2224" s="3">
        <v>62.86</v>
      </c>
      <c r="K2224" s="3">
        <v>62.02</v>
      </c>
      <c r="L2224" s="3">
        <v>1645.0255207892301</v>
      </c>
    </row>
    <row r="2225" spans="1:12" ht="15" customHeight="1" x14ac:dyDescent="0.2">
      <c r="A2225" s="2">
        <v>42822</v>
      </c>
      <c r="B2225" s="3">
        <v>62.46</v>
      </c>
      <c r="C2225" s="1">
        <v>723221</v>
      </c>
      <c r="D2225" s="3">
        <v>1.52</v>
      </c>
      <c r="E2225" s="3">
        <v>2.4942566458812099</v>
      </c>
      <c r="F2225" s="3">
        <v>2.4942534372107601</v>
      </c>
      <c r="G2225" s="3">
        <v>66.884060000000005</v>
      </c>
      <c r="H2225" s="3">
        <v>1763.85167093578</v>
      </c>
      <c r="I2225" s="3">
        <v>61.12</v>
      </c>
      <c r="J2225" s="3">
        <v>62.51</v>
      </c>
      <c r="K2225" s="3">
        <v>61.05</v>
      </c>
      <c r="L2225" s="3">
        <v>1640.56681616889</v>
      </c>
    </row>
    <row r="2226" spans="1:12" ht="15" customHeight="1" x14ac:dyDescent="0.2">
      <c r="A2226" s="2">
        <v>42821</v>
      </c>
      <c r="B2226" s="3">
        <v>60.94</v>
      </c>
      <c r="C2226" s="1">
        <v>525872</v>
      </c>
      <c r="D2226" s="3">
        <v>-0.17000000000000101</v>
      </c>
      <c r="E2226" s="3">
        <v>-0.27818687612501902</v>
      </c>
      <c r="F2226" s="3">
        <v>-0.27819425907515899</v>
      </c>
      <c r="G2226" s="3">
        <v>65.256399999999999</v>
      </c>
      <c r="H2226" s="3">
        <v>1718.4938261710399</v>
      </c>
      <c r="I2226" s="3">
        <v>60.45</v>
      </c>
      <c r="J2226" s="3">
        <v>61.05</v>
      </c>
      <c r="K2226" s="3">
        <v>60.13</v>
      </c>
      <c r="L2226" s="3">
        <v>1598.2091222755701</v>
      </c>
    </row>
    <row r="2227" spans="1:12" ht="15" customHeight="1" x14ac:dyDescent="0.2">
      <c r="A2227" s="2">
        <v>42818</v>
      </c>
      <c r="B2227" s="3">
        <v>61.11</v>
      </c>
      <c r="C2227" s="1">
        <v>497693</v>
      </c>
      <c r="D2227" s="3">
        <v>-0.25999999999999801</v>
      </c>
      <c r="E2227" s="3">
        <v>-0.423659768616579</v>
      </c>
      <c r="F2227" s="3">
        <v>-0.42365688196300799</v>
      </c>
      <c r="G2227" s="3">
        <v>65.438445999999999</v>
      </c>
      <c r="H2227" s="3">
        <v>1723.56688455427</v>
      </c>
      <c r="I2227" s="3">
        <v>61.42</v>
      </c>
      <c r="J2227" s="3">
        <v>61.5</v>
      </c>
      <c r="K2227" s="3">
        <v>60.71</v>
      </c>
      <c r="L2227" s="3">
        <v>1602.9464959346899</v>
      </c>
    </row>
    <row r="2228" spans="1:12" ht="15" customHeight="1" x14ac:dyDescent="0.2">
      <c r="A2228" s="2">
        <v>42817</v>
      </c>
      <c r="B2228" s="3">
        <v>61.37</v>
      </c>
      <c r="C2228" s="1">
        <v>641738</v>
      </c>
      <c r="D2228" s="3">
        <v>-0.21</v>
      </c>
      <c r="E2228" s="3">
        <v>-0.341019811627152</v>
      </c>
      <c r="F2228" s="3">
        <v>-0.34101923980343002</v>
      </c>
      <c r="G2228" s="3">
        <v>65.716859999999997</v>
      </c>
      <c r="H2228" s="3">
        <v>1731.3254207303301</v>
      </c>
      <c r="I2228" s="3">
        <v>61.7</v>
      </c>
      <c r="J2228" s="3">
        <v>61.83</v>
      </c>
      <c r="K2228" s="3">
        <v>61.14</v>
      </c>
      <c r="L2228" s="3">
        <v>1610.19189094276</v>
      </c>
    </row>
    <row r="2229" spans="1:12" ht="15" customHeight="1" x14ac:dyDescent="0.2">
      <c r="A2229" s="2">
        <v>42816</v>
      </c>
      <c r="B2229" s="3">
        <v>61.58</v>
      </c>
      <c r="C2229" s="1">
        <v>750210</v>
      </c>
      <c r="D2229" s="3">
        <v>9.9999999999980105E-3</v>
      </c>
      <c r="E2229" s="3">
        <v>1.6241676140982202E-2</v>
      </c>
      <c r="F2229" s="3">
        <v>1.6250317377153298E-2</v>
      </c>
      <c r="G2229" s="3">
        <v>65.941733999999997</v>
      </c>
      <c r="H2229" s="3">
        <v>1737.59196287281</v>
      </c>
      <c r="I2229" s="3">
        <v>61.81</v>
      </c>
      <c r="J2229" s="3">
        <v>61.81</v>
      </c>
      <c r="K2229" s="3">
        <v>60.69</v>
      </c>
      <c r="L2229" s="3">
        <v>1616.04394075696</v>
      </c>
    </row>
    <row r="2230" spans="1:12" ht="15" customHeight="1" x14ac:dyDescent="0.2">
      <c r="A2230" s="2">
        <v>42815</v>
      </c>
      <c r="B2230" s="3">
        <v>61.57</v>
      </c>
      <c r="C2230" s="1">
        <v>721172</v>
      </c>
      <c r="D2230" s="3">
        <v>-0.96999999999999797</v>
      </c>
      <c r="E2230" s="3">
        <v>-1.55100735529261</v>
      </c>
      <c r="F2230" s="3">
        <v>-1.55101416714684</v>
      </c>
      <c r="G2230" s="3">
        <v>65.931020000000004</v>
      </c>
      <c r="H2230" s="3">
        <v>1737.2933968646701</v>
      </c>
      <c r="I2230" s="3">
        <v>62.43</v>
      </c>
      <c r="J2230" s="3">
        <v>62.61</v>
      </c>
      <c r="K2230" s="3">
        <v>61.41</v>
      </c>
      <c r="L2230" s="3">
        <v>1615.76527171819</v>
      </c>
    </row>
    <row r="2231" spans="1:12" ht="15" customHeight="1" x14ac:dyDescent="0.2">
      <c r="A2231" s="2">
        <v>42814</v>
      </c>
      <c r="B2231" s="3">
        <v>62.54</v>
      </c>
      <c r="C2231" s="1">
        <v>372927</v>
      </c>
      <c r="D2231" s="3">
        <v>-0.66000000000000303</v>
      </c>
      <c r="E2231" s="3">
        <v>-1.04430379746836</v>
      </c>
      <c r="F2231" s="3">
        <v>-1.04430082913891</v>
      </c>
      <c r="G2231" s="3">
        <v>66.969729999999998</v>
      </c>
      <c r="H2231" s="3">
        <v>1766.2390285909401</v>
      </c>
      <c r="I2231" s="3">
        <v>63.15</v>
      </c>
      <c r="J2231" s="3">
        <v>63.31</v>
      </c>
      <c r="K2231" s="3">
        <v>62.39</v>
      </c>
      <c r="L2231" s="3">
        <v>1642.79616847906</v>
      </c>
    </row>
    <row r="2232" spans="1:12" ht="15" customHeight="1" x14ac:dyDescent="0.2">
      <c r="A2232" s="2">
        <v>42811</v>
      </c>
      <c r="B2232" s="3">
        <v>63.2</v>
      </c>
      <c r="C2232" s="1">
        <v>925376</v>
      </c>
      <c r="D2232" s="3">
        <v>0.96</v>
      </c>
      <c r="E2232" s="3">
        <v>1.54241645244215</v>
      </c>
      <c r="F2232" s="3">
        <v>1.54241477074943</v>
      </c>
      <c r="G2232" s="3">
        <v>67.676475999999994</v>
      </c>
      <c r="H2232" s="3">
        <v>1785.9338514385199</v>
      </c>
      <c r="I2232" s="3">
        <v>62.57</v>
      </c>
      <c r="J2232" s="3">
        <v>63.465000000000003</v>
      </c>
      <c r="K2232" s="3">
        <v>62.35</v>
      </c>
      <c r="L2232" s="3">
        <v>1661.1883250379999</v>
      </c>
    </row>
    <row r="2233" spans="1:12" ht="15" customHeight="1" x14ac:dyDescent="0.2">
      <c r="A2233" s="2">
        <v>42810</v>
      </c>
      <c r="B2233" s="3">
        <v>62.24</v>
      </c>
      <c r="C2233" s="1">
        <v>480185</v>
      </c>
      <c r="D2233" s="3">
        <v>-0.25999999999999801</v>
      </c>
      <c r="E2233" s="3">
        <v>-0.41599999999999399</v>
      </c>
      <c r="F2233" s="3">
        <v>-0.41599868035114801</v>
      </c>
      <c r="G2233" s="3">
        <v>66.648480000000006</v>
      </c>
      <c r="H2233" s="3">
        <v>1757.2867857203901</v>
      </c>
      <c r="I2233" s="3">
        <v>62.74</v>
      </c>
      <c r="J2233" s="3">
        <v>63.22</v>
      </c>
      <c r="K2233" s="3">
        <v>62.22</v>
      </c>
      <c r="L2233" s="3">
        <v>1634.43609731591</v>
      </c>
    </row>
    <row r="2234" spans="1:12" ht="15" customHeight="1" x14ac:dyDescent="0.2">
      <c r="A2234" s="2">
        <v>42809</v>
      </c>
      <c r="B2234" s="3">
        <v>62.5</v>
      </c>
      <c r="C2234" s="1">
        <v>607069</v>
      </c>
      <c r="D2234" s="3">
        <v>1.03999999999999</v>
      </c>
      <c r="E2234" s="3">
        <v>1.6921575008135199</v>
      </c>
      <c r="F2234" s="3">
        <v>1.69215976787644</v>
      </c>
      <c r="G2234" s="3">
        <v>66.926895000000002</v>
      </c>
      <c r="H2234" s="3">
        <v>1765.04534976336</v>
      </c>
      <c r="I2234" s="3">
        <v>61.63</v>
      </c>
      <c r="J2234" s="3">
        <v>62.79</v>
      </c>
      <c r="K2234" s="3">
        <v>61.38</v>
      </c>
      <c r="L2234" s="3">
        <v>1641.6814923239699</v>
      </c>
    </row>
    <row r="2235" spans="1:12" ht="15" customHeight="1" x14ac:dyDescent="0.2">
      <c r="A2235" s="2">
        <v>42808</v>
      </c>
      <c r="B2235" s="3">
        <v>61.46</v>
      </c>
      <c r="C2235" s="1">
        <v>516167</v>
      </c>
      <c r="D2235" s="3">
        <v>-0.40999999999999598</v>
      </c>
      <c r="E2235" s="3">
        <v>-0.662679812510091</v>
      </c>
      <c r="F2235" s="3">
        <v>-0.66267918065296905</v>
      </c>
      <c r="G2235" s="3">
        <v>65.813230000000004</v>
      </c>
      <c r="H2235" s="3">
        <v>1734.0109542569701</v>
      </c>
      <c r="I2235" s="3">
        <v>61.76</v>
      </c>
      <c r="J2235" s="3">
        <v>62.247999999999998</v>
      </c>
      <c r="K2235" s="3">
        <v>61.46</v>
      </c>
      <c r="L2235" s="3">
        <v>1612.6999122917</v>
      </c>
    </row>
    <row r="2236" spans="1:12" ht="15" customHeight="1" x14ac:dyDescent="0.2">
      <c r="A2236" s="2">
        <v>42807</v>
      </c>
      <c r="B2236" s="3">
        <v>61.87</v>
      </c>
      <c r="C2236" s="1">
        <v>384008</v>
      </c>
      <c r="D2236" s="3">
        <v>-7.0000000000000201E-2</v>
      </c>
      <c r="E2236" s="3">
        <v>-0.11301259283177301</v>
      </c>
      <c r="F2236" s="3">
        <v>-0.113015423680451</v>
      </c>
      <c r="G2236" s="3">
        <v>66.252269999999996</v>
      </c>
      <c r="H2236" s="3">
        <v>1746.24563973521</v>
      </c>
      <c r="I2236" s="3">
        <v>61.82</v>
      </c>
      <c r="J2236" s="3">
        <v>62.177999999999997</v>
      </c>
      <c r="K2236" s="3">
        <v>61.26</v>
      </c>
      <c r="L2236" s="3">
        <v>1624.12534288135</v>
      </c>
    </row>
    <row r="2237" spans="1:12" ht="15" customHeight="1" x14ac:dyDescent="0.2">
      <c r="A2237" s="2">
        <v>42804</v>
      </c>
      <c r="B2237" s="3">
        <v>61.94</v>
      </c>
      <c r="C2237" s="1">
        <v>580130</v>
      </c>
      <c r="D2237" s="3">
        <v>9.9999999999980105E-3</v>
      </c>
      <c r="E2237" s="3">
        <v>1.61472630389125E-2</v>
      </c>
      <c r="F2237" s="3">
        <v>1.6149822095612401E-2</v>
      </c>
      <c r="G2237" s="3">
        <v>66.32723</v>
      </c>
      <c r="H2237" s="3">
        <v>1748.3345428498501</v>
      </c>
      <c r="I2237" s="3">
        <v>62.35</v>
      </c>
      <c r="J2237" s="3">
        <v>62.9</v>
      </c>
      <c r="K2237" s="3">
        <v>61.94</v>
      </c>
      <c r="L2237" s="3">
        <v>1626.07602615275</v>
      </c>
    </row>
    <row r="2238" spans="1:12" ht="15" customHeight="1" x14ac:dyDescent="0.2">
      <c r="A2238" s="2">
        <v>42803</v>
      </c>
      <c r="B2238" s="3">
        <v>61.93</v>
      </c>
      <c r="C2238" s="1">
        <v>549983</v>
      </c>
      <c r="D2238" s="3">
        <v>8.9999999999996305E-2</v>
      </c>
      <c r="E2238" s="3">
        <v>0.145536869340223</v>
      </c>
      <c r="F2238" s="3">
        <v>0.14553577094196199</v>
      </c>
      <c r="G2238" s="3">
        <v>66.316519999999997</v>
      </c>
      <c r="H2238" s="3">
        <v>1748.0360883093199</v>
      </c>
      <c r="I2238" s="3">
        <v>61.72</v>
      </c>
      <c r="J2238" s="3">
        <v>62.24</v>
      </c>
      <c r="K2238" s="3">
        <v>61.72</v>
      </c>
      <c r="L2238" s="3">
        <v>1625.7973571139801</v>
      </c>
    </row>
    <row r="2239" spans="1:12" ht="15" customHeight="1" x14ac:dyDescent="0.2">
      <c r="A2239" s="2">
        <v>42802</v>
      </c>
      <c r="B2239" s="3">
        <v>61.84</v>
      </c>
      <c r="C2239" s="1">
        <v>461935</v>
      </c>
      <c r="D2239" s="3">
        <v>0.23000000000000301</v>
      </c>
      <c r="E2239" s="3">
        <v>0.37331602012660098</v>
      </c>
      <c r="F2239" s="3">
        <v>0.37331758729752801</v>
      </c>
      <c r="G2239" s="3">
        <v>66.220146</v>
      </c>
      <c r="H2239" s="3">
        <v>1745.3504433150599</v>
      </c>
      <c r="I2239" s="3">
        <v>61.81</v>
      </c>
      <c r="J2239" s="3">
        <v>62.02</v>
      </c>
      <c r="K2239" s="3">
        <v>61.57</v>
      </c>
      <c r="L2239" s="3">
        <v>1623.28933576503</v>
      </c>
    </row>
    <row r="2240" spans="1:12" ht="15" customHeight="1" x14ac:dyDescent="0.2">
      <c r="A2240" s="2">
        <v>42801</v>
      </c>
      <c r="B2240" s="3">
        <v>61.61</v>
      </c>
      <c r="C2240" s="1">
        <v>577193</v>
      </c>
      <c r="D2240" s="3">
        <v>-0.219999999999998</v>
      </c>
      <c r="E2240" s="3">
        <v>-0.35581432961345699</v>
      </c>
      <c r="F2240" s="3">
        <v>-0.355819351439912</v>
      </c>
      <c r="G2240" s="3">
        <v>65.973854000000003</v>
      </c>
      <c r="H2240" s="3">
        <v>1738.4870478253399</v>
      </c>
      <c r="I2240" s="3">
        <v>61.48</v>
      </c>
      <c r="J2240" s="3">
        <v>62.01</v>
      </c>
      <c r="K2240" s="3">
        <v>61.18</v>
      </c>
      <c r="L2240" s="3">
        <v>1616.8799478732799</v>
      </c>
    </row>
    <row r="2241" spans="1:12" ht="15" customHeight="1" x14ac:dyDescent="0.2">
      <c r="A2241" s="2">
        <v>42800</v>
      </c>
      <c r="B2241" s="3">
        <v>61.83</v>
      </c>
      <c r="C2241" s="1">
        <v>731364</v>
      </c>
      <c r="D2241" s="3">
        <v>0.69999999999999496</v>
      </c>
      <c r="E2241" s="3">
        <v>1.14510060526744</v>
      </c>
      <c r="F2241" s="3">
        <v>1.5376933311822301</v>
      </c>
      <c r="G2241" s="3">
        <v>66.209440000000001</v>
      </c>
      <c r="H2241" s="3">
        <v>1745.0521002421499</v>
      </c>
      <c r="I2241" s="3">
        <v>60.51</v>
      </c>
      <c r="J2241" s="3">
        <v>62.02</v>
      </c>
      <c r="K2241" s="3">
        <v>60.51</v>
      </c>
      <c r="L2241" s="3">
        <v>1623.0106667262601</v>
      </c>
    </row>
    <row r="2242" spans="1:12" ht="15" customHeight="1" x14ac:dyDescent="0.2">
      <c r="A2242" s="2">
        <v>42797</v>
      </c>
      <c r="B2242" s="3">
        <v>61.13</v>
      </c>
      <c r="C2242" s="1">
        <v>968598</v>
      </c>
      <c r="D2242" s="3">
        <v>-0.46</v>
      </c>
      <c r="E2242" s="3">
        <v>-0.74687449261243699</v>
      </c>
      <c r="F2242" s="3">
        <v>-0.746863309569334</v>
      </c>
      <c r="G2242" s="3">
        <v>65.206760000000003</v>
      </c>
      <c r="H2242" s="3">
        <v>1717.1105130625799</v>
      </c>
      <c r="I2242" s="3">
        <v>61.87</v>
      </c>
      <c r="J2242" s="3">
        <v>61.87</v>
      </c>
      <c r="K2242" s="3">
        <v>60.68</v>
      </c>
      <c r="L2242" s="3">
        <v>1603.5038340122301</v>
      </c>
    </row>
    <row r="2243" spans="1:12" ht="15" customHeight="1" x14ac:dyDescent="0.2">
      <c r="A2243" s="2">
        <v>42796</v>
      </c>
      <c r="B2243" s="3">
        <v>61.59</v>
      </c>
      <c r="C2243" s="1">
        <v>883313</v>
      </c>
      <c r="D2243" s="3">
        <v>0.40000000000000502</v>
      </c>
      <c r="E2243" s="3">
        <v>0.65370158522635102</v>
      </c>
      <c r="F2243" s="3">
        <v>0.653707824714722</v>
      </c>
      <c r="G2243" s="3">
        <v>65.697429999999997</v>
      </c>
      <c r="H2243" s="3">
        <v>1730.783966788</v>
      </c>
      <c r="I2243" s="3">
        <v>61.05</v>
      </c>
      <c r="J2243" s="3">
        <v>61.93</v>
      </c>
      <c r="K2243" s="3">
        <v>60.87</v>
      </c>
      <c r="L2243" s="3">
        <v>1616.3226097957399</v>
      </c>
    </row>
    <row r="2244" spans="1:12" ht="15" customHeight="1" x14ac:dyDescent="0.2">
      <c r="A2244" s="2">
        <v>42795</v>
      </c>
      <c r="B2244" s="3">
        <v>61.19</v>
      </c>
      <c r="C2244" s="1">
        <v>826642</v>
      </c>
      <c r="D2244" s="3">
        <v>0.14000000000000001</v>
      </c>
      <c r="E2244" s="3">
        <v>0.229320229320229</v>
      </c>
      <c r="F2244" s="3">
        <v>0.22931934493928199</v>
      </c>
      <c r="G2244" s="3">
        <v>65.270750000000007</v>
      </c>
      <c r="H2244" s="3">
        <v>1718.8937162416801</v>
      </c>
      <c r="I2244" s="3">
        <v>61.54</v>
      </c>
      <c r="J2244" s="3">
        <v>61.71</v>
      </c>
      <c r="K2244" s="3">
        <v>60.83</v>
      </c>
      <c r="L2244" s="3">
        <v>1605.1758482448599</v>
      </c>
    </row>
    <row r="2245" spans="1:12" ht="15" customHeight="1" x14ac:dyDescent="0.2">
      <c r="A2245" s="2">
        <v>42794</v>
      </c>
      <c r="B2245" s="3">
        <v>61.05</v>
      </c>
      <c r="C2245" s="1">
        <v>1058288</v>
      </c>
      <c r="D2245" s="3">
        <v>2.9999999999994E-2</v>
      </c>
      <c r="E2245" s="3">
        <v>4.9164208456242697E-2</v>
      </c>
      <c r="F2245" s="3">
        <v>4.9153917794941798E-2</v>
      </c>
      <c r="G2245" s="3">
        <v>65.121414000000001</v>
      </c>
      <c r="H2245" s="3">
        <v>1714.73218428428</v>
      </c>
      <c r="I2245" s="3">
        <v>61.06</v>
      </c>
      <c r="J2245" s="3">
        <v>61.59</v>
      </c>
      <c r="K2245" s="3">
        <v>60.83</v>
      </c>
      <c r="L2245" s="3">
        <v>1601.27448170206</v>
      </c>
    </row>
    <row r="2246" spans="1:12" ht="15" customHeight="1" x14ac:dyDescent="0.2">
      <c r="A2246" s="2">
        <v>42793</v>
      </c>
      <c r="B2246" s="3">
        <v>61.02</v>
      </c>
      <c r="C2246" s="1">
        <v>761614</v>
      </c>
      <c r="D2246" s="3">
        <v>-7.9999999999998295E-2</v>
      </c>
      <c r="E2246" s="3">
        <v>-0.13093289689034501</v>
      </c>
      <c r="F2246" s="3">
        <v>-0.13092493642092801</v>
      </c>
      <c r="G2246" s="3">
        <v>65.089420000000004</v>
      </c>
      <c r="H2246" s="3">
        <v>1713.84061056163</v>
      </c>
      <c r="I2246" s="3">
        <v>61.12</v>
      </c>
      <c r="J2246" s="3">
        <v>61.39</v>
      </c>
      <c r="K2246" s="3">
        <v>60.88</v>
      </c>
      <c r="L2246" s="3">
        <v>1600.4384745857401</v>
      </c>
    </row>
    <row r="2247" spans="1:12" ht="15" customHeight="1" x14ac:dyDescent="0.2">
      <c r="A2247" s="2">
        <v>42790</v>
      </c>
      <c r="B2247" s="3">
        <v>61.1</v>
      </c>
      <c r="C2247" s="1">
        <v>1015022</v>
      </c>
      <c r="D2247" s="3">
        <v>-7.9999999999998295E-2</v>
      </c>
      <c r="E2247" s="3">
        <v>-0.13076168682575301</v>
      </c>
      <c r="F2247" s="3">
        <v>-0.130762929120253</v>
      </c>
      <c r="G2247" s="3">
        <v>65.174750000000003</v>
      </c>
      <c r="H2247" s="3">
        <v>1716.2184934694701</v>
      </c>
      <c r="I2247" s="3">
        <v>60.73</v>
      </c>
      <c r="J2247" s="3">
        <v>61.29</v>
      </c>
      <c r="K2247" s="3">
        <v>60.24</v>
      </c>
      <c r="L2247" s="3">
        <v>1602.6678268959199</v>
      </c>
    </row>
    <row r="2248" spans="1:12" ht="15" customHeight="1" x14ac:dyDescent="0.2">
      <c r="A2248" s="2">
        <v>42789</v>
      </c>
      <c r="B2248" s="3">
        <v>61.18</v>
      </c>
      <c r="C2248" s="1">
        <v>1868061</v>
      </c>
      <c r="D2248" s="3">
        <v>1.0799999999999901</v>
      </c>
      <c r="E2248" s="3">
        <v>1.79700499168053</v>
      </c>
      <c r="F2248" s="3">
        <v>1.7970064918514099</v>
      </c>
      <c r="G2248" s="3">
        <v>65.260086000000001</v>
      </c>
      <c r="H2248" s="3">
        <v>1718.59654357873</v>
      </c>
      <c r="I2248" s="3">
        <v>60.6</v>
      </c>
      <c r="J2248" s="3">
        <v>62.17</v>
      </c>
      <c r="K2248" s="3">
        <v>59.59</v>
      </c>
      <c r="L2248" s="3">
        <v>1604.89717920609</v>
      </c>
    </row>
    <row r="2249" spans="1:12" ht="15" customHeight="1" x14ac:dyDescent="0.2">
      <c r="A2249" s="2">
        <v>42788</v>
      </c>
      <c r="B2249" s="3">
        <v>60.1</v>
      </c>
      <c r="C2249" s="1">
        <v>2660916</v>
      </c>
      <c r="D2249" s="3">
        <v>-0.56999999999999995</v>
      </c>
      <c r="E2249" s="3">
        <v>-0.93950881819679899</v>
      </c>
      <c r="F2249" s="3">
        <v>-0.93950389756363095</v>
      </c>
      <c r="G2249" s="3">
        <v>64.108059999999995</v>
      </c>
      <c r="H2249" s="3">
        <v>1686.49314577272</v>
      </c>
      <c r="I2249" s="3">
        <v>59.96</v>
      </c>
      <c r="J2249" s="3">
        <v>60.58</v>
      </c>
      <c r="K2249" s="3">
        <v>59.49</v>
      </c>
      <c r="L2249" s="3">
        <v>1574.8009230187299</v>
      </c>
    </row>
    <row r="2250" spans="1:12" ht="15" customHeight="1" x14ac:dyDescent="0.2">
      <c r="A2250" s="2">
        <v>42787</v>
      </c>
      <c r="B2250" s="3">
        <v>60.67</v>
      </c>
      <c r="C2250" s="1">
        <v>799941</v>
      </c>
      <c r="D2250" s="3">
        <v>-1.1599999999999899</v>
      </c>
      <c r="E2250" s="3">
        <v>-1.87611191978003</v>
      </c>
      <c r="F2250" s="3">
        <v>-1.8761265523071999</v>
      </c>
      <c r="G2250" s="3">
        <v>64.716070000000002</v>
      </c>
      <c r="H2250" s="3">
        <v>1703.4365019990801</v>
      </c>
      <c r="I2250" s="3">
        <v>62</v>
      </c>
      <c r="J2250" s="3">
        <v>62.22</v>
      </c>
      <c r="K2250" s="3">
        <v>60.6</v>
      </c>
      <c r="L2250" s="3">
        <v>1590.68505822873</v>
      </c>
    </row>
    <row r="2251" spans="1:12" ht="15" customHeight="1" x14ac:dyDescent="0.2">
      <c r="A2251" s="2">
        <v>42783</v>
      </c>
      <c r="B2251" s="3">
        <v>61.83</v>
      </c>
      <c r="C2251" s="1">
        <v>695929</v>
      </c>
      <c r="D2251" s="3">
        <v>0.219999999999998</v>
      </c>
      <c r="E2251" s="3">
        <v>0.357084888816738</v>
      </c>
      <c r="F2251" s="3">
        <v>0.35708979010788899</v>
      </c>
      <c r="G2251" s="3">
        <v>65.953440000000001</v>
      </c>
      <c r="H2251" s="3">
        <v>1737.9181728495901</v>
      </c>
      <c r="I2251" s="3">
        <v>61.65</v>
      </c>
      <c r="J2251" s="3">
        <v>62.43</v>
      </c>
      <c r="K2251" s="3">
        <v>61.35</v>
      </c>
      <c r="L2251" s="3">
        <v>1623.0106667262601</v>
      </c>
    </row>
    <row r="2252" spans="1:12" ht="15" customHeight="1" x14ac:dyDescent="0.2">
      <c r="A2252" s="2">
        <v>42782</v>
      </c>
      <c r="B2252" s="3">
        <v>61.61</v>
      </c>
      <c r="C2252" s="1">
        <v>658862</v>
      </c>
      <c r="D2252" s="3">
        <v>-0.17999999999999899</v>
      </c>
      <c r="E2252" s="3">
        <v>-0.29130927334519702</v>
      </c>
      <c r="F2252" s="3">
        <v>-0.291310509648112</v>
      </c>
      <c r="G2252" s="3">
        <v>65.718765000000005</v>
      </c>
      <c r="H2252" s="3">
        <v>1731.3785071822199</v>
      </c>
      <c r="I2252" s="3">
        <v>61.87</v>
      </c>
      <c r="J2252" s="3">
        <v>62.12</v>
      </c>
      <c r="K2252" s="3">
        <v>61.125</v>
      </c>
      <c r="L2252" s="3">
        <v>1616.8799478732799</v>
      </c>
    </row>
    <row r="2253" spans="1:12" ht="15" customHeight="1" x14ac:dyDescent="0.2">
      <c r="A2253" s="2">
        <v>42781</v>
      </c>
      <c r="B2253" s="3">
        <v>61.79</v>
      </c>
      <c r="C2253" s="1">
        <v>501719</v>
      </c>
      <c r="D2253" s="3">
        <v>-0.48000000000000398</v>
      </c>
      <c r="E2253" s="3">
        <v>-0.77083667897864805</v>
      </c>
      <c r="F2253" s="3">
        <v>-0.77083494548105802</v>
      </c>
      <c r="G2253" s="3">
        <v>65.910769999999999</v>
      </c>
      <c r="H2253" s="3">
        <v>1736.7290920611499</v>
      </c>
      <c r="I2253" s="3">
        <v>62.29</v>
      </c>
      <c r="J2253" s="3">
        <v>62.29</v>
      </c>
      <c r="K2253" s="3">
        <v>61.33</v>
      </c>
      <c r="L2253" s="3">
        <v>1621.8959905711699</v>
      </c>
    </row>
    <row r="2254" spans="1:12" ht="15" customHeight="1" x14ac:dyDescent="0.2">
      <c r="A2254" s="2">
        <v>42780</v>
      </c>
      <c r="B2254" s="3">
        <v>62.27</v>
      </c>
      <c r="C2254" s="1">
        <v>369592</v>
      </c>
      <c r="D2254" s="3">
        <v>0.110000000000006</v>
      </c>
      <c r="E2254" s="3">
        <v>0.17696267696267701</v>
      </c>
      <c r="F2254" s="3">
        <v>0.17696888822396001</v>
      </c>
      <c r="G2254" s="3">
        <v>66.422780000000003</v>
      </c>
      <c r="H2254" s="3">
        <v>1750.99722551531</v>
      </c>
      <c r="I2254" s="3">
        <v>61.79</v>
      </c>
      <c r="J2254" s="3">
        <v>62.29</v>
      </c>
      <c r="K2254" s="3">
        <v>61.63</v>
      </c>
      <c r="L2254" s="3">
        <v>1635.27210443222</v>
      </c>
    </row>
    <row r="2255" spans="1:12" ht="15" customHeight="1" x14ac:dyDescent="0.2">
      <c r="A2255" s="2">
        <v>42779</v>
      </c>
      <c r="B2255" s="3">
        <v>62.16</v>
      </c>
      <c r="C2255" s="1">
        <v>405910</v>
      </c>
      <c r="D2255" s="3">
        <v>-0.39</v>
      </c>
      <c r="E2255" s="3">
        <v>-0.62350119904076495</v>
      </c>
      <c r="F2255" s="3">
        <v>-0.62350263670828399</v>
      </c>
      <c r="G2255" s="3">
        <v>66.305440000000004</v>
      </c>
      <c r="H2255" s="3">
        <v>1747.7273230143601</v>
      </c>
      <c r="I2255" s="3">
        <v>62.62</v>
      </c>
      <c r="J2255" s="3">
        <v>62.93</v>
      </c>
      <c r="K2255" s="3">
        <v>62.04</v>
      </c>
      <c r="L2255" s="3">
        <v>1632.20674500573</v>
      </c>
    </row>
    <row r="2256" spans="1:12" ht="15" customHeight="1" x14ac:dyDescent="0.2">
      <c r="A2256" s="2">
        <v>42776</v>
      </c>
      <c r="B2256" s="3">
        <v>62.55</v>
      </c>
      <c r="C2256" s="1">
        <v>687877</v>
      </c>
      <c r="D2256" s="3">
        <v>1.18999999999999</v>
      </c>
      <c r="E2256" s="3">
        <v>1.93937418513689</v>
      </c>
      <c r="F2256" s="3">
        <v>1.93936496608704</v>
      </c>
      <c r="G2256" s="3">
        <v>66.721450000000004</v>
      </c>
      <c r="H2256" s="3">
        <v>1759.32023369631</v>
      </c>
      <c r="I2256" s="3">
        <v>61.36</v>
      </c>
      <c r="J2256" s="3">
        <v>62.73</v>
      </c>
      <c r="K2256" s="3">
        <v>61.36</v>
      </c>
      <c r="L2256" s="3">
        <v>1643.07483751783</v>
      </c>
    </row>
    <row r="2257" spans="1:12" ht="15" customHeight="1" x14ac:dyDescent="0.2">
      <c r="A2257" s="2">
        <v>42775</v>
      </c>
      <c r="B2257" s="3">
        <v>61.36</v>
      </c>
      <c r="C2257" s="1">
        <v>1094634</v>
      </c>
      <c r="D2257" s="3">
        <v>1.45</v>
      </c>
      <c r="E2257" s="3">
        <v>2.4202971123351702</v>
      </c>
      <c r="F2257" s="3">
        <v>2.42030445319245</v>
      </c>
      <c r="G2257" s="3">
        <v>65.452095</v>
      </c>
      <c r="H2257" s="3">
        <v>1723.94723992529</v>
      </c>
      <c r="I2257" s="3">
        <v>59.88</v>
      </c>
      <c r="J2257" s="3">
        <v>61.6</v>
      </c>
      <c r="K2257" s="3">
        <v>59.5</v>
      </c>
      <c r="L2257" s="3">
        <v>1609.91322190398</v>
      </c>
    </row>
    <row r="2258" spans="1:12" ht="15" customHeight="1" x14ac:dyDescent="0.2">
      <c r="A2258" s="2">
        <v>42774</v>
      </c>
      <c r="B2258" s="3">
        <v>59.91</v>
      </c>
      <c r="C2258" s="1">
        <v>719864</v>
      </c>
      <c r="D2258" s="3">
        <v>0.5</v>
      </c>
      <c r="E2258" s="3">
        <v>0.84160915670763403</v>
      </c>
      <c r="F2258" s="3">
        <v>0.84160607909666796</v>
      </c>
      <c r="G2258" s="3">
        <v>63.905389999999997</v>
      </c>
      <c r="H2258" s="3">
        <v>1680.84536036393</v>
      </c>
      <c r="I2258" s="3">
        <v>59.25</v>
      </c>
      <c r="J2258" s="3">
        <v>60.33</v>
      </c>
      <c r="K2258" s="3">
        <v>59.08</v>
      </c>
      <c r="L2258" s="3">
        <v>1569.5062112820699</v>
      </c>
    </row>
    <row r="2259" spans="1:12" ht="15" customHeight="1" x14ac:dyDescent="0.2">
      <c r="A2259" s="2">
        <v>42773</v>
      </c>
      <c r="B2259" s="3">
        <v>59.41</v>
      </c>
      <c r="C2259" s="1">
        <v>804487</v>
      </c>
      <c r="D2259" s="3">
        <v>-2.0000000000003099E-2</v>
      </c>
      <c r="E2259" s="3">
        <v>-3.3653037186609502E-2</v>
      </c>
      <c r="F2259" s="3">
        <v>-3.3651778781951198E-2</v>
      </c>
      <c r="G2259" s="3">
        <v>63.372047000000002</v>
      </c>
      <c r="H2259" s="3">
        <v>1665.9827422493599</v>
      </c>
      <c r="I2259" s="3">
        <v>59.68</v>
      </c>
      <c r="J2259" s="3">
        <v>60.52</v>
      </c>
      <c r="K2259" s="3">
        <v>59.25</v>
      </c>
      <c r="L2259" s="3">
        <v>1555.5727593434799</v>
      </c>
    </row>
    <row r="2260" spans="1:12" ht="15" customHeight="1" x14ac:dyDescent="0.2">
      <c r="A2260" s="2">
        <v>42772</v>
      </c>
      <c r="B2260" s="3">
        <v>59.43</v>
      </c>
      <c r="C2260" s="1">
        <v>652297</v>
      </c>
      <c r="D2260" s="3">
        <v>-0.14000000000000001</v>
      </c>
      <c r="E2260" s="3">
        <v>-0.23501762632197601</v>
      </c>
      <c r="F2260" s="3">
        <v>-0.235018279120802</v>
      </c>
      <c r="G2260" s="3">
        <v>63.393380000000001</v>
      </c>
      <c r="H2260" s="3">
        <v>1666.5772269097699</v>
      </c>
      <c r="I2260" s="3">
        <v>59.44</v>
      </c>
      <c r="J2260" s="3">
        <v>60.47</v>
      </c>
      <c r="K2260" s="3">
        <v>59.22</v>
      </c>
      <c r="L2260" s="3">
        <v>1556.1300974210201</v>
      </c>
    </row>
    <row r="2261" spans="1:12" ht="15" customHeight="1" x14ac:dyDescent="0.2">
      <c r="A2261" s="2">
        <v>42769</v>
      </c>
      <c r="B2261" s="3">
        <v>59.57</v>
      </c>
      <c r="C2261" s="1">
        <v>739463</v>
      </c>
      <c r="D2261" s="3">
        <v>0.28999999999999898</v>
      </c>
      <c r="E2261" s="3">
        <v>0.489203778677471</v>
      </c>
      <c r="F2261" s="3">
        <v>0.489205257679103</v>
      </c>
      <c r="G2261" s="3">
        <v>63.542717000000003</v>
      </c>
      <c r="H2261" s="3">
        <v>1670.7387867340799</v>
      </c>
      <c r="I2261" s="3">
        <v>59.72</v>
      </c>
      <c r="J2261" s="3">
        <v>60.23</v>
      </c>
      <c r="K2261" s="3">
        <v>59.31</v>
      </c>
      <c r="L2261" s="3">
        <v>1560.03146396382</v>
      </c>
    </row>
    <row r="2262" spans="1:12" ht="15" customHeight="1" x14ac:dyDescent="0.2">
      <c r="A2262" s="2">
        <v>42768</v>
      </c>
      <c r="B2262" s="3">
        <v>59.28</v>
      </c>
      <c r="C2262" s="1">
        <v>526458</v>
      </c>
      <c r="D2262" s="3">
        <v>0.30000000000000399</v>
      </c>
      <c r="E2262" s="3">
        <v>0.50864699898272003</v>
      </c>
      <c r="F2262" s="3">
        <v>0.50864545962170304</v>
      </c>
      <c r="G2262" s="3">
        <v>63.233376</v>
      </c>
      <c r="H2262" s="3">
        <v>1662.1184108218099</v>
      </c>
      <c r="I2262" s="3">
        <v>59.07</v>
      </c>
      <c r="J2262" s="3">
        <v>59.74</v>
      </c>
      <c r="K2262" s="3">
        <v>58.78</v>
      </c>
      <c r="L2262" s="3">
        <v>1551.95006183944</v>
      </c>
    </row>
    <row r="2263" spans="1:12" ht="15" customHeight="1" x14ac:dyDescent="0.2">
      <c r="A2263" s="2">
        <v>42767</v>
      </c>
      <c r="B2263" s="3">
        <v>58.98</v>
      </c>
      <c r="C2263" s="1">
        <v>662711</v>
      </c>
      <c r="D2263" s="3">
        <v>-1.28</v>
      </c>
      <c r="E2263" s="3">
        <v>-2.1241287753070099</v>
      </c>
      <c r="F2263" s="3">
        <v>-2.1241241076169302</v>
      </c>
      <c r="G2263" s="3">
        <v>62.91337</v>
      </c>
      <c r="H2263" s="3">
        <v>1653.2008343796799</v>
      </c>
      <c r="I2263" s="3">
        <v>60.22</v>
      </c>
      <c r="J2263" s="3">
        <v>60.63</v>
      </c>
      <c r="K2263" s="3">
        <v>58.92</v>
      </c>
      <c r="L2263" s="3">
        <v>1543.58999067629</v>
      </c>
    </row>
    <row r="2264" spans="1:12" ht="15" customHeight="1" x14ac:dyDescent="0.2">
      <c r="A2264" s="2">
        <v>42766</v>
      </c>
      <c r="B2264" s="3">
        <v>60.26</v>
      </c>
      <c r="C2264" s="1">
        <v>462447</v>
      </c>
      <c r="D2264" s="3">
        <v>-0.219999999999998</v>
      </c>
      <c r="E2264" s="3">
        <v>-0.363756613756616</v>
      </c>
      <c r="F2264" s="3">
        <v>-0.36376160892455101</v>
      </c>
      <c r="G2264" s="3">
        <v>64.278729999999996</v>
      </c>
      <c r="H2264" s="3">
        <v>1691.24919025744</v>
      </c>
      <c r="I2264" s="3">
        <v>60.41</v>
      </c>
      <c r="J2264" s="3">
        <v>60.42</v>
      </c>
      <c r="K2264" s="3">
        <v>59.75</v>
      </c>
      <c r="L2264" s="3">
        <v>1579.25962763908</v>
      </c>
    </row>
    <row r="2265" spans="1:12" ht="15" customHeight="1" x14ac:dyDescent="0.2">
      <c r="A2265" s="2">
        <v>42765</v>
      </c>
      <c r="B2265" s="3">
        <v>60.48</v>
      </c>
      <c r="C2265" s="1">
        <v>650488</v>
      </c>
      <c r="D2265" s="3">
        <v>0.79999999999999705</v>
      </c>
      <c r="E2265" s="3">
        <v>1.34048257372654</v>
      </c>
      <c r="F2265" s="3">
        <v>1.34048270427926</v>
      </c>
      <c r="G2265" s="3">
        <v>64.513405000000006</v>
      </c>
      <c r="H2265" s="3">
        <v>1697.7888559248099</v>
      </c>
      <c r="I2265" s="3">
        <v>59.53</v>
      </c>
      <c r="J2265" s="3">
        <v>60.51</v>
      </c>
      <c r="K2265" s="3">
        <v>59.31</v>
      </c>
      <c r="L2265" s="3">
        <v>1585.39034649206</v>
      </c>
    </row>
    <row r="2266" spans="1:12" ht="15" customHeight="1" x14ac:dyDescent="0.2">
      <c r="A2266" s="2">
        <v>42762</v>
      </c>
      <c r="B2266" s="3">
        <v>59.68</v>
      </c>
      <c r="C2266" s="1">
        <v>377954</v>
      </c>
      <c r="D2266" s="3">
        <v>-0.35999999999999899</v>
      </c>
      <c r="E2266" s="3">
        <v>-0.59960026648900799</v>
      </c>
      <c r="F2266" s="3">
        <v>-0.59959815164748398</v>
      </c>
      <c r="G2266" s="3">
        <v>63.660052999999998</v>
      </c>
      <c r="H2266" s="3">
        <v>1674.0085777674101</v>
      </c>
      <c r="I2266" s="3">
        <v>59.89</v>
      </c>
      <c r="J2266" s="3">
        <v>60.27</v>
      </c>
      <c r="K2266" s="3">
        <v>59.47</v>
      </c>
      <c r="L2266" s="3">
        <v>1563.09682339031</v>
      </c>
    </row>
    <row r="2267" spans="1:12" ht="15" customHeight="1" x14ac:dyDescent="0.2">
      <c r="A2267" s="2">
        <v>42761</v>
      </c>
      <c r="B2267" s="3">
        <v>60.04</v>
      </c>
      <c r="C2267" s="1">
        <v>490137</v>
      </c>
      <c r="D2267" s="3">
        <v>-0.14000000000000001</v>
      </c>
      <c r="E2267" s="3">
        <v>-0.23263542705217399</v>
      </c>
      <c r="F2267" s="3">
        <v>-0.232640738767531</v>
      </c>
      <c r="G2267" s="3">
        <v>64.044060000000002</v>
      </c>
      <c r="H2267" s="3">
        <v>1684.7096639245799</v>
      </c>
      <c r="I2267" s="3">
        <v>60.1</v>
      </c>
      <c r="J2267" s="3">
        <v>60.8</v>
      </c>
      <c r="K2267" s="3">
        <v>60</v>
      </c>
      <c r="L2267" s="3">
        <v>1573.1289087861001</v>
      </c>
    </row>
    <row r="2268" spans="1:12" ht="15" customHeight="1" x14ac:dyDescent="0.2">
      <c r="A2268" s="2">
        <v>42760</v>
      </c>
      <c r="B2268" s="3">
        <v>60.18</v>
      </c>
      <c r="C2268" s="1">
        <v>837889</v>
      </c>
      <c r="D2268" s="3">
        <v>0.25999999999999801</v>
      </c>
      <c r="E2268" s="3">
        <v>0.43391188251000701</v>
      </c>
      <c r="F2268" s="3">
        <v>0.43391599650903701</v>
      </c>
      <c r="G2268" s="3">
        <v>64.193399999999997</v>
      </c>
      <c r="H2268" s="3">
        <v>1688.8713073496001</v>
      </c>
      <c r="I2268" s="3">
        <v>58.99</v>
      </c>
      <c r="J2268" s="3">
        <v>60.56</v>
      </c>
      <c r="K2268" s="3">
        <v>58.95</v>
      </c>
      <c r="L2268" s="3">
        <v>1577.03027532891</v>
      </c>
    </row>
    <row r="2269" spans="1:12" ht="15" customHeight="1" x14ac:dyDescent="0.2">
      <c r="A2269" s="2">
        <v>42759</v>
      </c>
      <c r="B2269" s="3">
        <v>59.92</v>
      </c>
      <c r="C2269" s="1">
        <v>692142</v>
      </c>
      <c r="D2269" s="3">
        <v>-5.9999999999995099E-2</v>
      </c>
      <c r="E2269" s="3">
        <v>-0.100033344448136</v>
      </c>
      <c r="F2269" s="3">
        <v>-0.100034291934081</v>
      </c>
      <c r="G2269" s="3">
        <v>63.916058</v>
      </c>
      <c r="H2269" s="3">
        <v>1681.14264449449</v>
      </c>
      <c r="I2269" s="3">
        <v>59.92</v>
      </c>
      <c r="J2269" s="3">
        <v>60.47</v>
      </c>
      <c r="K2269" s="3">
        <v>59.47</v>
      </c>
      <c r="L2269" s="3">
        <v>1569.7848803208401</v>
      </c>
    </row>
    <row r="2270" spans="1:12" ht="15" customHeight="1" x14ac:dyDescent="0.2">
      <c r="A2270" s="2">
        <v>42758</v>
      </c>
      <c r="B2270" s="3">
        <v>59.98</v>
      </c>
      <c r="C2270" s="1">
        <v>724129</v>
      </c>
      <c r="D2270" s="3">
        <v>0.27999999999999398</v>
      </c>
      <c r="E2270" s="3">
        <v>0.46901172529312202</v>
      </c>
      <c r="F2270" s="3">
        <v>0.469006722372111</v>
      </c>
      <c r="G2270" s="3">
        <v>63.980060000000002</v>
      </c>
      <c r="H2270" s="3">
        <v>1682.92618207644</v>
      </c>
      <c r="I2270" s="3">
        <v>59.4</v>
      </c>
      <c r="J2270" s="3">
        <v>60.16</v>
      </c>
      <c r="K2270" s="3">
        <v>59.07</v>
      </c>
      <c r="L2270" s="3">
        <v>1571.45689455347</v>
      </c>
    </row>
    <row r="2271" spans="1:12" ht="15" customHeight="1" x14ac:dyDescent="0.2">
      <c r="A2271" s="2">
        <v>42755</v>
      </c>
      <c r="B2271" s="3">
        <v>59.7</v>
      </c>
      <c r="C2271" s="1">
        <v>886717</v>
      </c>
      <c r="D2271" s="3">
        <v>0.94000000000000405</v>
      </c>
      <c r="E2271" s="3">
        <v>1.5997277059224</v>
      </c>
      <c r="F2271" s="3">
        <v>1.5997365356802999</v>
      </c>
      <c r="G2271" s="3">
        <v>63.68139</v>
      </c>
      <c r="H2271" s="3">
        <v>1674.60317389544</v>
      </c>
      <c r="I2271" s="3">
        <v>58.54</v>
      </c>
      <c r="J2271" s="3">
        <v>59.89</v>
      </c>
      <c r="K2271" s="3">
        <v>58.53</v>
      </c>
      <c r="L2271" s="3">
        <v>1563.6541614678599</v>
      </c>
    </row>
    <row r="2272" spans="1:12" ht="15" customHeight="1" x14ac:dyDescent="0.2">
      <c r="A2272" s="2">
        <v>42754</v>
      </c>
      <c r="B2272" s="3">
        <v>58.76</v>
      </c>
      <c r="C2272" s="1">
        <v>1074520</v>
      </c>
      <c r="D2272" s="3">
        <v>-0.71999999999999797</v>
      </c>
      <c r="E2272" s="3">
        <v>-1.2104909213180799</v>
      </c>
      <c r="F2272" s="3">
        <v>-1.2104960641303999</v>
      </c>
      <c r="G2272" s="3">
        <v>62.678696000000002</v>
      </c>
      <c r="H2272" s="3">
        <v>1646.6611965792099</v>
      </c>
      <c r="I2272" s="3">
        <v>59.31</v>
      </c>
      <c r="J2272" s="3">
        <v>59.52</v>
      </c>
      <c r="K2272" s="3">
        <v>58.64</v>
      </c>
      <c r="L2272" s="3">
        <v>1537.45927182331</v>
      </c>
    </row>
    <row r="2273" spans="1:12" ht="15" customHeight="1" x14ac:dyDescent="0.2">
      <c r="A2273" s="2">
        <v>42753</v>
      </c>
      <c r="B2273" s="3">
        <v>59.48</v>
      </c>
      <c r="C2273" s="1">
        <v>544278</v>
      </c>
      <c r="D2273" s="3">
        <v>-0.110000000000006</v>
      </c>
      <c r="E2273" s="3">
        <v>-0.18459473065951501</v>
      </c>
      <c r="F2273" s="3">
        <v>-0.18459647310407001</v>
      </c>
      <c r="G2273" s="3">
        <v>63.446716000000002</v>
      </c>
      <c r="H2273" s="3">
        <v>1668.06353609496</v>
      </c>
      <c r="I2273" s="3">
        <v>59.64</v>
      </c>
      <c r="J2273" s="3">
        <v>59.99</v>
      </c>
      <c r="K2273" s="3">
        <v>59</v>
      </c>
      <c r="L2273" s="3">
        <v>1557.52344261488</v>
      </c>
    </row>
    <row r="2274" spans="1:12" ht="15" customHeight="1" x14ac:dyDescent="0.2">
      <c r="A2274" s="2">
        <v>42752</v>
      </c>
      <c r="B2274" s="3">
        <v>59.59</v>
      </c>
      <c r="C2274" s="1">
        <v>734633</v>
      </c>
      <c r="D2274" s="3">
        <v>-0.82999999999999796</v>
      </c>
      <c r="E2274" s="3">
        <v>-1.37371731214829</v>
      </c>
      <c r="F2274" s="3">
        <v>-1.3737086768844899</v>
      </c>
      <c r="G2274" s="3">
        <v>63.564053000000001</v>
      </c>
      <c r="H2274" s="3">
        <v>1671.3333549951999</v>
      </c>
      <c r="I2274" s="3">
        <v>60.29</v>
      </c>
      <c r="J2274" s="3">
        <v>60.72</v>
      </c>
      <c r="K2274" s="3">
        <v>59.43</v>
      </c>
      <c r="L2274" s="3">
        <v>1560.5888020413699</v>
      </c>
    </row>
    <row r="2275" spans="1:12" ht="15" customHeight="1" x14ac:dyDescent="0.2">
      <c r="A2275" s="2">
        <v>42748</v>
      </c>
      <c r="B2275" s="3">
        <v>60.42</v>
      </c>
      <c r="C2275" s="1">
        <v>980435</v>
      </c>
      <c r="D2275" s="3">
        <v>-0.47999999999999599</v>
      </c>
      <c r="E2275" s="3">
        <v>-0.78817733990147398</v>
      </c>
      <c r="F2275" s="3">
        <v>-0.78819089853640001</v>
      </c>
      <c r="G2275" s="3">
        <v>64.449399999999997</v>
      </c>
      <c r="H2275" s="3">
        <v>1696.0052347421499</v>
      </c>
      <c r="I2275" s="3">
        <v>60.64</v>
      </c>
      <c r="J2275" s="3">
        <v>61.28</v>
      </c>
      <c r="K2275" s="3">
        <v>60.21</v>
      </c>
      <c r="L2275" s="3">
        <v>1583.7183322594301</v>
      </c>
    </row>
    <row r="2276" spans="1:12" ht="15" customHeight="1" x14ac:dyDescent="0.2">
      <c r="A2276" s="2">
        <v>42747</v>
      </c>
      <c r="B2276" s="3">
        <v>60.9</v>
      </c>
      <c r="C2276" s="1">
        <v>1400698</v>
      </c>
      <c r="D2276" s="3">
        <v>0.85999999999999899</v>
      </c>
      <c r="E2276" s="3">
        <v>1.4323784143904099</v>
      </c>
      <c r="F2276" s="3">
        <v>1.4323888897737</v>
      </c>
      <c r="G2276" s="3">
        <v>64.961420000000004</v>
      </c>
      <c r="H2276" s="3">
        <v>1710.27364686535</v>
      </c>
      <c r="I2276" s="3">
        <v>60.01</v>
      </c>
      <c r="J2276" s="3">
        <v>61.71</v>
      </c>
      <c r="K2276" s="3">
        <v>59.9</v>
      </c>
      <c r="L2276" s="3">
        <v>1597.0944461204799</v>
      </c>
    </row>
    <row r="2277" spans="1:12" ht="15" customHeight="1" x14ac:dyDescent="0.2">
      <c r="A2277" s="2">
        <v>42746</v>
      </c>
      <c r="B2277" s="3">
        <v>60.04</v>
      </c>
      <c r="C2277" s="1">
        <v>599048</v>
      </c>
      <c r="D2277" s="3">
        <v>0.130000000000002</v>
      </c>
      <c r="E2277" s="3">
        <v>0.216992154899009</v>
      </c>
      <c r="F2277" s="3">
        <v>0.21699265116761299</v>
      </c>
      <c r="G2277" s="3">
        <v>64.044060000000002</v>
      </c>
      <c r="H2277" s="3">
        <v>1684.7096639245799</v>
      </c>
      <c r="I2277" s="3">
        <v>59.54</v>
      </c>
      <c r="J2277" s="3">
        <v>60.19</v>
      </c>
      <c r="K2277" s="3">
        <v>59.3</v>
      </c>
      <c r="L2277" s="3">
        <v>1573.1289087861001</v>
      </c>
    </row>
    <row r="2278" spans="1:12" ht="15" customHeight="1" x14ac:dyDescent="0.2">
      <c r="A2278" s="2">
        <v>42745</v>
      </c>
      <c r="B2278" s="3">
        <v>59.91</v>
      </c>
      <c r="C2278" s="1">
        <v>919505</v>
      </c>
      <c r="D2278" s="3">
        <v>1.52999999999999</v>
      </c>
      <c r="E2278" s="3">
        <v>2.6207605344295799</v>
      </c>
      <c r="F2278" s="3">
        <v>2.6207564175478799</v>
      </c>
      <c r="G2278" s="3">
        <v>63.905389999999997</v>
      </c>
      <c r="H2278" s="3">
        <v>1680.84536036393</v>
      </c>
      <c r="I2278" s="3">
        <v>58.25</v>
      </c>
      <c r="J2278" s="3">
        <v>60.17</v>
      </c>
      <c r="K2278" s="3">
        <v>58.08</v>
      </c>
      <c r="L2278" s="3">
        <v>1569.5062112820699</v>
      </c>
    </row>
    <row r="2279" spans="1:12" ht="15" customHeight="1" x14ac:dyDescent="0.2">
      <c r="A2279" s="2">
        <v>42744</v>
      </c>
      <c r="B2279" s="3">
        <v>58.38</v>
      </c>
      <c r="C2279" s="1">
        <v>566223</v>
      </c>
      <c r="D2279" s="3">
        <v>3.0000000000001099E-2</v>
      </c>
      <c r="E2279" s="3">
        <v>5.1413881748074701E-2</v>
      </c>
      <c r="F2279" s="3">
        <v>5.1420798185741703E-2</v>
      </c>
      <c r="G2279" s="3">
        <v>62.273356999999997</v>
      </c>
      <c r="H2279" s="3">
        <v>1635.36565362854</v>
      </c>
      <c r="I2279" s="3">
        <v>58.4</v>
      </c>
      <c r="J2279" s="3">
        <v>58.86</v>
      </c>
      <c r="K2279" s="3">
        <v>58.075000000000003</v>
      </c>
      <c r="L2279" s="3">
        <v>1526.86984834998</v>
      </c>
    </row>
    <row r="2280" spans="1:12" ht="15" customHeight="1" x14ac:dyDescent="0.2">
      <c r="A2280" s="2">
        <v>42741</v>
      </c>
      <c r="B2280" s="3">
        <v>58.35</v>
      </c>
      <c r="C2280" s="1">
        <v>1135979</v>
      </c>
      <c r="D2280" s="3">
        <v>-4.9999999999997102E-2</v>
      </c>
      <c r="E2280" s="3">
        <v>-8.5616438356161895E-2</v>
      </c>
      <c r="F2280" s="3">
        <v>-8.5626876754984996E-2</v>
      </c>
      <c r="G2280" s="3">
        <v>62.241351999999999</v>
      </c>
      <c r="H2280" s="3">
        <v>1634.4737733699501</v>
      </c>
      <c r="I2280" s="3">
        <v>58.8</v>
      </c>
      <c r="J2280" s="3">
        <v>59</v>
      </c>
      <c r="K2280" s="3">
        <v>58.07</v>
      </c>
      <c r="L2280" s="3">
        <v>1526.03384123366</v>
      </c>
    </row>
    <row r="2281" spans="1:12" ht="15" customHeight="1" x14ac:dyDescent="0.2">
      <c r="A2281" s="2">
        <v>42740</v>
      </c>
      <c r="B2281" s="3">
        <v>58.4</v>
      </c>
      <c r="C2281" s="1">
        <v>1294742</v>
      </c>
      <c r="D2281" s="3">
        <v>-0.99000000000000199</v>
      </c>
      <c r="E2281" s="3">
        <v>-1.6669472975248301</v>
      </c>
      <c r="F2281" s="3">
        <v>-1.66693790803607</v>
      </c>
      <c r="G2281" s="3">
        <v>62.294693000000002</v>
      </c>
      <c r="H2281" s="3">
        <v>1635.96022188966</v>
      </c>
      <c r="I2281" s="3">
        <v>59.03</v>
      </c>
      <c r="J2281" s="3">
        <v>59.44</v>
      </c>
      <c r="K2281" s="3">
        <v>58.18</v>
      </c>
      <c r="L2281" s="3">
        <v>1527.4271864275199</v>
      </c>
    </row>
    <row r="2282" spans="1:12" ht="15" customHeight="1" x14ac:dyDescent="0.2">
      <c r="A2282" s="2">
        <v>42739</v>
      </c>
      <c r="B2282" s="3">
        <v>59.39</v>
      </c>
      <c r="C2282" s="1">
        <v>948106</v>
      </c>
      <c r="D2282" s="3">
        <v>-3.9999999999999099E-2</v>
      </c>
      <c r="E2282" s="3">
        <v>-6.7306074373207903E-2</v>
      </c>
      <c r="F2282" s="3">
        <v>-6.7309867371012605E-2</v>
      </c>
      <c r="G2282" s="3">
        <v>63.350709999999999</v>
      </c>
      <c r="H2282" s="3">
        <v>1665.38814612133</v>
      </c>
      <c r="I2282" s="3">
        <v>58.95</v>
      </c>
      <c r="J2282" s="3">
        <v>59.9</v>
      </c>
      <c r="K2282" s="3">
        <v>58.92</v>
      </c>
      <c r="L2282" s="3">
        <v>1555.0154212659299</v>
      </c>
    </row>
    <row r="2283" spans="1:12" ht="15" customHeight="1" x14ac:dyDescent="0.2">
      <c r="A2283" s="2">
        <v>42738</v>
      </c>
      <c r="B2283" s="3">
        <v>59.43</v>
      </c>
      <c r="C2283" s="1">
        <v>624045</v>
      </c>
      <c r="D2283" s="3">
        <v>-0.45000000000000201</v>
      </c>
      <c r="E2283" s="3">
        <v>-0.75150300601203301</v>
      </c>
      <c r="F2283" s="3">
        <v>-0.75150852325147599</v>
      </c>
      <c r="G2283" s="3">
        <v>63.393380000000001</v>
      </c>
      <c r="H2283" s="3">
        <v>1666.5772269097699</v>
      </c>
      <c r="I2283" s="3">
        <v>60.39</v>
      </c>
      <c r="J2283" s="3">
        <v>60.77</v>
      </c>
      <c r="K2283" s="3">
        <v>59.15</v>
      </c>
      <c r="L2283" s="3">
        <v>1556.1300974210201</v>
      </c>
    </row>
    <row r="2284" spans="1:12" ht="15" customHeight="1" x14ac:dyDescent="0.2">
      <c r="A2284" s="2">
        <v>42734</v>
      </c>
      <c r="B2284" s="3">
        <v>59.88</v>
      </c>
      <c r="C2284" s="1">
        <v>713441</v>
      </c>
      <c r="D2284" s="3">
        <v>-1.3599999999999901</v>
      </c>
      <c r="E2284" s="3">
        <v>-2.22077073807968</v>
      </c>
      <c r="F2284" s="3">
        <v>-2.2207672544692101</v>
      </c>
      <c r="G2284" s="3">
        <v>63.873393999999998</v>
      </c>
      <c r="H2284" s="3">
        <v>1679.9537309074699</v>
      </c>
      <c r="I2284" s="3">
        <v>61.13</v>
      </c>
      <c r="J2284" s="3">
        <v>61.13</v>
      </c>
      <c r="K2284" s="3">
        <v>59.53</v>
      </c>
      <c r="L2284" s="3">
        <v>1568.67020416575</v>
      </c>
    </row>
    <row r="2285" spans="1:12" ht="15" customHeight="1" x14ac:dyDescent="0.2">
      <c r="A2285" s="2">
        <v>42733</v>
      </c>
      <c r="B2285" s="3">
        <v>61.24</v>
      </c>
      <c r="C2285" s="1">
        <v>336535</v>
      </c>
      <c r="D2285" s="3">
        <v>0.42000000000000098</v>
      </c>
      <c r="E2285" s="3">
        <v>0.69056231502795296</v>
      </c>
      <c r="F2285" s="3">
        <v>0.69056889322345305</v>
      </c>
      <c r="G2285" s="3">
        <v>65.324089999999998</v>
      </c>
      <c r="H2285" s="3">
        <v>1720.3801368944901</v>
      </c>
      <c r="I2285" s="3">
        <v>60.92</v>
      </c>
      <c r="J2285" s="3">
        <v>61.45</v>
      </c>
      <c r="K2285" s="3">
        <v>60.75</v>
      </c>
      <c r="L2285" s="3">
        <v>1606.56919343872</v>
      </c>
    </row>
    <row r="2286" spans="1:12" ht="15" customHeight="1" x14ac:dyDescent="0.2">
      <c r="A2286" s="2">
        <v>42732</v>
      </c>
      <c r="B2286" s="3">
        <v>60.82</v>
      </c>
      <c r="C2286" s="1">
        <v>334921</v>
      </c>
      <c r="D2286" s="3">
        <v>-0.28999999999999898</v>
      </c>
      <c r="E2286" s="3">
        <v>-0.47455408280150302</v>
      </c>
      <c r="F2286" s="3">
        <v>-0.47456010868687198</v>
      </c>
      <c r="G2286" s="3">
        <v>64.876075999999998</v>
      </c>
      <c r="H2286" s="3">
        <v>1707.89537382086</v>
      </c>
      <c r="I2286" s="3">
        <v>61.13</v>
      </c>
      <c r="J2286" s="3">
        <v>61.249000000000002</v>
      </c>
      <c r="K2286" s="3">
        <v>60.55</v>
      </c>
      <c r="L2286" s="3">
        <v>1594.8650938103001</v>
      </c>
    </row>
    <row r="2287" spans="1:12" ht="15" customHeight="1" x14ac:dyDescent="0.2">
      <c r="A2287" s="2">
        <v>42731</v>
      </c>
      <c r="B2287" s="3">
        <v>61.11</v>
      </c>
      <c r="C2287" s="1">
        <v>300378</v>
      </c>
      <c r="D2287" s="3">
        <v>0.28000000000000103</v>
      </c>
      <c r="E2287" s="3">
        <v>0.46029919447640999</v>
      </c>
      <c r="F2287" s="3">
        <v>0.460294281960482</v>
      </c>
      <c r="G2287" s="3">
        <v>65.185419999999993</v>
      </c>
      <c r="H2287" s="3">
        <v>1716.51583333384</v>
      </c>
      <c r="I2287" s="3">
        <v>60.84</v>
      </c>
      <c r="J2287" s="3">
        <v>61.35</v>
      </c>
      <c r="K2287" s="3">
        <v>60.41</v>
      </c>
      <c r="L2287" s="3">
        <v>1602.9464959346899</v>
      </c>
    </row>
    <row r="2288" spans="1:12" ht="15" customHeight="1" x14ac:dyDescent="0.2">
      <c r="A2288" s="2">
        <v>42727</v>
      </c>
      <c r="B2288" s="3">
        <v>60.83</v>
      </c>
      <c r="C2288" s="1">
        <v>733666</v>
      </c>
      <c r="D2288" s="3">
        <v>-0.53000000000000103</v>
      </c>
      <c r="E2288" s="3">
        <v>-0.86375488917862497</v>
      </c>
      <c r="F2288" s="3">
        <v>-0.86375386456307701</v>
      </c>
      <c r="G2288" s="3">
        <v>64.886750000000006</v>
      </c>
      <c r="H2288" s="3">
        <v>1708.19282515284</v>
      </c>
      <c r="I2288" s="3">
        <v>61.3</v>
      </c>
      <c r="J2288" s="3">
        <v>61.65</v>
      </c>
      <c r="K2288" s="3">
        <v>60.47</v>
      </c>
      <c r="L2288" s="3">
        <v>1595.1437628490801</v>
      </c>
    </row>
    <row r="2289" spans="1:12" ht="15" customHeight="1" x14ac:dyDescent="0.2">
      <c r="A2289" s="2">
        <v>42726</v>
      </c>
      <c r="B2289" s="3">
        <v>61.36</v>
      </c>
      <c r="C2289" s="1">
        <v>374051</v>
      </c>
      <c r="D2289" s="3">
        <v>4.9999999999997102E-2</v>
      </c>
      <c r="E2289" s="3">
        <v>8.1552764638725905E-2</v>
      </c>
      <c r="F2289" s="3">
        <v>8.1553534042555498E-2</v>
      </c>
      <c r="G2289" s="3">
        <v>65.452095</v>
      </c>
      <c r="H2289" s="3">
        <v>1723.94723992529</v>
      </c>
      <c r="I2289" s="3">
        <v>61.54</v>
      </c>
      <c r="J2289" s="3">
        <v>61.62</v>
      </c>
      <c r="K2289" s="3">
        <v>60.86</v>
      </c>
      <c r="L2289" s="3">
        <v>1609.91322190398</v>
      </c>
    </row>
    <row r="2290" spans="1:12" ht="15" customHeight="1" x14ac:dyDescent="0.2">
      <c r="A2290" s="2">
        <v>42725</v>
      </c>
      <c r="B2290" s="3">
        <v>61.31</v>
      </c>
      <c r="C2290" s="1">
        <v>512855</v>
      </c>
      <c r="D2290" s="3">
        <v>-0.869999999999997</v>
      </c>
      <c r="E2290" s="3">
        <v>-1.39916371823737</v>
      </c>
      <c r="F2290" s="3">
        <v>-1.39915592157164</v>
      </c>
      <c r="G2290" s="3">
        <v>65.398759999999996</v>
      </c>
      <c r="H2290" s="3">
        <v>1722.4609586070001</v>
      </c>
      <c r="I2290" s="3">
        <v>61.98</v>
      </c>
      <c r="J2290" s="3">
        <v>63.463799999999999</v>
      </c>
      <c r="K2290" s="3">
        <v>61.27</v>
      </c>
      <c r="L2290" s="3">
        <v>1608.5198767101199</v>
      </c>
    </row>
    <row r="2291" spans="1:12" ht="15" customHeight="1" x14ac:dyDescent="0.2">
      <c r="A2291" s="2">
        <v>42724</v>
      </c>
      <c r="B2291" s="3">
        <v>62.18</v>
      </c>
      <c r="C2291" s="1">
        <v>471591</v>
      </c>
      <c r="D2291" s="3">
        <v>0.100000000000001</v>
      </c>
      <c r="E2291" s="3">
        <v>0.16108247422681399</v>
      </c>
      <c r="F2291" s="3">
        <v>0.16107644641483099</v>
      </c>
      <c r="G2291" s="3">
        <v>66.326774999999998</v>
      </c>
      <c r="H2291" s="3">
        <v>1748.3218634085799</v>
      </c>
      <c r="I2291" s="3">
        <v>62.07</v>
      </c>
      <c r="J2291" s="3">
        <v>63.39</v>
      </c>
      <c r="K2291" s="3">
        <v>61.98</v>
      </c>
      <c r="L2291" s="3">
        <v>1632.76408308327</v>
      </c>
    </row>
    <row r="2292" spans="1:12" ht="15" customHeight="1" x14ac:dyDescent="0.2">
      <c r="A2292" s="2">
        <v>42723</v>
      </c>
      <c r="B2292" s="3">
        <v>62.08</v>
      </c>
      <c r="C2292" s="1">
        <v>962433</v>
      </c>
      <c r="D2292" s="3">
        <v>-0.46</v>
      </c>
      <c r="E2292" s="3">
        <v>-0.73552926127278195</v>
      </c>
      <c r="F2292" s="3">
        <v>-0.73552574744847299</v>
      </c>
      <c r="G2292" s="3">
        <v>66.220110000000005</v>
      </c>
      <c r="H2292" s="3">
        <v>1745.34944010652</v>
      </c>
      <c r="I2292" s="3">
        <v>62.66</v>
      </c>
      <c r="J2292" s="3">
        <v>63.104999999999997</v>
      </c>
      <c r="K2292" s="3">
        <v>61.91</v>
      </c>
      <c r="L2292" s="3">
        <v>1629.97739269556</v>
      </c>
    </row>
    <row r="2293" spans="1:12" ht="15" customHeight="1" x14ac:dyDescent="0.2">
      <c r="A2293" s="2">
        <v>42720</v>
      </c>
      <c r="B2293" s="3">
        <v>62.54</v>
      </c>
      <c r="C2293" s="1">
        <v>1587226</v>
      </c>
      <c r="D2293" s="3">
        <v>0.619999999999997</v>
      </c>
      <c r="E2293" s="3">
        <v>1.00129198966407</v>
      </c>
      <c r="F2293" s="3">
        <v>1.0012878231821301</v>
      </c>
      <c r="G2293" s="3">
        <v>66.710785000000001</v>
      </c>
      <c r="H2293" s="3">
        <v>1759.02303316646</v>
      </c>
      <c r="I2293" s="3">
        <v>62.17</v>
      </c>
      <c r="J2293" s="3">
        <v>62.84</v>
      </c>
      <c r="K2293" s="3">
        <v>61.632599999999996</v>
      </c>
      <c r="L2293" s="3">
        <v>1642.79616847906</v>
      </c>
    </row>
    <row r="2294" spans="1:12" ht="15" customHeight="1" x14ac:dyDescent="0.2">
      <c r="A2294" s="2">
        <v>42719</v>
      </c>
      <c r="B2294" s="3">
        <v>61.92</v>
      </c>
      <c r="C2294" s="1">
        <v>1220878</v>
      </c>
      <c r="D2294" s="3">
        <v>-0.739999999999994</v>
      </c>
      <c r="E2294" s="3">
        <v>-1.18097669964889</v>
      </c>
      <c r="F2294" s="3">
        <v>-1.18097589737935</v>
      </c>
      <c r="G2294" s="3">
        <v>66.049440000000004</v>
      </c>
      <c r="H2294" s="3">
        <v>1740.5933956218</v>
      </c>
      <c r="I2294" s="3">
        <v>62.93</v>
      </c>
      <c r="J2294" s="3">
        <v>63.14</v>
      </c>
      <c r="K2294" s="3">
        <v>61.73</v>
      </c>
      <c r="L2294" s="3">
        <v>1625.5186880752101</v>
      </c>
    </row>
    <row r="2295" spans="1:12" ht="15" customHeight="1" x14ac:dyDescent="0.2">
      <c r="A2295" s="2">
        <v>42718</v>
      </c>
      <c r="B2295" s="3">
        <v>62.66</v>
      </c>
      <c r="C2295" s="1">
        <v>767717</v>
      </c>
      <c r="D2295" s="3">
        <v>-0.91000000000000303</v>
      </c>
      <c r="E2295" s="3">
        <v>-1.43149284253579</v>
      </c>
      <c r="F2295" s="3">
        <v>-1.4314960091125699</v>
      </c>
      <c r="G2295" s="3">
        <v>66.838790000000003</v>
      </c>
      <c r="H2295" s="3">
        <v>1762.5901361972601</v>
      </c>
      <c r="I2295" s="3">
        <v>63.42</v>
      </c>
      <c r="J2295" s="3">
        <v>63.9</v>
      </c>
      <c r="K2295" s="3">
        <v>62.59</v>
      </c>
      <c r="L2295" s="3">
        <v>1646.14019694432</v>
      </c>
    </row>
    <row r="2296" spans="1:12" ht="15" customHeight="1" x14ac:dyDescent="0.2">
      <c r="A2296" s="2">
        <v>42717</v>
      </c>
      <c r="B2296" s="3">
        <v>63.57</v>
      </c>
      <c r="C2296" s="1">
        <v>790530</v>
      </c>
      <c r="D2296" s="3">
        <v>0.380000000000002</v>
      </c>
      <c r="E2296" s="3">
        <v>0.60136097483780504</v>
      </c>
      <c r="F2296" s="3">
        <v>0.60135772075719995</v>
      </c>
      <c r="G2296" s="3">
        <v>67.809479999999994</v>
      </c>
      <c r="H2296" s="3">
        <v>1789.6402611218</v>
      </c>
      <c r="I2296" s="3">
        <v>63.24</v>
      </c>
      <c r="J2296" s="3">
        <v>64.23</v>
      </c>
      <c r="K2296" s="3">
        <v>63.07</v>
      </c>
      <c r="L2296" s="3">
        <v>1671.49907947256</v>
      </c>
    </row>
    <row r="2297" spans="1:12" ht="15" customHeight="1" x14ac:dyDescent="0.2">
      <c r="A2297" s="2">
        <v>42716</v>
      </c>
      <c r="B2297" s="3">
        <v>63.19</v>
      </c>
      <c r="C2297" s="1">
        <v>603555</v>
      </c>
      <c r="D2297" s="3">
        <v>-0.12000000000000401</v>
      </c>
      <c r="E2297" s="3">
        <v>-0.18954351603223099</v>
      </c>
      <c r="F2297" s="3">
        <v>-0.18953938080445901</v>
      </c>
      <c r="G2297" s="3">
        <v>67.404139999999998</v>
      </c>
      <c r="H2297" s="3">
        <v>1778.34469030422</v>
      </c>
      <c r="I2297" s="3">
        <v>62.61</v>
      </c>
      <c r="J2297" s="3">
        <v>63.24</v>
      </c>
      <c r="K2297" s="3">
        <v>62.37</v>
      </c>
      <c r="L2297" s="3">
        <v>1660.9096559992299</v>
      </c>
    </row>
    <row r="2298" spans="1:12" ht="15" customHeight="1" x14ac:dyDescent="0.2">
      <c r="A2298" s="2">
        <v>42713</v>
      </c>
      <c r="B2298" s="3">
        <v>63.31</v>
      </c>
      <c r="C2298" s="1">
        <v>685778</v>
      </c>
      <c r="D2298" s="3">
        <v>-0.60999999999999899</v>
      </c>
      <c r="E2298" s="3">
        <v>-0.95431789737171402</v>
      </c>
      <c r="F2298" s="3">
        <v>-0.95431083397905503</v>
      </c>
      <c r="G2298" s="3">
        <v>67.532139999999998</v>
      </c>
      <c r="H2298" s="3">
        <v>1781.9116540005</v>
      </c>
      <c r="I2298" s="3">
        <v>64.16</v>
      </c>
      <c r="J2298" s="3">
        <v>64.239999999999995</v>
      </c>
      <c r="K2298" s="3">
        <v>63.08</v>
      </c>
      <c r="L2298" s="3">
        <v>1664.2536844644901</v>
      </c>
    </row>
    <row r="2299" spans="1:12" ht="15" customHeight="1" x14ac:dyDescent="0.2">
      <c r="A2299" s="2">
        <v>42712</v>
      </c>
      <c r="B2299" s="3">
        <v>63.92</v>
      </c>
      <c r="C2299" s="1">
        <v>1204157</v>
      </c>
      <c r="D2299" s="3">
        <v>-0.25</v>
      </c>
      <c r="E2299" s="3">
        <v>-0.389590151160978</v>
      </c>
      <c r="F2299" s="3">
        <v>-0.38958656314816897</v>
      </c>
      <c r="G2299" s="3">
        <v>68.182816000000003</v>
      </c>
      <c r="H2299" s="3">
        <v>1800.04397954769</v>
      </c>
      <c r="I2299" s="3">
        <v>64.02</v>
      </c>
      <c r="J2299" s="3">
        <v>64.41</v>
      </c>
      <c r="K2299" s="3">
        <v>63.25</v>
      </c>
      <c r="L2299" s="3">
        <v>1681.2524958295701</v>
      </c>
    </row>
    <row r="2300" spans="1:12" ht="15" customHeight="1" x14ac:dyDescent="0.2">
      <c r="A2300" s="2">
        <v>42711</v>
      </c>
      <c r="B2300" s="3">
        <v>64.17</v>
      </c>
      <c r="C2300" s="1">
        <v>912841</v>
      </c>
      <c r="D2300" s="3">
        <v>1.63</v>
      </c>
      <c r="E2300" s="3">
        <v>2.6063319475535698</v>
      </c>
      <c r="F2300" s="3">
        <v>2.60632669814933</v>
      </c>
      <c r="G2300" s="3">
        <v>68.449485999999993</v>
      </c>
      <c r="H2300" s="3">
        <v>1807.4752468046199</v>
      </c>
      <c r="I2300" s="3">
        <v>62.7</v>
      </c>
      <c r="J2300" s="3">
        <v>64.36</v>
      </c>
      <c r="K2300" s="3">
        <v>62.52</v>
      </c>
      <c r="L2300" s="3">
        <v>1688.21922179887</v>
      </c>
    </row>
    <row r="2301" spans="1:12" ht="15" customHeight="1" x14ac:dyDescent="0.2">
      <c r="A2301" s="2">
        <v>42710</v>
      </c>
      <c r="B2301" s="3">
        <v>62.54</v>
      </c>
      <c r="C2301" s="1">
        <v>824260</v>
      </c>
      <c r="D2301" s="3">
        <v>1.1399999999999999</v>
      </c>
      <c r="E2301" s="3">
        <v>1.85667752442997</v>
      </c>
      <c r="F2301" s="3">
        <v>1.8566752515773699</v>
      </c>
      <c r="G2301" s="3">
        <v>66.710785000000001</v>
      </c>
      <c r="H2301" s="3">
        <v>1759.02303316646</v>
      </c>
      <c r="I2301" s="3">
        <v>61.52</v>
      </c>
      <c r="J2301" s="3">
        <v>62.59</v>
      </c>
      <c r="K2301" s="3">
        <v>60.615000000000002</v>
      </c>
      <c r="L2301" s="3">
        <v>1642.79616847906</v>
      </c>
    </row>
    <row r="2302" spans="1:12" ht="15" customHeight="1" x14ac:dyDescent="0.2">
      <c r="A2302" s="2">
        <v>42709</v>
      </c>
      <c r="B2302" s="3">
        <v>61.4</v>
      </c>
      <c r="C2302" s="1">
        <v>615316</v>
      </c>
      <c r="D2302" s="3">
        <v>0.92000000000000104</v>
      </c>
      <c r="E2302" s="3">
        <v>1.5211640211640201</v>
      </c>
      <c r="F2302" s="3">
        <v>1.52116447736714</v>
      </c>
      <c r="G2302" s="3">
        <v>65.494759999999999</v>
      </c>
      <c r="H2302" s="3">
        <v>1725.13618137921</v>
      </c>
      <c r="I2302" s="3">
        <v>60.8</v>
      </c>
      <c r="J2302" s="3">
        <v>61.5</v>
      </c>
      <c r="K2302" s="3">
        <v>60.46</v>
      </c>
      <c r="L2302" s="3">
        <v>1611.0278980590699</v>
      </c>
    </row>
    <row r="2303" spans="1:12" ht="15" customHeight="1" x14ac:dyDescent="0.2">
      <c r="A2303" s="2">
        <v>42706</v>
      </c>
      <c r="B2303" s="3">
        <v>60.48</v>
      </c>
      <c r="C2303" s="1">
        <v>730752</v>
      </c>
      <c r="D2303" s="3">
        <v>-0.33000000000000501</v>
      </c>
      <c r="E2303" s="3">
        <v>-0.54267390231870205</v>
      </c>
      <c r="F2303" s="3">
        <v>-0.54268514718627203</v>
      </c>
      <c r="G2303" s="3">
        <v>64.513405000000006</v>
      </c>
      <c r="H2303" s="3">
        <v>1697.7888559248099</v>
      </c>
      <c r="I2303" s="3">
        <v>60.6</v>
      </c>
      <c r="J2303" s="3">
        <v>60.99</v>
      </c>
      <c r="K2303" s="3">
        <v>60.17</v>
      </c>
      <c r="L2303" s="3">
        <v>1585.39034649206</v>
      </c>
    </row>
    <row r="2304" spans="1:12" ht="15" customHeight="1" x14ac:dyDescent="0.2">
      <c r="A2304" s="2">
        <v>42705</v>
      </c>
      <c r="B2304" s="3">
        <v>60.81</v>
      </c>
      <c r="C2304" s="1">
        <v>857133</v>
      </c>
      <c r="D2304" s="3">
        <v>1.64</v>
      </c>
      <c r="E2304" s="3">
        <v>2.7716748352205598</v>
      </c>
      <c r="F2304" s="3">
        <v>2.7716884646121702</v>
      </c>
      <c r="G2304" s="3">
        <v>64.86542</v>
      </c>
      <c r="H2304" s="3">
        <v>1707.59842409314</v>
      </c>
      <c r="I2304" s="3">
        <v>59</v>
      </c>
      <c r="J2304" s="3">
        <v>61.23</v>
      </c>
      <c r="K2304" s="3">
        <v>58.8</v>
      </c>
      <c r="L2304" s="3">
        <v>1594.5864247715299</v>
      </c>
    </row>
    <row r="2305" spans="1:12" ht="15" customHeight="1" x14ac:dyDescent="0.2">
      <c r="A2305" s="2">
        <v>42704</v>
      </c>
      <c r="B2305" s="3">
        <v>59.17</v>
      </c>
      <c r="C2305" s="1">
        <v>393342</v>
      </c>
      <c r="D2305" s="3">
        <v>3.9999999999999099E-2</v>
      </c>
      <c r="E2305" s="3">
        <v>6.76475562320311E-2</v>
      </c>
      <c r="F2305" s="3">
        <v>6.7641852562316807E-2</v>
      </c>
      <c r="G2305" s="3">
        <v>63.116039999999998</v>
      </c>
      <c r="H2305" s="3">
        <v>1658.8486197884699</v>
      </c>
      <c r="I2305" s="3">
        <v>59.11</v>
      </c>
      <c r="J2305" s="3">
        <v>59.47</v>
      </c>
      <c r="K2305" s="3">
        <v>58.85</v>
      </c>
      <c r="L2305" s="3">
        <v>1548.88470241295</v>
      </c>
    </row>
    <row r="2306" spans="1:12" ht="15" customHeight="1" x14ac:dyDescent="0.2">
      <c r="A2306" s="2">
        <v>42703</v>
      </c>
      <c r="B2306" s="3">
        <v>59.13</v>
      </c>
      <c r="C2306" s="1">
        <v>973313</v>
      </c>
      <c r="D2306" s="3"/>
      <c r="E2306" s="3"/>
      <c r="F2306" s="3"/>
      <c r="G2306" s="3">
        <v>63.073376000000003</v>
      </c>
      <c r="H2306" s="3">
        <v>1657.65970620146</v>
      </c>
      <c r="I2306" s="3">
        <v>59</v>
      </c>
      <c r="J2306" s="3">
        <v>59.53</v>
      </c>
      <c r="K2306" s="3">
        <v>58.88</v>
      </c>
      <c r="L2306" s="3">
        <v>1547.7700262578601</v>
      </c>
    </row>
    <row r="2307" spans="1:12" ht="15" customHeight="1" x14ac:dyDescent="0.2">
      <c r="A2307" s="2">
        <v>42702</v>
      </c>
      <c r="B2307" s="3">
        <v>59.13</v>
      </c>
      <c r="C2307" s="1">
        <v>782856</v>
      </c>
      <c r="D2307" s="3">
        <v>-0.739999999999994</v>
      </c>
      <c r="E2307" s="3">
        <v>-1.2360113579422001</v>
      </c>
      <c r="F2307" s="3">
        <v>-1.2360074086410699</v>
      </c>
      <c r="G2307" s="3">
        <v>63.073376000000003</v>
      </c>
      <c r="H2307" s="3">
        <v>1657.65970620146</v>
      </c>
      <c r="I2307" s="3">
        <v>59.8</v>
      </c>
      <c r="J2307" s="3">
        <v>59.8</v>
      </c>
      <c r="K2307" s="3">
        <v>58.67</v>
      </c>
      <c r="L2307" s="3">
        <v>1547.7700262578601</v>
      </c>
    </row>
    <row r="2308" spans="1:12" ht="15" customHeight="1" x14ac:dyDescent="0.2">
      <c r="A2308" s="2">
        <v>42699</v>
      </c>
      <c r="B2308" s="3">
        <v>59.87</v>
      </c>
      <c r="C2308" s="1">
        <v>156542</v>
      </c>
      <c r="D2308" s="3">
        <v>4.9999999999997102E-2</v>
      </c>
      <c r="E2308" s="3">
        <v>8.3584085590104801E-2</v>
      </c>
      <c r="F2308" s="3">
        <v>8.3583309603807401E-2</v>
      </c>
      <c r="G2308" s="3">
        <v>63.862724</v>
      </c>
      <c r="H2308" s="3">
        <v>1679.6563910431</v>
      </c>
      <c r="I2308" s="3">
        <v>59.66</v>
      </c>
      <c r="J2308" s="3">
        <v>60.122999999999998</v>
      </c>
      <c r="K2308" s="3">
        <v>59.62</v>
      </c>
      <c r="L2308" s="3">
        <v>1568.39153512698</v>
      </c>
    </row>
    <row r="2309" spans="1:12" ht="15" customHeight="1" x14ac:dyDescent="0.2">
      <c r="A2309" s="2">
        <v>42697</v>
      </c>
      <c r="B2309" s="3">
        <v>59.82</v>
      </c>
      <c r="C2309" s="1">
        <v>442573</v>
      </c>
      <c r="D2309" s="3">
        <v>0.34000000000000302</v>
      </c>
      <c r="E2309" s="3">
        <v>0.57162071284466698</v>
      </c>
      <c r="F2309" s="3">
        <v>0.57161981401843098</v>
      </c>
      <c r="G2309" s="3">
        <v>63.80939</v>
      </c>
      <c r="H2309" s="3">
        <v>1678.17013759172</v>
      </c>
      <c r="I2309" s="3">
        <v>59.21</v>
      </c>
      <c r="J2309" s="3">
        <v>60.19</v>
      </c>
      <c r="K2309" s="3">
        <v>59.21</v>
      </c>
      <c r="L2309" s="3">
        <v>1566.9981899331201</v>
      </c>
    </row>
    <row r="2310" spans="1:12" ht="15" customHeight="1" x14ac:dyDescent="0.2">
      <c r="A2310" s="2">
        <v>42696</v>
      </c>
      <c r="B2310" s="3">
        <v>59.48</v>
      </c>
      <c r="C2310" s="1">
        <v>828150</v>
      </c>
      <c r="D2310" s="3">
        <v>0.97999999999999599</v>
      </c>
      <c r="E2310" s="3">
        <v>1.6752136752136599</v>
      </c>
      <c r="F2310" s="3">
        <v>1.67521348893677</v>
      </c>
      <c r="G2310" s="3">
        <v>63.446716000000002</v>
      </c>
      <c r="H2310" s="3">
        <v>1668.06353609496</v>
      </c>
      <c r="I2310" s="3">
        <v>59</v>
      </c>
      <c r="J2310" s="3">
        <v>59.57</v>
      </c>
      <c r="K2310" s="3">
        <v>58.61</v>
      </c>
      <c r="L2310" s="3">
        <v>1557.52344261488</v>
      </c>
    </row>
    <row r="2311" spans="1:12" ht="15" customHeight="1" x14ac:dyDescent="0.2">
      <c r="A2311" s="2">
        <v>42695</v>
      </c>
      <c r="B2311" s="3">
        <v>58.5</v>
      </c>
      <c r="C2311" s="1">
        <v>597042</v>
      </c>
      <c r="D2311" s="3">
        <v>0.57999999999999796</v>
      </c>
      <c r="E2311" s="3">
        <v>1.00138121546962</v>
      </c>
      <c r="F2311" s="3">
        <v>1.00138587390765</v>
      </c>
      <c r="G2311" s="3">
        <v>62.401359999999997</v>
      </c>
      <c r="H2311" s="3">
        <v>1638.9327009255301</v>
      </c>
      <c r="I2311" s="3">
        <v>58.15</v>
      </c>
      <c r="J2311" s="3">
        <v>58.69</v>
      </c>
      <c r="K2311" s="3">
        <v>57.93</v>
      </c>
      <c r="L2311" s="3">
        <v>1530.2138768152399</v>
      </c>
    </row>
    <row r="2312" spans="1:12" ht="15" customHeight="1" x14ac:dyDescent="0.2">
      <c r="A2312" s="2">
        <v>42692</v>
      </c>
      <c r="B2312" s="3">
        <v>57.92</v>
      </c>
      <c r="C2312" s="1">
        <v>941573</v>
      </c>
      <c r="D2312" s="3">
        <v>0.17999999999999899</v>
      </c>
      <c r="E2312" s="3">
        <v>0.31174229303776402</v>
      </c>
      <c r="F2312" s="3">
        <v>0.31173874941296997</v>
      </c>
      <c r="G2312" s="3">
        <v>61.782677</v>
      </c>
      <c r="H2312" s="3">
        <v>1621.6919212340799</v>
      </c>
      <c r="I2312" s="3">
        <v>57.98</v>
      </c>
      <c r="J2312" s="3">
        <v>57.98</v>
      </c>
      <c r="K2312" s="3">
        <v>57.225000000000001</v>
      </c>
      <c r="L2312" s="3">
        <v>1514.0510725664701</v>
      </c>
    </row>
    <row r="2313" spans="1:12" ht="15" customHeight="1" x14ac:dyDescent="0.2">
      <c r="A2313" s="2">
        <v>42691</v>
      </c>
      <c r="B2313" s="3">
        <v>57.74</v>
      </c>
      <c r="C2313" s="1">
        <v>939711</v>
      </c>
      <c r="D2313" s="3">
        <v>0.87000000000000399</v>
      </c>
      <c r="E2313" s="3">
        <v>1.52980481800599</v>
      </c>
      <c r="F2313" s="3">
        <v>1.5298044571244001</v>
      </c>
      <c r="G2313" s="3">
        <v>61.590674999999997</v>
      </c>
      <c r="H2313" s="3">
        <v>1616.3414199558499</v>
      </c>
      <c r="I2313" s="3">
        <v>57</v>
      </c>
      <c r="J2313" s="3">
        <v>57.74</v>
      </c>
      <c r="K2313" s="3">
        <v>56.59</v>
      </c>
      <c r="L2313" s="3">
        <v>1509.0350298685801</v>
      </c>
    </row>
    <row r="2314" spans="1:12" ht="15" customHeight="1" x14ac:dyDescent="0.2">
      <c r="A2314" s="2">
        <v>42690</v>
      </c>
      <c r="B2314" s="3">
        <v>56.87</v>
      </c>
      <c r="C2314" s="1">
        <v>2090482</v>
      </c>
      <c r="D2314" s="3">
        <v>-1.3</v>
      </c>
      <c r="E2314" s="3">
        <v>-2.2348289496303901</v>
      </c>
      <c r="F2314" s="3">
        <v>-2.2348259893133302</v>
      </c>
      <c r="G2314" s="3">
        <v>60.662655000000001</v>
      </c>
      <c r="H2314" s="3">
        <v>1590.48037581975</v>
      </c>
      <c r="I2314" s="3">
        <v>57.33</v>
      </c>
      <c r="J2314" s="3">
        <v>57.85</v>
      </c>
      <c r="K2314" s="3">
        <v>56.47</v>
      </c>
      <c r="L2314" s="3">
        <v>1484.79082349543</v>
      </c>
    </row>
    <row r="2315" spans="1:12" ht="15" customHeight="1" x14ac:dyDescent="0.2">
      <c r="A2315" s="2">
        <v>42689</v>
      </c>
      <c r="B2315" s="3">
        <v>58.17</v>
      </c>
      <c r="C2315" s="1">
        <v>2386882</v>
      </c>
      <c r="D2315" s="3">
        <v>-1.97999999999999</v>
      </c>
      <c r="E2315" s="3">
        <v>-3.2917705735660698</v>
      </c>
      <c r="F2315" s="3">
        <v>-3.2917766756959899</v>
      </c>
      <c r="G2315" s="3">
        <v>62.049349999999997</v>
      </c>
      <c r="H2315" s="3">
        <v>1629.1232720917201</v>
      </c>
      <c r="I2315" s="3">
        <v>59.99</v>
      </c>
      <c r="J2315" s="3">
        <v>60</v>
      </c>
      <c r="K2315" s="3">
        <v>57.95</v>
      </c>
      <c r="L2315" s="3">
        <v>1521.01779853577</v>
      </c>
    </row>
    <row r="2316" spans="1:12" ht="15" customHeight="1" x14ac:dyDescent="0.2">
      <c r="A2316" s="2">
        <v>42688</v>
      </c>
      <c r="B2316" s="3">
        <v>60.15</v>
      </c>
      <c r="C2316" s="1">
        <v>2017651</v>
      </c>
      <c r="D2316" s="3">
        <v>2.1899999999999902</v>
      </c>
      <c r="E2316" s="3">
        <v>3.7784679089026798</v>
      </c>
      <c r="F2316" s="3">
        <v>3.77847634782266</v>
      </c>
      <c r="G2316" s="3">
        <v>64.1614</v>
      </c>
      <c r="H2316" s="3">
        <v>1687.97956642553</v>
      </c>
      <c r="I2316" s="3">
        <v>58</v>
      </c>
      <c r="J2316" s="3">
        <v>60.16</v>
      </c>
      <c r="K2316" s="3">
        <v>58</v>
      </c>
      <c r="L2316" s="3">
        <v>1576.19426821259</v>
      </c>
    </row>
    <row r="2317" spans="1:12" ht="15" customHeight="1" x14ac:dyDescent="0.2">
      <c r="A2317" s="2">
        <v>42685</v>
      </c>
      <c r="B2317" s="3">
        <v>57.96</v>
      </c>
      <c r="C2317" s="1">
        <v>1186366</v>
      </c>
      <c r="D2317" s="3">
        <v>0.95000000000000195</v>
      </c>
      <c r="E2317" s="3">
        <v>1.6663743202946799</v>
      </c>
      <c r="F2317" s="3">
        <v>1.6663720427501301</v>
      </c>
      <c r="G2317" s="3">
        <v>61.825344000000001</v>
      </c>
      <c r="H2317" s="3">
        <v>1622.8809184218101</v>
      </c>
      <c r="I2317" s="3">
        <v>57.15</v>
      </c>
      <c r="J2317" s="3">
        <v>57.99</v>
      </c>
      <c r="K2317" s="3">
        <v>56.32</v>
      </c>
      <c r="L2317" s="3">
        <v>1515.16574872156</v>
      </c>
    </row>
    <row r="2318" spans="1:12" ht="15" customHeight="1" x14ac:dyDescent="0.2">
      <c r="A2318" s="2">
        <v>42684</v>
      </c>
      <c r="B2318" s="3">
        <v>57.01</v>
      </c>
      <c r="C2318" s="1">
        <v>1564481</v>
      </c>
      <c r="D2318" s="3">
        <v>1.21</v>
      </c>
      <c r="E2318" s="3">
        <v>2.1684587813620002</v>
      </c>
      <c r="F2318" s="3">
        <v>2.1684609208932799</v>
      </c>
      <c r="G2318" s="3">
        <v>60.811990000000002</v>
      </c>
      <c r="H2318" s="3">
        <v>1594.6418799102501</v>
      </c>
      <c r="I2318" s="3">
        <v>56.1</v>
      </c>
      <c r="J2318" s="3">
        <v>57.7</v>
      </c>
      <c r="K2318" s="3">
        <v>56.06</v>
      </c>
      <c r="L2318" s="3">
        <v>1488.6921900382299</v>
      </c>
    </row>
    <row r="2319" spans="1:12" ht="15" customHeight="1" x14ac:dyDescent="0.2">
      <c r="A2319" s="2">
        <v>42683</v>
      </c>
      <c r="B2319" s="3">
        <v>55.8</v>
      </c>
      <c r="C2319" s="1">
        <v>2314199</v>
      </c>
      <c r="D2319" s="3">
        <v>2.75999999999999</v>
      </c>
      <c r="E2319" s="3">
        <v>5.2036199095022599</v>
      </c>
      <c r="F2319" s="3">
        <v>5.20361618256615</v>
      </c>
      <c r="G2319" s="3">
        <v>59.521293999999997</v>
      </c>
      <c r="H2319" s="3">
        <v>1558.67417854358</v>
      </c>
      <c r="I2319" s="3">
        <v>53.11</v>
      </c>
      <c r="J2319" s="3">
        <v>56.402200000000001</v>
      </c>
      <c r="K2319" s="3">
        <v>52.8797</v>
      </c>
      <c r="L2319" s="3">
        <v>1454.9732363468399</v>
      </c>
    </row>
    <row r="2320" spans="1:12" ht="15" customHeight="1" x14ac:dyDescent="0.2">
      <c r="A2320" s="2">
        <v>42682</v>
      </c>
      <c r="B2320" s="3">
        <v>53.04</v>
      </c>
      <c r="C2320" s="1">
        <v>569567</v>
      </c>
      <c r="D2320" s="3">
        <v>0.21</v>
      </c>
      <c r="E2320" s="3">
        <v>0.397501419647938</v>
      </c>
      <c r="F2320" s="3">
        <v>0.39749629258163299</v>
      </c>
      <c r="G2320" s="3">
        <v>56.577232000000002</v>
      </c>
      <c r="H2320" s="3">
        <v>1476.6322857811101</v>
      </c>
      <c r="I2320" s="3">
        <v>52.88</v>
      </c>
      <c r="J2320" s="3">
        <v>53.39</v>
      </c>
      <c r="K2320" s="3">
        <v>52.63</v>
      </c>
      <c r="L2320" s="3">
        <v>1378.0605816458201</v>
      </c>
    </row>
    <row r="2321" spans="1:12" ht="15" customHeight="1" x14ac:dyDescent="0.2">
      <c r="A2321" s="2">
        <v>42681</v>
      </c>
      <c r="B2321" s="3">
        <v>52.83</v>
      </c>
      <c r="C2321" s="1">
        <v>673436</v>
      </c>
      <c r="D2321" s="3">
        <v>0.80999999999999495</v>
      </c>
      <c r="E2321" s="3">
        <v>1.55709342560552</v>
      </c>
      <c r="F2321" s="3">
        <v>2.0184556829893499</v>
      </c>
      <c r="G2321" s="3">
        <v>56.353230000000003</v>
      </c>
      <c r="H2321" s="3">
        <v>1470.39004357882</v>
      </c>
      <c r="I2321" s="3">
        <v>52.7</v>
      </c>
      <c r="J2321" s="3">
        <v>53.25</v>
      </c>
      <c r="K2321" s="3">
        <v>52.47</v>
      </c>
      <c r="L2321" s="3">
        <v>1372.2085318316099</v>
      </c>
    </row>
    <row r="2322" spans="1:12" ht="15" customHeight="1" x14ac:dyDescent="0.2">
      <c r="A2322" s="2">
        <v>42678</v>
      </c>
      <c r="B2322" s="3">
        <v>52.02</v>
      </c>
      <c r="C2322" s="1">
        <v>829920</v>
      </c>
      <c r="D2322" s="3">
        <v>0.23000000000000301</v>
      </c>
      <c r="E2322" s="3">
        <v>0.44410117783355502</v>
      </c>
      <c r="F2322" s="3">
        <v>0.44410267003478499</v>
      </c>
      <c r="G2322" s="3">
        <v>55.23827</v>
      </c>
      <c r="H2322" s="3">
        <v>1439.3195604319101</v>
      </c>
      <c r="I2322" s="3">
        <v>51.98</v>
      </c>
      <c r="J2322" s="3">
        <v>52.545000000000002</v>
      </c>
      <c r="K2322" s="3">
        <v>51.48</v>
      </c>
      <c r="L2322" s="3">
        <v>1349.6363396910899</v>
      </c>
    </row>
    <row r="2323" spans="1:12" ht="15" customHeight="1" x14ac:dyDescent="0.2">
      <c r="A2323" s="2">
        <v>42677</v>
      </c>
      <c r="B2323" s="3">
        <v>51.79</v>
      </c>
      <c r="C2323" s="1">
        <v>859220</v>
      </c>
      <c r="D2323" s="3">
        <v>-0.71</v>
      </c>
      <c r="E2323" s="3">
        <v>-1.35238095238094</v>
      </c>
      <c r="F2323" s="3">
        <v>-1.35238474256829</v>
      </c>
      <c r="G2323" s="3">
        <v>54.994039999999998</v>
      </c>
      <c r="H2323" s="3">
        <v>1432.5136264979899</v>
      </c>
      <c r="I2323" s="3">
        <v>52.71</v>
      </c>
      <c r="J2323" s="3">
        <v>52.88</v>
      </c>
      <c r="K2323" s="3">
        <v>51.704999999999998</v>
      </c>
      <c r="L2323" s="3">
        <v>1343.22695179934</v>
      </c>
    </row>
    <row r="2324" spans="1:12" ht="15" customHeight="1" x14ac:dyDescent="0.2">
      <c r="A2324" s="2">
        <v>42676</v>
      </c>
      <c r="B2324" s="3">
        <v>52.5</v>
      </c>
      <c r="C2324" s="1">
        <v>689728</v>
      </c>
      <c r="D2324" s="3">
        <v>-0.17000000000000101</v>
      </c>
      <c r="E2324" s="3">
        <v>-0.32276438200113899</v>
      </c>
      <c r="F2324" s="3">
        <v>-0.32276041391575599</v>
      </c>
      <c r="G2324" s="3">
        <v>55.747967000000003</v>
      </c>
      <c r="H2324" s="3">
        <v>1453.5232377374</v>
      </c>
      <c r="I2324" s="3">
        <v>52.84</v>
      </c>
      <c r="J2324" s="3">
        <v>53.137799999999999</v>
      </c>
      <c r="K2324" s="3">
        <v>52.35</v>
      </c>
      <c r="L2324" s="3">
        <v>1363.01245355214</v>
      </c>
    </row>
    <row r="2325" spans="1:12" ht="15" customHeight="1" x14ac:dyDescent="0.2">
      <c r="A2325" s="2">
        <v>42675</v>
      </c>
      <c r="B2325" s="3">
        <v>52.67</v>
      </c>
      <c r="C2325" s="1">
        <v>816976</v>
      </c>
      <c r="D2325" s="3">
        <v>-0.51999999999999602</v>
      </c>
      <c r="E2325" s="3">
        <v>-0.97762737356644702</v>
      </c>
      <c r="F2325" s="3">
        <v>-0.97762330993003099</v>
      </c>
      <c r="G2325" s="3">
        <v>55.928482000000002</v>
      </c>
      <c r="H2325" s="3">
        <v>1458.55363189079</v>
      </c>
      <c r="I2325" s="3">
        <v>53.4</v>
      </c>
      <c r="J2325" s="3">
        <v>53.55</v>
      </c>
      <c r="K2325" s="3">
        <v>52.3</v>
      </c>
      <c r="L2325" s="3">
        <v>1367.74982721126</v>
      </c>
    </row>
    <row r="2326" spans="1:12" ht="15" customHeight="1" x14ac:dyDescent="0.2">
      <c r="A2326" s="2">
        <v>42674</v>
      </c>
      <c r="B2326" s="3">
        <v>53.19</v>
      </c>
      <c r="C2326" s="1">
        <v>708504</v>
      </c>
      <c r="D2326" s="3">
        <v>0.22999999999999601</v>
      </c>
      <c r="E2326" s="3">
        <v>0.43429003021147</v>
      </c>
      <c r="F2326" s="3">
        <v>0.43428615650038499</v>
      </c>
      <c r="G2326" s="3">
        <v>56.480649999999997</v>
      </c>
      <c r="H2326" s="3">
        <v>1473.9408444708499</v>
      </c>
      <c r="I2326" s="3">
        <v>52.81</v>
      </c>
      <c r="J2326" s="3">
        <v>53.31</v>
      </c>
      <c r="K2326" s="3">
        <v>52.77</v>
      </c>
      <c r="L2326" s="3">
        <v>1382.24061722739</v>
      </c>
    </row>
    <row r="2327" spans="1:12" ht="15" customHeight="1" x14ac:dyDescent="0.2">
      <c r="A2327" s="2">
        <v>42671</v>
      </c>
      <c r="B2327" s="3">
        <v>52.96</v>
      </c>
      <c r="C2327" s="1">
        <v>1130791</v>
      </c>
      <c r="D2327" s="3">
        <v>0.96</v>
      </c>
      <c r="E2327" s="3">
        <v>1.84615384615385</v>
      </c>
      <c r="F2327" s="3">
        <v>1.8461513497112401</v>
      </c>
      <c r="G2327" s="3">
        <v>56.236423000000002</v>
      </c>
      <c r="H2327" s="3">
        <v>1467.13499413763</v>
      </c>
      <c r="I2327" s="3">
        <v>52.12</v>
      </c>
      <c r="J2327" s="3">
        <v>52.99</v>
      </c>
      <c r="K2327" s="3">
        <v>52.12</v>
      </c>
      <c r="L2327" s="3">
        <v>1375.83122933564</v>
      </c>
    </row>
    <row r="2328" spans="1:12" ht="15" customHeight="1" x14ac:dyDescent="0.2">
      <c r="A2328" s="2">
        <v>42670</v>
      </c>
      <c r="B2328" s="3">
        <v>52</v>
      </c>
      <c r="C2328" s="1">
        <v>3052866</v>
      </c>
      <c r="D2328" s="3">
        <v>2.88</v>
      </c>
      <c r="E2328" s="3">
        <v>5.8631921824104198</v>
      </c>
      <c r="F2328" s="3">
        <v>5.8631898779996297</v>
      </c>
      <c r="G2328" s="3">
        <v>55.217033000000001</v>
      </c>
      <c r="H2328" s="3">
        <v>1438.7277509942701</v>
      </c>
      <c r="I2328" s="3">
        <v>54</v>
      </c>
      <c r="J2328" s="3">
        <v>54.2</v>
      </c>
      <c r="K2328" s="3">
        <v>51.37</v>
      </c>
      <c r="L2328" s="3">
        <v>1349.07900161354</v>
      </c>
    </row>
    <row r="2329" spans="1:12" ht="15" customHeight="1" x14ac:dyDescent="0.2">
      <c r="A2329" s="2">
        <v>42669</v>
      </c>
      <c r="B2329" s="3">
        <v>49.12</v>
      </c>
      <c r="C2329" s="1">
        <v>1643506</v>
      </c>
      <c r="D2329" s="3">
        <v>-0.23499999999999899</v>
      </c>
      <c r="E2329" s="3">
        <v>-0.47614223482930201</v>
      </c>
      <c r="F2329" s="3">
        <v>-0.47614124743900998</v>
      </c>
      <c r="G2329" s="3">
        <v>52.158859999999997</v>
      </c>
      <c r="H2329" s="3">
        <v>1353.5059379634699</v>
      </c>
      <c r="I2329" s="3">
        <v>49.37</v>
      </c>
      <c r="J2329" s="3">
        <v>49.96</v>
      </c>
      <c r="K2329" s="3">
        <v>48.99</v>
      </c>
      <c r="L2329" s="3">
        <v>1268.8223184472599</v>
      </c>
    </row>
    <row r="2330" spans="1:12" ht="15" customHeight="1" x14ac:dyDescent="0.2">
      <c r="A2330" s="2">
        <v>42668</v>
      </c>
      <c r="B2330" s="3">
        <v>49.354999999999997</v>
      </c>
      <c r="C2330" s="1">
        <v>1025104</v>
      </c>
      <c r="D2330" s="3">
        <v>-1.665</v>
      </c>
      <c r="E2330" s="3">
        <v>-3.2634261074088702</v>
      </c>
      <c r="F2330" s="3">
        <v>-3.2634297804208301</v>
      </c>
      <c r="G2330" s="3">
        <v>52.408397999999998</v>
      </c>
      <c r="H2330" s="3">
        <v>1360.4597894231799</v>
      </c>
      <c r="I2330" s="3">
        <v>50.5</v>
      </c>
      <c r="J2330" s="3">
        <v>50.5</v>
      </c>
      <c r="K2330" s="3">
        <v>49.15</v>
      </c>
      <c r="L2330" s="3">
        <v>1275.37104085839</v>
      </c>
    </row>
    <row r="2331" spans="1:12" ht="15" customHeight="1" x14ac:dyDescent="0.2">
      <c r="A2331" s="2">
        <v>42667</v>
      </c>
      <c r="B2331" s="3">
        <v>51.02</v>
      </c>
      <c r="C2331" s="1">
        <v>509882</v>
      </c>
      <c r="D2331" s="3">
        <v>0.67000000000000104</v>
      </c>
      <c r="E2331" s="3">
        <v>1.3306852035749701</v>
      </c>
      <c r="F2331" s="3">
        <v>1.3306903808427399</v>
      </c>
      <c r="G2331" s="3">
        <v>54.176406999999998</v>
      </c>
      <c r="H2331" s="3">
        <v>1409.7287262801699</v>
      </c>
      <c r="I2331" s="3">
        <v>50.5</v>
      </c>
      <c r="J2331" s="3">
        <v>51.14</v>
      </c>
      <c r="K2331" s="3">
        <v>50.49</v>
      </c>
      <c r="L2331" s="3">
        <v>1321.7694358138999</v>
      </c>
    </row>
    <row r="2332" spans="1:12" ht="15" customHeight="1" x14ac:dyDescent="0.2">
      <c r="A2332" s="2">
        <v>42664</v>
      </c>
      <c r="B2332" s="3">
        <v>50.35</v>
      </c>
      <c r="C2332" s="1">
        <v>645188</v>
      </c>
      <c r="D2332" s="3">
        <v>0.69000000000000405</v>
      </c>
      <c r="E2332" s="3">
        <v>1.3894482480869901</v>
      </c>
      <c r="F2332" s="3">
        <v>1.3894510315458599</v>
      </c>
      <c r="G2332" s="3">
        <v>53.464953999999999</v>
      </c>
      <c r="H2332" s="3">
        <v>1389.90273391604</v>
      </c>
      <c r="I2332" s="3">
        <v>49.63</v>
      </c>
      <c r="J2332" s="3">
        <v>50.38</v>
      </c>
      <c r="K2332" s="3">
        <v>49.5</v>
      </c>
      <c r="L2332" s="3">
        <v>1303.0986102161901</v>
      </c>
    </row>
    <row r="2333" spans="1:12" ht="15" customHeight="1" x14ac:dyDescent="0.2">
      <c r="A2333" s="2">
        <v>42663</v>
      </c>
      <c r="B2333" s="3">
        <v>49.66</v>
      </c>
      <c r="C2333" s="1">
        <v>804979</v>
      </c>
      <c r="D2333" s="3">
        <v>-1.61</v>
      </c>
      <c r="E2333" s="3">
        <v>-3.14023795591965</v>
      </c>
      <c r="F2333" s="3">
        <v>-3.1402393047850801</v>
      </c>
      <c r="G2333" s="3">
        <v>52.732264999999998</v>
      </c>
      <c r="H2333" s="3">
        <v>1369.4849599811701</v>
      </c>
      <c r="I2333" s="3">
        <v>50.75</v>
      </c>
      <c r="J2333" s="3">
        <v>50.9</v>
      </c>
      <c r="K2333" s="3">
        <v>49.64</v>
      </c>
      <c r="L2333" s="3">
        <v>1283.8704465409301</v>
      </c>
    </row>
    <row r="2334" spans="1:12" ht="15" customHeight="1" x14ac:dyDescent="0.2">
      <c r="A2334" s="2">
        <v>42662</v>
      </c>
      <c r="B2334" s="3">
        <v>51.27</v>
      </c>
      <c r="C2334" s="1">
        <v>518216</v>
      </c>
      <c r="D2334" s="3">
        <v>0.34000000000000302</v>
      </c>
      <c r="E2334" s="3">
        <v>0.66758295699980097</v>
      </c>
      <c r="F2334" s="3">
        <v>0.66758027432156597</v>
      </c>
      <c r="G2334" s="3">
        <v>54.441870000000002</v>
      </c>
      <c r="H2334" s="3">
        <v>1417.1263581841199</v>
      </c>
      <c r="I2334" s="3">
        <v>51.18</v>
      </c>
      <c r="J2334" s="3">
        <v>51.47</v>
      </c>
      <c r="K2334" s="3">
        <v>51</v>
      </c>
      <c r="L2334" s="3">
        <v>1328.7361617832</v>
      </c>
    </row>
    <row r="2335" spans="1:12" ht="15" customHeight="1" x14ac:dyDescent="0.2">
      <c r="A2335" s="2">
        <v>42661</v>
      </c>
      <c r="B2335" s="3">
        <v>50.93</v>
      </c>
      <c r="C2335" s="1">
        <v>577677</v>
      </c>
      <c r="D2335" s="3">
        <v>-0.20000000000000201</v>
      </c>
      <c r="E2335" s="3">
        <v>-0.39115978877371999</v>
      </c>
      <c r="F2335" s="3">
        <v>-0.39115941017302502</v>
      </c>
      <c r="G2335" s="3">
        <v>54.080837000000002</v>
      </c>
      <c r="H2335" s="3">
        <v>1407.0654862766301</v>
      </c>
      <c r="I2335" s="3">
        <v>51.27</v>
      </c>
      <c r="J2335" s="3">
        <v>51.76</v>
      </c>
      <c r="K2335" s="3">
        <v>50.9</v>
      </c>
      <c r="L2335" s="3">
        <v>1319.2614144649599</v>
      </c>
    </row>
    <row r="2336" spans="1:12" ht="15" customHeight="1" x14ac:dyDescent="0.2">
      <c r="A2336" s="2">
        <v>42660</v>
      </c>
      <c r="B2336" s="3">
        <v>51.13</v>
      </c>
      <c r="C2336" s="1">
        <v>358249</v>
      </c>
      <c r="D2336" s="3">
        <v>-0.16999999999999399</v>
      </c>
      <c r="E2336" s="3">
        <v>-0.33138401559452602</v>
      </c>
      <c r="F2336" s="3">
        <v>-0.33137811543780799</v>
      </c>
      <c r="G2336" s="3">
        <v>54.293210000000002</v>
      </c>
      <c r="H2336" s="3">
        <v>1412.98366425374</v>
      </c>
      <c r="I2336" s="3">
        <v>51.3</v>
      </c>
      <c r="J2336" s="3">
        <v>51.61</v>
      </c>
      <c r="K2336" s="3">
        <v>50.94</v>
      </c>
      <c r="L2336" s="3">
        <v>1324.8347952403899</v>
      </c>
    </row>
    <row r="2337" spans="1:12" ht="15" customHeight="1" x14ac:dyDescent="0.2">
      <c r="A2337" s="2">
        <v>42657</v>
      </c>
      <c r="B2337" s="3">
        <v>51.3</v>
      </c>
      <c r="C2337" s="1">
        <v>398992</v>
      </c>
      <c r="D2337" s="3">
        <v>0.239999999999994</v>
      </c>
      <c r="E2337" s="3">
        <v>0.47003525264392998</v>
      </c>
      <c r="F2337" s="3">
        <v>0.47002815255496799</v>
      </c>
      <c r="G2337" s="3">
        <v>54.473723999999997</v>
      </c>
      <c r="H2337" s="3">
        <v>1418.0140305402299</v>
      </c>
      <c r="I2337" s="3">
        <v>50.93</v>
      </c>
      <c r="J2337" s="3">
        <v>51.6</v>
      </c>
      <c r="K2337" s="3">
        <v>50.93</v>
      </c>
      <c r="L2337" s="3">
        <v>1329.57216889952</v>
      </c>
    </row>
    <row r="2338" spans="1:12" ht="15" customHeight="1" x14ac:dyDescent="0.2">
      <c r="A2338" s="2">
        <v>42656</v>
      </c>
      <c r="B2338" s="3">
        <v>51.06</v>
      </c>
      <c r="C2338" s="1">
        <v>574056</v>
      </c>
      <c r="D2338" s="3">
        <v>-0.44999999999999502</v>
      </c>
      <c r="E2338" s="3">
        <v>-0.87361677344204303</v>
      </c>
      <c r="F2338" s="3">
        <v>-0.87361003538128901</v>
      </c>
      <c r="G2338" s="3">
        <v>54.218879999999999</v>
      </c>
      <c r="H2338" s="3">
        <v>1410.91231728855</v>
      </c>
      <c r="I2338" s="3">
        <v>51.03</v>
      </c>
      <c r="J2338" s="3">
        <v>51.34</v>
      </c>
      <c r="K2338" s="3">
        <v>50.83</v>
      </c>
      <c r="L2338" s="3">
        <v>1322.8841119689901</v>
      </c>
    </row>
    <row r="2339" spans="1:12" ht="15" customHeight="1" x14ac:dyDescent="0.2">
      <c r="A2339" s="2">
        <v>42655</v>
      </c>
      <c r="B2339" s="3">
        <v>51.51</v>
      </c>
      <c r="C2339" s="1">
        <v>843937</v>
      </c>
      <c r="D2339" s="3">
        <v>0.53999999999999904</v>
      </c>
      <c r="E2339" s="3">
        <v>1.0594467333725699</v>
      </c>
      <c r="F2339" s="3">
        <v>1.05943623481741</v>
      </c>
      <c r="G2339" s="3">
        <v>54.696716000000002</v>
      </c>
      <c r="H2339" s="3">
        <v>1424.2281271696099</v>
      </c>
      <c r="I2339" s="3">
        <v>51.09</v>
      </c>
      <c r="J2339" s="3">
        <v>51.89</v>
      </c>
      <c r="K2339" s="3">
        <v>50.8</v>
      </c>
      <c r="L2339" s="3">
        <v>1335.4242187137199</v>
      </c>
    </row>
    <row r="2340" spans="1:12" ht="15" customHeight="1" x14ac:dyDescent="0.2">
      <c r="A2340" s="2">
        <v>42654</v>
      </c>
      <c r="B2340" s="3">
        <v>50.97</v>
      </c>
      <c r="C2340" s="1">
        <v>577237</v>
      </c>
      <c r="D2340" s="3">
        <v>-0.52000000000000302</v>
      </c>
      <c r="E2340" s="3">
        <v>-1.0099048358904701</v>
      </c>
      <c r="F2340" s="3">
        <v>-1.00990418301555</v>
      </c>
      <c r="G2340" s="3">
        <v>54.123314000000001</v>
      </c>
      <c r="H2340" s="3">
        <v>1408.2491887526201</v>
      </c>
      <c r="I2340" s="3">
        <v>51.32</v>
      </c>
      <c r="J2340" s="3">
        <v>51.92</v>
      </c>
      <c r="K2340" s="3">
        <v>50.86</v>
      </c>
      <c r="L2340" s="3">
        <v>1320.37609062005</v>
      </c>
    </row>
    <row r="2341" spans="1:12" ht="15" customHeight="1" x14ac:dyDescent="0.2">
      <c r="A2341" s="2">
        <v>42653</v>
      </c>
      <c r="B2341" s="3">
        <v>51.49</v>
      </c>
      <c r="C2341" s="1">
        <v>1098483</v>
      </c>
      <c r="D2341" s="3">
        <v>1.08</v>
      </c>
      <c r="E2341" s="3">
        <v>2.1424320571315301</v>
      </c>
      <c r="F2341" s="3">
        <v>2.14243519271646</v>
      </c>
      <c r="G2341" s="3">
        <v>54.675483999999997</v>
      </c>
      <c r="H2341" s="3">
        <v>1423.63645706649</v>
      </c>
      <c r="I2341" s="3">
        <v>50.68</v>
      </c>
      <c r="J2341" s="3">
        <v>51.89</v>
      </c>
      <c r="K2341" s="3">
        <v>50.65</v>
      </c>
      <c r="L2341" s="3">
        <v>1334.86688063618</v>
      </c>
    </row>
    <row r="2342" spans="1:12" ht="15" customHeight="1" x14ac:dyDescent="0.2">
      <c r="A2342" s="2">
        <v>42650</v>
      </c>
      <c r="B2342" s="3">
        <v>50.41</v>
      </c>
      <c r="C2342" s="1">
        <v>1120213</v>
      </c>
      <c r="D2342" s="3">
        <v>0.89999999999999802</v>
      </c>
      <c r="E2342" s="3">
        <v>1.8178145829125401</v>
      </c>
      <c r="F2342" s="3">
        <v>1.8178156778499299</v>
      </c>
      <c r="G2342" s="3">
        <v>53.528666999999999</v>
      </c>
      <c r="H2342" s="3">
        <v>1391.6782179627701</v>
      </c>
      <c r="I2342" s="3">
        <v>49.63</v>
      </c>
      <c r="J2342" s="3">
        <v>50.7</v>
      </c>
      <c r="K2342" s="3">
        <v>49.63</v>
      </c>
      <c r="L2342" s="3">
        <v>1304.7706244488199</v>
      </c>
    </row>
    <row r="2343" spans="1:12" ht="15" customHeight="1" x14ac:dyDescent="0.2">
      <c r="A2343" s="2">
        <v>42649</v>
      </c>
      <c r="B2343" s="3">
        <v>49.51</v>
      </c>
      <c r="C2343" s="1">
        <v>487139</v>
      </c>
      <c r="D2343" s="3">
        <v>-0.27000000000000302</v>
      </c>
      <c r="E2343" s="3">
        <v>-0.54238650060265403</v>
      </c>
      <c r="F2343" s="3">
        <v>-0.54238118091048904</v>
      </c>
      <c r="G2343" s="3">
        <v>52.572986999999998</v>
      </c>
      <c r="H2343" s="3">
        <v>1365.04637526542</v>
      </c>
      <c r="I2343" s="3">
        <v>49.52</v>
      </c>
      <c r="J2343" s="3">
        <v>49.79</v>
      </c>
      <c r="K2343" s="3">
        <v>49.3</v>
      </c>
      <c r="L2343" s="3">
        <v>1279.69041095936</v>
      </c>
    </row>
    <row r="2344" spans="1:12" ht="15" customHeight="1" x14ac:dyDescent="0.2">
      <c r="A2344" s="2">
        <v>42648</v>
      </c>
      <c r="B2344" s="3">
        <v>49.78</v>
      </c>
      <c r="C2344" s="1">
        <v>411775</v>
      </c>
      <c r="D2344" s="3">
        <v>-0.58999999999999597</v>
      </c>
      <c r="E2344" s="3">
        <v>-1.17133214214809</v>
      </c>
      <c r="F2344" s="3">
        <v>-1.1713341331659599</v>
      </c>
      <c r="G2344" s="3">
        <v>52.859687999999998</v>
      </c>
      <c r="H2344" s="3">
        <v>1373.0358444739099</v>
      </c>
      <c r="I2344" s="3">
        <v>50.37</v>
      </c>
      <c r="J2344" s="3">
        <v>50.6</v>
      </c>
      <c r="K2344" s="3">
        <v>49.77</v>
      </c>
      <c r="L2344" s="3">
        <v>1287.2144750062</v>
      </c>
    </row>
    <row r="2345" spans="1:12" ht="15" customHeight="1" x14ac:dyDescent="0.2">
      <c r="A2345" s="2">
        <v>42647</v>
      </c>
      <c r="B2345" s="3">
        <v>50.37</v>
      </c>
      <c r="C2345" s="1">
        <v>745538</v>
      </c>
      <c r="D2345" s="3">
        <v>0.40999999999999598</v>
      </c>
      <c r="E2345" s="3">
        <v>0.82065652522016397</v>
      </c>
      <c r="F2345" s="3">
        <v>0.82065261678201296</v>
      </c>
      <c r="G2345" s="3">
        <v>53.486190000000001</v>
      </c>
      <c r="H2345" s="3">
        <v>1390.4945154867801</v>
      </c>
      <c r="I2345" s="3">
        <v>50.41</v>
      </c>
      <c r="J2345" s="3">
        <v>50.99</v>
      </c>
      <c r="K2345" s="3">
        <v>50.22</v>
      </c>
      <c r="L2345" s="3">
        <v>1303.65594829374</v>
      </c>
    </row>
    <row r="2346" spans="1:12" ht="15" customHeight="1" x14ac:dyDescent="0.2">
      <c r="A2346" s="2">
        <v>42646</v>
      </c>
      <c r="B2346" s="3">
        <v>49.96</v>
      </c>
      <c r="C2346" s="1">
        <v>316978</v>
      </c>
      <c r="D2346" s="3">
        <v>-0.100000000000001</v>
      </c>
      <c r="E2346" s="3">
        <v>-0.19976028765481499</v>
      </c>
      <c r="F2346" s="3">
        <v>-0.19975915501497701</v>
      </c>
      <c r="G2346" s="3">
        <v>53.050826999999998</v>
      </c>
      <c r="H2346" s="3">
        <v>1378.3622966140899</v>
      </c>
      <c r="I2346" s="3">
        <v>50.12</v>
      </c>
      <c r="J2346" s="3">
        <v>50.19</v>
      </c>
      <c r="K2346" s="3">
        <v>49.74</v>
      </c>
      <c r="L2346" s="3">
        <v>1292.2305177040901</v>
      </c>
    </row>
    <row r="2347" spans="1:12" ht="15" customHeight="1" x14ac:dyDescent="0.2">
      <c r="A2347" s="2">
        <v>42643</v>
      </c>
      <c r="B2347" s="3">
        <v>50.06</v>
      </c>
      <c r="C2347" s="1">
        <v>562794</v>
      </c>
      <c r="D2347" s="3">
        <v>0.46999999999999797</v>
      </c>
      <c r="E2347" s="3">
        <v>0.94777172817099797</v>
      </c>
      <c r="F2347" s="3">
        <v>0.94777167111146299</v>
      </c>
      <c r="G2347" s="3">
        <v>53.157012999999999</v>
      </c>
      <c r="H2347" s="3">
        <v>1381.3213716692001</v>
      </c>
      <c r="I2347" s="3">
        <v>49.72</v>
      </c>
      <c r="J2347" s="3">
        <v>50.22</v>
      </c>
      <c r="K2347" s="3">
        <v>49.5</v>
      </c>
      <c r="L2347" s="3">
        <v>1295.0172080918101</v>
      </c>
    </row>
    <row r="2348" spans="1:12" ht="15" customHeight="1" x14ac:dyDescent="0.2">
      <c r="A2348" s="2">
        <v>42642</v>
      </c>
      <c r="B2348" s="3">
        <v>49.59</v>
      </c>
      <c r="C2348" s="1">
        <v>468601</v>
      </c>
      <c r="D2348" s="3">
        <v>-0.82999999999999796</v>
      </c>
      <c r="E2348" s="3">
        <v>-1.6461721539071701</v>
      </c>
      <c r="F2348" s="3">
        <v>-1.6461706884238501</v>
      </c>
      <c r="G2348" s="3">
        <v>52.657935999999999</v>
      </c>
      <c r="H2348" s="3">
        <v>1367.4136408828799</v>
      </c>
      <c r="I2348" s="3">
        <v>50.62</v>
      </c>
      <c r="J2348" s="3">
        <v>50.62</v>
      </c>
      <c r="K2348" s="3">
        <v>49.57</v>
      </c>
      <c r="L2348" s="3">
        <v>1281.91976326953</v>
      </c>
    </row>
    <row r="2349" spans="1:12" ht="15" customHeight="1" x14ac:dyDescent="0.2">
      <c r="A2349" s="2">
        <v>42641</v>
      </c>
      <c r="B2349" s="3">
        <v>50.42</v>
      </c>
      <c r="C2349" s="1">
        <v>956362</v>
      </c>
      <c r="D2349" s="3">
        <v>-1.01999999999999</v>
      </c>
      <c r="E2349" s="3">
        <v>-1.98289269051321</v>
      </c>
      <c r="F2349" s="3">
        <v>-1.9828921061249101</v>
      </c>
      <c r="G2349" s="3">
        <v>53.539284000000002</v>
      </c>
      <c r="H2349" s="3">
        <v>1391.9740808812301</v>
      </c>
      <c r="I2349" s="3">
        <v>51.14</v>
      </c>
      <c r="J2349" s="3">
        <v>51.41</v>
      </c>
      <c r="K2349" s="3">
        <v>49.954999999999998</v>
      </c>
      <c r="L2349" s="3">
        <v>1305.0492934875899</v>
      </c>
    </row>
    <row r="2350" spans="1:12" ht="15" customHeight="1" x14ac:dyDescent="0.2">
      <c r="A2350" s="2">
        <v>42640</v>
      </c>
      <c r="B2350" s="3">
        <v>51.44</v>
      </c>
      <c r="C2350" s="1">
        <v>748250</v>
      </c>
      <c r="D2350" s="3">
        <v>-0.52000000000000302</v>
      </c>
      <c r="E2350" s="3">
        <v>-1.00076982294072</v>
      </c>
      <c r="F2350" s="3">
        <v>-1.00076924949301</v>
      </c>
      <c r="G2350" s="3">
        <v>54.622387000000003</v>
      </c>
      <c r="H2350" s="3">
        <v>1422.15680807132</v>
      </c>
      <c r="I2350" s="3">
        <v>52.01</v>
      </c>
      <c r="J2350" s="3">
        <v>52.04</v>
      </c>
      <c r="K2350" s="3">
        <v>50.99</v>
      </c>
      <c r="L2350" s="3">
        <v>1333.4735354423201</v>
      </c>
    </row>
    <row r="2351" spans="1:12" ht="15" customHeight="1" x14ac:dyDescent="0.2">
      <c r="A2351" s="2">
        <v>42639</v>
      </c>
      <c r="B2351" s="3">
        <v>51.96</v>
      </c>
      <c r="C2351" s="1">
        <v>1067516</v>
      </c>
      <c r="D2351" s="3">
        <v>-0.53999999999999904</v>
      </c>
      <c r="E2351" s="3">
        <v>-1.02857142857142</v>
      </c>
      <c r="F2351" s="3">
        <v>-1.02857562500889</v>
      </c>
      <c r="G2351" s="3">
        <v>55.174557</v>
      </c>
      <c r="H2351" s="3">
        <v>1437.54407638518</v>
      </c>
      <c r="I2351" s="3">
        <v>52.39</v>
      </c>
      <c r="J2351" s="3">
        <v>52.85</v>
      </c>
      <c r="K2351" s="3">
        <v>51.92</v>
      </c>
      <c r="L2351" s="3">
        <v>1347.9643254584601</v>
      </c>
    </row>
    <row r="2352" spans="1:12" ht="15" customHeight="1" x14ac:dyDescent="0.2">
      <c r="A2352" s="2">
        <v>42636</v>
      </c>
      <c r="B2352" s="3">
        <v>52.5</v>
      </c>
      <c r="C2352" s="1">
        <v>1102206</v>
      </c>
      <c r="D2352" s="3">
        <v>0.70000000000000195</v>
      </c>
      <c r="E2352" s="3">
        <v>1.35135135135135</v>
      </c>
      <c r="F2352" s="3">
        <v>1.3513564614836699</v>
      </c>
      <c r="G2352" s="3">
        <v>55.747967000000003</v>
      </c>
      <c r="H2352" s="3">
        <v>1453.5232377374</v>
      </c>
      <c r="I2352" s="3">
        <v>51.56</v>
      </c>
      <c r="J2352" s="3">
        <v>52.89</v>
      </c>
      <c r="K2352" s="3">
        <v>51.56</v>
      </c>
      <c r="L2352" s="3">
        <v>1363.01245355214</v>
      </c>
    </row>
    <row r="2353" spans="1:12" ht="15" customHeight="1" x14ac:dyDescent="0.2">
      <c r="A2353" s="2">
        <v>42635</v>
      </c>
      <c r="B2353" s="3">
        <v>51.8</v>
      </c>
      <c r="C2353" s="1">
        <v>869991</v>
      </c>
      <c r="D2353" s="3">
        <v>0.64999999999999802</v>
      </c>
      <c r="E2353" s="3">
        <v>1.27077223851417</v>
      </c>
      <c r="F2353" s="3">
        <v>1.2707631210479</v>
      </c>
      <c r="G2353" s="3">
        <v>55.004657999999999</v>
      </c>
      <c r="H2353" s="3">
        <v>1432.80951728336</v>
      </c>
      <c r="I2353" s="3">
        <v>51.26</v>
      </c>
      <c r="J2353" s="3">
        <v>52.29</v>
      </c>
      <c r="K2353" s="3">
        <v>51.26</v>
      </c>
      <c r="L2353" s="3">
        <v>1343.50562083811</v>
      </c>
    </row>
    <row r="2354" spans="1:12" ht="15" customHeight="1" x14ac:dyDescent="0.2">
      <c r="A2354" s="2">
        <v>42634</v>
      </c>
      <c r="B2354" s="3">
        <v>51.15</v>
      </c>
      <c r="C2354" s="1">
        <v>977752</v>
      </c>
      <c r="D2354" s="3">
        <v>1.78</v>
      </c>
      <c r="E2354" s="3">
        <v>3.60542839781243</v>
      </c>
      <c r="F2354" s="3">
        <v>3.6054370486493901</v>
      </c>
      <c r="G2354" s="3">
        <v>54.314450000000001</v>
      </c>
      <c r="H2354" s="3">
        <v>1413.57555729209</v>
      </c>
      <c r="I2354" s="3">
        <v>50.06</v>
      </c>
      <c r="J2354" s="3">
        <v>51.19</v>
      </c>
      <c r="K2354" s="3">
        <v>50</v>
      </c>
      <c r="L2354" s="3">
        <v>1325.3921333179401</v>
      </c>
    </row>
    <row r="2355" spans="1:12" ht="15" customHeight="1" x14ac:dyDescent="0.2">
      <c r="A2355" s="2">
        <v>42633</v>
      </c>
      <c r="B2355" s="3">
        <v>49.37</v>
      </c>
      <c r="C2355" s="1">
        <v>463882</v>
      </c>
      <c r="D2355" s="3">
        <v>-0.630000000000002</v>
      </c>
      <c r="E2355" s="3">
        <v>-1.26</v>
      </c>
      <c r="F2355" s="3">
        <v>-1.26000079106026</v>
      </c>
      <c r="G2355" s="3">
        <v>52.424323999999999</v>
      </c>
      <c r="H2355" s="3">
        <v>1360.9035977343301</v>
      </c>
      <c r="I2355" s="3">
        <v>50.26</v>
      </c>
      <c r="J2355" s="3">
        <v>50.39</v>
      </c>
      <c r="K2355" s="3">
        <v>49.36</v>
      </c>
      <c r="L2355" s="3">
        <v>1275.78904441655</v>
      </c>
    </row>
    <row r="2356" spans="1:12" ht="15" customHeight="1" x14ac:dyDescent="0.2">
      <c r="A2356" s="2">
        <v>42632</v>
      </c>
      <c r="B2356" s="3">
        <v>50</v>
      </c>
      <c r="C2356" s="1">
        <v>549887</v>
      </c>
      <c r="D2356" s="3">
        <v>0.28000000000000103</v>
      </c>
      <c r="E2356" s="3">
        <v>0.56315366049879401</v>
      </c>
      <c r="F2356" s="3">
        <v>0.56314893671829402</v>
      </c>
      <c r="G2356" s="3">
        <v>53.093299999999999</v>
      </c>
      <c r="H2356" s="3">
        <v>1379.54588762247</v>
      </c>
      <c r="I2356" s="3">
        <v>49.96</v>
      </c>
      <c r="J2356" s="3">
        <v>50.3</v>
      </c>
      <c r="K2356" s="3">
        <v>49.67</v>
      </c>
      <c r="L2356" s="3">
        <v>1293.34519385918</v>
      </c>
    </row>
    <row r="2357" spans="1:12" ht="15" customHeight="1" x14ac:dyDescent="0.2">
      <c r="A2357" s="2">
        <v>42629</v>
      </c>
      <c r="B2357" s="3">
        <v>49.72</v>
      </c>
      <c r="C2357" s="1">
        <v>603681</v>
      </c>
      <c r="D2357" s="3">
        <v>1.9999999999996E-2</v>
      </c>
      <c r="E2357" s="3">
        <v>4.0241448692146499E-2</v>
      </c>
      <c r="F2357" s="3">
        <v>4.0242735814799403E-2</v>
      </c>
      <c r="G2357" s="3">
        <v>52.79598</v>
      </c>
      <c r="H2357" s="3">
        <v>1371.26049976171</v>
      </c>
      <c r="I2357" s="3">
        <v>49.7</v>
      </c>
      <c r="J2357" s="3">
        <v>49.94</v>
      </c>
      <c r="K2357" s="3">
        <v>49.54</v>
      </c>
      <c r="L2357" s="3">
        <v>1285.5424607735699</v>
      </c>
    </row>
    <row r="2358" spans="1:12" ht="15" customHeight="1" x14ac:dyDescent="0.2">
      <c r="A2358" s="2">
        <v>42628</v>
      </c>
      <c r="B2358" s="3">
        <v>49.7</v>
      </c>
      <c r="C2358" s="1">
        <v>382779</v>
      </c>
      <c r="D2358" s="3">
        <v>2.0000000000003099E-2</v>
      </c>
      <c r="E2358" s="3">
        <v>4.0257648953301299E-2</v>
      </c>
      <c r="F2358" s="3">
        <v>4.0255144368983503E-2</v>
      </c>
      <c r="G2358" s="3">
        <v>52.774742000000003</v>
      </c>
      <c r="H2358" s="3">
        <v>1370.6686624571601</v>
      </c>
      <c r="I2358" s="3">
        <v>49.62</v>
      </c>
      <c r="J2358" s="3">
        <v>49.98</v>
      </c>
      <c r="K2358" s="3">
        <v>49.42</v>
      </c>
      <c r="L2358" s="3">
        <v>1284.98512269602</v>
      </c>
    </row>
    <row r="2359" spans="1:12" ht="15" customHeight="1" x14ac:dyDescent="0.2">
      <c r="A2359" s="2">
        <v>42627</v>
      </c>
      <c r="B2359" s="3">
        <v>49.68</v>
      </c>
      <c r="C2359" s="1">
        <v>438052</v>
      </c>
      <c r="D2359" s="3">
        <v>-0.32999999999999802</v>
      </c>
      <c r="E2359" s="3">
        <v>-0.65986802639471598</v>
      </c>
      <c r="F2359" s="3">
        <v>-0.65985717512809705</v>
      </c>
      <c r="G2359" s="3">
        <v>52.753506000000002</v>
      </c>
      <c r="H2359" s="3">
        <v>1370.07688088643</v>
      </c>
      <c r="I2359" s="3">
        <v>49.93</v>
      </c>
      <c r="J2359" s="3">
        <v>50.16</v>
      </c>
      <c r="K2359" s="3">
        <v>49.55</v>
      </c>
      <c r="L2359" s="3">
        <v>1284.42778461848</v>
      </c>
    </row>
    <row r="2360" spans="1:12" ht="15" customHeight="1" x14ac:dyDescent="0.2">
      <c r="A2360" s="2">
        <v>42626</v>
      </c>
      <c r="B2360" s="3">
        <v>50.01</v>
      </c>
      <c r="C2360" s="1">
        <v>471428</v>
      </c>
      <c r="D2360" s="3">
        <v>-0.39</v>
      </c>
      <c r="E2360" s="3">
        <v>-0.77380952380952095</v>
      </c>
      <c r="F2360" s="3">
        <v>-0.77381560653736403</v>
      </c>
      <c r="G2360" s="3">
        <v>53.103915999999998</v>
      </c>
      <c r="H2360" s="3">
        <v>1379.8417226740301</v>
      </c>
      <c r="I2360" s="3">
        <v>50.07</v>
      </c>
      <c r="J2360" s="3">
        <v>50.34</v>
      </c>
      <c r="K2360" s="3">
        <v>49.795000000000002</v>
      </c>
      <c r="L2360" s="3">
        <v>1293.6238628979499</v>
      </c>
    </row>
    <row r="2361" spans="1:12" ht="15" customHeight="1" x14ac:dyDescent="0.2">
      <c r="A2361" s="2">
        <v>42625</v>
      </c>
      <c r="B2361" s="3">
        <v>50.4</v>
      </c>
      <c r="C2361" s="1">
        <v>385820</v>
      </c>
      <c r="D2361" s="3">
        <v>0.56999999999999995</v>
      </c>
      <c r="E2361" s="3">
        <v>1.14388922335941</v>
      </c>
      <c r="F2361" s="3">
        <v>1.1438861137246901</v>
      </c>
      <c r="G2361" s="3">
        <v>53.518047000000003</v>
      </c>
      <c r="H2361" s="3">
        <v>1391.3822714435901</v>
      </c>
      <c r="I2361" s="3">
        <v>49.62</v>
      </c>
      <c r="J2361" s="3">
        <v>50.46</v>
      </c>
      <c r="K2361" s="3">
        <v>49.52</v>
      </c>
      <c r="L2361" s="3">
        <v>1304.49195541005</v>
      </c>
    </row>
    <row r="2362" spans="1:12" ht="15" customHeight="1" x14ac:dyDescent="0.2">
      <c r="A2362" s="2">
        <v>42622</v>
      </c>
      <c r="B2362" s="3">
        <v>49.83</v>
      </c>
      <c r="C2362" s="1">
        <v>438999</v>
      </c>
      <c r="D2362" s="3">
        <v>-1</v>
      </c>
      <c r="E2362" s="3">
        <v>-1.9673421207948001</v>
      </c>
      <c r="F2362" s="3">
        <v>-1.96734022360496</v>
      </c>
      <c r="G2362" s="3">
        <v>52.912785</v>
      </c>
      <c r="H2362" s="3">
        <v>1374.51549346908</v>
      </c>
      <c r="I2362" s="3">
        <v>50.46</v>
      </c>
      <c r="J2362" s="3">
        <v>50.62</v>
      </c>
      <c r="K2362" s="3">
        <v>49.83</v>
      </c>
      <c r="L2362" s="3">
        <v>1288.6078202000599</v>
      </c>
    </row>
    <row r="2363" spans="1:12" ht="15" customHeight="1" x14ac:dyDescent="0.2">
      <c r="A2363" s="2">
        <v>42621</v>
      </c>
      <c r="B2363" s="3">
        <v>50.83</v>
      </c>
      <c r="C2363" s="1">
        <v>450180</v>
      </c>
      <c r="D2363" s="3">
        <v>-0.67999999999999905</v>
      </c>
      <c r="E2363" s="3">
        <v>-1.3201320132013199</v>
      </c>
      <c r="F2363" s="3">
        <v>-1.32012678786785</v>
      </c>
      <c r="G2363" s="3">
        <v>53.974649999999997</v>
      </c>
      <c r="H2363" s="3">
        <v>1404.10638335463</v>
      </c>
      <c r="I2363" s="3">
        <v>51.32</v>
      </c>
      <c r="J2363" s="3">
        <v>51.49</v>
      </c>
      <c r="K2363" s="3">
        <v>50.81</v>
      </c>
      <c r="L2363" s="3">
        <v>1316.4747240772399</v>
      </c>
    </row>
    <row r="2364" spans="1:12" ht="15" customHeight="1" x14ac:dyDescent="0.2">
      <c r="A2364" s="2">
        <v>42620</v>
      </c>
      <c r="B2364" s="3">
        <v>51.51</v>
      </c>
      <c r="C2364" s="1">
        <v>414124</v>
      </c>
      <c r="D2364" s="3">
        <v>0.35999999999999899</v>
      </c>
      <c r="E2364" s="3">
        <v>0.703812316715546</v>
      </c>
      <c r="F2364" s="3">
        <v>0.70380165867462896</v>
      </c>
      <c r="G2364" s="3">
        <v>54.696716000000002</v>
      </c>
      <c r="H2364" s="3">
        <v>1424.2281271696099</v>
      </c>
      <c r="I2364" s="3">
        <v>51.11</v>
      </c>
      <c r="J2364" s="3">
        <v>51.54</v>
      </c>
      <c r="K2364" s="3">
        <v>50.92</v>
      </c>
      <c r="L2364" s="3">
        <v>1335.4242187137199</v>
      </c>
    </row>
    <row r="2365" spans="1:12" ht="15" customHeight="1" x14ac:dyDescent="0.2">
      <c r="A2365" s="2">
        <v>42619</v>
      </c>
      <c r="B2365" s="3">
        <v>51.15</v>
      </c>
      <c r="C2365" s="1">
        <v>318417</v>
      </c>
      <c r="D2365" s="3">
        <v>-0.130000000000002</v>
      </c>
      <c r="E2365" s="3">
        <v>-0.25351014040562098</v>
      </c>
      <c r="F2365" s="3">
        <v>-0.25350173163805001</v>
      </c>
      <c r="G2365" s="3">
        <v>54.314450000000001</v>
      </c>
      <c r="H2365" s="3">
        <v>1413.57555729209</v>
      </c>
      <c r="I2365" s="3">
        <v>51.45</v>
      </c>
      <c r="J2365" s="3">
        <v>51.532499999999999</v>
      </c>
      <c r="K2365" s="3">
        <v>51.08</v>
      </c>
      <c r="L2365" s="3">
        <v>1325.3921333179401</v>
      </c>
    </row>
    <row r="2366" spans="1:12" ht="15" customHeight="1" x14ac:dyDescent="0.2">
      <c r="A2366" s="2">
        <v>42615</v>
      </c>
      <c r="B2366" s="3">
        <v>51.28</v>
      </c>
      <c r="C2366" s="1">
        <v>345245</v>
      </c>
      <c r="D2366" s="3">
        <v>0.219999999999998</v>
      </c>
      <c r="E2366" s="3">
        <v>0.43086564825693902</v>
      </c>
      <c r="F2366" s="3">
        <v>0.43086098421805102</v>
      </c>
      <c r="G2366" s="3">
        <v>54.452488000000002</v>
      </c>
      <c r="H2366" s="3">
        <v>1417.4222489694901</v>
      </c>
      <c r="I2366" s="3">
        <v>51.31</v>
      </c>
      <c r="J2366" s="3">
        <v>51.38</v>
      </c>
      <c r="K2366" s="3">
        <v>50.99</v>
      </c>
      <c r="L2366" s="3">
        <v>1329.01483082197</v>
      </c>
    </row>
    <row r="2367" spans="1:12" ht="15" customHeight="1" x14ac:dyDescent="0.2">
      <c r="A2367" s="2">
        <v>42614</v>
      </c>
      <c r="B2367" s="3">
        <v>51.06</v>
      </c>
      <c r="C2367" s="1">
        <v>596106</v>
      </c>
      <c r="D2367" s="3">
        <v>-0.34999999999999398</v>
      </c>
      <c r="E2367" s="3">
        <v>-0.68080140050572602</v>
      </c>
      <c r="F2367" s="3">
        <v>-0.68079573508446001</v>
      </c>
      <c r="G2367" s="3">
        <v>54.218879999999999</v>
      </c>
      <c r="H2367" s="3">
        <v>1410.91231728855</v>
      </c>
      <c r="I2367" s="3">
        <v>51.7</v>
      </c>
      <c r="J2367" s="3">
        <v>51.76</v>
      </c>
      <c r="K2367" s="3">
        <v>50.74</v>
      </c>
      <c r="L2367" s="3">
        <v>1322.8841119689901</v>
      </c>
    </row>
    <row r="2368" spans="1:12" ht="15" customHeight="1" x14ac:dyDescent="0.2">
      <c r="A2368" s="2">
        <v>42613</v>
      </c>
      <c r="B2368" s="3">
        <v>51.41</v>
      </c>
      <c r="C2368" s="1">
        <v>627646</v>
      </c>
      <c r="D2368" s="3">
        <v>-0.60000000000000098</v>
      </c>
      <c r="E2368" s="3">
        <v>-1.1536243030186499</v>
      </c>
      <c r="F2368" s="3">
        <v>-1.15362504107996</v>
      </c>
      <c r="G2368" s="3">
        <v>54.590530000000001</v>
      </c>
      <c r="H2368" s="3">
        <v>1421.26905211451</v>
      </c>
      <c r="I2368" s="3">
        <v>51.81</v>
      </c>
      <c r="J2368" s="3">
        <v>51.99</v>
      </c>
      <c r="K2368" s="3">
        <v>51.26</v>
      </c>
      <c r="L2368" s="3">
        <v>1332.6375283260099</v>
      </c>
    </row>
    <row r="2369" spans="1:12" ht="15" customHeight="1" x14ac:dyDescent="0.2">
      <c r="A2369" s="2">
        <v>42612</v>
      </c>
      <c r="B2369" s="3">
        <v>52.01</v>
      </c>
      <c r="C2369" s="1">
        <v>415226</v>
      </c>
      <c r="D2369" s="3">
        <v>-0.260000000000005</v>
      </c>
      <c r="E2369" s="3">
        <v>-0.497417256552523</v>
      </c>
      <c r="F2369" s="3">
        <v>-0.497425939225004</v>
      </c>
      <c r="G2369" s="3">
        <v>55.227649999999997</v>
      </c>
      <c r="H2369" s="3">
        <v>1439.0236139127401</v>
      </c>
      <c r="I2369" s="3">
        <v>52.08</v>
      </c>
      <c r="J2369" s="3">
        <v>52.2</v>
      </c>
      <c r="K2369" s="3">
        <v>51.72</v>
      </c>
      <c r="L2369" s="3">
        <v>1349.3576706523199</v>
      </c>
    </row>
    <row r="2370" spans="1:12" ht="15" customHeight="1" x14ac:dyDescent="0.2">
      <c r="A2370" s="2">
        <v>42611</v>
      </c>
      <c r="B2370" s="3">
        <v>52.27</v>
      </c>
      <c r="C2370" s="1">
        <v>574491</v>
      </c>
      <c r="D2370" s="3">
        <v>-3.9999999999999099E-2</v>
      </c>
      <c r="E2370" s="3">
        <v>-7.6467214681708001E-2</v>
      </c>
      <c r="F2370" s="3">
        <v>-7.6467856540718401E-2</v>
      </c>
      <c r="G2370" s="3">
        <v>55.503740000000001</v>
      </c>
      <c r="H2370" s="3">
        <v>1446.71738740419</v>
      </c>
      <c r="I2370" s="3">
        <v>52.46</v>
      </c>
      <c r="J2370" s="3">
        <v>53.17</v>
      </c>
      <c r="K2370" s="3">
        <v>52.18</v>
      </c>
      <c r="L2370" s="3">
        <v>1356.60306566038</v>
      </c>
    </row>
    <row r="2371" spans="1:12" ht="15" customHeight="1" x14ac:dyDescent="0.2">
      <c r="A2371" s="2">
        <v>42608</v>
      </c>
      <c r="B2371" s="3">
        <v>52.31</v>
      </c>
      <c r="C2371" s="1">
        <v>606257</v>
      </c>
      <c r="D2371" s="3">
        <v>-0.32999999999999802</v>
      </c>
      <c r="E2371" s="3">
        <v>-0.62689969604863205</v>
      </c>
      <c r="F2371" s="3">
        <v>-0.62689114724027095</v>
      </c>
      <c r="G2371" s="3">
        <v>55.546214999999997</v>
      </c>
      <c r="H2371" s="3">
        <v>1447.90103414637</v>
      </c>
      <c r="I2371" s="3">
        <v>52.79</v>
      </c>
      <c r="J2371" s="3">
        <v>52.8</v>
      </c>
      <c r="K2371" s="3">
        <v>52.24</v>
      </c>
      <c r="L2371" s="3">
        <v>1357.7177418154699</v>
      </c>
    </row>
    <row r="2372" spans="1:12" ht="15" customHeight="1" x14ac:dyDescent="0.2">
      <c r="A2372" s="2">
        <v>42607</v>
      </c>
      <c r="B2372" s="3">
        <v>52.64</v>
      </c>
      <c r="C2372" s="1">
        <v>363124</v>
      </c>
      <c r="D2372" s="3">
        <v>0.17000000000000101</v>
      </c>
      <c r="E2372" s="3">
        <v>0.32399466361729901</v>
      </c>
      <c r="F2372" s="3">
        <v>0.32399246824661398</v>
      </c>
      <c r="G2372" s="3">
        <v>55.896625999999998</v>
      </c>
      <c r="H2372" s="3">
        <v>1457.66590380088</v>
      </c>
      <c r="I2372" s="3">
        <v>52.3</v>
      </c>
      <c r="J2372" s="3">
        <v>52.75</v>
      </c>
      <c r="K2372" s="3">
        <v>52.3</v>
      </c>
      <c r="L2372" s="3">
        <v>1366.9138200949401</v>
      </c>
    </row>
    <row r="2373" spans="1:12" ht="15" customHeight="1" x14ac:dyDescent="0.2">
      <c r="A2373" s="2">
        <v>42606</v>
      </c>
      <c r="B2373" s="3">
        <v>52.47</v>
      </c>
      <c r="C2373" s="1">
        <v>432796</v>
      </c>
      <c r="D2373" s="3">
        <v>-5.0000000000004201E-2</v>
      </c>
      <c r="E2373" s="3">
        <v>-9.5201827875102105E-2</v>
      </c>
      <c r="F2373" s="3">
        <v>-9.5201288782975596E-2</v>
      </c>
      <c r="G2373" s="3">
        <v>55.71611</v>
      </c>
      <c r="H2373" s="3">
        <v>1452.63548178059</v>
      </c>
      <c r="I2373" s="3">
        <v>52.69</v>
      </c>
      <c r="J2373" s="3">
        <v>52.85</v>
      </c>
      <c r="K2373" s="3">
        <v>52.39</v>
      </c>
      <c r="L2373" s="3">
        <v>1362.17644643582</v>
      </c>
    </row>
    <row r="2374" spans="1:12" ht="15" customHeight="1" x14ac:dyDescent="0.2">
      <c r="A2374" s="2">
        <v>42605</v>
      </c>
      <c r="B2374" s="3">
        <v>52.52</v>
      </c>
      <c r="C2374" s="1">
        <v>319549</v>
      </c>
      <c r="D2374" s="3">
        <v>0.42000000000000098</v>
      </c>
      <c r="E2374" s="3">
        <v>0.80614203454893996</v>
      </c>
      <c r="F2374" s="3">
        <v>0.80614071270617105</v>
      </c>
      <c r="G2374" s="3">
        <v>55.769202999999997</v>
      </c>
      <c r="H2374" s="3">
        <v>1454.1150193081401</v>
      </c>
      <c r="I2374" s="3">
        <v>52.33</v>
      </c>
      <c r="J2374" s="3">
        <v>52.53</v>
      </c>
      <c r="K2374" s="3">
        <v>52.075000000000003</v>
      </c>
      <c r="L2374" s="3">
        <v>1363.5697916296799</v>
      </c>
    </row>
    <row r="2375" spans="1:12" ht="15" customHeight="1" x14ac:dyDescent="0.2">
      <c r="A2375" s="2">
        <v>42604</v>
      </c>
      <c r="B2375" s="3">
        <v>52.1</v>
      </c>
      <c r="C2375" s="1">
        <v>325350</v>
      </c>
      <c r="D2375" s="3">
        <v>-9.9999999999980105E-3</v>
      </c>
      <c r="E2375" s="3">
        <v>-1.9190174630590001E-2</v>
      </c>
      <c r="F2375" s="3">
        <v>-1.9192595344918999E-2</v>
      </c>
      <c r="G2375" s="3">
        <v>55.323219999999999</v>
      </c>
      <c r="H2375" s="3">
        <v>1441.6868539162799</v>
      </c>
      <c r="I2375" s="3">
        <v>52</v>
      </c>
      <c r="J2375" s="3">
        <v>52.4</v>
      </c>
      <c r="K2375" s="3">
        <v>52</v>
      </c>
      <c r="L2375" s="3">
        <v>1351.86569200126</v>
      </c>
    </row>
    <row r="2376" spans="1:12" ht="15" customHeight="1" x14ac:dyDescent="0.2">
      <c r="A2376" s="2">
        <v>42601</v>
      </c>
      <c r="B2376" s="3">
        <v>52.11</v>
      </c>
      <c r="C2376" s="1">
        <v>464368</v>
      </c>
      <c r="D2376" s="3">
        <v>-0.52000000000000302</v>
      </c>
      <c r="E2376" s="3">
        <v>-0.98802964088923195</v>
      </c>
      <c r="F2376" s="3">
        <v>-0.988029025511028</v>
      </c>
      <c r="G2376" s="3">
        <v>55.333840000000002</v>
      </c>
      <c r="H2376" s="3">
        <v>1441.9828004354499</v>
      </c>
      <c r="I2376" s="3">
        <v>52.49</v>
      </c>
      <c r="J2376" s="3">
        <v>52.49</v>
      </c>
      <c r="K2376" s="3">
        <v>52.02</v>
      </c>
      <c r="L2376" s="3">
        <v>1352.1443610400299</v>
      </c>
    </row>
    <row r="2377" spans="1:12" ht="15" customHeight="1" x14ac:dyDescent="0.2">
      <c r="A2377" s="2">
        <v>42600</v>
      </c>
      <c r="B2377" s="3">
        <v>52.63</v>
      </c>
      <c r="C2377" s="1">
        <v>658047</v>
      </c>
      <c r="D2377" s="3">
        <v>0.260000000000005</v>
      </c>
      <c r="E2377" s="3">
        <v>0.496467443192671</v>
      </c>
      <c r="F2377" s="3">
        <v>0.49646893960868499</v>
      </c>
      <c r="G2377" s="3">
        <v>55.886009999999999</v>
      </c>
      <c r="H2377" s="3">
        <v>1457.3700687493199</v>
      </c>
      <c r="I2377" s="3">
        <v>52.56</v>
      </c>
      <c r="J2377" s="3">
        <v>52.94</v>
      </c>
      <c r="K2377" s="3">
        <v>52.44</v>
      </c>
      <c r="L2377" s="3">
        <v>1366.6351510561699</v>
      </c>
    </row>
    <row r="2378" spans="1:12" ht="15" customHeight="1" x14ac:dyDescent="0.2">
      <c r="A2378" s="2">
        <v>42599</v>
      </c>
      <c r="B2378" s="3">
        <v>52.37</v>
      </c>
      <c r="C2378" s="1">
        <v>659923</v>
      </c>
      <c r="D2378" s="3">
        <v>0.26999999999999602</v>
      </c>
      <c r="E2378" s="3">
        <v>0.51823416506717701</v>
      </c>
      <c r="F2378" s="3">
        <v>0.51823447731349503</v>
      </c>
      <c r="G2378" s="3">
        <v>55.609923999999999</v>
      </c>
      <c r="H2378" s="3">
        <v>1449.6764067254801</v>
      </c>
      <c r="I2378" s="3">
        <v>51.9</v>
      </c>
      <c r="J2378" s="3">
        <v>52.49</v>
      </c>
      <c r="K2378" s="3">
        <v>51.78</v>
      </c>
      <c r="L2378" s="3">
        <v>1359.3897560481</v>
      </c>
    </row>
    <row r="2379" spans="1:12" ht="15" customHeight="1" x14ac:dyDescent="0.2">
      <c r="A2379" s="2">
        <v>42598</v>
      </c>
      <c r="B2379" s="3">
        <v>52.1</v>
      </c>
      <c r="C2379" s="1">
        <v>864391</v>
      </c>
      <c r="D2379" s="3">
        <v>6.0000000000002197E-2</v>
      </c>
      <c r="E2379" s="3">
        <v>0.115295926210601</v>
      </c>
      <c r="F2379" s="3">
        <v>0.115292372299347</v>
      </c>
      <c r="G2379" s="3">
        <v>55.323219999999999</v>
      </c>
      <c r="H2379" s="3">
        <v>1441.6868539162799</v>
      </c>
      <c r="I2379" s="3">
        <v>52.08</v>
      </c>
      <c r="J2379" s="3">
        <v>52.52</v>
      </c>
      <c r="K2379" s="3">
        <v>51.61</v>
      </c>
      <c r="L2379" s="3">
        <v>1351.86569200126</v>
      </c>
    </row>
    <row r="2380" spans="1:12" ht="15" customHeight="1" x14ac:dyDescent="0.2">
      <c r="A2380" s="2">
        <v>42597</v>
      </c>
      <c r="B2380" s="3">
        <v>52.04</v>
      </c>
      <c r="C2380" s="1">
        <v>862788</v>
      </c>
      <c r="D2380" s="3">
        <v>0.92999999999999905</v>
      </c>
      <c r="E2380" s="3">
        <v>1.81960477401683</v>
      </c>
      <c r="F2380" s="3">
        <v>1.81960770064504</v>
      </c>
      <c r="G2380" s="3">
        <v>55.259509999999999</v>
      </c>
      <c r="H2380" s="3">
        <v>1439.9114534702601</v>
      </c>
      <c r="I2380" s="3">
        <v>51.39</v>
      </c>
      <c r="J2380" s="3">
        <v>52.17</v>
      </c>
      <c r="K2380" s="3">
        <v>51.26</v>
      </c>
      <c r="L2380" s="3">
        <v>1350.1936777686301</v>
      </c>
    </row>
    <row r="2381" spans="1:12" ht="15" customHeight="1" x14ac:dyDescent="0.2">
      <c r="A2381" s="2">
        <v>42594</v>
      </c>
      <c r="B2381" s="3">
        <v>51.11</v>
      </c>
      <c r="C2381" s="1">
        <v>710881</v>
      </c>
      <c r="D2381" s="3">
        <v>-0.34000000000000302</v>
      </c>
      <c r="E2381" s="3">
        <v>-0.66083576287658796</v>
      </c>
      <c r="F2381" s="3">
        <v>-0.66083494177795399</v>
      </c>
      <c r="G2381" s="3">
        <v>54.271973000000003</v>
      </c>
      <c r="H2381" s="3">
        <v>1412.3918548161</v>
      </c>
      <c r="I2381" s="3">
        <v>51.45</v>
      </c>
      <c r="J2381" s="3">
        <v>51.701000000000001</v>
      </c>
      <c r="K2381" s="3">
        <v>50.99</v>
      </c>
      <c r="L2381" s="3">
        <v>1324.2774571628499</v>
      </c>
    </row>
    <row r="2382" spans="1:12" ht="15" customHeight="1" x14ac:dyDescent="0.2">
      <c r="A2382" s="2">
        <v>42593</v>
      </c>
      <c r="B2382" s="3">
        <v>51.45</v>
      </c>
      <c r="C2382" s="1">
        <v>938543</v>
      </c>
      <c r="D2382" s="3">
        <v>0.440000000000004</v>
      </c>
      <c r="E2382" s="3">
        <v>0.86257596549697002</v>
      </c>
      <c r="F2382" s="3">
        <v>0.86258145663655705</v>
      </c>
      <c r="G2382" s="3">
        <v>54.633006999999999</v>
      </c>
      <c r="H2382" s="3">
        <v>1422.4527545905</v>
      </c>
      <c r="I2382" s="3">
        <v>51.49</v>
      </c>
      <c r="J2382" s="3">
        <v>52.25</v>
      </c>
      <c r="K2382" s="3">
        <v>51.06</v>
      </c>
      <c r="L2382" s="3">
        <v>1333.7522044810901</v>
      </c>
    </row>
    <row r="2383" spans="1:12" ht="15" customHeight="1" x14ac:dyDescent="0.2">
      <c r="A2383" s="2">
        <v>42592</v>
      </c>
      <c r="B2383" s="3">
        <v>51.01</v>
      </c>
      <c r="C2383" s="1">
        <v>697222</v>
      </c>
      <c r="D2383" s="3">
        <v>-0.160000000000003</v>
      </c>
      <c r="E2383" s="3">
        <v>-0.31268321282001899</v>
      </c>
      <c r="F2383" s="3">
        <v>-0.31268402962164599</v>
      </c>
      <c r="G2383" s="3">
        <v>54.165782999999998</v>
      </c>
      <c r="H2383" s="3">
        <v>1409.4326682933799</v>
      </c>
      <c r="I2383" s="3">
        <v>51.07</v>
      </c>
      <c r="J2383" s="3">
        <v>51.47</v>
      </c>
      <c r="K2383" s="3">
        <v>50.94</v>
      </c>
      <c r="L2383" s="3">
        <v>1321.4907667751299</v>
      </c>
    </row>
    <row r="2384" spans="1:12" ht="15" customHeight="1" x14ac:dyDescent="0.2">
      <c r="A2384" s="2">
        <v>42591</v>
      </c>
      <c r="B2384" s="3">
        <v>51.17</v>
      </c>
      <c r="C2384" s="1">
        <v>580712</v>
      </c>
      <c r="D2384" s="3">
        <v>0.25</v>
      </c>
      <c r="E2384" s="3">
        <v>0.49096622152395802</v>
      </c>
      <c r="F2384" s="3">
        <v>0.49096344481103199</v>
      </c>
      <c r="G2384" s="3">
        <v>54.335681999999998</v>
      </c>
      <c r="H2384" s="3">
        <v>1414.1672273952099</v>
      </c>
      <c r="I2384" s="3">
        <v>50.74</v>
      </c>
      <c r="J2384" s="3">
        <v>51.69</v>
      </c>
      <c r="K2384" s="3">
        <v>50.74</v>
      </c>
      <c r="L2384" s="3">
        <v>1325.94947139548</v>
      </c>
    </row>
    <row r="2385" spans="1:12" ht="15" customHeight="1" x14ac:dyDescent="0.2">
      <c r="A2385" s="2">
        <v>42590</v>
      </c>
      <c r="B2385" s="3">
        <v>50.92</v>
      </c>
      <c r="C2385" s="1">
        <v>552964</v>
      </c>
      <c r="D2385" s="3">
        <v>0.149999999999998</v>
      </c>
      <c r="E2385" s="3">
        <v>0.29545006893834103</v>
      </c>
      <c r="F2385" s="3">
        <v>0.76817393407846402</v>
      </c>
      <c r="G2385" s="3">
        <v>54.070217</v>
      </c>
      <c r="H2385" s="3">
        <v>1406.7695397574601</v>
      </c>
      <c r="I2385" s="3">
        <v>50.77</v>
      </c>
      <c r="J2385" s="3">
        <v>51.05</v>
      </c>
      <c r="K2385" s="3">
        <v>50.55</v>
      </c>
      <c r="L2385" s="3">
        <v>1318.9827454261899</v>
      </c>
    </row>
    <row r="2386" spans="1:12" ht="15" customHeight="1" x14ac:dyDescent="0.2">
      <c r="A2386" s="2">
        <v>42587</v>
      </c>
      <c r="B2386" s="3">
        <v>50.77</v>
      </c>
      <c r="C2386" s="1">
        <v>1343453</v>
      </c>
      <c r="D2386" s="3">
        <v>0.67000000000000104</v>
      </c>
      <c r="E2386" s="3">
        <v>1.3373253493013899</v>
      </c>
      <c r="F2386" s="3">
        <v>1.3373259867432701</v>
      </c>
      <c r="G2386" s="3">
        <v>53.658029999999997</v>
      </c>
      <c r="H2386" s="3">
        <v>1395.2831642490301</v>
      </c>
      <c r="I2386" s="3">
        <v>50.25</v>
      </c>
      <c r="J2386" s="3">
        <v>51.19</v>
      </c>
      <c r="K2386" s="3">
        <v>50.2</v>
      </c>
      <c r="L2386" s="3">
        <v>1314.80270984461</v>
      </c>
    </row>
    <row r="2387" spans="1:12" ht="15" customHeight="1" x14ac:dyDescent="0.2">
      <c r="A2387" s="2">
        <v>42586</v>
      </c>
      <c r="B2387" s="3">
        <v>50.1</v>
      </c>
      <c r="C2387" s="1">
        <v>869340</v>
      </c>
      <c r="D2387" s="3">
        <v>-0.68999999999999695</v>
      </c>
      <c r="E2387" s="3">
        <v>-1.3585351447135201</v>
      </c>
      <c r="F2387" s="3">
        <v>-1.3585400072318501</v>
      </c>
      <c r="G2387" s="3">
        <v>52.949916999999999</v>
      </c>
      <c r="H2387" s="3">
        <v>1375.5502473438501</v>
      </c>
      <c r="I2387" s="3">
        <v>50.99</v>
      </c>
      <c r="J2387" s="3">
        <v>51.1</v>
      </c>
      <c r="K2387" s="3">
        <v>49.87</v>
      </c>
      <c r="L2387" s="3">
        <v>1296.1318842469</v>
      </c>
    </row>
    <row r="2388" spans="1:12" ht="15" customHeight="1" x14ac:dyDescent="0.2">
      <c r="A2388" s="2">
        <v>42585</v>
      </c>
      <c r="B2388" s="3">
        <v>50.79</v>
      </c>
      <c r="C2388" s="1">
        <v>678692</v>
      </c>
      <c r="D2388" s="3">
        <v>-3.0000000000001099E-2</v>
      </c>
      <c r="E2388" s="3">
        <v>-5.9031877213699901E-2</v>
      </c>
      <c r="F2388" s="3">
        <v>-5.9030874864152101E-2</v>
      </c>
      <c r="G2388" s="3">
        <v>53.679169999999999</v>
      </c>
      <c r="H2388" s="3">
        <v>1395.8722705969899</v>
      </c>
      <c r="I2388" s="3">
        <v>50.85</v>
      </c>
      <c r="J2388" s="3">
        <v>51.19</v>
      </c>
      <c r="K2388" s="3">
        <v>50.55</v>
      </c>
      <c r="L2388" s="3">
        <v>1315.36004792215</v>
      </c>
    </row>
    <row r="2389" spans="1:12" ht="15" customHeight="1" x14ac:dyDescent="0.2">
      <c r="A2389" s="2">
        <v>42584</v>
      </c>
      <c r="B2389" s="3">
        <v>50.82</v>
      </c>
      <c r="C2389" s="1">
        <v>654886</v>
      </c>
      <c r="D2389" s="3">
        <v>-1.52</v>
      </c>
      <c r="E2389" s="3">
        <v>-2.9040886511272399</v>
      </c>
      <c r="F2389" s="3">
        <v>-2.9040875790484502</v>
      </c>
      <c r="G2389" s="3">
        <v>53.710875999999999</v>
      </c>
      <c r="H2389" s="3">
        <v>1396.7558186513299</v>
      </c>
      <c r="I2389" s="3">
        <v>52.33</v>
      </c>
      <c r="J2389" s="3">
        <v>52.36</v>
      </c>
      <c r="K2389" s="3">
        <v>50.63</v>
      </c>
      <c r="L2389" s="3">
        <v>1316.1960550384699</v>
      </c>
    </row>
    <row r="2390" spans="1:12" ht="15" customHeight="1" x14ac:dyDescent="0.2">
      <c r="A2390" s="2">
        <v>42583</v>
      </c>
      <c r="B2390" s="3">
        <v>52.34</v>
      </c>
      <c r="C2390" s="1">
        <v>714599</v>
      </c>
      <c r="D2390" s="3">
        <v>0.61000000000000598</v>
      </c>
      <c r="E2390" s="3">
        <v>1.1791996907017199</v>
      </c>
      <c r="F2390" s="3">
        <v>1.17920041907615</v>
      </c>
      <c r="G2390" s="3">
        <v>55.317340000000002</v>
      </c>
      <c r="H2390" s="3">
        <v>1441.5229965214801</v>
      </c>
      <c r="I2390" s="3">
        <v>51.66</v>
      </c>
      <c r="J2390" s="3">
        <v>52.46</v>
      </c>
      <c r="K2390" s="3">
        <v>51.44</v>
      </c>
      <c r="L2390" s="3">
        <v>1358.5537489317901</v>
      </c>
    </row>
    <row r="2391" spans="1:12" ht="15" customHeight="1" x14ac:dyDescent="0.2">
      <c r="A2391" s="2">
        <v>42580</v>
      </c>
      <c r="B2391" s="3">
        <v>51.73</v>
      </c>
      <c r="C2391" s="1">
        <v>1178088</v>
      </c>
      <c r="D2391" s="3">
        <v>-0.46</v>
      </c>
      <c r="E2391" s="3">
        <v>-0.88139490323817504</v>
      </c>
      <c r="F2391" s="3">
        <v>-0.88139326293610298</v>
      </c>
      <c r="G2391" s="3">
        <v>54.672640000000001</v>
      </c>
      <c r="H2391" s="3">
        <v>1423.5572035918599</v>
      </c>
      <c r="I2391" s="3">
        <v>52.31</v>
      </c>
      <c r="J2391" s="3">
        <v>52.53</v>
      </c>
      <c r="K2391" s="3">
        <v>51.27</v>
      </c>
      <c r="L2391" s="3">
        <v>1341.5549375667099</v>
      </c>
    </row>
    <row r="2392" spans="1:12" ht="15" customHeight="1" x14ac:dyDescent="0.2">
      <c r="A2392" s="2">
        <v>42579</v>
      </c>
      <c r="B2392" s="3">
        <v>52.19</v>
      </c>
      <c r="C2392" s="1">
        <v>2928188</v>
      </c>
      <c r="D2392" s="3">
        <v>2.4299999999999899</v>
      </c>
      <c r="E2392" s="3">
        <v>4.8834405144694504</v>
      </c>
      <c r="F2392" s="3">
        <v>4.88344147438126</v>
      </c>
      <c r="G2392" s="3">
        <v>55.158805999999998</v>
      </c>
      <c r="H2392" s="3">
        <v>1437.1051447822199</v>
      </c>
      <c r="I2392" s="3">
        <v>52.67</v>
      </c>
      <c r="J2392" s="3">
        <v>53.25</v>
      </c>
      <c r="K2392" s="3">
        <v>50.52</v>
      </c>
      <c r="L2392" s="3">
        <v>1354.37371335021</v>
      </c>
    </row>
    <row r="2393" spans="1:12" ht="15" customHeight="1" x14ac:dyDescent="0.2">
      <c r="A2393" s="2">
        <v>42578</v>
      </c>
      <c r="B2393" s="3">
        <v>49.76</v>
      </c>
      <c r="C2393" s="1">
        <v>2085917</v>
      </c>
      <c r="D2393" s="3">
        <v>-0.70000000000000195</v>
      </c>
      <c r="E2393" s="3">
        <v>-1.3872374157748699</v>
      </c>
      <c r="F2393" s="3">
        <v>-1.3872370530914</v>
      </c>
      <c r="G2393" s="3">
        <v>52.590575999999999</v>
      </c>
      <c r="H2393" s="3">
        <v>1365.53652623772</v>
      </c>
      <c r="I2393" s="3">
        <v>50.47</v>
      </c>
      <c r="J2393" s="3">
        <v>50.74</v>
      </c>
      <c r="K2393" s="3">
        <v>49.28</v>
      </c>
      <c r="L2393" s="3">
        <v>1286.6571369286501</v>
      </c>
    </row>
    <row r="2394" spans="1:12" ht="15" customHeight="1" x14ac:dyDescent="0.2">
      <c r="A2394" s="2">
        <v>42577</v>
      </c>
      <c r="B2394" s="3">
        <v>50.46</v>
      </c>
      <c r="C2394" s="1">
        <v>1875533</v>
      </c>
      <c r="D2394" s="3">
        <v>-2.4799999999999902</v>
      </c>
      <c r="E2394" s="3">
        <v>-4.6845485455232199</v>
      </c>
      <c r="F2394" s="3">
        <v>-4.6845507365579397</v>
      </c>
      <c r="G2394" s="3">
        <v>53.330395000000003</v>
      </c>
      <c r="H2394" s="3">
        <v>1386.15299119723</v>
      </c>
      <c r="I2394" s="3">
        <v>50.4</v>
      </c>
      <c r="J2394" s="3">
        <v>51.67</v>
      </c>
      <c r="K2394" s="3">
        <v>49.87</v>
      </c>
      <c r="L2394" s="3">
        <v>1306.1639696426801</v>
      </c>
    </row>
    <row r="2395" spans="1:12" ht="15" customHeight="1" x14ac:dyDescent="0.2">
      <c r="A2395" s="2">
        <v>42576</v>
      </c>
      <c r="B2395" s="3">
        <v>52.94</v>
      </c>
      <c r="C2395" s="1">
        <v>1029983</v>
      </c>
      <c r="D2395" s="3">
        <v>9.9999999999994302E-2</v>
      </c>
      <c r="E2395" s="3">
        <v>0.18925056775169699</v>
      </c>
      <c r="F2395" s="3">
        <v>0.189247950915127</v>
      </c>
      <c r="G2395" s="3">
        <v>55.95147</v>
      </c>
      <c r="H2395" s="3">
        <v>1459.1942362771199</v>
      </c>
      <c r="I2395" s="3">
        <v>52.96</v>
      </c>
      <c r="J2395" s="3">
        <v>53.2</v>
      </c>
      <c r="K2395" s="3">
        <v>52.396999999999998</v>
      </c>
      <c r="L2395" s="3">
        <v>1375.2738912581001</v>
      </c>
    </row>
    <row r="2396" spans="1:12" ht="15" customHeight="1" x14ac:dyDescent="0.2">
      <c r="A2396" s="2">
        <v>42573</v>
      </c>
      <c r="B2396" s="3">
        <v>52.84</v>
      </c>
      <c r="C2396" s="1">
        <v>828523</v>
      </c>
      <c r="D2396" s="3">
        <v>1.19</v>
      </c>
      <c r="E2396" s="3">
        <v>2.3039690222652598</v>
      </c>
      <c r="F2396" s="3">
        <v>2.3039639798371399</v>
      </c>
      <c r="G2396" s="3">
        <v>55.845782999999997</v>
      </c>
      <c r="H2396" s="3">
        <v>1456.24906680705</v>
      </c>
      <c r="I2396" s="3">
        <v>51.44</v>
      </c>
      <c r="J2396" s="3">
        <v>53.1</v>
      </c>
      <c r="K2396" s="3">
        <v>51.44</v>
      </c>
      <c r="L2396" s="3">
        <v>1372.4872008703801</v>
      </c>
    </row>
    <row r="2397" spans="1:12" ht="15" customHeight="1" x14ac:dyDescent="0.2">
      <c r="A2397" s="2">
        <v>42572</v>
      </c>
      <c r="B2397" s="3">
        <v>51.65</v>
      </c>
      <c r="C2397" s="1">
        <v>389120</v>
      </c>
      <c r="D2397" s="3">
        <v>0.119999999999997</v>
      </c>
      <c r="E2397" s="3">
        <v>0.232874053949161</v>
      </c>
      <c r="F2397" s="3">
        <v>0.232886642725493</v>
      </c>
      <c r="G2397" s="3">
        <v>54.588093000000001</v>
      </c>
      <c r="H2397" s="3">
        <v>1421.20114046976</v>
      </c>
      <c r="I2397" s="3">
        <v>51.68</v>
      </c>
      <c r="J2397" s="3">
        <v>51.83</v>
      </c>
      <c r="K2397" s="3">
        <v>50.81</v>
      </c>
      <c r="L2397" s="3">
        <v>1339.3255852565301</v>
      </c>
    </row>
    <row r="2398" spans="1:12" ht="15" customHeight="1" x14ac:dyDescent="0.2">
      <c r="A2398" s="2">
        <v>42571</v>
      </c>
      <c r="B2398" s="3">
        <v>51.53</v>
      </c>
      <c r="C2398" s="1">
        <v>357537</v>
      </c>
      <c r="D2398" s="3">
        <v>0.28999999999999898</v>
      </c>
      <c r="E2398" s="3">
        <v>0.56596409055424901</v>
      </c>
      <c r="F2398" s="3">
        <v>0.56595199277922303</v>
      </c>
      <c r="G2398" s="3">
        <v>54.461260000000003</v>
      </c>
      <c r="H2398" s="3">
        <v>1417.6666974503</v>
      </c>
      <c r="I2398" s="3">
        <v>51.34</v>
      </c>
      <c r="J2398" s="3">
        <v>51.7</v>
      </c>
      <c r="K2398" s="3">
        <v>51.14</v>
      </c>
      <c r="L2398" s="3">
        <v>1335.9815567912699</v>
      </c>
    </row>
    <row r="2399" spans="1:12" ht="15" customHeight="1" x14ac:dyDescent="0.2">
      <c r="A2399" s="2">
        <v>42570</v>
      </c>
      <c r="B2399" s="3">
        <v>51.24</v>
      </c>
      <c r="C2399" s="1">
        <v>504623</v>
      </c>
      <c r="D2399" s="3">
        <v>0.17999999999999899</v>
      </c>
      <c r="E2399" s="3">
        <v>0.35252643948295798</v>
      </c>
      <c r="F2399" s="3">
        <v>0.35252785487058702</v>
      </c>
      <c r="G2399" s="3">
        <v>54.154769999999999</v>
      </c>
      <c r="H2399" s="3">
        <v>1409.1257700809799</v>
      </c>
      <c r="I2399" s="3">
        <v>50.87</v>
      </c>
      <c r="J2399" s="3">
        <v>51.41</v>
      </c>
      <c r="K2399" s="3">
        <v>50.85</v>
      </c>
      <c r="L2399" s="3">
        <v>1327.9001546668801</v>
      </c>
    </row>
    <row r="2400" spans="1:12" ht="15" customHeight="1" x14ac:dyDescent="0.2">
      <c r="A2400" s="2">
        <v>42569</v>
      </c>
      <c r="B2400" s="3">
        <v>51.06</v>
      </c>
      <c r="C2400" s="1">
        <v>559866</v>
      </c>
      <c r="D2400" s="3">
        <v>0.109999999999999</v>
      </c>
      <c r="E2400" s="3">
        <v>0.21589793915604</v>
      </c>
      <c r="F2400" s="3">
        <v>0.21590294358575501</v>
      </c>
      <c r="G2400" s="3">
        <v>53.964530000000003</v>
      </c>
      <c r="H2400" s="3">
        <v>1403.8243702873899</v>
      </c>
      <c r="I2400" s="3">
        <v>50.82</v>
      </c>
      <c r="J2400" s="3">
        <v>51.45</v>
      </c>
      <c r="K2400" s="3">
        <v>50.027999999999999</v>
      </c>
      <c r="L2400" s="3">
        <v>1322.8841119689901</v>
      </c>
    </row>
    <row r="2401" spans="1:12" ht="15" customHeight="1" x14ac:dyDescent="0.2">
      <c r="A2401" s="2">
        <v>42566</v>
      </c>
      <c r="B2401" s="3">
        <v>50.95</v>
      </c>
      <c r="C2401" s="1">
        <v>839327</v>
      </c>
      <c r="D2401" s="3">
        <v>-0.309999999999995</v>
      </c>
      <c r="E2401" s="3">
        <v>-0.60476004682011797</v>
      </c>
      <c r="F2401" s="3">
        <v>-0.60475780163737802</v>
      </c>
      <c r="G2401" s="3">
        <v>53.848269999999999</v>
      </c>
      <c r="H2401" s="3">
        <v>1400.5845640426301</v>
      </c>
      <c r="I2401" s="3">
        <v>51.38</v>
      </c>
      <c r="J2401" s="3">
        <v>51.72</v>
      </c>
      <c r="K2401" s="3">
        <v>50.79</v>
      </c>
      <c r="L2401" s="3">
        <v>1319.8187525425001</v>
      </c>
    </row>
    <row r="2402" spans="1:12" ht="15" customHeight="1" x14ac:dyDescent="0.2">
      <c r="A2402" s="2">
        <v>42565</v>
      </c>
      <c r="B2402" s="3">
        <v>51.26</v>
      </c>
      <c r="C2402" s="1">
        <v>494823</v>
      </c>
      <c r="D2402" s="3">
        <v>0.64999999999999802</v>
      </c>
      <c r="E2402" s="3">
        <v>1.2843311598498199</v>
      </c>
      <c r="F2402" s="3">
        <v>1.28432742999344</v>
      </c>
      <c r="G2402" s="3">
        <v>54.175902999999998</v>
      </c>
      <c r="H2402" s="3">
        <v>1409.71468136062</v>
      </c>
      <c r="I2402" s="3">
        <v>50.74</v>
      </c>
      <c r="J2402" s="3">
        <v>51.32</v>
      </c>
      <c r="K2402" s="3">
        <v>50.74</v>
      </c>
      <c r="L2402" s="3">
        <v>1328.4574927444301</v>
      </c>
    </row>
    <row r="2403" spans="1:12" ht="15" customHeight="1" x14ac:dyDescent="0.2">
      <c r="A2403" s="2">
        <v>42564</v>
      </c>
      <c r="B2403" s="3">
        <v>50.61</v>
      </c>
      <c r="C2403" s="1">
        <v>340092</v>
      </c>
      <c r="D2403" s="3">
        <v>-0.28000000000000103</v>
      </c>
      <c r="E2403" s="3">
        <v>-0.55020632737276998</v>
      </c>
      <c r="F2403" s="3">
        <v>-0.55021059829847196</v>
      </c>
      <c r="G2403" s="3">
        <v>53.488930000000003</v>
      </c>
      <c r="H2403" s="3">
        <v>1390.5708708034001</v>
      </c>
      <c r="I2403" s="3">
        <v>51.2</v>
      </c>
      <c r="J2403" s="3">
        <v>51.33</v>
      </c>
      <c r="K2403" s="3">
        <v>50.59</v>
      </c>
      <c r="L2403" s="3">
        <v>1310.3440052242599</v>
      </c>
    </row>
    <row r="2404" spans="1:12" ht="15" customHeight="1" x14ac:dyDescent="0.2">
      <c r="A2404" s="2">
        <v>42563</v>
      </c>
      <c r="B2404" s="3">
        <v>50.89</v>
      </c>
      <c r="C2404" s="1">
        <v>609507</v>
      </c>
      <c r="D2404" s="3">
        <v>0.25999999999999801</v>
      </c>
      <c r="E2404" s="3">
        <v>0.513529527947853</v>
      </c>
      <c r="F2404" s="3">
        <v>0.51352950949232701</v>
      </c>
      <c r="G2404" s="3">
        <v>53.784860000000002</v>
      </c>
      <c r="H2404" s="3">
        <v>1398.81752366777</v>
      </c>
      <c r="I2404" s="3">
        <v>50.93</v>
      </c>
      <c r="J2404" s="3">
        <v>51.1</v>
      </c>
      <c r="K2404" s="3">
        <v>50.432400000000001</v>
      </c>
      <c r="L2404" s="3">
        <v>1318.14673830987</v>
      </c>
    </row>
    <row r="2405" spans="1:12" ht="15" customHeight="1" x14ac:dyDescent="0.2">
      <c r="A2405" s="2">
        <v>42562</v>
      </c>
      <c r="B2405" s="3">
        <v>50.63</v>
      </c>
      <c r="C2405" s="1">
        <v>549017</v>
      </c>
      <c r="D2405" s="3">
        <v>0.92999999999999905</v>
      </c>
      <c r="E2405" s="3">
        <v>1.8712273641851001</v>
      </c>
      <c r="F2405" s="3">
        <v>1.87123371061874</v>
      </c>
      <c r="G2405" s="3">
        <v>53.510069999999999</v>
      </c>
      <c r="H2405" s="3">
        <v>1391.15997715136</v>
      </c>
      <c r="I2405" s="3">
        <v>49.76</v>
      </c>
      <c r="J2405" s="3">
        <v>50.72</v>
      </c>
      <c r="K2405" s="3">
        <v>49.6</v>
      </c>
      <c r="L2405" s="3">
        <v>1310.9013433017999</v>
      </c>
    </row>
    <row r="2406" spans="1:12" ht="15" customHeight="1" x14ac:dyDescent="0.2">
      <c r="A2406" s="2">
        <v>42559</v>
      </c>
      <c r="B2406" s="3">
        <v>49.7</v>
      </c>
      <c r="C2406" s="1">
        <v>481569</v>
      </c>
      <c r="D2406" s="3">
        <v>0.510000000000005</v>
      </c>
      <c r="E2406" s="3">
        <v>1.0367960967676499</v>
      </c>
      <c r="F2406" s="3">
        <v>1.0368016557619399</v>
      </c>
      <c r="G2406" s="3">
        <v>52.527163999999999</v>
      </c>
      <c r="H2406" s="3">
        <v>1363.7694301290601</v>
      </c>
      <c r="I2406" s="3">
        <v>49.42</v>
      </c>
      <c r="J2406" s="3">
        <v>49.98</v>
      </c>
      <c r="K2406" s="3">
        <v>49.22</v>
      </c>
      <c r="L2406" s="3">
        <v>1284.98512269602</v>
      </c>
    </row>
    <row r="2407" spans="1:12" ht="15" customHeight="1" x14ac:dyDescent="0.2">
      <c r="A2407" s="2">
        <v>42558</v>
      </c>
      <c r="B2407" s="3">
        <v>49.19</v>
      </c>
      <c r="C2407" s="1">
        <v>613466</v>
      </c>
      <c r="D2407" s="3">
        <v>-2.0000000000003099E-2</v>
      </c>
      <c r="E2407" s="3">
        <v>-4.0642145905311899E-2</v>
      </c>
      <c r="F2407" s="3">
        <v>-4.0652350340553103E-2</v>
      </c>
      <c r="G2407" s="3">
        <v>51.988149999999997</v>
      </c>
      <c r="H2407" s="3">
        <v>1348.7487788026001</v>
      </c>
      <c r="I2407" s="3">
        <v>49.11</v>
      </c>
      <c r="J2407" s="3">
        <v>49.41</v>
      </c>
      <c r="K2407" s="3">
        <v>48.87</v>
      </c>
      <c r="L2407" s="3">
        <v>1270.77300171866</v>
      </c>
    </row>
    <row r="2408" spans="1:12" ht="15" customHeight="1" x14ac:dyDescent="0.2">
      <c r="A2408" s="2">
        <v>42557</v>
      </c>
      <c r="B2408" s="3">
        <v>49.21</v>
      </c>
      <c r="C2408" s="1">
        <v>1003616</v>
      </c>
      <c r="D2408" s="3">
        <v>1.1199999999999899</v>
      </c>
      <c r="E2408" s="3">
        <v>2.32896652110625</v>
      </c>
      <c r="F2408" s="3">
        <v>2.3289709630465598</v>
      </c>
      <c r="G2408" s="3">
        <v>52.009293</v>
      </c>
      <c r="H2408" s="3">
        <v>1349.33796875128</v>
      </c>
      <c r="I2408" s="3">
        <v>48.09</v>
      </c>
      <c r="J2408" s="3">
        <v>49.61</v>
      </c>
      <c r="K2408" s="3">
        <v>47.95</v>
      </c>
      <c r="L2408" s="3">
        <v>1271.3303397962</v>
      </c>
    </row>
    <row r="2409" spans="1:12" ht="15" customHeight="1" x14ac:dyDescent="0.2">
      <c r="A2409" s="2">
        <v>42556</v>
      </c>
      <c r="B2409" s="3">
        <v>48.09</v>
      </c>
      <c r="C2409" s="1">
        <v>583854</v>
      </c>
      <c r="D2409" s="3">
        <v>0.35000000000000098</v>
      </c>
      <c r="E2409" s="3">
        <v>0.73313782991202203</v>
      </c>
      <c r="F2409" s="3">
        <v>0.73313262514604904</v>
      </c>
      <c r="G2409" s="3">
        <v>50.825580000000002</v>
      </c>
      <c r="H2409" s="3">
        <v>1316.3515523620999</v>
      </c>
      <c r="I2409" s="3">
        <v>47.76</v>
      </c>
      <c r="J2409" s="3">
        <v>48.21</v>
      </c>
      <c r="K2409" s="3">
        <v>47.67</v>
      </c>
      <c r="L2409" s="3">
        <v>1240.11940745376</v>
      </c>
    </row>
    <row r="2410" spans="1:12" ht="15" customHeight="1" x14ac:dyDescent="0.2">
      <c r="A2410" s="2">
        <v>42552</v>
      </c>
      <c r="B2410" s="3">
        <v>47.74</v>
      </c>
      <c r="C2410" s="1">
        <v>760126</v>
      </c>
      <c r="D2410" s="3">
        <v>-0.39999999999999802</v>
      </c>
      <c r="E2410" s="3">
        <v>-0.83090984628167996</v>
      </c>
      <c r="F2410" s="3">
        <v>-0.83090817314198595</v>
      </c>
      <c r="G2410" s="3">
        <v>50.455672999999997</v>
      </c>
      <c r="H2410" s="3">
        <v>1306.0433895496101</v>
      </c>
      <c r="I2410" s="3">
        <v>48.26</v>
      </c>
      <c r="J2410" s="3">
        <v>48.46</v>
      </c>
      <c r="K2410" s="3">
        <v>47.42</v>
      </c>
      <c r="L2410" s="3">
        <v>1230.3659910967399</v>
      </c>
    </row>
    <row r="2411" spans="1:12" ht="15" customHeight="1" x14ac:dyDescent="0.2">
      <c r="A2411" s="2">
        <v>42551</v>
      </c>
      <c r="B2411" s="3">
        <v>48.14</v>
      </c>
      <c r="C2411" s="1">
        <v>817513</v>
      </c>
      <c r="D2411" s="3">
        <v>0.130000000000002</v>
      </c>
      <c r="E2411" s="3">
        <v>0.270776921474702</v>
      </c>
      <c r="F2411" s="3">
        <v>0.27078284657535701</v>
      </c>
      <c r="G2411" s="3">
        <v>50.878425999999997</v>
      </c>
      <c r="H2411" s="3">
        <v>1317.8242067644001</v>
      </c>
      <c r="I2411" s="3">
        <v>47.89</v>
      </c>
      <c r="J2411" s="3">
        <v>48.35</v>
      </c>
      <c r="K2411" s="3">
        <v>47.111600000000003</v>
      </c>
      <c r="L2411" s="3">
        <v>1241.5127526476199</v>
      </c>
    </row>
    <row r="2412" spans="1:12" ht="15" customHeight="1" x14ac:dyDescent="0.2">
      <c r="A2412" s="2">
        <v>42550</v>
      </c>
      <c r="B2412" s="3">
        <v>48.01</v>
      </c>
      <c r="C2412" s="1">
        <v>1099580</v>
      </c>
      <c r="D2412" s="3">
        <v>0.96</v>
      </c>
      <c r="E2412" s="3">
        <v>2.0403825717321999</v>
      </c>
      <c r="F2412" s="3">
        <v>2.0403801439959</v>
      </c>
      <c r="G2412" s="3">
        <v>50.741028</v>
      </c>
      <c r="H2412" s="3">
        <v>1313.99534990548</v>
      </c>
      <c r="I2412" s="3">
        <v>47.59</v>
      </c>
      <c r="J2412" s="3">
        <v>48.04</v>
      </c>
      <c r="K2412" s="3">
        <v>47.18</v>
      </c>
      <c r="L2412" s="3">
        <v>1237.89005514358</v>
      </c>
    </row>
    <row r="2413" spans="1:12" ht="15" customHeight="1" x14ac:dyDescent="0.2">
      <c r="A2413" s="2">
        <v>42549</v>
      </c>
      <c r="B2413" s="3">
        <v>47.05</v>
      </c>
      <c r="C2413" s="1">
        <v>1111081</v>
      </c>
      <c r="D2413" s="3">
        <v>-0.20000000000000201</v>
      </c>
      <c r="E2413" s="3">
        <v>-0.42328042328042498</v>
      </c>
      <c r="F2413" s="3">
        <v>-0.42328258046140299</v>
      </c>
      <c r="G2413" s="3">
        <v>49.726419999999997</v>
      </c>
      <c r="H2413" s="3">
        <v>1285.72136629646</v>
      </c>
      <c r="I2413" s="3">
        <v>47.52</v>
      </c>
      <c r="J2413" s="3">
        <v>47.677500000000002</v>
      </c>
      <c r="K2413" s="3">
        <v>46.93</v>
      </c>
      <c r="L2413" s="3">
        <v>1211.1378274214901</v>
      </c>
    </row>
    <row r="2414" spans="1:12" ht="15" customHeight="1" x14ac:dyDescent="0.2">
      <c r="A2414" s="2">
        <v>42548</v>
      </c>
      <c r="B2414" s="3">
        <v>47.25</v>
      </c>
      <c r="C2414" s="1">
        <v>1346829</v>
      </c>
      <c r="D2414" s="3">
        <v>-1.71999999999999</v>
      </c>
      <c r="E2414" s="3">
        <v>-3.51235450275678</v>
      </c>
      <c r="F2414" s="3">
        <v>-3.5123590970043401</v>
      </c>
      <c r="G2414" s="3">
        <v>49.937798000000001</v>
      </c>
      <c r="H2414" s="3">
        <v>1291.61181670421</v>
      </c>
      <c r="I2414" s="3">
        <v>48.47</v>
      </c>
      <c r="J2414" s="3">
        <v>48.6387</v>
      </c>
      <c r="K2414" s="3">
        <v>47</v>
      </c>
      <c r="L2414" s="3">
        <v>1216.7112081969201</v>
      </c>
    </row>
    <row r="2415" spans="1:12" ht="15" customHeight="1" x14ac:dyDescent="0.2">
      <c r="A2415" s="2">
        <v>42545</v>
      </c>
      <c r="B2415" s="3">
        <v>48.97</v>
      </c>
      <c r="C2415" s="1">
        <v>1384884</v>
      </c>
      <c r="D2415" s="3">
        <v>-0.630000000000002</v>
      </c>
      <c r="E2415" s="3">
        <v>-1.2701612903225901</v>
      </c>
      <c r="F2415" s="3">
        <v>-1.27015123611365</v>
      </c>
      <c r="G2415" s="3">
        <v>51.755642000000002</v>
      </c>
      <c r="H2415" s="3">
        <v>1342.26950071592</v>
      </c>
      <c r="I2415" s="3">
        <v>47.92</v>
      </c>
      <c r="J2415" s="3">
        <v>49.57</v>
      </c>
      <c r="K2415" s="3">
        <v>47.85</v>
      </c>
      <c r="L2415" s="3">
        <v>1264.64228286568</v>
      </c>
    </row>
    <row r="2416" spans="1:12" ht="15" customHeight="1" x14ac:dyDescent="0.2">
      <c r="A2416" s="2">
        <v>42544</v>
      </c>
      <c r="B2416" s="3">
        <v>49.6</v>
      </c>
      <c r="C2416" s="1">
        <v>492252</v>
      </c>
      <c r="D2416" s="3">
        <v>0.440000000000004</v>
      </c>
      <c r="E2416" s="3">
        <v>0.89503661513425903</v>
      </c>
      <c r="F2416" s="3">
        <v>0.89503039160798703</v>
      </c>
      <c r="G2416" s="3">
        <v>52.421474000000003</v>
      </c>
      <c r="H2416" s="3">
        <v>1360.8241770582799</v>
      </c>
      <c r="I2416" s="3">
        <v>49.58</v>
      </c>
      <c r="J2416" s="3">
        <v>49.74</v>
      </c>
      <c r="K2416" s="3">
        <v>49.28</v>
      </c>
      <c r="L2416" s="3">
        <v>1282.1984323083</v>
      </c>
    </row>
    <row r="2417" spans="1:12" ht="15" customHeight="1" x14ac:dyDescent="0.2">
      <c r="A2417" s="2">
        <v>42543</v>
      </c>
      <c r="B2417" s="3">
        <v>49.16</v>
      </c>
      <c r="C2417" s="1">
        <v>503331</v>
      </c>
      <c r="D2417" s="3"/>
      <c r="E2417" s="3"/>
      <c r="F2417" s="3"/>
      <c r="G2417" s="3">
        <v>51.956448000000002</v>
      </c>
      <c r="H2417" s="3">
        <v>1347.86534221589</v>
      </c>
      <c r="I2417" s="3">
        <v>49.25</v>
      </c>
      <c r="J2417" s="3">
        <v>49.402000000000001</v>
      </c>
      <c r="K2417" s="3">
        <v>48.94</v>
      </c>
      <c r="L2417" s="3">
        <v>1269.9369946023401</v>
      </c>
    </row>
    <row r="2418" spans="1:12" ht="15" customHeight="1" x14ac:dyDescent="0.2">
      <c r="A2418" s="2">
        <v>42542</v>
      </c>
      <c r="B2418" s="3">
        <v>49.16</v>
      </c>
      <c r="C2418" s="1">
        <v>497764</v>
      </c>
      <c r="D2418" s="3">
        <v>-0.100000000000001</v>
      </c>
      <c r="E2418" s="3">
        <v>-0.20300446609825501</v>
      </c>
      <c r="F2418" s="3">
        <v>-0.202999746418386</v>
      </c>
      <c r="G2418" s="3">
        <v>51.956448000000002</v>
      </c>
      <c r="H2418" s="3">
        <v>1347.86534221589</v>
      </c>
      <c r="I2418" s="3">
        <v>49.18</v>
      </c>
      <c r="J2418" s="3">
        <v>49.57</v>
      </c>
      <c r="K2418" s="3">
        <v>49</v>
      </c>
      <c r="L2418" s="3">
        <v>1269.9369946023401</v>
      </c>
    </row>
    <row r="2419" spans="1:12" ht="15" customHeight="1" x14ac:dyDescent="0.2">
      <c r="A2419" s="2">
        <v>42541</v>
      </c>
      <c r="B2419" s="3">
        <v>49.26</v>
      </c>
      <c r="C2419" s="1">
        <v>638016</v>
      </c>
      <c r="D2419" s="3">
        <v>7.0000000000000201E-2</v>
      </c>
      <c r="E2419" s="3">
        <v>0.142305346615168</v>
      </c>
      <c r="F2419" s="3">
        <v>0.142309353189151</v>
      </c>
      <c r="G2419" s="3">
        <v>52.062134</v>
      </c>
      <c r="H2419" s="3">
        <v>1350.81048381905</v>
      </c>
      <c r="I2419" s="3">
        <v>49.62</v>
      </c>
      <c r="J2419" s="3">
        <v>49.85</v>
      </c>
      <c r="K2419" s="3">
        <v>49.07</v>
      </c>
      <c r="L2419" s="3">
        <v>1272.7236849900601</v>
      </c>
    </row>
    <row r="2420" spans="1:12" ht="15" customHeight="1" x14ac:dyDescent="0.2">
      <c r="A2420" s="2">
        <v>42538</v>
      </c>
      <c r="B2420" s="3">
        <v>49.19</v>
      </c>
      <c r="C2420" s="1">
        <v>801668</v>
      </c>
      <c r="D2420" s="3">
        <v>-0.630000000000002</v>
      </c>
      <c r="E2420" s="3">
        <v>-1.26455238859896</v>
      </c>
      <c r="F2420" s="3">
        <v>-1.2645575387544199</v>
      </c>
      <c r="G2420" s="3">
        <v>51.988149999999997</v>
      </c>
      <c r="H2420" s="3">
        <v>1348.7487788026001</v>
      </c>
      <c r="I2420" s="3">
        <v>49.6</v>
      </c>
      <c r="J2420" s="3">
        <v>49.65</v>
      </c>
      <c r="K2420" s="3">
        <v>48.94</v>
      </c>
      <c r="L2420" s="3">
        <v>1270.77300171866</v>
      </c>
    </row>
    <row r="2421" spans="1:12" ht="15" customHeight="1" x14ac:dyDescent="0.2">
      <c r="A2421" s="2">
        <v>42537</v>
      </c>
      <c r="B2421" s="3">
        <v>49.82</v>
      </c>
      <c r="C2421" s="1">
        <v>300279</v>
      </c>
      <c r="D2421" s="3">
        <v>-0.45000000000000201</v>
      </c>
      <c r="E2421" s="3">
        <v>-0.89516610304356503</v>
      </c>
      <c r="F2421" s="3">
        <v>-0.89516971616004903</v>
      </c>
      <c r="G2421" s="3">
        <v>52.65399</v>
      </c>
      <c r="H2421" s="3">
        <v>1367.3036780801799</v>
      </c>
      <c r="I2421" s="3">
        <v>50.07</v>
      </c>
      <c r="J2421" s="3">
        <v>50.18</v>
      </c>
      <c r="K2421" s="3">
        <v>49.46</v>
      </c>
      <c r="L2421" s="3">
        <v>1288.3291511612799</v>
      </c>
    </row>
    <row r="2422" spans="1:12" ht="15" customHeight="1" x14ac:dyDescent="0.2">
      <c r="A2422" s="2">
        <v>42536</v>
      </c>
      <c r="B2422" s="3">
        <v>50.27</v>
      </c>
      <c r="C2422" s="1">
        <v>715657</v>
      </c>
      <c r="D2422" s="3">
        <v>-0.22999999999999601</v>
      </c>
      <c r="E2422" s="3">
        <v>-0.45544554455444403</v>
      </c>
      <c r="F2422" s="3">
        <v>-0.45544468046410103</v>
      </c>
      <c r="G2422" s="3">
        <v>53.12959</v>
      </c>
      <c r="H2422" s="3">
        <v>1380.5571775641699</v>
      </c>
      <c r="I2422" s="3">
        <v>50.81</v>
      </c>
      <c r="J2422" s="3">
        <v>50.84</v>
      </c>
      <c r="K2422" s="3">
        <v>50.2</v>
      </c>
      <c r="L2422" s="3">
        <v>1300.86925790602</v>
      </c>
    </row>
    <row r="2423" spans="1:12" ht="15" customHeight="1" x14ac:dyDescent="0.2">
      <c r="A2423" s="2">
        <v>42535</v>
      </c>
      <c r="B2423" s="3">
        <v>50.5</v>
      </c>
      <c r="C2423" s="1">
        <v>463076</v>
      </c>
      <c r="D2423" s="3">
        <v>0.82999999999999796</v>
      </c>
      <c r="E2423" s="3">
        <v>1.6710287900140799</v>
      </c>
      <c r="F2423" s="3">
        <v>1.6710322190356299</v>
      </c>
      <c r="G2423" s="3">
        <v>53.372672999999999</v>
      </c>
      <c r="H2423" s="3">
        <v>1387.3311481593501</v>
      </c>
      <c r="I2423" s="3">
        <v>49.76</v>
      </c>
      <c r="J2423" s="3">
        <v>50.6</v>
      </c>
      <c r="K2423" s="3">
        <v>49.7</v>
      </c>
      <c r="L2423" s="3">
        <v>1307.27864579777</v>
      </c>
    </row>
    <row r="2424" spans="1:12" ht="15" customHeight="1" x14ac:dyDescent="0.2">
      <c r="A2424" s="2">
        <v>42534</v>
      </c>
      <c r="B2424" s="3">
        <v>49.67</v>
      </c>
      <c r="C2424" s="1">
        <v>457075</v>
      </c>
      <c r="D2424" s="3">
        <v>-0.78000000000000103</v>
      </c>
      <c r="E2424" s="3">
        <v>-1.5460852329038699</v>
      </c>
      <c r="F2424" s="3">
        <v>-1.5460871329142301</v>
      </c>
      <c r="G2424" s="3">
        <v>52.495457000000002</v>
      </c>
      <c r="H2424" s="3">
        <v>1362.8858542078201</v>
      </c>
      <c r="I2424" s="3">
        <v>50.3</v>
      </c>
      <c r="J2424" s="3">
        <v>50.59</v>
      </c>
      <c r="K2424" s="3">
        <v>49.66</v>
      </c>
      <c r="L2424" s="3">
        <v>1284.14911557971</v>
      </c>
    </row>
    <row r="2425" spans="1:12" ht="15" customHeight="1" x14ac:dyDescent="0.2">
      <c r="A2425" s="2">
        <v>42531</v>
      </c>
      <c r="B2425" s="3">
        <v>50.45</v>
      </c>
      <c r="C2425" s="1">
        <v>480281</v>
      </c>
      <c r="D2425" s="3">
        <v>-0.46999999999999797</v>
      </c>
      <c r="E2425" s="3">
        <v>-0.92301649646504502</v>
      </c>
      <c r="F2425" s="3">
        <v>-0.92301509481383903</v>
      </c>
      <c r="G2425" s="3">
        <v>53.319828000000001</v>
      </c>
      <c r="H2425" s="3">
        <v>1385.8585216239601</v>
      </c>
      <c r="I2425" s="3">
        <v>50.58</v>
      </c>
      <c r="J2425" s="3">
        <v>50.75</v>
      </c>
      <c r="K2425" s="3">
        <v>50.1175</v>
      </c>
      <c r="L2425" s="3">
        <v>1305.8853006039101</v>
      </c>
    </row>
    <row r="2426" spans="1:12" ht="15" customHeight="1" x14ac:dyDescent="0.2">
      <c r="A2426" s="2">
        <v>42530</v>
      </c>
      <c r="B2426" s="3">
        <v>50.92</v>
      </c>
      <c r="C2426" s="1">
        <v>536171</v>
      </c>
      <c r="D2426" s="3">
        <v>-0.149999999999998</v>
      </c>
      <c r="E2426" s="3">
        <v>-0.29371450949676697</v>
      </c>
      <c r="F2426" s="3">
        <v>-0.29371878120536499</v>
      </c>
      <c r="G2426" s="3">
        <v>53.816563000000002</v>
      </c>
      <c r="H2426" s="3">
        <v>1399.7009881213901</v>
      </c>
      <c r="I2426" s="3">
        <v>51.21</v>
      </c>
      <c r="J2426" s="3">
        <v>52.04</v>
      </c>
      <c r="K2426" s="3">
        <v>50.81</v>
      </c>
      <c r="L2426" s="3">
        <v>1318.9827454261899</v>
      </c>
    </row>
    <row r="2427" spans="1:12" ht="15" customHeight="1" x14ac:dyDescent="0.2">
      <c r="A2427" s="2">
        <v>42529</v>
      </c>
      <c r="B2427" s="3">
        <v>51.07</v>
      </c>
      <c r="C2427" s="1">
        <v>394680</v>
      </c>
      <c r="D2427" s="3">
        <v>0.71</v>
      </c>
      <c r="E2427" s="3">
        <v>1.40984908657664</v>
      </c>
      <c r="F2427" s="3">
        <v>1.40984892167566</v>
      </c>
      <c r="G2427" s="3">
        <v>53.975098000000003</v>
      </c>
      <c r="H2427" s="3">
        <v>1404.11886772756</v>
      </c>
      <c r="I2427" s="3">
        <v>50.62</v>
      </c>
      <c r="J2427" s="3">
        <v>51.1</v>
      </c>
      <c r="K2427" s="3">
        <v>50.1</v>
      </c>
      <c r="L2427" s="3">
        <v>1323.16278100776</v>
      </c>
    </row>
    <row r="2428" spans="1:12" ht="15" customHeight="1" x14ac:dyDescent="0.2">
      <c r="A2428" s="2">
        <v>42528</v>
      </c>
      <c r="B2428" s="3">
        <v>50.36</v>
      </c>
      <c r="C2428" s="1">
        <v>295916</v>
      </c>
      <c r="D2428" s="3"/>
      <c r="E2428" s="3"/>
      <c r="F2428" s="3"/>
      <c r="G2428" s="3">
        <v>53.224710000000002</v>
      </c>
      <c r="H2428" s="3">
        <v>1383.2078774609699</v>
      </c>
      <c r="I2428" s="3">
        <v>50.55</v>
      </c>
      <c r="J2428" s="3">
        <v>50.6</v>
      </c>
      <c r="K2428" s="3">
        <v>50.05</v>
      </c>
      <c r="L2428" s="3">
        <v>1303.3772792549601</v>
      </c>
    </row>
    <row r="2429" spans="1:12" ht="15" customHeight="1" x14ac:dyDescent="0.2">
      <c r="A2429" s="2">
        <v>42527</v>
      </c>
      <c r="B2429" s="3">
        <v>50.36</v>
      </c>
      <c r="C2429" s="1">
        <v>370787</v>
      </c>
      <c r="D2429" s="3">
        <v>0.49000000000000199</v>
      </c>
      <c r="E2429" s="3">
        <v>0.98255464206937704</v>
      </c>
      <c r="F2429" s="3">
        <v>0.98256140717085605</v>
      </c>
      <c r="G2429" s="3">
        <v>53.224710000000002</v>
      </c>
      <c r="H2429" s="3">
        <v>1383.2078774609699</v>
      </c>
      <c r="I2429" s="3">
        <v>50.04</v>
      </c>
      <c r="J2429" s="3">
        <v>50.61</v>
      </c>
      <c r="K2429" s="3">
        <v>49.69</v>
      </c>
      <c r="L2429" s="3">
        <v>1303.3772792549601</v>
      </c>
    </row>
    <row r="2430" spans="1:12" ht="15" customHeight="1" x14ac:dyDescent="0.2">
      <c r="A2430" s="2">
        <v>42524</v>
      </c>
      <c r="B2430" s="3">
        <v>49.87</v>
      </c>
      <c r="C2430" s="1">
        <v>484041</v>
      </c>
      <c r="D2430" s="3">
        <v>-0.42000000000000098</v>
      </c>
      <c r="E2430" s="3">
        <v>-0.83515609465102303</v>
      </c>
      <c r="F2430" s="3">
        <v>-0.83515886499837499</v>
      </c>
      <c r="G2430" s="3">
        <v>52.706833000000003</v>
      </c>
      <c r="H2430" s="3">
        <v>1368.77624888177</v>
      </c>
      <c r="I2430" s="3">
        <v>50.2</v>
      </c>
      <c r="J2430" s="3">
        <v>50.2</v>
      </c>
      <c r="K2430" s="3">
        <v>49.22</v>
      </c>
      <c r="L2430" s="3">
        <v>1289.72249635514</v>
      </c>
    </row>
    <row r="2431" spans="1:12" ht="15" customHeight="1" x14ac:dyDescent="0.2">
      <c r="A2431" s="2">
        <v>42523</v>
      </c>
      <c r="B2431" s="3">
        <v>50.29</v>
      </c>
      <c r="C2431" s="1">
        <v>530084</v>
      </c>
      <c r="D2431" s="3">
        <v>4.9999999999997102E-2</v>
      </c>
      <c r="E2431" s="3">
        <v>9.9522292993614495E-2</v>
      </c>
      <c r="F2431" s="3">
        <v>9.9516204835658997E-2</v>
      </c>
      <c r="G2431" s="3">
        <v>53.150725999999999</v>
      </c>
      <c r="H2431" s="3">
        <v>1381.1461724445201</v>
      </c>
      <c r="I2431" s="3">
        <v>49.95</v>
      </c>
      <c r="J2431" s="3">
        <v>50.47</v>
      </c>
      <c r="K2431" s="3">
        <v>49.8</v>
      </c>
      <c r="L2431" s="3">
        <v>1301.42659598356</v>
      </c>
    </row>
    <row r="2432" spans="1:12" ht="15" customHeight="1" x14ac:dyDescent="0.2">
      <c r="A2432" s="2">
        <v>42522</v>
      </c>
      <c r="B2432" s="3">
        <v>50.24</v>
      </c>
      <c r="C2432" s="1">
        <v>614410</v>
      </c>
      <c r="D2432" s="3">
        <v>0.37000000000000399</v>
      </c>
      <c r="E2432" s="3">
        <v>0.741929015440145</v>
      </c>
      <c r="F2432" s="3">
        <v>0.74193795707664301</v>
      </c>
      <c r="G2432" s="3">
        <v>53.097884999999998</v>
      </c>
      <c r="H2432" s="3">
        <v>1379.67365737675</v>
      </c>
      <c r="I2432" s="3">
        <v>49.85</v>
      </c>
      <c r="J2432" s="3">
        <v>50.53</v>
      </c>
      <c r="K2432" s="3">
        <v>49.85</v>
      </c>
      <c r="L2432" s="3">
        <v>1300.0332507897001</v>
      </c>
    </row>
    <row r="2433" spans="1:12" ht="15" customHeight="1" x14ac:dyDescent="0.2">
      <c r="A2433" s="2">
        <v>42521</v>
      </c>
      <c r="B2433" s="3">
        <v>49.87</v>
      </c>
      <c r="C2433" s="1">
        <v>314150</v>
      </c>
      <c r="D2433" s="3">
        <v>-0.23000000000000301</v>
      </c>
      <c r="E2433" s="3">
        <v>-0.459081836327357</v>
      </c>
      <c r="F2433" s="3">
        <v>-0.45908287259448499</v>
      </c>
      <c r="G2433" s="3">
        <v>52.706833000000003</v>
      </c>
      <c r="H2433" s="3">
        <v>1368.77624888177</v>
      </c>
      <c r="I2433" s="3">
        <v>50.25</v>
      </c>
      <c r="J2433" s="3">
        <v>50.25</v>
      </c>
      <c r="K2433" s="3">
        <v>49.53</v>
      </c>
      <c r="L2433" s="3">
        <v>1289.72249635514</v>
      </c>
    </row>
    <row r="2434" spans="1:12" ht="15" customHeight="1" x14ac:dyDescent="0.2">
      <c r="A2434" s="2">
        <v>42517</v>
      </c>
      <c r="B2434" s="3">
        <v>50.1</v>
      </c>
      <c r="C2434" s="1">
        <v>598567</v>
      </c>
      <c r="D2434" s="3">
        <v>0.80000000000000404</v>
      </c>
      <c r="E2434" s="3">
        <v>1.62271805273834</v>
      </c>
      <c r="F2434" s="3">
        <v>1.62271287122479</v>
      </c>
      <c r="G2434" s="3">
        <v>52.949916999999999</v>
      </c>
      <c r="H2434" s="3">
        <v>1375.5502473438501</v>
      </c>
      <c r="I2434" s="3">
        <v>49.52</v>
      </c>
      <c r="J2434" s="3">
        <v>50.15</v>
      </c>
      <c r="K2434" s="3">
        <v>49.34</v>
      </c>
      <c r="L2434" s="3">
        <v>1296.1318842469</v>
      </c>
    </row>
    <row r="2435" spans="1:12" ht="15" customHeight="1" x14ac:dyDescent="0.2">
      <c r="A2435" s="2">
        <v>42516</v>
      </c>
      <c r="B2435" s="3">
        <v>49.3</v>
      </c>
      <c r="C2435" s="1">
        <v>253964</v>
      </c>
      <c r="D2435" s="3">
        <v>-8.00000000000054E-2</v>
      </c>
      <c r="E2435" s="3">
        <v>-0.16200891049008501</v>
      </c>
      <c r="F2435" s="3">
        <v>-0.16201317654028699</v>
      </c>
      <c r="G2435" s="3">
        <v>52.104412000000004</v>
      </c>
      <c r="H2435" s="3">
        <v>1351.98864078117</v>
      </c>
      <c r="I2435" s="3">
        <v>49.39</v>
      </c>
      <c r="J2435" s="3">
        <v>49.74</v>
      </c>
      <c r="K2435" s="3">
        <v>49.16</v>
      </c>
      <c r="L2435" s="3">
        <v>1273.83836114515</v>
      </c>
    </row>
    <row r="2436" spans="1:12" ht="15" customHeight="1" x14ac:dyDescent="0.2">
      <c r="A2436" s="2">
        <v>42515</v>
      </c>
      <c r="B2436" s="3">
        <v>49.38</v>
      </c>
      <c r="C2436" s="1">
        <v>624551</v>
      </c>
      <c r="D2436" s="3">
        <v>-0.12999999999999501</v>
      </c>
      <c r="E2436" s="3">
        <v>-0.26257321753180202</v>
      </c>
      <c r="F2436" s="3">
        <v>-0.262563673697502</v>
      </c>
      <c r="G2436" s="3">
        <v>52.188965000000003</v>
      </c>
      <c r="H2436" s="3">
        <v>1354.3448711046999</v>
      </c>
      <c r="I2436" s="3">
        <v>49.48</v>
      </c>
      <c r="J2436" s="3">
        <v>49.86</v>
      </c>
      <c r="K2436" s="3">
        <v>48.9</v>
      </c>
      <c r="L2436" s="3">
        <v>1276.06771345532</v>
      </c>
    </row>
    <row r="2437" spans="1:12" ht="15" customHeight="1" x14ac:dyDescent="0.2">
      <c r="A2437" s="2">
        <v>42514</v>
      </c>
      <c r="B2437" s="3">
        <v>49.51</v>
      </c>
      <c r="C2437" s="1">
        <v>739592</v>
      </c>
      <c r="D2437" s="3">
        <v>0.97999999999999599</v>
      </c>
      <c r="E2437" s="3">
        <v>2.0193694621883198</v>
      </c>
      <c r="F2437" s="3">
        <v>2.01937169509418</v>
      </c>
      <c r="G2437" s="3">
        <v>52.326355</v>
      </c>
      <c r="H2437" s="3">
        <v>1358.1735050283801</v>
      </c>
      <c r="I2437" s="3">
        <v>48.87</v>
      </c>
      <c r="J2437" s="3">
        <v>49.89</v>
      </c>
      <c r="K2437" s="3">
        <v>48.31</v>
      </c>
      <c r="L2437" s="3">
        <v>1279.69041095936</v>
      </c>
    </row>
    <row r="2438" spans="1:12" ht="15" customHeight="1" x14ac:dyDescent="0.2">
      <c r="A2438" s="2">
        <v>42513</v>
      </c>
      <c r="B2438" s="3">
        <v>48.53</v>
      </c>
      <c r="C2438" s="1">
        <v>546232</v>
      </c>
      <c r="D2438" s="3">
        <v>-0.28000000000000103</v>
      </c>
      <c r="E2438" s="3">
        <v>-0.57365293997131395</v>
      </c>
      <c r="F2438" s="3">
        <v>-0.57366320749558897</v>
      </c>
      <c r="G2438" s="3">
        <v>51.290607000000001</v>
      </c>
      <c r="H2438" s="3">
        <v>1329.3104150714</v>
      </c>
      <c r="I2438" s="3">
        <v>48.91</v>
      </c>
      <c r="J2438" s="3">
        <v>49.05</v>
      </c>
      <c r="K2438" s="3">
        <v>48.46</v>
      </c>
      <c r="L2438" s="3">
        <v>1252.3808451597199</v>
      </c>
    </row>
    <row r="2439" spans="1:12" ht="15" customHeight="1" x14ac:dyDescent="0.2">
      <c r="A2439" s="2">
        <v>42510</v>
      </c>
      <c r="B2439" s="3">
        <v>48.81</v>
      </c>
      <c r="C2439" s="1">
        <v>866175</v>
      </c>
      <c r="D2439" s="3">
        <v>0.35999999999999899</v>
      </c>
      <c r="E2439" s="3">
        <v>0.74303405572755299</v>
      </c>
      <c r="F2439" s="3">
        <v>0.74303705459861602</v>
      </c>
      <c r="G2439" s="3">
        <v>51.586539999999999</v>
      </c>
      <c r="H2439" s="3">
        <v>1337.55715153648</v>
      </c>
      <c r="I2439" s="3">
        <v>48.69</v>
      </c>
      <c r="J2439" s="3">
        <v>48.83</v>
      </c>
      <c r="K2439" s="3">
        <v>48.33</v>
      </c>
      <c r="L2439" s="3">
        <v>1260.18357824533</v>
      </c>
    </row>
    <row r="2440" spans="1:12" ht="15" customHeight="1" x14ac:dyDescent="0.2">
      <c r="A2440" s="2">
        <v>42509</v>
      </c>
      <c r="B2440" s="3">
        <v>48.45</v>
      </c>
      <c r="C2440" s="1">
        <v>1199551</v>
      </c>
      <c r="D2440" s="3">
        <v>0.20000000000000201</v>
      </c>
      <c r="E2440" s="3">
        <v>0.41450777202072198</v>
      </c>
      <c r="F2440" s="3">
        <v>0.41450988948221701</v>
      </c>
      <c r="G2440" s="3">
        <v>51.206060000000001</v>
      </c>
      <c r="H2440" s="3">
        <v>1326.95435194929</v>
      </c>
      <c r="I2440" s="3">
        <v>47.91</v>
      </c>
      <c r="J2440" s="3">
        <v>48.61</v>
      </c>
      <c r="K2440" s="3">
        <v>47.41</v>
      </c>
      <c r="L2440" s="3">
        <v>1250.1514928495401</v>
      </c>
    </row>
    <row r="2441" spans="1:12" ht="15" customHeight="1" x14ac:dyDescent="0.2">
      <c r="A2441" s="2">
        <v>42508</v>
      </c>
      <c r="B2441" s="3">
        <v>48.25</v>
      </c>
      <c r="C2441" s="1">
        <v>1127833</v>
      </c>
      <c r="D2441" s="3">
        <v>-1.39</v>
      </c>
      <c r="E2441" s="3">
        <v>-2.8001611603545502</v>
      </c>
      <c r="F2441" s="3">
        <v>-2.80016376258861</v>
      </c>
      <c r="G2441" s="3">
        <v>50.994681999999997</v>
      </c>
      <c r="H2441" s="3">
        <v>1321.06390154154</v>
      </c>
      <c r="I2441" s="3">
        <v>49.45</v>
      </c>
      <c r="J2441" s="3">
        <v>49.45</v>
      </c>
      <c r="K2441" s="3">
        <v>48.06</v>
      </c>
      <c r="L2441" s="3">
        <v>1244.5781120741101</v>
      </c>
    </row>
    <row r="2442" spans="1:12" ht="15" customHeight="1" x14ac:dyDescent="0.2">
      <c r="A2442" s="2">
        <v>42507</v>
      </c>
      <c r="B2442" s="3">
        <v>49.64</v>
      </c>
      <c r="C2442" s="1">
        <v>542799</v>
      </c>
      <c r="D2442" s="3">
        <v>-0.189999999999997</v>
      </c>
      <c r="E2442" s="3">
        <v>-0.38129640778646801</v>
      </c>
      <c r="F2442" s="3">
        <v>-0.38129814883868202</v>
      </c>
      <c r="G2442" s="3">
        <v>52.463752999999997</v>
      </c>
      <c r="H2442" s="3">
        <v>1362.0023618872999</v>
      </c>
      <c r="I2442" s="3">
        <v>49.77</v>
      </c>
      <c r="J2442" s="3">
        <v>50.22</v>
      </c>
      <c r="K2442" s="3">
        <v>49.24</v>
      </c>
      <c r="L2442" s="3">
        <v>1283.3131084633901</v>
      </c>
    </row>
    <row r="2443" spans="1:12" ht="15" customHeight="1" x14ac:dyDescent="0.2">
      <c r="A2443" s="2">
        <v>42506</v>
      </c>
      <c r="B2443" s="3">
        <v>49.83</v>
      </c>
      <c r="C2443" s="1">
        <v>862378</v>
      </c>
      <c r="D2443" s="3">
        <v>0.28999999999999898</v>
      </c>
      <c r="E2443" s="3">
        <v>0.58538554703268997</v>
      </c>
      <c r="F2443" s="3">
        <v>0.58538257342464195</v>
      </c>
      <c r="G2443" s="3">
        <v>52.664561999999997</v>
      </c>
      <c r="H2443" s="3">
        <v>1367.5982869879699</v>
      </c>
      <c r="I2443" s="3">
        <v>49.42</v>
      </c>
      <c r="J2443" s="3">
        <v>50.104999999999997</v>
      </c>
      <c r="K2443" s="3">
        <v>49.174999999999997</v>
      </c>
      <c r="L2443" s="3">
        <v>1288.6078202000599</v>
      </c>
    </row>
    <row r="2444" spans="1:12" ht="15" customHeight="1" x14ac:dyDescent="0.2">
      <c r="A2444" s="2">
        <v>42503</v>
      </c>
      <c r="B2444" s="3">
        <v>49.54</v>
      </c>
      <c r="C2444" s="1">
        <v>1271244</v>
      </c>
      <c r="D2444" s="3">
        <v>-1.32</v>
      </c>
      <c r="E2444" s="3">
        <v>-2.5953598112465501</v>
      </c>
      <c r="F2444" s="3">
        <v>-2.5953511561648002</v>
      </c>
      <c r="G2444" s="3">
        <v>52.358066999999998</v>
      </c>
      <c r="H2444" s="3">
        <v>1359.0572202841399</v>
      </c>
      <c r="I2444" s="3">
        <v>50.96</v>
      </c>
      <c r="J2444" s="3">
        <v>50.98</v>
      </c>
      <c r="K2444" s="3">
        <v>49.33</v>
      </c>
      <c r="L2444" s="3">
        <v>1280.5264180756701</v>
      </c>
    </row>
    <row r="2445" spans="1:12" ht="15" customHeight="1" x14ac:dyDescent="0.2">
      <c r="A2445" s="2">
        <v>42502</v>
      </c>
      <c r="B2445" s="3">
        <v>50.86</v>
      </c>
      <c r="C2445" s="1">
        <v>641399</v>
      </c>
      <c r="D2445" s="3">
        <v>0.24000000000000199</v>
      </c>
      <c r="E2445" s="3">
        <v>0.47412090082972203</v>
      </c>
      <c r="F2445" s="3">
        <v>0.47412409268303701</v>
      </c>
      <c r="G2445" s="3">
        <v>53.753149999999998</v>
      </c>
      <c r="H2445" s="3">
        <v>1397.9338641458301</v>
      </c>
      <c r="I2445" s="3">
        <v>50.68</v>
      </c>
      <c r="J2445" s="3">
        <v>51.28</v>
      </c>
      <c r="K2445" s="3">
        <v>50.55</v>
      </c>
      <c r="L2445" s="3">
        <v>1317.3107311935601</v>
      </c>
    </row>
    <row r="2446" spans="1:12" ht="15" customHeight="1" x14ac:dyDescent="0.2">
      <c r="A2446" s="2">
        <v>42501</v>
      </c>
      <c r="B2446" s="3">
        <v>50.62</v>
      </c>
      <c r="C2446" s="1">
        <v>715669</v>
      </c>
      <c r="D2446" s="3">
        <v>-1.48</v>
      </c>
      <c r="E2446" s="3">
        <v>-2.84069097888676</v>
      </c>
      <c r="F2446" s="3">
        <v>-2.8406925028593202</v>
      </c>
      <c r="G2446" s="3">
        <v>53.499496000000001</v>
      </c>
      <c r="H2446" s="3">
        <v>1390.8653125097701</v>
      </c>
      <c r="I2446" s="3">
        <v>51.97</v>
      </c>
      <c r="J2446" s="3">
        <v>52.22</v>
      </c>
      <c r="K2446" s="3">
        <v>50.55</v>
      </c>
      <c r="L2446" s="3">
        <v>1310.6226742630299</v>
      </c>
    </row>
    <row r="2447" spans="1:12" ht="15" customHeight="1" x14ac:dyDescent="0.2">
      <c r="A2447" s="2">
        <v>42500</v>
      </c>
      <c r="B2447" s="3">
        <v>52.1</v>
      </c>
      <c r="C2447" s="1">
        <v>771569</v>
      </c>
      <c r="D2447" s="3">
        <v>0.56999999999999995</v>
      </c>
      <c r="E2447" s="3">
        <v>1.1061517562584999</v>
      </c>
      <c r="F2447" s="3">
        <v>1.10615509079297</v>
      </c>
      <c r="G2447" s="3">
        <v>55.063685999999997</v>
      </c>
      <c r="H2447" s="3">
        <v>1434.4544448854199</v>
      </c>
      <c r="I2447" s="3">
        <v>51.53</v>
      </c>
      <c r="J2447" s="3">
        <v>52.4</v>
      </c>
      <c r="K2447" s="3">
        <v>50.81</v>
      </c>
      <c r="L2447" s="3">
        <v>1351.86569200126</v>
      </c>
    </row>
    <row r="2448" spans="1:12" ht="15" customHeight="1" x14ac:dyDescent="0.2">
      <c r="A2448" s="2">
        <v>42499</v>
      </c>
      <c r="B2448" s="3">
        <v>51.53</v>
      </c>
      <c r="C2448" s="1">
        <v>625939</v>
      </c>
      <c r="D2448" s="3">
        <v>0.75999999999999801</v>
      </c>
      <c r="E2448" s="3">
        <v>1.4969470159542999</v>
      </c>
      <c r="F2448" s="3">
        <v>1.8908681627028301</v>
      </c>
      <c r="G2448" s="3">
        <v>54.461260000000003</v>
      </c>
      <c r="H2448" s="3">
        <v>1417.6666974503</v>
      </c>
      <c r="I2448" s="3">
        <v>50.77</v>
      </c>
      <c r="J2448" s="3">
        <v>51.87</v>
      </c>
      <c r="K2448" s="3">
        <v>50.49</v>
      </c>
      <c r="L2448" s="3">
        <v>1335.9815567912699</v>
      </c>
    </row>
    <row r="2449" spans="1:12" ht="15" customHeight="1" x14ac:dyDescent="0.2">
      <c r="A2449" s="2">
        <v>42496</v>
      </c>
      <c r="B2449" s="3">
        <v>50.77</v>
      </c>
      <c r="C2449" s="1">
        <v>928785</v>
      </c>
      <c r="D2449" s="3">
        <v>-1.0999999999999901</v>
      </c>
      <c r="E2449" s="3">
        <v>-2.1206863312126401</v>
      </c>
      <c r="F2449" s="3">
        <v>-2.12067852835193</v>
      </c>
      <c r="G2449" s="3">
        <v>53.450580000000002</v>
      </c>
      <c r="H2449" s="3">
        <v>1389.50217503971</v>
      </c>
      <c r="I2449" s="3">
        <v>51.55</v>
      </c>
      <c r="J2449" s="3">
        <v>52.67</v>
      </c>
      <c r="K2449" s="3">
        <v>49.86</v>
      </c>
      <c r="L2449" s="3">
        <v>1314.80270984461</v>
      </c>
    </row>
    <row r="2450" spans="1:12" ht="15" customHeight="1" x14ac:dyDescent="0.2">
      <c r="A2450" s="2">
        <v>42495</v>
      </c>
      <c r="B2450" s="3">
        <v>51.87</v>
      </c>
      <c r="C2450" s="1">
        <v>847959</v>
      </c>
      <c r="D2450" s="3">
        <v>-0.95000000000000195</v>
      </c>
      <c r="E2450" s="3">
        <v>-1.7985611510791299</v>
      </c>
      <c r="F2450" s="3">
        <v>-1.7985638032129201</v>
      </c>
      <c r="G2450" s="3">
        <v>54.608654000000001</v>
      </c>
      <c r="H2450" s="3">
        <v>1421.7741118803799</v>
      </c>
      <c r="I2450" s="3">
        <v>52.77</v>
      </c>
      <c r="J2450" s="3">
        <v>53.053400000000003</v>
      </c>
      <c r="K2450" s="3">
        <v>51.82</v>
      </c>
      <c r="L2450" s="3">
        <v>1345.45630410951</v>
      </c>
    </row>
    <row r="2451" spans="1:12" ht="15" customHeight="1" x14ac:dyDescent="0.2">
      <c r="A2451" s="2">
        <v>42494</v>
      </c>
      <c r="B2451" s="3">
        <v>52.82</v>
      </c>
      <c r="C2451" s="1">
        <v>928512</v>
      </c>
      <c r="D2451" s="3">
        <v>0.17999999999999899</v>
      </c>
      <c r="E2451" s="3">
        <v>0.34194528875379698</v>
      </c>
      <c r="F2451" s="3">
        <v>0.34194579470585501</v>
      </c>
      <c r="G2451" s="3">
        <v>55.608814000000002</v>
      </c>
      <c r="H2451" s="3">
        <v>1449.6454744621799</v>
      </c>
      <c r="I2451" s="3">
        <v>52.47</v>
      </c>
      <c r="J2451" s="3">
        <v>53.23</v>
      </c>
      <c r="K2451" s="3">
        <v>52.12</v>
      </c>
      <c r="L2451" s="3">
        <v>1371.9298627928399</v>
      </c>
    </row>
    <row r="2452" spans="1:12" ht="15" customHeight="1" x14ac:dyDescent="0.2">
      <c r="A2452" s="2">
        <v>42493</v>
      </c>
      <c r="B2452" s="3">
        <v>52.64</v>
      </c>
      <c r="C2452" s="1">
        <v>1480365</v>
      </c>
      <c r="D2452" s="3">
        <v>0.619999999999997</v>
      </c>
      <c r="E2452" s="3">
        <v>1.1918492887351</v>
      </c>
      <c r="F2452" s="3">
        <v>1.19183998708702</v>
      </c>
      <c r="G2452" s="3">
        <v>55.419310000000003</v>
      </c>
      <c r="H2452" s="3">
        <v>1444.3645847098401</v>
      </c>
      <c r="I2452" s="3">
        <v>51.85</v>
      </c>
      <c r="J2452" s="3">
        <v>52.78</v>
      </c>
      <c r="K2452" s="3">
        <v>51.77</v>
      </c>
      <c r="L2452" s="3">
        <v>1366.9138200949401</v>
      </c>
    </row>
    <row r="2453" spans="1:12" ht="15" customHeight="1" x14ac:dyDescent="0.2">
      <c r="A2453" s="2">
        <v>42492</v>
      </c>
      <c r="B2453" s="3">
        <v>52.02</v>
      </c>
      <c r="C2453" s="1">
        <v>888959</v>
      </c>
      <c r="D2453" s="3">
        <v>1.01</v>
      </c>
      <c r="E2453" s="3">
        <v>1.9800039207998399</v>
      </c>
      <c r="F2453" s="3">
        <v>1.98001621764136</v>
      </c>
      <c r="G2453" s="3">
        <v>54.766579999999998</v>
      </c>
      <c r="H2453" s="3">
        <v>1426.1750205420799</v>
      </c>
      <c r="I2453" s="3">
        <v>51.18</v>
      </c>
      <c r="J2453" s="3">
        <v>52.23</v>
      </c>
      <c r="K2453" s="3">
        <v>51.11</v>
      </c>
      <c r="L2453" s="3">
        <v>1349.6363396910899</v>
      </c>
    </row>
    <row r="2454" spans="1:12" ht="15" customHeight="1" x14ac:dyDescent="0.2">
      <c r="A2454" s="2">
        <v>42489</v>
      </c>
      <c r="B2454" s="3">
        <v>51.01</v>
      </c>
      <c r="C2454" s="1">
        <v>709448</v>
      </c>
      <c r="D2454" s="3">
        <v>-0.190000000000004</v>
      </c>
      <c r="E2454" s="3">
        <v>-0.371093750000006</v>
      </c>
      <c r="F2454" s="3">
        <v>-0.37109985250990402</v>
      </c>
      <c r="G2454" s="3">
        <v>53.703246999999998</v>
      </c>
      <c r="H2454" s="3">
        <v>1396.5432220416501</v>
      </c>
      <c r="I2454" s="3">
        <v>51.1</v>
      </c>
      <c r="J2454" s="3">
        <v>51.53</v>
      </c>
      <c r="K2454" s="3">
        <v>50.74</v>
      </c>
      <c r="L2454" s="3">
        <v>1321.4907667751299</v>
      </c>
    </row>
    <row r="2455" spans="1:12" ht="15" customHeight="1" x14ac:dyDescent="0.2">
      <c r="A2455" s="2">
        <v>42488</v>
      </c>
      <c r="B2455" s="3">
        <v>51.2</v>
      </c>
      <c r="C2455" s="1">
        <v>1457055</v>
      </c>
      <c r="D2455" s="3">
        <v>-0.109999999999999</v>
      </c>
      <c r="E2455" s="3">
        <v>-0.214383161177156</v>
      </c>
      <c r="F2455" s="3">
        <v>-0.214389012418259</v>
      </c>
      <c r="G2455" s="3">
        <v>53.903281999999997</v>
      </c>
      <c r="H2455" s="3">
        <v>1402.1175781587201</v>
      </c>
      <c r="I2455" s="3">
        <v>50.4</v>
      </c>
      <c r="J2455" s="3">
        <v>52.1</v>
      </c>
      <c r="K2455" s="3">
        <v>50.26</v>
      </c>
      <c r="L2455" s="3">
        <v>1326.7854785118</v>
      </c>
    </row>
    <row r="2456" spans="1:12" ht="15" customHeight="1" x14ac:dyDescent="0.2">
      <c r="A2456" s="2">
        <v>42487</v>
      </c>
      <c r="B2456" s="3">
        <v>51.31</v>
      </c>
      <c r="C2456" s="1">
        <v>797645</v>
      </c>
      <c r="D2456" s="3">
        <v>-0.16999999999999399</v>
      </c>
      <c r="E2456" s="3">
        <v>-0.33022533022531902</v>
      </c>
      <c r="F2456" s="3">
        <v>-0.33022210921286299</v>
      </c>
      <c r="G2456" s="3">
        <v>54.019092999999998</v>
      </c>
      <c r="H2456" s="3">
        <v>1405.34487216364</v>
      </c>
      <c r="I2456" s="3">
        <v>51.11</v>
      </c>
      <c r="J2456" s="3">
        <v>51.52</v>
      </c>
      <c r="K2456" s="3">
        <v>50.84</v>
      </c>
      <c r="L2456" s="3">
        <v>1329.8508379382899</v>
      </c>
    </row>
    <row r="2457" spans="1:12" ht="15" customHeight="1" x14ac:dyDescent="0.2">
      <c r="A2457" s="2">
        <v>42486</v>
      </c>
      <c r="B2457" s="3">
        <v>51.48</v>
      </c>
      <c r="C2457" s="1">
        <v>645813</v>
      </c>
      <c r="D2457" s="3">
        <v>-1.00000000000051E-2</v>
      </c>
      <c r="E2457" s="3">
        <v>-1.94212468440535E-2</v>
      </c>
      <c r="F2457" s="3">
        <v>-1.9421274430742E-2</v>
      </c>
      <c r="G2457" s="3">
        <v>54.198067000000002</v>
      </c>
      <c r="H2457" s="3">
        <v>1410.3323234181501</v>
      </c>
      <c r="I2457" s="3">
        <v>51.56</v>
      </c>
      <c r="J2457" s="3">
        <v>51.93</v>
      </c>
      <c r="K2457" s="3">
        <v>51.1</v>
      </c>
      <c r="L2457" s="3">
        <v>1334.58821159741</v>
      </c>
    </row>
    <row r="2458" spans="1:12" ht="15" customHeight="1" x14ac:dyDescent="0.2">
      <c r="A2458" s="2">
        <v>42485</v>
      </c>
      <c r="B2458" s="3">
        <v>51.49</v>
      </c>
      <c r="C2458" s="1">
        <v>703771</v>
      </c>
      <c r="D2458" s="3">
        <v>0.64999999999999802</v>
      </c>
      <c r="E2458" s="3">
        <v>1.2785208497246101</v>
      </c>
      <c r="F2458" s="3">
        <v>1.27852647340021</v>
      </c>
      <c r="G2458" s="3">
        <v>54.208595000000003</v>
      </c>
      <c r="H2458" s="3">
        <v>1410.62570618217</v>
      </c>
      <c r="I2458" s="3">
        <v>50.59</v>
      </c>
      <c r="J2458" s="3">
        <v>51.59</v>
      </c>
      <c r="K2458" s="3">
        <v>50.56</v>
      </c>
      <c r="L2458" s="3">
        <v>1334.86688063618</v>
      </c>
    </row>
    <row r="2459" spans="1:12" ht="15" customHeight="1" x14ac:dyDescent="0.2">
      <c r="A2459" s="2">
        <v>42482</v>
      </c>
      <c r="B2459" s="3">
        <v>50.84</v>
      </c>
      <c r="C2459" s="1">
        <v>751244</v>
      </c>
      <c r="D2459" s="3">
        <v>0.440000000000004</v>
      </c>
      <c r="E2459" s="3">
        <v>0.87301587301589201</v>
      </c>
      <c r="F2459" s="3">
        <v>0.87300576635813698</v>
      </c>
      <c r="G2459" s="3">
        <v>53.524273000000001</v>
      </c>
      <c r="H2459" s="3">
        <v>1391.5557707871301</v>
      </c>
      <c r="I2459" s="3">
        <v>50.57</v>
      </c>
      <c r="J2459" s="3">
        <v>51.17</v>
      </c>
      <c r="K2459" s="3">
        <v>50.375</v>
      </c>
      <c r="L2459" s="3">
        <v>1316.7533931160101</v>
      </c>
    </row>
    <row r="2460" spans="1:12" ht="15" customHeight="1" x14ac:dyDescent="0.2">
      <c r="A2460" s="2">
        <v>42481</v>
      </c>
      <c r="B2460" s="3">
        <v>50.4</v>
      </c>
      <c r="C2460" s="1">
        <v>589671</v>
      </c>
      <c r="D2460" s="3">
        <v>-6.0000000000002197E-2</v>
      </c>
      <c r="E2460" s="3">
        <v>-0.118906064209278</v>
      </c>
      <c r="F2460" s="3">
        <v>-0.11889682688927999</v>
      </c>
      <c r="G2460" s="3">
        <v>53.061047000000002</v>
      </c>
      <c r="H2460" s="3">
        <v>1378.64709637172</v>
      </c>
      <c r="I2460" s="3">
        <v>50.66</v>
      </c>
      <c r="J2460" s="3">
        <v>50.97</v>
      </c>
      <c r="K2460" s="3">
        <v>50.36</v>
      </c>
      <c r="L2460" s="3">
        <v>1304.49195541005</v>
      </c>
    </row>
    <row r="2461" spans="1:12" ht="15" customHeight="1" x14ac:dyDescent="0.2">
      <c r="A2461" s="2">
        <v>42480</v>
      </c>
      <c r="B2461" s="3">
        <v>50.46</v>
      </c>
      <c r="C2461" s="1">
        <v>823862</v>
      </c>
      <c r="D2461" s="3">
        <v>-3.0000000000001099E-2</v>
      </c>
      <c r="E2461" s="3">
        <v>-5.94177064765277E-2</v>
      </c>
      <c r="F2461" s="3">
        <v>-5.9421553954353001E-2</v>
      </c>
      <c r="G2461" s="3">
        <v>53.124209999999998</v>
      </c>
      <c r="H2461" s="3">
        <v>1380.40725362131</v>
      </c>
      <c r="I2461" s="3">
        <v>50.19</v>
      </c>
      <c r="J2461" s="3">
        <v>50.73</v>
      </c>
      <c r="K2461" s="3">
        <v>50.19</v>
      </c>
      <c r="L2461" s="3">
        <v>1306.1639696426801</v>
      </c>
    </row>
    <row r="2462" spans="1:12" ht="15" customHeight="1" x14ac:dyDescent="0.2">
      <c r="A2462" s="2">
        <v>42479</v>
      </c>
      <c r="B2462" s="3">
        <v>50.49</v>
      </c>
      <c r="C2462" s="1">
        <v>1306692</v>
      </c>
      <c r="D2462" s="3">
        <v>-0.76999999999999602</v>
      </c>
      <c r="E2462" s="3">
        <v>-1.5021459227467699</v>
      </c>
      <c r="F2462" s="3">
        <v>-1.5021443878557801</v>
      </c>
      <c r="G2462" s="3">
        <v>53.155796000000002</v>
      </c>
      <c r="H2462" s="3">
        <v>1381.28745764718</v>
      </c>
      <c r="I2462" s="3">
        <v>50.95</v>
      </c>
      <c r="J2462" s="3">
        <v>51.41</v>
      </c>
      <c r="K2462" s="3">
        <v>50.15</v>
      </c>
      <c r="L2462" s="3">
        <v>1306.999976759</v>
      </c>
    </row>
    <row r="2463" spans="1:12" ht="15" customHeight="1" x14ac:dyDescent="0.2">
      <c r="A2463" s="2">
        <v>42478</v>
      </c>
      <c r="B2463" s="3">
        <v>51.26</v>
      </c>
      <c r="C2463" s="1">
        <v>777936</v>
      </c>
      <c r="D2463" s="3">
        <v>-6.0000000000002197E-2</v>
      </c>
      <c r="E2463" s="3">
        <v>-0.11691348402182999</v>
      </c>
      <c r="F2463" s="3">
        <v>-0.116911804131425</v>
      </c>
      <c r="G2463" s="3">
        <v>53.966450000000002</v>
      </c>
      <c r="H2463" s="3">
        <v>1403.87787474283</v>
      </c>
      <c r="I2463" s="3">
        <v>50.81</v>
      </c>
      <c r="J2463" s="3">
        <v>51.69</v>
      </c>
      <c r="K2463" s="3">
        <v>50.81</v>
      </c>
      <c r="L2463" s="3">
        <v>1328.4574927444301</v>
      </c>
    </row>
    <row r="2464" spans="1:12" ht="15" customHeight="1" x14ac:dyDescent="0.2">
      <c r="A2464" s="2">
        <v>42475</v>
      </c>
      <c r="B2464" s="3">
        <v>51.32</v>
      </c>
      <c r="C2464" s="1">
        <v>670446</v>
      </c>
      <c r="D2464" s="3">
        <v>0.39</v>
      </c>
      <c r="E2464" s="3">
        <v>0.76575692126448203</v>
      </c>
      <c r="F2464" s="3">
        <v>0.76575617020719899</v>
      </c>
      <c r="G2464" s="3">
        <v>54.029617000000002</v>
      </c>
      <c r="H2464" s="3">
        <v>1405.6381434600401</v>
      </c>
      <c r="I2464" s="3">
        <v>50.59</v>
      </c>
      <c r="J2464" s="3">
        <v>51.52</v>
      </c>
      <c r="K2464" s="3">
        <v>50.52</v>
      </c>
      <c r="L2464" s="3">
        <v>1330.1295069770599</v>
      </c>
    </row>
    <row r="2465" spans="1:12" ht="15" customHeight="1" x14ac:dyDescent="0.2">
      <c r="A2465" s="2">
        <v>42474</v>
      </c>
      <c r="B2465" s="3">
        <v>50.93</v>
      </c>
      <c r="C2465" s="1">
        <v>883153</v>
      </c>
      <c r="D2465" s="3">
        <v>-0.75</v>
      </c>
      <c r="E2465" s="3">
        <v>-1.45123839009287</v>
      </c>
      <c r="F2465" s="3">
        <v>-1.45124228185358</v>
      </c>
      <c r="G2465" s="3">
        <v>53.619025999999998</v>
      </c>
      <c r="H2465" s="3">
        <v>1394.19624353021</v>
      </c>
      <c r="I2465" s="3">
        <v>51.85</v>
      </c>
      <c r="J2465" s="3">
        <v>51.87</v>
      </c>
      <c r="K2465" s="3">
        <v>50.83</v>
      </c>
      <c r="L2465" s="3">
        <v>1319.2614144649599</v>
      </c>
    </row>
    <row r="2466" spans="1:12" ht="15" customHeight="1" x14ac:dyDescent="0.2">
      <c r="A2466" s="2">
        <v>42473</v>
      </c>
      <c r="B2466" s="3">
        <v>51.68</v>
      </c>
      <c r="C2466" s="1">
        <v>471359</v>
      </c>
      <c r="D2466" s="3">
        <v>-7.0000000000000201E-2</v>
      </c>
      <c r="E2466" s="3">
        <v>-0.135265700483089</v>
      </c>
      <c r="F2466" s="3">
        <v>-0.13526589165443401</v>
      </c>
      <c r="G2466" s="3">
        <v>54.408627000000003</v>
      </c>
      <c r="H2466" s="3">
        <v>1416.19997869853</v>
      </c>
      <c r="I2466" s="3">
        <v>52</v>
      </c>
      <c r="J2466" s="3">
        <v>52.06</v>
      </c>
      <c r="K2466" s="3">
        <v>50.95</v>
      </c>
      <c r="L2466" s="3">
        <v>1340.16159237285</v>
      </c>
    </row>
    <row r="2467" spans="1:12" ht="15" customHeight="1" x14ac:dyDescent="0.2">
      <c r="A2467" s="2">
        <v>42472</v>
      </c>
      <c r="B2467" s="3">
        <v>51.75</v>
      </c>
      <c r="C2467" s="1">
        <v>541965</v>
      </c>
      <c r="D2467" s="3">
        <v>0.29999999999999699</v>
      </c>
      <c r="E2467" s="3">
        <v>0.58309037900874305</v>
      </c>
      <c r="F2467" s="3">
        <v>0.58309677867198695</v>
      </c>
      <c r="G2467" s="3">
        <v>54.482323000000001</v>
      </c>
      <c r="H2467" s="3">
        <v>1418.2536580466699</v>
      </c>
      <c r="I2467" s="3">
        <v>51.62</v>
      </c>
      <c r="J2467" s="3">
        <v>52.01</v>
      </c>
      <c r="K2467" s="3">
        <v>51.1601</v>
      </c>
      <c r="L2467" s="3">
        <v>1342.1122756442501</v>
      </c>
    </row>
    <row r="2468" spans="1:12" ht="15" customHeight="1" x14ac:dyDescent="0.2">
      <c r="A2468" s="2">
        <v>42471</v>
      </c>
      <c r="B2468" s="3">
        <v>51.45</v>
      </c>
      <c r="C2468" s="1">
        <v>469504</v>
      </c>
      <c r="D2468" s="3">
        <v>-9.9999999999994302E-2</v>
      </c>
      <c r="E2468" s="3">
        <v>-0.19398642095051999</v>
      </c>
      <c r="F2468" s="3">
        <v>-0.19398670689876299</v>
      </c>
      <c r="G2468" s="3">
        <v>54.16648</v>
      </c>
      <c r="H2468" s="3">
        <v>1409.45209152539</v>
      </c>
      <c r="I2468" s="3">
        <v>51.75</v>
      </c>
      <c r="J2468" s="3">
        <v>52.28</v>
      </c>
      <c r="K2468" s="3">
        <v>51.4</v>
      </c>
      <c r="L2468" s="3">
        <v>1333.7522044810901</v>
      </c>
    </row>
    <row r="2469" spans="1:12" ht="15" customHeight="1" x14ac:dyDescent="0.2">
      <c r="A2469" s="2">
        <v>42468</v>
      </c>
      <c r="B2469" s="3">
        <v>51.55</v>
      </c>
      <c r="C2469" s="1">
        <v>828453</v>
      </c>
      <c r="D2469" s="3">
        <v>-0.53000000000000103</v>
      </c>
      <c r="E2469" s="3">
        <v>-1.01766513056835</v>
      </c>
      <c r="F2469" s="3">
        <v>-1.01767022593903</v>
      </c>
      <c r="G2469" s="3">
        <v>54.27176</v>
      </c>
      <c r="H2469" s="3">
        <v>1412.3859191655799</v>
      </c>
      <c r="I2469" s="3">
        <v>51.98</v>
      </c>
      <c r="J2469" s="3">
        <v>52.32</v>
      </c>
      <c r="K2469" s="3">
        <v>51.05</v>
      </c>
      <c r="L2469" s="3">
        <v>1336.5388948688101</v>
      </c>
    </row>
    <row r="2470" spans="1:12" ht="15" customHeight="1" x14ac:dyDescent="0.2">
      <c r="A2470" s="2">
        <v>42467</v>
      </c>
      <c r="B2470" s="3">
        <v>52.08</v>
      </c>
      <c r="C2470" s="1">
        <v>447346</v>
      </c>
      <c r="D2470" s="3">
        <v>-0.440000000000004</v>
      </c>
      <c r="E2470" s="3">
        <v>-0.83777608530084502</v>
      </c>
      <c r="F2470" s="3">
        <v>-0.83777368033147703</v>
      </c>
      <c r="G2470" s="3">
        <v>54.829746</v>
      </c>
      <c r="H2470" s="3">
        <v>1427.93526139239</v>
      </c>
      <c r="I2470" s="3">
        <v>52.4</v>
      </c>
      <c r="J2470" s="3">
        <v>52.63</v>
      </c>
      <c r="K2470" s="3">
        <v>51.86</v>
      </c>
      <c r="L2470" s="3">
        <v>1351.30835392372</v>
      </c>
    </row>
    <row r="2471" spans="1:12" ht="15" customHeight="1" x14ac:dyDescent="0.2">
      <c r="A2471" s="2">
        <v>42466</v>
      </c>
      <c r="B2471" s="3">
        <v>52.52</v>
      </c>
      <c r="C2471" s="1">
        <v>271664</v>
      </c>
      <c r="D2471" s="3">
        <v>0.34000000000000302</v>
      </c>
      <c r="E2471" s="3">
        <v>0.65159064775777098</v>
      </c>
      <c r="F2471" s="3">
        <v>0.65159159664698296</v>
      </c>
      <c r="G2471" s="3">
        <v>55.292976000000003</v>
      </c>
      <c r="H2471" s="3">
        <v>1440.8440472754201</v>
      </c>
      <c r="I2471" s="3">
        <v>52.12</v>
      </c>
      <c r="J2471" s="3">
        <v>52.77</v>
      </c>
      <c r="K2471" s="3">
        <v>51.35</v>
      </c>
      <c r="L2471" s="3">
        <v>1363.5697916296799</v>
      </c>
    </row>
    <row r="2472" spans="1:12" ht="15" customHeight="1" x14ac:dyDescent="0.2">
      <c r="A2472" s="2">
        <v>42465</v>
      </c>
      <c r="B2472" s="3">
        <v>52.18</v>
      </c>
      <c r="C2472" s="1">
        <v>692504</v>
      </c>
      <c r="D2472" s="3">
        <v>-0.82</v>
      </c>
      <c r="E2472" s="3">
        <v>-1.5471698113207499</v>
      </c>
      <c r="F2472" s="3">
        <v>-1.5471720295521401</v>
      </c>
      <c r="G2472" s="3">
        <v>54.935023999999999</v>
      </c>
      <c r="H2472" s="3">
        <v>1430.8690332987701</v>
      </c>
      <c r="I2472" s="3">
        <v>52.65</v>
      </c>
      <c r="J2472" s="3">
        <v>52.93</v>
      </c>
      <c r="K2472" s="3">
        <v>51.56</v>
      </c>
      <c r="L2472" s="3">
        <v>1354.09504431144</v>
      </c>
    </row>
    <row r="2473" spans="1:12" ht="15" customHeight="1" x14ac:dyDescent="0.2">
      <c r="A2473" s="2">
        <v>42464</v>
      </c>
      <c r="B2473" s="3">
        <v>53</v>
      </c>
      <c r="C2473" s="1">
        <v>398106</v>
      </c>
      <c r="D2473" s="3">
        <v>-0.47999999999999599</v>
      </c>
      <c r="E2473" s="3">
        <v>-0.89753178758413799</v>
      </c>
      <c r="F2473" s="3">
        <v>-0.89752602228700895</v>
      </c>
      <c r="G2473" s="3">
        <v>55.798319999999997</v>
      </c>
      <c r="H2473" s="3">
        <v>1454.92641994833</v>
      </c>
      <c r="I2473" s="3">
        <v>53.41</v>
      </c>
      <c r="J2473" s="3">
        <v>53.6</v>
      </c>
      <c r="K2473" s="3">
        <v>52.88</v>
      </c>
      <c r="L2473" s="3">
        <v>1376.94590549073</v>
      </c>
    </row>
    <row r="2474" spans="1:12" ht="15" customHeight="1" x14ac:dyDescent="0.2">
      <c r="A2474" s="2">
        <v>42461</v>
      </c>
      <c r="B2474" s="3">
        <v>53.48</v>
      </c>
      <c r="C2474" s="1">
        <v>445854</v>
      </c>
      <c r="D2474" s="3">
        <v>0.38999999999999302</v>
      </c>
      <c r="E2474" s="3">
        <v>0.73460161989074002</v>
      </c>
      <c r="F2474" s="3">
        <v>0.73459911935414002</v>
      </c>
      <c r="G2474" s="3">
        <v>56.303660000000001</v>
      </c>
      <c r="H2474" s="3">
        <v>1469.00868115362</v>
      </c>
      <c r="I2474" s="3">
        <v>52.75</v>
      </c>
      <c r="J2474" s="3">
        <v>53.548900000000003</v>
      </c>
      <c r="K2474" s="3">
        <v>52.615000000000002</v>
      </c>
      <c r="L2474" s="3">
        <v>1390.32201935178</v>
      </c>
    </row>
    <row r="2475" spans="1:12" ht="15" customHeight="1" x14ac:dyDescent="0.2">
      <c r="A2475" s="2">
        <v>42460</v>
      </c>
      <c r="B2475" s="3">
        <v>53.09</v>
      </c>
      <c r="C2475" s="1">
        <v>966217</v>
      </c>
      <c r="D2475" s="3">
        <v>5.0000000000004201E-2</v>
      </c>
      <c r="E2475" s="3">
        <v>9.4268476621417394E-2</v>
      </c>
      <c r="F2475" s="3">
        <v>9.4268615051862306E-2</v>
      </c>
      <c r="G2475" s="3">
        <v>55.893070000000002</v>
      </c>
      <c r="H2475" s="3">
        <v>1457.56680909069</v>
      </c>
      <c r="I2475" s="3">
        <v>52.86</v>
      </c>
      <c r="J2475" s="3">
        <v>53.335000000000001</v>
      </c>
      <c r="K2475" s="3">
        <v>52.82</v>
      </c>
      <c r="L2475" s="3">
        <v>1379.45392683967</v>
      </c>
    </row>
    <row r="2476" spans="1:12" ht="15" customHeight="1" x14ac:dyDescent="0.2">
      <c r="A2476" s="2">
        <v>42459</v>
      </c>
      <c r="B2476" s="3">
        <v>53.04</v>
      </c>
      <c r="C2476" s="1">
        <v>599321</v>
      </c>
      <c r="D2476" s="3">
        <v>7.0000000000000201E-2</v>
      </c>
      <c r="E2476" s="3">
        <v>0.13215027373985</v>
      </c>
      <c r="F2476" s="3">
        <v>0.13214867250161899</v>
      </c>
      <c r="G2476" s="3">
        <v>55.840429999999998</v>
      </c>
      <c r="H2476" s="3">
        <v>1456.0998952706</v>
      </c>
      <c r="I2476" s="3">
        <v>53.16</v>
      </c>
      <c r="J2476" s="3">
        <v>53.69</v>
      </c>
      <c r="K2476" s="3">
        <v>52.88</v>
      </c>
      <c r="L2476" s="3">
        <v>1378.0605816458201</v>
      </c>
    </row>
    <row r="2477" spans="1:12" ht="15" customHeight="1" x14ac:dyDescent="0.2">
      <c r="A2477" s="2">
        <v>42458</v>
      </c>
      <c r="B2477" s="3">
        <v>52.97</v>
      </c>
      <c r="C2477" s="1">
        <v>825898</v>
      </c>
      <c r="D2477" s="3">
        <v>1.25</v>
      </c>
      <c r="E2477" s="3">
        <v>2.4168600154679001</v>
      </c>
      <c r="F2477" s="3">
        <v>2.4168598489309598</v>
      </c>
      <c r="G2477" s="3">
        <v>55.766734999999997</v>
      </c>
      <c r="H2477" s="3">
        <v>1454.04624378937</v>
      </c>
      <c r="I2477" s="3">
        <v>51.72</v>
      </c>
      <c r="J2477" s="3">
        <v>53.02</v>
      </c>
      <c r="K2477" s="3">
        <v>51.72</v>
      </c>
      <c r="L2477" s="3">
        <v>1376.10989837441</v>
      </c>
    </row>
    <row r="2478" spans="1:12" ht="15" customHeight="1" x14ac:dyDescent="0.2">
      <c r="A2478" s="2">
        <v>42457</v>
      </c>
      <c r="B2478" s="3">
        <v>51.72</v>
      </c>
      <c r="C2478" s="1">
        <v>626235</v>
      </c>
      <c r="D2478" s="3">
        <v>-0.52000000000000302</v>
      </c>
      <c r="E2478" s="3">
        <v>-0.99540581929556904</v>
      </c>
      <c r="F2478" s="3">
        <v>-0.99541264953491004</v>
      </c>
      <c r="G2478" s="3">
        <v>54.450736999999997</v>
      </c>
      <c r="H2478" s="3">
        <v>1417.3734540208</v>
      </c>
      <c r="I2478" s="3">
        <v>52.39</v>
      </c>
      <c r="J2478" s="3">
        <v>52.81</v>
      </c>
      <c r="K2478" s="3">
        <v>51.65</v>
      </c>
      <c r="L2478" s="3">
        <v>1341.2762685279299</v>
      </c>
    </row>
    <row r="2479" spans="1:12" ht="15" customHeight="1" x14ac:dyDescent="0.2">
      <c r="A2479" s="2">
        <v>42453</v>
      </c>
      <c r="B2479" s="3">
        <v>52.24</v>
      </c>
      <c r="C2479" s="1">
        <v>621476</v>
      </c>
      <c r="D2479" s="3">
        <v>0.27000000000000302</v>
      </c>
      <c r="E2479" s="3">
        <v>0.51953049836443999</v>
      </c>
      <c r="F2479" s="3">
        <v>0.51953122001449004</v>
      </c>
      <c r="G2479" s="3">
        <v>54.998196</v>
      </c>
      <c r="H2479" s="3">
        <v>1432.6294413505</v>
      </c>
      <c r="I2479" s="3">
        <v>51.72</v>
      </c>
      <c r="J2479" s="3">
        <v>52.31</v>
      </c>
      <c r="K2479" s="3">
        <v>51.07</v>
      </c>
      <c r="L2479" s="3">
        <v>1355.7670585440701</v>
      </c>
    </row>
    <row r="2480" spans="1:12" ht="15" customHeight="1" x14ac:dyDescent="0.2">
      <c r="A2480" s="2">
        <v>42452</v>
      </c>
      <c r="B2480" s="3">
        <v>51.97</v>
      </c>
      <c r="C2480" s="1">
        <v>714586</v>
      </c>
      <c r="D2480" s="3">
        <v>-0.380000000000002</v>
      </c>
      <c r="E2480" s="3">
        <v>-0.72588347659980901</v>
      </c>
      <c r="F2480" s="3">
        <v>-0.72587727256231405</v>
      </c>
      <c r="G2480" s="3">
        <v>54.713940000000001</v>
      </c>
      <c r="H2480" s="3">
        <v>1424.7081067219899</v>
      </c>
      <c r="I2480" s="3">
        <v>52.12</v>
      </c>
      <c r="J2480" s="3">
        <v>52.279899999999998</v>
      </c>
      <c r="K2480" s="3">
        <v>51.69</v>
      </c>
      <c r="L2480" s="3">
        <v>1348.24299449723</v>
      </c>
    </row>
    <row r="2481" spans="1:12" ht="15" customHeight="1" x14ac:dyDescent="0.2">
      <c r="A2481" s="2">
        <v>42451</v>
      </c>
      <c r="B2481" s="3">
        <v>52.35</v>
      </c>
      <c r="C2481" s="1">
        <v>544334</v>
      </c>
      <c r="D2481" s="3">
        <v>-1.03999999999999</v>
      </c>
      <c r="E2481" s="3">
        <v>-1.94793032403071</v>
      </c>
      <c r="F2481" s="3">
        <v>-1.94792611875683</v>
      </c>
      <c r="G2481" s="3">
        <v>55.113999999999997</v>
      </c>
      <c r="H2481" s="3">
        <v>1435.85654028709</v>
      </c>
      <c r="I2481" s="3">
        <v>53.11</v>
      </c>
      <c r="J2481" s="3">
        <v>53.34</v>
      </c>
      <c r="K2481" s="3">
        <v>52.284999999999997</v>
      </c>
      <c r="L2481" s="3">
        <v>1358.8324179705601</v>
      </c>
    </row>
    <row r="2482" spans="1:12" ht="15" customHeight="1" x14ac:dyDescent="0.2">
      <c r="A2482" s="2">
        <v>42450</v>
      </c>
      <c r="B2482" s="3">
        <v>53.39</v>
      </c>
      <c r="C2482" s="1">
        <v>509083</v>
      </c>
      <c r="D2482" s="3">
        <v>-3.0000000000001099E-2</v>
      </c>
      <c r="E2482" s="3">
        <v>-5.6158742044176702E-2</v>
      </c>
      <c r="F2482" s="3">
        <v>-5.61623800815036E-2</v>
      </c>
      <c r="G2482" s="3">
        <v>56.208908000000001</v>
      </c>
      <c r="H2482" s="3">
        <v>1466.36823627745</v>
      </c>
      <c r="I2482" s="3">
        <v>53.1</v>
      </c>
      <c r="J2482" s="3">
        <v>53.49</v>
      </c>
      <c r="K2482" s="3">
        <v>52.610999999999997</v>
      </c>
      <c r="L2482" s="3">
        <v>1387.81399800283</v>
      </c>
    </row>
    <row r="2483" spans="1:12" ht="15" customHeight="1" x14ac:dyDescent="0.2">
      <c r="A2483" s="2">
        <v>42447</v>
      </c>
      <c r="B2483" s="3">
        <v>53.42</v>
      </c>
      <c r="C2483" s="1">
        <v>954547</v>
      </c>
      <c r="D2483" s="3">
        <v>-7.9999999999998295E-2</v>
      </c>
      <c r="E2483" s="3">
        <v>-0.14953271028037499</v>
      </c>
      <c r="F2483" s="3">
        <v>-0.14953647350577301</v>
      </c>
      <c r="G2483" s="3">
        <v>56.240493999999998</v>
      </c>
      <c r="H2483" s="3">
        <v>1467.24844030332</v>
      </c>
      <c r="I2483" s="3">
        <v>53.63</v>
      </c>
      <c r="J2483" s="3">
        <v>54.06</v>
      </c>
      <c r="K2483" s="3">
        <v>53.29</v>
      </c>
      <c r="L2483" s="3">
        <v>1388.6500051191499</v>
      </c>
    </row>
    <row r="2484" spans="1:12" ht="15" customHeight="1" x14ac:dyDescent="0.2">
      <c r="A2484" s="2">
        <v>42446</v>
      </c>
      <c r="B2484" s="3">
        <v>53.5</v>
      </c>
      <c r="C2484" s="1">
        <v>616344</v>
      </c>
      <c r="D2484" s="3">
        <v>0.439999999999997</v>
      </c>
      <c r="E2484" s="3">
        <v>0.82924990576704805</v>
      </c>
      <c r="F2484" s="3">
        <v>0.82924748337360699</v>
      </c>
      <c r="G2484" s="3">
        <v>56.324719999999999</v>
      </c>
      <c r="H2484" s="3">
        <v>1469.5955581492799</v>
      </c>
      <c r="I2484" s="3">
        <v>53.2</v>
      </c>
      <c r="J2484" s="3">
        <v>54.13</v>
      </c>
      <c r="K2484" s="3">
        <v>52.08</v>
      </c>
      <c r="L2484" s="3">
        <v>1390.87935742932</v>
      </c>
    </row>
    <row r="2485" spans="1:12" ht="15" customHeight="1" x14ac:dyDescent="0.2">
      <c r="A2485" s="2">
        <v>42445</v>
      </c>
      <c r="B2485" s="3">
        <v>53.06</v>
      </c>
      <c r="C2485" s="1">
        <v>816140</v>
      </c>
      <c r="D2485" s="3">
        <v>0.41000000000000297</v>
      </c>
      <c r="E2485" s="3">
        <v>0.77872744539411098</v>
      </c>
      <c r="F2485" s="3">
        <v>0.77873217746975398</v>
      </c>
      <c r="G2485" s="3">
        <v>55.861490000000003</v>
      </c>
      <c r="H2485" s="3">
        <v>1456.68677226625</v>
      </c>
      <c r="I2485" s="3">
        <v>52.43</v>
      </c>
      <c r="J2485" s="3">
        <v>53.64</v>
      </c>
      <c r="K2485" s="3">
        <v>52.22</v>
      </c>
      <c r="L2485" s="3">
        <v>1378.61791972336</v>
      </c>
    </row>
    <row r="2486" spans="1:12" ht="15" customHeight="1" x14ac:dyDescent="0.2">
      <c r="A2486" s="2">
        <v>42444</v>
      </c>
      <c r="B2486" s="3">
        <v>52.65</v>
      </c>
      <c r="C2486" s="1">
        <v>698642</v>
      </c>
      <c r="D2486" s="3">
        <v>-1.03999999999999</v>
      </c>
      <c r="E2486" s="3">
        <v>-1.9370460048426099</v>
      </c>
      <c r="F2486" s="3">
        <v>-1.9370452766266</v>
      </c>
      <c r="G2486" s="3">
        <v>55.429839999999999</v>
      </c>
      <c r="H2486" s="3">
        <v>1444.6580232076601</v>
      </c>
      <c r="I2486" s="3">
        <v>53.45</v>
      </c>
      <c r="J2486" s="3">
        <v>53.71</v>
      </c>
      <c r="K2486" s="3">
        <v>52.5</v>
      </c>
      <c r="L2486" s="3">
        <v>1367.1924891337101</v>
      </c>
    </row>
    <row r="2487" spans="1:12" ht="15" customHeight="1" x14ac:dyDescent="0.2">
      <c r="A2487" s="2">
        <v>42443</v>
      </c>
      <c r="B2487" s="3">
        <v>53.69</v>
      </c>
      <c r="C2487" s="1">
        <v>813825</v>
      </c>
      <c r="D2487" s="3">
        <v>0.189999999999997</v>
      </c>
      <c r="E2487" s="3">
        <v>0.355140186915892</v>
      </c>
      <c r="F2487" s="3">
        <v>0.35513714049533102</v>
      </c>
      <c r="G2487" s="3">
        <v>56.524749999999997</v>
      </c>
      <c r="H2487" s="3">
        <v>1475.16977493183</v>
      </c>
      <c r="I2487" s="3">
        <v>53.31</v>
      </c>
      <c r="J2487" s="3">
        <v>53.95</v>
      </c>
      <c r="K2487" s="3">
        <v>53.2697</v>
      </c>
      <c r="L2487" s="3">
        <v>1396.17406916598</v>
      </c>
    </row>
    <row r="2488" spans="1:12" ht="15" customHeight="1" x14ac:dyDescent="0.2">
      <c r="A2488" s="2">
        <v>42440</v>
      </c>
      <c r="B2488" s="3">
        <v>53.5</v>
      </c>
      <c r="C2488" s="1">
        <v>942974</v>
      </c>
      <c r="D2488" s="3">
        <v>0.60999999999999899</v>
      </c>
      <c r="E2488" s="3">
        <v>1.1533371147664999</v>
      </c>
      <c r="F2488" s="3">
        <v>1.1533424050029299</v>
      </c>
      <c r="G2488" s="3">
        <v>56.324719999999999</v>
      </c>
      <c r="H2488" s="3">
        <v>1469.5955581492799</v>
      </c>
      <c r="I2488" s="3">
        <v>52.93</v>
      </c>
      <c r="J2488" s="3">
        <v>53.854999999999997</v>
      </c>
      <c r="K2488" s="3">
        <v>52.59</v>
      </c>
      <c r="L2488" s="3">
        <v>1390.87935742932</v>
      </c>
    </row>
    <row r="2489" spans="1:12" ht="15" customHeight="1" x14ac:dyDescent="0.2">
      <c r="A2489" s="2">
        <v>42439</v>
      </c>
      <c r="B2489" s="3">
        <v>52.89</v>
      </c>
      <c r="C2489" s="1">
        <v>1176040</v>
      </c>
      <c r="D2489" s="3">
        <v>9.0000000000003397E-2</v>
      </c>
      <c r="E2489" s="3">
        <v>0.170454545454545</v>
      </c>
      <c r="F2489" s="3">
        <v>0.17045659892338499</v>
      </c>
      <c r="G2489" s="3">
        <v>55.682510000000001</v>
      </c>
      <c r="H2489" s="3">
        <v>1451.69915381031</v>
      </c>
      <c r="I2489" s="3">
        <v>53.18</v>
      </c>
      <c r="J2489" s="3">
        <v>53.524999999999999</v>
      </c>
      <c r="K2489" s="3">
        <v>52.3</v>
      </c>
      <c r="L2489" s="3">
        <v>1373.88054606424</v>
      </c>
    </row>
    <row r="2490" spans="1:12" ht="15" customHeight="1" x14ac:dyDescent="0.2">
      <c r="A2490" s="2">
        <v>42438</v>
      </c>
      <c r="B2490" s="3">
        <v>52.8</v>
      </c>
      <c r="C2490" s="1">
        <v>1274196</v>
      </c>
      <c r="D2490" s="3">
        <v>0.91999999999999404</v>
      </c>
      <c r="E2490" s="3">
        <v>1.77332305319968</v>
      </c>
      <c r="F2490" s="3">
        <v>1.7733164313360601</v>
      </c>
      <c r="G2490" s="3">
        <v>55.587757000000003</v>
      </c>
      <c r="H2490" s="3">
        <v>1449.0586810672401</v>
      </c>
      <c r="I2490" s="3">
        <v>52.1</v>
      </c>
      <c r="J2490" s="3">
        <v>52.84</v>
      </c>
      <c r="K2490" s="3">
        <v>51.59</v>
      </c>
      <c r="L2490" s="3">
        <v>1371.37252471529</v>
      </c>
    </row>
    <row r="2491" spans="1:12" ht="15" customHeight="1" x14ac:dyDescent="0.2">
      <c r="A2491" s="2">
        <v>42437</v>
      </c>
      <c r="B2491" s="3">
        <v>51.88</v>
      </c>
      <c r="C2491" s="1">
        <v>1130552</v>
      </c>
      <c r="D2491" s="3">
        <v>-0.41999999999999399</v>
      </c>
      <c r="E2491" s="3">
        <v>-0.80305927342255701</v>
      </c>
      <c r="F2491" s="3">
        <v>-0.80305680789577405</v>
      </c>
      <c r="G2491" s="3">
        <v>54.619185999999999</v>
      </c>
      <c r="H2491" s="3">
        <v>1422.06760611201</v>
      </c>
      <c r="I2491" s="3">
        <v>52.17</v>
      </c>
      <c r="J2491" s="3">
        <v>52.56</v>
      </c>
      <c r="K2491" s="3">
        <v>51.74</v>
      </c>
      <c r="L2491" s="3">
        <v>1345.73497314828</v>
      </c>
    </row>
    <row r="2492" spans="1:12" ht="15" customHeight="1" x14ac:dyDescent="0.2">
      <c r="A2492" s="2">
        <v>42436</v>
      </c>
      <c r="B2492" s="3">
        <v>52.3</v>
      </c>
      <c r="C2492" s="1">
        <v>767793</v>
      </c>
      <c r="D2492" s="3">
        <v>0.44999999999999502</v>
      </c>
      <c r="E2492" s="3">
        <v>0.86788813886209404</v>
      </c>
      <c r="F2492" s="3">
        <v>0.86788941078193005</v>
      </c>
      <c r="G2492" s="3">
        <v>55.061360000000001</v>
      </c>
      <c r="H2492" s="3">
        <v>1434.389626467</v>
      </c>
      <c r="I2492" s="3">
        <v>51.61</v>
      </c>
      <c r="J2492" s="3">
        <v>52.35</v>
      </c>
      <c r="K2492" s="3">
        <v>51.31</v>
      </c>
      <c r="L2492" s="3">
        <v>1357.4390727767</v>
      </c>
    </row>
    <row r="2493" spans="1:12" ht="15" customHeight="1" x14ac:dyDescent="0.2">
      <c r="A2493" s="2">
        <v>42433</v>
      </c>
      <c r="B2493" s="3">
        <v>51.85</v>
      </c>
      <c r="C2493" s="1">
        <v>956694</v>
      </c>
      <c r="D2493" s="3">
        <v>1.59</v>
      </c>
      <c r="E2493" s="3">
        <v>3.16354954237962</v>
      </c>
      <c r="F2493" s="3">
        <v>3.1635504260242899</v>
      </c>
      <c r="G2493" s="3">
        <v>54.587600000000002</v>
      </c>
      <c r="H2493" s="3">
        <v>1421.1874020861401</v>
      </c>
      <c r="I2493" s="3">
        <v>50.66</v>
      </c>
      <c r="J2493" s="3">
        <v>51.89</v>
      </c>
      <c r="K2493" s="3">
        <v>50.53</v>
      </c>
      <c r="L2493" s="3">
        <v>1344.8989660319701</v>
      </c>
    </row>
    <row r="2494" spans="1:12" ht="15" customHeight="1" x14ac:dyDescent="0.2">
      <c r="A2494" s="2">
        <v>42432</v>
      </c>
      <c r="B2494" s="3">
        <v>50.26</v>
      </c>
      <c r="C2494" s="1">
        <v>588417</v>
      </c>
      <c r="D2494" s="3">
        <v>-0.45000000000000201</v>
      </c>
      <c r="E2494" s="3">
        <v>-0.88739893512128598</v>
      </c>
      <c r="F2494" s="3">
        <v>-0.88740023162765502</v>
      </c>
      <c r="G2494" s="3">
        <v>52.913649999999997</v>
      </c>
      <c r="H2494" s="3">
        <v>1374.5395983409301</v>
      </c>
      <c r="I2494" s="3">
        <v>50.44</v>
      </c>
      <c r="J2494" s="3">
        <v>50.81</v>
      </c>
      <c r="K2494" s="3">
        <v>49.54</v>
      </c>
      <c r="L2494" s="3">
        <v>1300.5905888672401</v>
      </c>
    </row>
    <row r="2495" spans="1:12" ht="15" customHeight="1" x14ac:dyDescent="0.2">
      <c r="A2495" s="2">
        <v>42431</v>
      </c>
      <c r="B2495" s="3">
        <v>50.71</v>
      </c>
      <c r="C2495" s="1">
        <v>528985</v>
      </c>
      <c r="D2495" s="3">
        <v>-0.22999999999999601</v>
      </c>
      <c r="E2495" s="3">
        <v>-0.45151158225362698</v>
      </c>
      <c r="F2495" s="3">
        <v>-0.45150481404374598</v>
      </c>
      <c r="G2495" s="3">
        <v>53.387410000000003</v>
      </c>
      <c r="H2495" s="3">
        <v>1387.74182272179</v>
      </c>
      <c r="I2495" s="3">
        <v>51.03</v>
      </c>
      <c r="J2495" s="3">
        <v>51.03</v>
      </c>
      <c r="K2495" s="3">
        <v>50.14</v>
      </c>
      <c r="L2495" s="3">
        <v>1313.1306956119799</v>
      </c>
    </row>
    <row r="2496" spans="1:12" ht="15" customHeight="1" x14ac:dyDescent="0.2">
      <c r="A2496" s="2">
        <v>42430</v>
      </c>
      <c r="B2496" s="3">
        <v>50.94</v>
      </c>
      <c r="C2496" s="1">
        <v>853018</v>
      </c>
      <c r="D2496" s="3">
        <v>1.03999999999999</v>
      </c>
      <c r="E2496" s="3">
        <v>2.0841683366733501</v>
      </c>
      <c r="F2496" s="3">
        <v>2.08415798755279</v>
      </c>
      <c r="G2496" s="3">
        <v>53.629550000000002</v>
      </c>
      <c r="H2496" s="3">
        <v>1394.48951482661</v>
      </c>
      <c r="I2496" s="3">
        <v>50.09</v>
      </c>
      <c r="J2496" s="3">
        <v>51.32</v>
      </c>
      <c r="K2496" s="3">
        <v>49.82</v>
      </c>
      <c r="L2496" s="3">
        <v>1319.5400835037301</v>
      </c>
    </row>
    <row r="2497" spans="1:12" ht="15" customHeight="1" x14ac:dyDescent="0.2">
      <c r="A2497" s="2">
        <v>42429</v>
      </c>
      <c r="B2497" s="3">
        <v>49.9</v>
      </c>
      <c r="C2497" s="1">
        <v>691999</v>
      </c>
      <c r="D2497" s="3">
        <v>-0.39</v>
      </c>
      <c r="E2497" s="3">
        <v>-0.775502087890234</v>
      </c>
      <c r="F2497" s="3">
        <v>-0.77550131233715602</v>
      </c>
      <c r="G2497" s="3">
        <v>52.534644999999998</v>
      </c>
      <c r="H2497" s="3">
        <v>1363.97790243696</v>
      </c>
      <c r="I2497" s="3">
        <v>50.38</v>
      </c>
      <c r="J2497" s="3">
        <v>50.49</v>
      </c>
      <c r="K2497" s="3">
        <v>49.81</v>
      </c>
      <c r="L2497" s="3">
        <v>1290.55850347146</v>
      </c>
    </row>
    <row r="2498" spans="1:12" ht="15" customHeight="1" x14ac:dyDescent="0.2">
      <c r="A2498" s="2">
        <v>42426</v>
      </c>
      <c r="B2498" s="3">
        <v>50.29</v>
      </c>
      <c r="C2498" s="1">
        <v>738792</v>
      </c>
      <c r="D2498" s="3">
        <v>-0.28000000000000103</v>
      </c>
      <c r="E2498" s="3">
        <v>-0.55368795728692999</v>
      </c>
      <c r="F2498" s="3">
        <v>-0.15819419988544101</v>
      </c>
      <c r="G2498" s="3">
        <v>52.945236000000001</v>
      </c>
      <c r="H2498" s="3">
        <v>1375.4198023668</v>
      </c>
      <c r="I2498" s="3">
        <v>50.51</v>
      </c>
      <c r="J2498" s="3">
        <v>50.73</v>
      </c>
      <c r="K2498" s="3">
        <v>49.77</v>
      </c>
      <c r="L2498" s="3">
        <v>1301.42659598356</v>
      </c>
    </row>
    <row r="2499" spans="1:12" ht="15" customHeight="1" x14ac:dyDescent="0.2">
      <c r="A2499" s="2">
        <v>42425</v>
      </c>
      <c r="B2499" s="3">
        <v>50.57</v>
      </c>
      <c r="C2499" s="1">
        <v>737714</v>
      </c>
      <c r="D2499" s="3">
        <v>-2.0000000000003099E-2</v>
      </c>
      <c r="E2499" s="3">
        <v>-3.9533504645194999E-2</v>
      </c>
      <c r="F2499" s="3">
        <v>-3.9538097006419602E-2</v>
      </c>
      <c r="G2499" s="3">
        <v>53.029125000000001</v>
      </c>
      <c r="H2499" s="3">
        <v>1377.75752906615</v>
      </c>
      <c r="I2499" s="3">
        <v>50.89</v>
      </c>
      <c r="J2499" s="3">
        <v>50.98</v>
      </c>
      <c r="K2499" s="3">
        <v>50.18</v>
      </c>
      <c r="L2499" s="3">
        <v>1309.22932906917</v>
      </c>
    </row>
    <row r="2500" spans="1:12" ht="15" customHeight="1" x14ac:dyDescent="0.2">
      <c r="A2500" s="2">
        <v>42424</v>
      </c>
      <c r="B2500" s="3">
        <v>50.59</v>
      </c>
      <c r="C2500" s="1">
        <v>683937</v>
      </c>
      <c r="D2500" s="3">
        <v>0.440000000000004</v>
      </c>
      <c r="E2500" s="3">
        <v>0.87736789631107603</v>
      </c>
      <c r="F2500" s="3">
        <v>0.87736904254891401</v>
      </c>
      <c r="G2500" s="3">
        <v>53.0501</v>
      </c>
      <c r="H2500" s="3">
        <v>1378.34203737498</v>
      </c>
      <c r="I2500" s="3">
        <v>49.89</v>
      </c>
      <c r="J2500" s="3">
        <v>50.96</v>
      </c>
      <c r="K2500" s="3">
        <v>49.88</v>
      </c>
      <c r="L2500" s="3">
        <v>1309.78666714672</v>
      </c>
    </row>
    <row r="2501" spans="1:12" ht="15" customHeight="1" x14ac:dyDescent="0.2">
      <c r="A2501" s="2">
        <v>42423</v>
      </c>
      <c r="B2501" s="3">
        <v>50.15</v>
      </c>
      <c r="C2501" s="1">
        <v>883607</v>
      </c>
      <c r="D2501" s="3">
        <v>0.28000000000000103</v>
      </c>
      <c r="E2501" s="3">
        <v>0.561459795468222</v>
      </c>
      <c r="F2501" s="3">
        <v>0.56146193162394098</v>
      </c>
      <c r="G2501" s="3">
        <v>52.588703000000002</v>
      </c>
      <c r="H2501" s="3">
        <v>1365.4843315267501</v>
      </c>
      <c r="I2501" s="3">
        <v>50</v>
      </c>
      <c r="J2501" s="3">
        <v>50.91</v>
      </c>
      <c r="K2501" s="3">
        <v>50</v>
      </c>
      <c r="L2501" s="3">
        <v>1297.5252294407501</v>
      </c>
    </row>
    <row r="2502" spans="1:12" ht="15" customHeight="1" x14ac:dyDescent="0.2">
      <c r="A2502" s="2">
        <v>42422</v>
      </c>
      <c r="B2502" s="3">
        <v>49.87</v>
      </c>
      <c r="C2502" s="1">
        <v>795847</v>
      </c>
      <c r="D2502" s="3">
        <v>0.56999999999999995</v>
      </c>
      <c r="E2502" s="3">
        <v>1.15618661257606</v>
      </c>
      <c r="F2502" s="3">
        <v>1.15619239007636</v>
      </c>
      <c r="G2502" s="3">
        <v>52.295085999999998</v>
      </c>
      <c r="H2502" s="3">
        <v>1357.3021348110501</v>
      </c>
      <c r="I2502" s="3">
        <v>49.71</v>
      </c>
      <c r="J2502" s="3">
        <v>50.31</v>
      </c>
      <c r="K2502" s="3">
        <v>49.630099999999999</v>
      </c>
      <c r="L2502" s="3">
        <v>1289.72249635514</v>
      </c>
    </row>
    <row r="2503" spans="1:12" ht="15" customHeight="1" x14ac:dyDescent="0.2">
      <c r="A2503" s="2">
        <v>42419</v>
      </c>
      <c r="B2503" s="3">
        <v>49.3</v>
      </c>
      <c r="C2503" s="1">
        <v>1079835</v>
      </c>
      <c r="D2503" s="3">
        <v>-0.67999999999999905</v>
      </c>
      <c r="E2503" s="3">
        <v>-1.3605442176870699</v>
      </c>
      <c r="F2503" s="3">
        <v>-1.3605496691641601</v>
      </c>
      <c r="G2503" s="3">
        <v>51.697364999999998</v>
      </c>
      <c r="H2503" s="3">
        <v>1340.64550115867</v>
      </c>
      <c r="I2503" s="3">
        <v>49.79</v>
      </c>
      <c r="J2503" s="3">
        <v>50.207999999999998</v>
      </c>
      <c r="K2503" s="3">
        <v>48.54</v>
      </c>
      <c r="L2503" s="3">
        <v>1273.83836114515</v>
      </c>
    </row>
    <row r="2504" spans="1:12" ht="15" customHeight="1" x14ac:dyDescent="0.2">
      <c r="A2504" s="2">
        <v>42418</v>
      </c>
      <c r="B2504" s="3">
        <v>49.98</v>
      </c>
      <c r="C2504" s="1">
        <v>788328</v>
      </c>
      <c r="D2504" s="3">
        <v>0.13999999999999299</v>
      </c>
      <c r="E2504" s="3">
        <v>0.28089887640447803</v>
      </c>
      <c r="F2504" s="3">
        <v>0.280900908023484</v>
      </c>
      <c r="G2504" s="3">
        <v>52.410435</v>
      </c>
      <c r="H2504" s="3">
        <v>1360.5165543063799</v>
      </c>
      <c r="I2504" s="3">
        <v>49.73</v>
      </c>
      <c r="J2504" s="3">
        <v>50.1</v>
      </c>
      <c r="K2504" s="3">
        <v>49.34</v>
      </c>
      <c r="L2504" s="3">
        <v>1292.78785578163</v>
      </c>
    </row>
    <row r="2505" spans="1:12" ht="15" customHeight="1" x14ac:dyDescent="0.2">
      <c r="A2505" s="2">
        <v>42417</v>
      </c>
      <c r="B2505" s="3">
        <v>49.84</v>
      </c>
      <c r="C2505" s="1">
        <v>1976724</v>
      </c>
      <c r="D2505" s="3">
        <v>0.47000000000000502</v>
      </c>
      <c r="E2505" s="3">
        <v>0.95199513874824004</v>
      </c>
      <c r="F2505" s="3">
        <v>0.95199665757337204</v>
      </c>
      <c r="G2505" s="3">
        <v>52.263626000000002</v>
      </c>
      <c r="H2505" s="3">
        <v>1356.4254420150701</v>
      </c>
      <c r="I2505" s="3">
        <v>48.64</v>
      </c>
      <c r="J2505" s="3">
        <v>50.05</v>
      </c>
      <c r="K2505" s="3">
        <v>48.08</v>
      </c>
      <c r="L2505" s="3">
        <v>1288.8864892388301</v>
      </c>
    </row>
    <row r="2506" spans="1:12" ht="15" customHeight="1" x14ac:dyDescent="0.2">
      <c r="A2506" s="2">
        <v>42416</v>
      </c>
      <c r="B2506" s="3">
        <v>49.37</v>
      </c>
      <c r="C2506" s="1">
        <v>2057510</v>
      </c>
      <c r="D2506" s="3">
        <v>1.1399999999999999</v>
      </c>
      <c r="E2506" s="3">
        <v>2.3636740617872798</v>
      </c>
      <c r="F2506" s="3">
        <v>2.3636699121484601</v>
      </c>
      <c r="G2506" s="3">
        <v>51.770769999999999</v>
      </c>
      <c r="H2506" s="3">
        <v>1342.6910712377801</v>
      </c>
      <c r="I2506" s="3">
        <v>48.84</v>
      </c>
      <c r="J2506" s="3">
        <v>49.935000000000002</v>
      </c>
      <c r="K2506" s="3">
        <v>48.53</v>
      </c>
      <c r="L2506" s="3">
        <v>1275.78904441655</v>
      </c>
    </row>
    <row r="2507" spans="1:12" ht="15" customHeight="1" x14ac:dyDescent="0.2">
      <c r="A2507" s="2">
        <v>42412</v>
      </c>
      <c r="B2507" s="3">
        <v>48.23</v>
      </c>
      <c r="C2507" s="1">
        <v>870368</v>
      </c>
      <c r="D2507" s="3">
        <v>1</v>
      </c>
      <c r="E2507" s="3">
        <v>2.1172983273343098</v>
      </c>
      <c r="F2507" s="3">
        <v>2.1173000660027599</v>
      </c>
      <c r="G2507" s="3">
        <v>50.575336</v>
      </c>
      <c r="H2507" s="3">
        <v>1309.3780268682599</v>
      </c>
      <c r="I2507" s="3">
        <v>47.37</v>
      </c>
      <c r="J2507" s="3">
        <v>48.38</v>
      </c>
      <c r="K2507" s="3">
        <v>47.01</v>
      </c>
      <c r="L2507" s="3">
        <v>1244.0207739965599</v>
      </c>
    </row>
    <row r="2508" spans="1:12" ht="15" customHeight="1" x14ac:dyDescent="0.2">
      <c r="A2508" s="2">
        <v>42411</v>
      </c>
      <c r="B2508" s="3">
        <v>47.23</v>
      </c>
      <c r="C2508" s="1">
        <v>450967</v>
      </c>
      <c r="D2508" s="3">
        <v>-0.12000000000000401</v>
      </c>
      <c r="E2508" s="3">
        <v>-0.253431890179522</v>
      </c>
      <c r="F2508" s="3">
        <v>-0.25343113349562901</v>
      </c>
      <c r="G2508" s="3">
        <v>49.526707000000002</v>
      </c>
      <c r="H2508" s="3">
        <v>1280.1559833224301</v>
      </c>
      <c r="I2508" s="3">
        <v>46.74</v>
      </c>
      <c r="J2508" s="3">
        <v>47.64</v>
      </c>
      <c r="K2508" s="3">
        <v>46.13</v>
      </c>
      <c r="L2508" s="3">
        <v>1216.1538701193799</v>
      </c>
    </row>
    <row r="2509" spans="1:12" ht="15" customHeight="1" x14ac:dyDescent="0.2">
      <c r="A2509" s="2">
        <v>42410</v>
      </c>
      <c r="B2509" s="3">
        <v>47.35</v>
      </c>
      <c r="C2509" s="1">
        <v>544916</v>
      </c>
      <c r="D2509" s="3">
        <v>0.35999999999999899</v>
      </c>
      <c r="E2509" s="3">
        <v>0.76612045115982397</v>
      </c>
      <c r="F2509" s="3">
        <v>0.76611201127385598</v>
      </c>
      <c r="G2509" s="3">
        <v>49.652541999999997</v>
      </c>
      <c r="H2509" s="3">
        <v>1283.6626151718201</v>
      </c>
      <c r="I2509" s="3">
        <v>47.21</v>
      </c>
      <c r="J2509" s="3">
        <v>48.21</v>
      </c>
      <c r="K2509" s="3">
        <v>47</v>
      </c>
      <c r="L2509" s="3">
        <v>1219.4978985846401</v>
      </c>
    </row>
    <row r="2510" spans="1:12" ht="15" customHeight="1" x14ac:dyDescent="0.2">
      <c r="A2510" s="2">
        <v>42409</v>
      </c>
      <c r="B2510" s="3">
        <v>46.99</v>
      </c>
      <c r="C2510" s="1">
        <v>970502</v>
      </c>
      <c r="D2510" s="3">
        <v>-0.28000000000000103</v>
      </c>
      <c r="E2510" s="3">
        <v>-0.59234186587687698</v>
      </c>
      <c r="F2510" s="3">
        <v>-0.59233604754198499</v>
      </c>
      <c r="G2510" s="3">
        <v>49.275039999999997</v>
      </c>
      <c r="H2510" s="3">
        <v>1273.14280322437</v>
      </c>
      <c r="I2510" s="3">
        <v>47.27</v>
      </c>
      <c r="J2510" s="3">
        <v>48.31</v>
      </c>
      <c r="K2510" s="3">
        <v>46.46</v>
      </c>
      <c r="L2510" s="3">
        <v>1209.46581318885</v>
      </c>
    </row>
    <row r="2511" spans="1:12" ht="15" customHeight="1" x14ac:dyDescent="0.2">
      <c r="A2511" s="2">
        <v>42408</v>
      </c>
      <c r="B2511" s="3">
        <v>47.27</v>
      </c>
      <c r="C2511" s="1">
        <v>805033</v>
      </c>
      <c r="D2511" s="3">
        <v>-1.9999999999996E-2</v>
      </c>
      <c r="E2511" s="3">
        <v>-4.2292239374064303E-2</v>
      </c>
      <c r="F2511" s="3">
        <v>-4.2293119936021001E-2</v>
      </c>
      <c r="G2511" s="3">
        <v>49.568652999999998</v>
      </c>
      <c r="H2511" s="3">
        <v>1281.3248884724701</v>
      </c>
      <c r="I2511" s="3">
        <v>46.86</v>
      </c>
      <c r="J2511" s="3">
        <v>47.65</v>
      </c>
      <c r="K2511" s="3">
        <v>46.17</v>
      </c>
      <c r="L2511" s="3">
        <v>1217.2685462744701</v>
      </c>
    </row>
    <row r="2512" spans="1:12" ht="15" customHeight="1" x14ac:dyDescent="0.2">
      <c r="A2512" s="2">
        <v>42405</v>
      </c>
      <c r="B2512" s="3">
        <v>47.29</v>
      </c>
      <c r="C2512" s="1">
        <v>771097</v>
      </c>
      <c r="D2512" s="3">
        <v>-1.53999999999999</v>
      </c>
      <c r="E2512" s="3">
        <v>-3.1537988941224602</v>
      </c>
      <c r="F2512" s="3">
        <v>-3.1538000731732398</v>
      </c>
      <c r="G2512" s="3">
        <v>49.589626000000003</v>
      </c>
      <c r="H2512" s="3">
        <v>1281.90934104748</v>
      </c>
      <c r="I2512" s="3">
        <v>48.83</v>
      </c>
      <c r="J2512" s="3">
        <v>48.83</v>
      </c>
      <c r="K2512" s="3">
        <v>47.23</v>
      </c>
      <c r="L2512" s="3">
        <v>1217.82588435201</v>
      </c>
    </row>
    <row r="2513" spans="1:12" ht="15" customHeight="1" x14ac:dyDescent="0.2">
      <c r="A2513" s="2">
        <v>42404</v>
      </c>
      <c r="B2513" s="3">
        <v>48.83</v>
      </c>
      <c r="C2513" s="1">
        <v>509246</v>
      </c>
      <c r="D2513" s="3">
        <v>0.109999999999999</v>
      </c>
      <c r="E2513" s="3">
        <v>0.22577996715926699</v>
      </c>
      <c r="F2513" s="3">
        <v>0.22577977150341999</v>
      </c>
      <c r="G2513" s="3">
        <v>51.204514000000003</v>
      </c>
      <c r="H2513" s="3">
        <v>1326.9112697159001</v>
      </c>
      <c r="I2513" s="3">
        <v>48.52</v>
      </c>
      <c r="J2513" s="3">
        <v>49</v>
      </c>
      <c r="K2513" s="3">
        <v>48.14</v>
      </c>
      <c r="L2513" s="3">
        <v>1260.7409163228699</v>
      </c>
    </row>
    <row r="2514" spans="1:12" ht="15" customHeight="1" x14ac:dyDescent="0.2">
      <c r="A2514" s="2">
        <v>42403</v>
      </c>
      <c r="B2514" s="3">
        <v>48.72</v>
      </c>
      <c r="C2514" s="1">
        <v>706108</v>
      </c>
      <c r="D2514" s="3">
        <v>3.0000000000001099E-2</v>
      </c>
      <c r="E2514" s="3">
        <v>6.1614294516321097E-2</v>
      </c>
      <c r="F2514" s="3">
        <v>6.1626356063837401E-2</v>
      </c>
      <c r="G2514" s="3">
        <v>51.089165000000001</v>
      </c>
      <c r="H2514" s="3">
        <v>1323.69685022057</v>
      </c>
      <c r="I2514" s="3">
        <v>49.08</v>
      </c>
      <c r="J2514" s="3">
        <v>49.1</v>
      </c>
      <c r="K2514" s="3">
        <v>47.42</v>
      </c>
      <c r="L2514" s="3">
        <v>1257.6755568963799</v>
      </c>
    </row>
    <row r="2515" spans="1:12" ht="15" customHeight="1" x14ac:dyDescent="0.2">
      <c r="A2515" s="2">
        <v>42402</v>
      </c>
      <c r="B2515" s="3">
        <v>48.69</v>
      </c>
      <c r="C2515" s="1">
        <v>507144</v>
      </c>
      <c r="D2515" s="3">
        <v>-0.41000000000000297</v>
      </c>
      <c r="E2515" s="3">
        <v>-0.83503054989817405</v>
      </c>
      <c r="F2515" s="3">
        <v>-0.83503535994270395</v>
      </c>
      <c r="G2515" s="3">
        <v>51.057699999999997</v>
      </c>
      <c r="H2515" s="3">
        <v>1322.8200180900701</v>
      </c>
      <c r="I2515" s="3">
        <v>48.52</v>
      </c>
      <c r="J2515" s="3">
        <v>49.15</v>
      </c>
      <c r="K2515" s="3">
        <v>48.52</v>
      </c>
      <c r="L2515" s="3">
        <v>1256.83954978007</v>
      </c>
    </row>
    <row r="2516" spans="1:12" ht="15" customHeight="1" x14ac:dyDescent="0.2">
      <c r="A2516" s="2">
        <v>42401</v>
      </c>
      <c r="B2516" s="3">
        <v>49.1</v>
      </c>
      <c r="C2516" s="1">
        <v>858761</v>
      </c>
      <c r="D2516" s="3">
        <v>0.80000000000000404</v>
      </c>
      <c r="E2516" s="3">
        <v>1.6563146997929701</v>
      </c>
      <c r="F2516" s="3">
        <v>1.65630971273915</v>
      </c>
      <c r="G2516" s="3">
        <v>51.487639999999999</v>
      </c>
      <c r="H2516" s="3">
        <v>1334.80111474303</v>
      </c>
      <c r="I2516" s="3">
        <v>48.09</v>
      </c>
      <c r="J2516" s="3">
        <v>49.319899999999997</v>
      </c>
      <c r="K2516" s="3">
        <v>48.06</v>
      </c>
      <c r="L2516" s="3">
        <v>1268.26498036971</v>
      </c>
    </row>
    <row r="2517" spans="1:12" ht="15" customHeight="1" x14ac:dyDescent="0.2">
      <c r="A2517" s="2">
        <v>42398</v>
      </c>
      <c r="B2517" s="3">
        <v>48.3</v>
      </c>
      <c r="C2517" s="1">
        <v>781948</v>
      </c>
      <c r="D2517" s="3">
        <v>0.77999999999999403</v>
      </c>
      <c r="E2517" s="3">
        <v>1.6414141414141199</v>
      </c>
      <c r="F2517" s="3">
        <v>1.6414142174289299</v>
      </c>
      <c r="G2517" s="3">
        <v>50.648739999999997</v>
      </c>
      <c r="H2517" s="3">
        <v>1311.4235690804601</v>
      </c>
      <c r="I2517" s="3">
        <v>47.63</v>
      </c>
      <c r="J2517" s="3">
        <v>48.41</v>
      </c>
      <c r="K2517" s="3">
        <v>47.5</v>
      </c>
      <c r="L2517" s="3">
        <v>1245.97145726797</v>
      </c>
    </row>
    <row r="2518" spans="1:12" ht="15" customHeight="1" x14ac:dyDescent="0.2">
      <c r="A2518" s="2">
        <v>42397</v>
      </c>
      <c r="B2518" s="3">
        <v>47.52</v>
      </c>
      <c r="C2518" s="1">
        <v>753420</v>
      </c>
      <c r="D2518" s="3">
        <v>1.28</v>
      </c>
      <c r="E2518" s="3">
        <v>2.7681660899653902</v>
      </c>
      <c r="F2518" s="3">
        <v>2.7681638849009298</v>
      </c>
      <c r="G2518" s="3">
        <v>49.83081</v>
      </c>
      <c r="H2518" s="3">
        <v>1288.6303923922001</v>
      </c>
      <c r="I2518" s="3">
        <v>47.09</v>
      </c>
      <c r="J2518" s="3">
        <v>47.74</v>
      </c>
      <c r="K2518" s="3">
        <v>46.38</v>
      </c>
      <c r="L2518" s="3">
        <v>1224.2352722437599</v>
      </c>
    </row>
    <row r="2519" spans="1:12" ht="15" customHeight="1" x14ac:dyDescent="0.2">
      <c r="A2519" s="2">
        <v>42396</v>
      </c>
      <c r="B2519" s="3">
        <v>46.24</v>
      </c>
      <c r="C2519" s="1">
        <v>611241</v>
      </c>
      <c r="D2519" s="3">
        <v>-1.07</v>
      </c>
      <c r="E2519" s="3">
        <v>-2.26167829211583</v>
      </c>
      <c r="F2519" s="3">
        <v>-2.2616799635561602</v>
      </c>
      <c r="G2519" s="3">
        <v>48.488567000000003</v>
      </c>
      <c r="H2519" s="3">
        <v>1251.22623573137</v>
      </c>
      <c r="I2519" s="3">
        <v>47.09</v>
      </c>
      <c r="J2519" s="3">
        <v>47.454999999999998</v>
      </c>
      <c r="K2519" s="3">
        <v>45.98</v>
      </c>
      <c r="L2519" s="3">
        <v>1188.5656352809699</v>
      </c>
    </row>
    <row r="2520" spans="1:12" ht="15" customHeight="1" x14ac:dyDescent="0.2">
      <c r="A2520" s="2">
        <v>42395</v>
      </c>
      <c r="B2520" s="3">
        <v>47.31</v>
      </c>
      <c r="C2520" s="1">
        <v>717875</v>
      </c>
      <c r="D2520" s="3">
        <v>1.31</v>
      </c>
      <c r="E2520" s="3">
        <v>2.8478260869565202</v>
      </c>
      <c r="F2520" s="3">
        <v>2.8478347475655101</v>
      </c>
      <c r="G2520" s="3">
        <v>49.610599999999998</v>
      </c>
      <c r="H2520" s="3">
        <v>1282.4938214894</v>
      </c>
      <c r="I2520" s="3">
        <v>46.12</v>
      </c>
      <c r="J2520" s="3">
        <v>47.38</v>
      </c>
      <c r="K2520" s="3">
        <v>45.45</v>
      </c>
      <c r="L2520" s="3">
        <v>1218.38322242955</v>
      </c>
    </row>
    <row r="2521" spans="1:12" ht="15" customHeight="1" x14ac:dyDescent="0.2">
      <c r="A2521" s="2">
        <v>42394</v>
      </c>
      <c r="B2521" s="3">
        <v>46</v>
      </c>
      <c r="C2521" s="1">
        <v>952104</v>
      </c>
      <c r="D2521" s="3">
        <v>-1.34</v>
      </c>
      <c r="E2521" s="3">
        <v>-2.8305872412336299</v>
      </c>
      <c r="F2521" s="3">
        <v>-2.83058985308746</v>
      </c>
      <c r="G2521" s="3">
        <v>48.236893000000002</v>
      </c>
      <c r="H2521" s="3">
        <v>1244.21286056499</v>
      </c>
      <c r="I2521" s="3">
        <v>47.34</v>
      </c>
      <c r="J2521" s="3">
        <v>47.42</v>
      </c>
      <c r="K2521" s="3">
        <v>45.91</v>
      </c>
      <c r="L2521" s="3">
        <v>1181.87757835044</v>
      </c>
    </row>
    <row r="2522" spans="1:12" ht="15" customHeight="1" x14ac:dyDescent="0.2">
      <c r="A2522" s="2">
        <v>42391</v>
      </c>
      <c r="B2522" s="3">
        <v>47.34</v>
      </c>
      <c r="C2522" s="1">
        <v>662190</v>
      </c>
      <c r="D2522" s="3">
        <v>1.03</v>
      </c>
      <c r="E2522" s="3">
        <v>2.22414165407038</v>
      </c>
      <c r="F2522" s="3">
        <v>2.2241395890652602</v>
      </c>
      <c r="G2522" s="3">
        <v>49.642055999999997</v>
      </c>
      <c r="H2522" s="3">
        <v>1283.3704028177599</v>
      </c>
      <c r="I2522" s="3">
        <v>46.59</v>
      </c>
      <c r="J2522" s="3">
        <v>47.37</v>
      </c>
      <c r="K2522" s="3">
        <v>46.400300000000001</v>
      </c>
      <c r="L2522" s="3">
        <v>1219.2192295458699</v>
      </c>
    </row>
    <row r="2523" spans="1:12" ht="15" customHeight="1" x14ac:dyDescent="0.2">
      <c r="A2523" s="2">
        <v>42390</v>
      </c>
      <c r="B2523" s="3">
        <v>46.31</v>
      </c>
      <c r="C2523" s="1">
        <v>878603</v>
      </c>
      <c r="D2523" s="3">
        <v>0.77000000000000302</v>
      </c>
      <c r="E2523" s="3">
        <v>1.69082125603865</v>
      </c>
      <c r="F2523" s="3">
        <v>1.69081767492289</v>
      </c>
      <c r="G2523" s="3">
        <v>48.561970000000002</v>
      </c>
      <c r="H2523" s="3">
        <v>1253.2717500766701</v>
      </c>
      <c r="I2523" s="3">
        <v>45.74</v>
      </c>
      <c r="J2523" s="3">
        <v>46.72</v>
      </c>
      <c r="K2523" s="3">
        <v>45.32</v>
      </c>
      <c r="L2523" s="3">
        <v>1190.51631855237</v>
      </c>
    </row>
    <row r="2524" spans="1:12" ht="15" customHeight="1" x14ac:dyDescent="0.2">
      <c r="A2524" s="2">
        <v>42389</v>
      </c>
      <c r="B2524" s="3">
        <v>45.54</v>
      </c>
      <c r="C2524" s="1">
        <v>1745845</v>
      </c>
      <c r="D2524" s="3">
        <v>-1.50999999999999</v>
      </c>
      <c r="E2524" s="3">
        <v>-3.2093517534537699</v>
      </c>
      <c r="F2524" s="3">
        <v>-3.2093388557895102</v>
      </c>
      <c r="G2524" s="3">
        <v>47.754528000000001</v>
      </c>
      <c r="H2524" s="3">
        <v>1230.7708414762701</v>
      </c>
      <c r="I2524" s="3">
        <v>46.71</v>
      </c>
      <c r="J2524" s="3">
        <v>46.91</v>
      </c>
      <c r="K2524" s="3">
        <v>44.16</v>
      </c>
      <c r="L2524" s="3">
        <v>1169.0588025669399</v>
      </c>
    </row>
    <row r="2525" spans="1:12" ht="15" customHeight="1" x14ac:dyDescent="0.2">
      <c r="A2525" s="2">
        <v>42388</v>
      </c>
      <c r="B2525" s="3">
        <v>47.05</v>
      </c>
      <c r="C2525" s="1">
        <v>813738</v>
      </c>
      <c r="D2525" s="3">
        <v>0.59999999999999398</v>
      </c>
      <c r="E2525" s="3">
        <v>1.2917115177610099</v>
      </c>
      <c r="F2525" s="3">
        <v>1.2916973079596801</v>
      </c>
      <c r="G2525" s="3">
        <v>49.337949999999999</v>
      </c>
      <c r="H2525" s="3">
        <v>1274.8959101472899</v>
      </c>
      <c r="I2525" s="3">
        <v>46.85</v>
      </c>
      <c r="J2525" s="3">
        <v>47.37</v>
      </c>
      <c r="K2525" s="3">
        <v>46.51</v>
      </c>
      <c r="L2525" s="3">
        <v>1211.1378274214901</v>
      </c>
    </row>
    <row r="2526" spans="1:12" ht="15" customHeight="1" x14ac:dyDescent="0.2">
      <c r="A2526" s="2">
        <v>42384</v>
      </c>
      <c r="B2526" s="3">
        <v>46.45</v>
      </c>
      <c r="C2526" s="1">
        <v>685804</v>
      </c>
      <c r="D2526" s="3">
        <v>-0.369999999999997</v>
      </c>
      <c r="E2526" s="3">
        <v>-0.79026057240495495</v>
      </c>
      <c r="F2526" s="3">
        <v>-0.79024959016140695</v>
      </c>
      <c r="G2526" s="3">
        <v>48.708779999999997</v>
      </c>
      <c r="H2526" s="3">
        <v>1257.3628902348801</v>
      </c>
      <c r="I2526" s="3">
        <v>45.86</v>
      </c>
      <c r="J2526" s="3">
        <v>46.72</v>
      </c>
      <c r="K2526" s="3">
        <v>45.48</v>
      </c>
      <c r="L2526" s="3">
        <v>1194.4176850951801</v>
      </c>
    </row>
    <row r="2527" spans="1:12" ht="15" customHeight="1" x14ac:dyDescent="0.2">
      <c r="A2527" s="2">
        <v>42383</v>
      </c>
      <c r="B2527" s="3">
        <v>46.82</v>
      </c>
      <c r="C2527" s="1">
        <v>660409</v>
      </c>
      <c r="D2527" s="3">
        <v>0.53999999999999904</v>
      </c>
      <c r="E2527" s="3">
        <v>1.16681071737252</v>
      </c>
      <c r="F2527" s="3">
        <v>1.16680620088269</v>
      </c>
      <c r="G2527" s="3">
        <v>49.096767</v>
      </c>
      <c r="H2527" s="3">
        <v>1268.17488666948</v>
      </c>
      <c r="I2527" s="3">
        <v>46.5</v>
      </c>
      <c r="J2527" s="3">
        <v>47.17</v>
      </c>
      <c r="K2527" s="3">
        <v>45.66</v>
      </c>
      <c r="L2527" s="3">
        <v>1204.7284395297299</v>
      </c>
    </row>
    <row r="2528" spans="1:12" ht="15" customHeight="1" x14ac:dyDescent="0.2">
      <c r="A2528" s="2">
        <v>42382</v>
      </c>
      <c r="B2528" s="3">
        <v>46.28</v>
      </c>
      <c r="C2528" s="1">
        <v>742201</v>
      </c>
      <c r="D2528" s="3">
        <v>-3.9999999999999099E-2</v>
      </c>
      <c r="E2528" s="3">
        <v>-8.6355785837644E-2</v>
      </c>
      <c r="F2528" s="3">
        <v>-8.6357585047791494E-2</v>
      </c>
      <c r="G2528" s="3">
        <v>48.53051</v>
      </c>
      <c r="H2528" s="3">
        <v>1252.39505728069</v>
      </c>
      <c r="I2528" s="3">
        <v>46.28</v>
      </c>
      <c r="J2528" s="3">
        <v>46.99</v>
      </c>
      <c r="K2528" s="3">
        <v>46.03</v>
      </c>
      <c r="L2528" s="3">
        <v>1189.68031143605</v>
      </c>
    </row>
    <row r="2529" spans="1:12" ht="15" customHeight="1" x14ac:dyDescent="0.2">
      <c r="A2529" s="2">
        <v>42381</v>
      </c>
      <c r="B2529" s="3">
        <v>46.32</v>
      </c>
      <c r="C2529" s="1">
        <v>882763</v>
      </c>
      <c r="D2529" s="3">
        <v>0.54999999999999705</v>
      </c>
      <c r="E2529" s="3">
        <v>1.2016604762945</v>
      </c>
      <c r="F2529" s="3">
        <v>1.2016573480564301</v>
      </c>
      <c r="G2529" s="3">
        <v>48.572456000000003</v>
      </c>
      <c r="H2529" s="3">
        <v>1253.56396243073</v>
      </c>
      <c r="I2529" s="3">
        <v>46.09</v>
      </c>
      <c r="J2529" s="3">
        <v>46.75</v>
      </c>
      <c r="K2529" s="3">
        <v>45.98</v>
      </c>
      <c r="L2529" s="3">
        <v>1190.7949875911399</v>
      </c>
    </row>
    <row r="2530" spans="1:12" ht="15" customHeight="1" x14ac:dyDescent="0.2">
      <c r="A2530" s="2">
        <v>42380</v>
      </c>
      <c r="B2530" s="3">
        <v>45.77</v>
      </c>
      <c r="C2530" s="1">
        <v>967998</v>
      </c>
      <c r="D2530" s="3">
        <v>6.0000000000002197E-2</v>
      </c>
      <c r="E2530" s="3">
        <v>0.13126230584117299</v>
      </c>
      <c r="F2530" s="3">
        <v>0.13126504019909099</v>
      </c>
      <c r="G2530" s="3">
        <v>47.995711999999997</v>
      </c>
      <c r="H2530" s="3">
        <v>1237.49189282098</v>
      </c>
      <c r="I2530" s="3">
        <v>45.87</v>
      </c>
      <c r="J2530" s="3">
        <v>46.2</v>
      </c>
      <c r="K2530" s="3">
        <v>45.21</v>
      </c>
      <c r="L2530" s="3">
        <v>1175.4681904586901</v>
      </c>
    </row>
    <row r="2531" spans="1:12" ht="15" customHeight="1" x14ac:dyDescent="0.2">
      <c r="A2531" s="2">
        <v>42377</v>
      </c>
      <c r="B2531" s="3">
        <v>45.71</v>
      </c>
      <c r="C2531" s="1">
        <v>1291355</v>
      </c>
      <c r="D2531" s="3">
        <v>0.149999999999998</v>
      </c>
      <c r="E2531" s="3">
        <v>0.32923617208076</v>
      </c>
      <c r="F2531" s="3">
        <v>0.329233602997347</v>
      </c>
      <c r="G2531" s="3">
        <v>47.932792999999997</v>
      </c>
      <c r="H2531" s="3">
        <v>1235.7385350959401</v>
      </c>
      <c r="I2531" s="3">
        <v>45.74</v>
      </c>
      <c r="J2531" s="3">
        <v>46.25</v>
      </c>
      <c r="K2531" s="3">
        <v>45.45</v>
      </c>
      <c r="L2531" s="3">
        <v>1173.79617622606</v>
      </c>
    </row>
    <row r="2532" spans="1:12" ht="15" customHeight="1" x14ac:dyDescent="0.2">
      <c r="A2532" s="2">
        <v>42376</v>
      </c>
      <c r="B2532" s="3">
        <v>45.56</v>
      </c>
      <c r="C2532" s="1">
        <v>919993</v>
      </c>
      <c r="D2532" s="3">
        <v>-1.3299999999999901</v>
      </c>
      <c r="E2532" s="3">
        <v>-2.8364256771166398</v>
      </c>
      <c r="F2532" s="3">
        <v>-2.8364227468465</v>
      </c>
      <c r="G2532" s="3">
        <v>47.775500000000001</v>
      </c>
      <c r="H2532" s="3">
        <v>1231.3552661843801</v>
      </c>
      <c r="I2532" s="3">
        <v>46.11</v>
      </c>
      <c r="J2532" s="3">
        <v>46.5</v>
      </c>
      <c r="K2532" s="3">
        <v>45.46</v>
      </c>
      <c r="L2532" s="3">
        <v>1169.6161406444801</v>
      </c>
    </row>
    <row r="2533" spans="1:12" ht="15" customHeight="1" x14ac:dyDescent="0.2">
      <c r="A2533" s="2">
        <v>42375</v>
      </c>
      <c r="B2533" s="3">
        <v>46.89</v>
      </c>
      <c r="C2533" s="1">
        <v>1044037</v>
      </c>
      <c r="D2533" s="3">
        <v>-1.1199999999999899</v>
      </c>
      <c r="E2533" s="3">
        <v>-2.3328473234742702</v>
      </c>
      <c r="F2533" s="3">
        <v>-2.3328424170718298</v>
      </c>
      <c r="G2533" s="3">
        <v>49.170174000000003</v>
      </c>
      <c r="H2533" s="3">
        <v>1270.2205124823899</v>
      </c>
      <c r="I2533" s="3">
        <v>47.48</v>
      </c>
      <c r="J2533" s="3">
        <v>47.7</v>
      </c>
      <c r="K2533" s="3">
        <v>46.71</v>
      </c>
      <c r="L2533" s="3">
        <v>1206.67912280114</v>
      </c>
    </row>
    <row r="2534" spans="1:12" ht="15" customHeight="1" x14ac:dyDescent="0.2">
      <c r="A2534" s="2">
        <v>42374</v>
      </c>
      <c r="B2534" s="3">
        <v>48.01</v>
      </c>
      <c r="C2534" s="1">
        <v>1195178</v>
      </c>
      <c r="D2534" s="3">
        <v>1.72999999999999</v>
      </c>
      <c r="E2534" s="3">
        <v>3.7381158167674799</v>
      </c>
      <c r="F2534" s="3">
        <v>3.73811237508114</v>
      </c>
      <c r="G2534" s="3">
        <v>50.344634999999997</v>
      </c>
      <c r="H2534" s="3">
        <v>1302.94910427689</v>
      </c>
      <c r="I2534" s="3">
        <v>46.38</v>
      </c>
      <c r="J2534" s="3">
        <v>48.094999999999999</v>
      </c>
      <c r="K2534" s="3">
        <v>46.29</v>
      </c>
      <c r="L2534" s="3">
        <v>1237.89005514358</v>
      </c>
    </row>
    <row r="2535" spans="1:12" ht="15" customHeight="1" x14ac:dyDescent="0.2">
      <c r="A2535" s="2">
        <v>42373</v>
      </c>
      <c r="B2535" s="3">
        <v>46.28</v>
      </c>
      <c r="C2535" s="1">
        <v>1023254</v>
      </c>
      <c r="D2535" s="3">
        <v>0.17000000000000101</v>
      </c>
      <c r="E2535" s="3">
        <v>0.36868358273693902</v>
      </c>
      <c r="F2535" s="3">
        <v>0.36867988239221899</v>
      </c>
      <c r="G2535" s="3">
        <v>48.53051</v>
      </c>
      <c r="H2535" s="3">
        <v>1252.39505728069</v>
      </c>
      <c r="I2535" s="3">
        <v>45.78</v>
      </c>
      <c r="J2535" s="3">
        <v>46.484999999999999</v>
      </c>
      <c r="K2535" s="3">
        <v>45.51</v>
      </c>
      <c r="L2535" s="3">
        <v>1189.68031143605</v>
      </c>
    </row>
    <row r="2536" spans="1:12" ht="15" customHeight="1" x14ac:dyDescent="0.2">
      <c r="A2536" s="2">
        <v>42369</v>
      </c>
      <c r="B2536" s="3">
        <v>46.11</v>
      </c>
      <c r="C2536" s="1">
        <v>394422</v>
      </c>
      <c r="D2536" s="3">
        <v>-0.53000000000000103</v>
      </c>
      <c r="E2536" s="3">
        <v>-1.13636363636363</v>
      </c>
      <c r="F2536" s="3">
        <v>-1.13635973293212</v>
      </c>
      <c r="G2536" s="3">
        <v>48.352245000000003</v>
      </c>
      <c r="H2536" s="3">
        <v>1247.4273636610301</v>
      </c>
      <c r="I2536" s="3">
        <v>46.38</v>
      </c>
      <c r="J2536" s="3">
        <v>46.72</v>
      </c>
      <c r="K2536" s="3">
        <v>46.09</v>
      </c>
      <c r="L2536" s="3">
        <v>1184.94293777693</v>
      </c>
    </row>
    <row r="2537" spans="1:12" ht="15" customHeight="1" x14ac:dyDescent="0.2">
      <c r="A2537" s="2">
        <v>42368</v>
      </c>
      <c r="B2537" s="3">
        <v>46.64</v>
      </c>
      <c r="C2537" s="1">
        <v>241421</v>
      </c>
      <c r="D2537" s="3">
        <v>-0.189999999999997</v>
      </c>
      <c r="E2537" s="3">
        <v>-0.40572282724748998</v>
      </c>
      <c r="F2537" s="3">
        <v>-0.40572821231436001</v>
      </c>
      <c r="G2537" s="3">
        <v>48.908016000000003</v>
      </c>
      <c r="H2537" s="3">
        <v>1262.91498069575</v>
      </c>
      <c r="I2537" s="3">
        <v>46.87</v>
      </c>
      <c r="J2537" s="3">
        <v>46.9</v>
      </c>
      <c r="K2537" s="3">
        <v>46.57</v>
      </c>
      <c r="L2537" s="3">
        <v>1199.7123968318399</v>
      </c>
    </row>
    <row r="2538" spans="1:12" ht="15" customHeight="1" x14ac:dyDescent="0.2">
      <c r="A2538" s="2">
        <v>42367</v>
      </c>
      <c r="B2538" s="3">
        <v>46.83</v>
      </c>
      <c r="C2538" s="1">
        <v>252542</v>
      </c>
      <c r="D2538" s="3">
        <v>0.29999999999999699</v>
      </c>
      <c r="E2538" s="3">
        <v>0.64474532559637399</v>
      </c>
      <c r="F2538" s="3">
        <v>0.64475057286783599</v>
      </c>
      <c r="G2538" s="3">
        <v>49.107258000000002</v>
      </c>
      <c r="H2538" s="3">
        <v>1268.4672383580501</v>
      </c>
      <c r="I2538" s="3">
        <v>46.64</v>
      </c>
      <c r="J2538" s="3">
        <v>47.08</v>
      </c>
      <c r="K2538" s="3">
        <v>46.55</v>
      </c>
      <c r="L2538" s="3">
        <v>1205.0071085685099</v>
      </c>
    </row>
    <row r="2539" spans="1:12" ht="15" customHeight="1" x14ac:dyDescent="0.2">
      <c r="A2539" s="2">
        <v>42366</v>
      </c>
      <c r="B2539" s="3">
        <v>46.53</v>
      </c>
      <c r="C2539" s="1">
        <v>332627</v>
      </c>
      <c r="D2539" s="3">
        <v>7.0000000000000201E-2</v>
      </c>
      <c r="E2539" s="3">
        <v>0.15066724063710299</v>
      </c>
      <c r="F2539" s="3">
        <v>0.15067347082038299</v>
      </c>
      <c r="G2539" s="3">
        <v>48.792667000000002</v>
      </c>
      <c r="H2539" s="3">
        <v>1259.70056120043</v>
      </c>
      <c r="I2539" s="3">
        <v>46.44</v>
      </c>
      <c r="J2539" s="3">
        <v>46.65</v>
      </c>
      <c r="K2539" s="3">
        <v>45.87</v>
      </c>
      <c r="L2539" s="3">
        <v>1196.6470374053499</v>
      </c>
    </row>
    <row r="2540" spans="1:12" ht="15" customHeight="1" x14ac:dyDescent="0.2">
      <c r="A2540" s="2">
        <v>42362</v>
      </c>
      <c r="B2540" s="3">
        <v>46.46</v>
      </c>
      <c r="C2540" s="1">
        <v>230441</v>
      </c>
      <c r="D2540" s="3">
        <v>-0.42999999999999899</v>
      </c>
      <c r="E2540" s="3">
        <v>-0.91703988057154595</v>
      </c>
      <c r="F2540" s="3">
        <v>-0.91704780219000703</v>
      </c>
      <c r="G2540" s="3">
        <v>48.719259999999998</v>
      </c>
      <c r="H2540" s="3">
        <v>1257.65493538751</v>
      </c>
      <c r="I2540" s="3">
        <v>46.76</v>
      </c>
      <c r="J2540" s="3">
        <v>46.95</v>
      </c>
      <c r="K2540" s="3">
        <v>46.42</v>
      </c>
      <c r="L2540" s="3">
        <v>1194.6963541339501</v>
      </c>
    </row>
    <row r="2541" spans="1:12" ht="15" customHeight="1" x14ac:dyDescent="0.2">
      <c r="A2541" s="2">
        <v>42361</v>
      </c>
      <c r="B2541" s="3">
        <v>46.89</v>
      </c>
      <c r="C2541" s="1">
        <v>390847</v>
      </c>
      <c r="D2541" s="3">
        <v>3.0000000000001099E-2</v>
      </c>
      <c r="E2541" s="3">
        <v>6.4020486555693701E-2</v>
      </c>
      <c r="F2541" s="3">
        <v>6.4022839506949702E-2</v>
      </c>
      <c r="G2541" s="3">
        <v>49.170174000000003</v>
      </c>
      <c r="H2541" s="3">
        <v>1270.2205124823899</v>
      </c>
      <c r="I2541" s="3">
        <v>46.91</v>
      </c>
      <c r="J2541" s="3">
        <v>46.99</v>
      </c>
      <c r="K2541" s="3">
        <v>46.58</v>
      </c>
      <c r="L2541" s="3">
        <v>1206.67912280114</v>
      </c>
    </row>
    <row r="2542" spans="1:12" ht="15" customHeight="1" x14ac:dyDescent="0.2">
      <c r="A2542" s="2">
        <v>42360</v>
      </c>
      <c r="B2542" s="3">
        <v>46.86</v>
      </c>
      <c r="C2542" s="1">
        <v>408671</v>
      </c>
      <c r="D2542" s="3">
        <v>0.14000000000000001</v>
      </c>
      <c r="E2542" s="3">
        <v>0.29965753424656599</v>
      </c>
      <c r="F2542" s="3">
        <v>0.299649472739482</v>
      </c>
      <c r="G2542" s="3">
        <v>49.138714</v>
      </c>
      <c r="H2542" s="3">
        <v>1269.3438196864099</v>
      </c>
      <c r="I2542" s="3">
        <v>46.85</v>
      </c>
      <c r="J2542" s="3">
        <v>46.939900000000002</v>
      </c>
      <c r="K2542" s="3">
        <v>45.96</v>
      </c>
      <c r="L2542" s="3">
        <v>1205.8431156848201</v>
      </c>
    </row>
    <row r="2543" spans="1:12" ht="15" customHeight="1" x14ac:dyDescent="0.2">
      <c r="A2543" s="2">
        <v>42359</v>
      </c>
      <c r="B2543" s="3">
        <v>46.72</v>
      </c>
      <c r="C2543" s="1">
        <v>503087</v>
      </c>
      <c r="D2543" s="3">
        <v>0.65999999999999603</v>
      </c>
      <c r="E2543" s="3">
        <v>1.43291359096828</v>
      </c>
      <c r="F2543" s="3">
        <v>1.4329206912854799</v>
      </c>
      <c r="G2543" s="3">
        <v>48.991909999999997</v>
      </c>
      <c r="H2543" s="3">
        <v>1265.2528467296299</v>
      </c>
      <c r="I2543" s="3">
        <v>46.28</v>
      </c>
      <c r="J2543" s="3">
        <v>46.87</v>
      </c>
      <c r="K2543" s="3">
        <v>46.21</v>
      </c>
      <c r="L2543" s="3">
        <v>1201.9417491420199</v>
      </c>
    </row>
    <row r="2544" spans="1:12" ht="15" customHeight="1" x14ac:dyDescent="0.2">
      <c r="A2544" s="2">
        <v>42356</v>
      </c>
      <c r="B2544" s="3">
        <v>46.06</v>
      </c>
      <c r="C2544" s="1">
        <v>752701</v>
      </c>
      <c r="D2544" s="3">
        <v>-0.17999999999999899</v>
      </c>
      <c r="E2544" s="3">
        <v>-0.38927335640138699</v>
      </c>
      <c r="F2544" s="3">
        <v>-0.38927733211830901</v>
      </c>
      <c r="G2544" s="3">
        <v>48.299812000000003</v>
      </c>
      <c r="H2544" s="3">
        <v>1245.9662182900399</v>
      </c>
      <c r="I2544" s="3">
        <v>46.2</v>
      </c>
      <c r="J2544" s="3">
        <v>46.52</v>
      </c>
      <c r="K2544" s="3">
        <v>45.36</v>
      </c>
      <c r="L2544" s="3">
        <v>1183.5495925830701</v>
      </c>
    </row>
    <row r="2545" spans="1:12" ht="15" customHeight="1" x14ac:dyDescent="0.2">
      <c r="A2545" s="2">
        <v>42355</v>
      </c>
      <c r="B2545" s="3">
        <v>46.24</v>
      </c>
      <c r="C2545" s="1">
        <v>430129</v>
      </c>
      <c r="D2545" s="3">
        <v>-0.219999999999998</v>
      </c>
      <c r="E2545" s="3">
        <v>-0.47352561343090199</v>
      </c>
      <c r="F2545" s="3">
        <v>-0.47351499181226198</v>
      </c>
      <c r="G2545" s="3">
        <v>48.488567000000003</v>
      </c>
      <c r="H2545" s="3">
        <v>1251.22623573137</v>
      </c>
      <c r="I2545" s="3">
        <v>46.72</v>
      </c>
      <c r="J2545" s="3">
        <v>46.81</v>
      </c>
      <c r="K2545" s="3">
        <v>45.86</v>
      </c>
      <c r="L2545" s="3">
        <v>1188.5656352809699</v>
      </c>
    </row>
    <row r="2546" spans="1:12" ht="15" customHeight="1" x14ac:dyDescent="0.2">
      <c r="A2546" s="2">
        <v>42354</v>
      </c>
      <c r="B2546" s="3">
        <v>46.46</v>
      </c>
      <c r="C2546" s="1">
        <v>347876</v>
      </c>
      <c r="D2546" s="3">
        <v>0.23000000000000301</v>
      </c>
      <c r="E2546" s="3">
        <v>0.497512437810954</v>
      </c>
      <c r="F2546" s="3">
        <v>0.49750942059851799</v>
      </c>
      <c r="G2546" s="3">
        <v>48.719259999999998</v>
      </c>
      <c r="H2546" s="3">
        <v>1257.65493538751</v>
      </c>
      <c r="I2546" s="3">
        <v>46.33</v>
      </c>
      <c r="J2546" s="3">
        <v>46.53</v>
      </c>
      <c r="K2546" s="3">
        <v>45.76</v>
      </c>
      <c r="L2546" s="3">
        <v>1194.6963541339501</v>
      </c>
    </row>
    <row r="2547" spans="1:12" ht="15" customHeight="1" x14ac:dyDescent="0.2">
      <c r="A2547" s="2">
        <v>42353</v>
      </c>
      <c r="B2547" s="3">
        <v>46.23</v>
      </c>
      <c r="C2547" s="1">
        <v>283205</v>
      </c>
      <c r="D2547" s="3">
        <v>0.32999999999999802</v>
      </c>
      <c r="E2547" s="3">
        <v>0.71895424836600996</v>
      </c>
      <c r="F2547" s="3">
        <v>0.71894530781724197</v>
      </c>
      <c r="G2547" s="3">
        <v>48.478076999999999</v>
      </c>
      <c r="H2547" s="3">
        <v>1250.9339119097001</v>
      </c>
      <c r="I2547" s="3">
        <v>45.97</v>
      </c>
      <c r="J2547" s="3">
        <v>46.460299999999997</v>
      </c>
      <c r="K2547" s="3">
        <v>45.95</v>
      </c>
      <c r="L2547" s="3">
        <v>1188.2869662421999</v>
      </c>
    </row>
    <row r="2548" spans="1:12" ht="15" customHeight="1" x14ac:dyDescent="0.2">
      <c r="A2548" s="2">
        <v>42352</v>
      </c>
      <c r="B2548" s="3">
        <v>45.9</v>
      </c>
      <c r="C2548" s="1">
        <v>379470</v>
      </c>
      <c r="D2548" s="3">
        <v>-3.0000000000001099E-2</v>
      </c>
      <c r="E2548" s="3">
        <v>-6.5316786414115702E-2</v>
      </c>
      <c r="F2548" s="3">
        <v>-6.5310881748825697E-2</v>
      </c>
      <c r="G2548" s="3">
        <v>48.132033999999997</v>
      </c>
      <c r="H2548" s="3">
        <v>1241.2907648913299</v>
      </c>
      <c r="I2548" s="3">
        <v>46.11</v>
      </c>
      <c r="J2548" s="3">
        <v>46.13</v>
      </c>
      <c r="K2548" s="3">
        <v>45.5</v>
      </c>
      <c r="L2548" s="3">
        <v>1179.09088796272</v>
      </c>
    </row>
    <row r="2549" spans="1:12" ht="15" customHeight="1" x14ac:dyDescent="0.2">
      <c r="A2549" s="2">
        <v>42349</v>
      </c>
      <c r="B2549" s="3">
        <v>45.93</v>
      </c>
      <c r="C2549" s="1">
        <v>416137</v>
      </c>
      <c r="D2549" s="3">
        <v>-0.39</v>
      </c>
      <c r="E2549" s="3">
        <v>-0.84196891191710099</v>
      </c>
      <c r="F2549" s="3">
        <v>-0.84197101336609403</v>
      </c>
      <c r="G2549" s="3">
        <v>48.163490000000003</v>
      </c>
      <c r="H2549" s="3">
        <v>1242.16734621969</v>
      </c>
      <c r="I2549" s="3">
        <v>45.67</v>
      </c>
      <c r="J2549" s="3">
        <v>46.21</v>
      </c>
      <c r="K2549" s="3">
        <v>45.55</v>
      </c>
      <c r="L2549" s="3">
        <v>1179.9268950790399</v>
      </c>
    </row>
    <row r="2550" spans="1:12" ht="15" customHeight="1" x14ac:dyDescent="0.2">
      <c r="A2550" s="2">
        <v>42348</v>
      </c>
      <c r="B2550" s="3">
        <v>46.32</v>
      </c>
      <c r="C2550" s="1">
        <v>408671</v>
      </c>
      <c r="D2550" s="3">
        <v>-0.15999999999999601</v>
      </c>
      <c r="E2550" s="3">
        <v>-0.34423407917383297</v>
      </c>
      <c r="F2550" s="3">
        <v>-0.34422895876945397</v>
      </c>
      <c r="G2550" s="3">
        <v>48.572456000000003</v>
      </c>
      <c r="H2550" s="3">
        <v>1253.56396243073</v>
      </c>
      <c r="I2550" s="3">
        <v>46.67</v>
      </c>
      <c r="J2550" s="3">
        <v>46.67</v>
      </c>
      <c r="K2550" s="3">
        <v>46.08</v>
      </c>
      <c r="L2550" s="3">
        <v>1190.7949875911399</v>
      </c>
    </row>
    <row r="2551" spans="1:12" ht="15" customHeight="1" x14ac:dyDescent="0.2">
      <c r="A2551" s="2">
        <v>42347</v>
      </c>
      <c r="B2551" s="3">
        <v>46.48</v>
      </c>
      <c r="C2551" s="1">
        <v>604776</v>
      </c>
      <c r="D2551" s="3">
        <v>-0.49000000000000199</v>
      </c>
      <c r="E2551" s="3">
        <v>-1.0432190760059601</v>
      </c>
      <c r="F2551" s="3">
        <v>-1.04322757840946</v>
      </c>
      <c r="G2551" s="3">
        <v>48.740234000000001</v>
      </c>
      <c r="H2551" s="3">
        <v>1258.2394158294301</v>
      </c>
      <c r="I2551" s="3">
        <v>46.95</v>
      </c>
      <c r="J2551" s="3">
        <v>47.51</v>
      </c>
      <c r="K2551" s="3">
        <v>46.42</v>
      </c>
      <c r="L2551" s="3">
        <v>1195.25369221149</v>
      </c>
    </row>
    <row r="2552" spans="1:12" ht="15" customHeight="1" x14ac:dyDescent="0.2">
      <c r="A2552" s="2">
        <v>42346</v>
      </c>
      <c r="B2552" s="3">
        <v>46.97</v>
      </c>
      <c r="C2552" s="1">
        <v>949229</v>
      </c>
      <c r="D2552" s="3">
        <v>-0.67000000000000104</v>
      </c>
      <c r="E2552" s="3">
        <v>-1.4063811922753999</v>
      </c>
      <c r="F2552" s="3">
        <v>-1.4063715491525599</v>
      </c>
      <c r="G2552" s="3">
        <v>49.254066000000002</v>
      </c>
      <c r="H2552" s="3">
        <v>1272.55832278245</v>
      </c>
      <c r="I2552" s="3">
        <v>47.17</v>
      </c>
      <c r="J2552" s="3">
        <v>47.43</v>
      </c>
      <c r="K2552" s="3">
        <v>46.41</v>
      </c>
      <c r="L2552" s="3">
        <v>1208.9084751113101</v>
      </c>
    </row>
    <row r="2553" spans="1:12" ht="15" customHeight="1" x14ac:dyDescent="0.2">
      <c r="A2553" s="2">
        <v>42345</v>
      </c>
      <c r="B2553" s="3">
        <v>47.64</v>
      </c>
      <c r="C2553" s="1">
        <v>598239</v>
      </c>
      <c r="D2553" s="3">
        <v>0.46999999999999797</v>
      </c>
      <c r="E2553" s="3">
        <v>0.99639601441594505</v>
      </c>
      <c r="F2553" s="3">
        <v>0.99639560553663697</v>
      </c>
      <c r="G2553" s="3">
        <v>49.956642000000002</v>
      </c>
      <c r="H2553" s="3">
        <v>1292.1369406408701</v>
      </c>
      <c r="I2553" s="3">
        <v>47</v>
      </c>
      <c r="J2553" s="3">
        <v>47.96</v>
      </c>
      <c r="K2553" s="3">
        <v>46.84</v>
      </c>
      <c r="L2553" s="3">
        <v>1227.5793007090199</v>
      </c>
    </row>
    <row r="2554" spans="1:12" ht="15" customHeight="1" x14ac:dyDescent="0.2">
      <c r="A2554" s="2">
        <v>42342</v>
      </c>
      <c r="B2554" s="3">
        <v>47.17</v>
      </c>
      <c r="C2554" s="1">
        <v>535128</v>
      </c>
      <c r="D2554" s="3">
        <v>0.96</v>
      </c>
      <c r="E2554" s="3">
        <v>2.0774724085695602</v>
      </c>
      <c r="F2554" s="3">
        <v>2.0774724795769899</v>
      </c>
      <c r="G2554" s="3">
        <v>49.463787000000004</v>
      </c>
      <c r="H2554" s="3">
        <v>1278.40259773048</v>
      </c>
      <c r="I2554" s="3">
        <v>46.32</v>
      </c>
      <c r="J2554" s="3">
        <v>47.239899999999999</v>
      </c>
      <c r="K2554" s="3">
        <v>46.29</v>
      </c>
      <c r="L2554" s="3">
        <v>1214.4818558867501</v>
      </c>
    </row>
    <row r="2555" spans="1:12" ht="15" customHeight="1" x14ac:dyDescent="0.2">
      <c r="A2555" s="2">
        <v>42341</v>
      </c>
      <c r="B2555" s="3">
        <v>46.21</v>
      </c>
      <c r="C2555" s="1">
        <v>489687</v>
      </c>
      <c r="D2555" s="3">
        <v>-0.83999999999999597</v>
      </c>
      <c r="E2555" s="3">
        <v>-1.78533475026566</v>
      </c>
      <c r="F2555" s="3">
        <v>-1.7853315753897301</v>
      </c>
      <c r="G2555" s="3">
        <v>48.457104000000001</v>
      </c>
      <c r="H2555" s="3">
        <v>1250.34945933469</v>
      </c>
      <c r="I2555" s="3">
        <v>47.02</v>
      </c>
      <c r="J2555" s="3">
        <v>47.33</v>
      </c>
      <c r="K2555" s="3">
        <v>45.97</v>
      </c>
      <c r="L2555" s="3">
        <v>1187.72962816465</v>
      </c>
    </row>
    <row r="2556" spans="1:12" ht="15" customHeight="1" x14ac:dyDescent="0.2">
      <c r="A2556" s="2">
        <v>42340</v>
      </c>
      <c r="B2556" s="3">
        <v>47.05</v>
      </c>
      <c r="C2556" s="1">
        <v>520438</v>
      </c>
      <c r="D2556" s="3">
        <v>-0.220000000000005</v>
      </c>
      <c r="E2556" s="3">
        <v>-0.46541146604612799</v>
      </c>
      <c r="F2556" s="3">
        <v>-0.46542116042571602</v>
      </c>
      <c r="G2556" s="3">
        <v>49.337949999999999</v>
      </c>
      <c r="H2556" s="3">
        <v>1274.8959101472899</v>
      </c>
      <c r="I2556" s="3">
        <v>47.34</v>
      </c>
      <c r="J2556" s="3">
        <v>47.65</v>
      </c>
      <c r="K2556" s="3">
        <v>46.95</v>
      </c>
      <c r="L2556" s="3">
        <v>1211.1378274214901</v>
      </c>
    </row>
    <row r="2557" spans="1:12" ht="15" customHeight="1" x14ac:dyDescent="0.2">
      <c r="A2557" s="2">
        <v>42339</v>
      </c>
      <c r="B2557" s="3">
        <v>47.27</v>
      </c>
      <c r="C2557" s="1">
        <v>1009635</v>
      </c>
      <c r="D2557" s="3">
        <v>0.14000000000000001</v>
      </c>
      <c r="E2557" s="3">
        <v>0.29705071079990603</v>
      </c>
      <c r="F2557" s="3">
        <v>0.29705285784156199</v>
      </c>
      <c r="G2557" s="3">
        <v>49.568652999999998</v>
      </c>
      <c r="H2557" s="3">
        <v>1281.3248884724701</v>
      </c>
      <c r="I2557" s="3">
        <v>47.53</v>
      </c>
      <c r="J2557" s="3">
        <v>48.15</v>
      </c>
      <c r="K2557" s="3">
        <v>47.21</v>
      </c>
      <c r="L2557" s="3">
        <v>1217.2685462744701</v>
      </c>
    </row>
    <row r="2558" spans="1:12" ht="15" customHeight="1" x14ac:dyDescent="0.2">
      <c r="A2558" s="2">
        <v>42338</v>
      </c>
      <c r="B2558" s="3">
        <v>47.13</v>
      </c>
      <c r="C2558" s="1">
        <v>753688</v>
      </c>
      <c r="D2558" s="3">
        <v>-0.89999999999999802</v>
      </c>
      <c r="E2558" s="3">
        <v>-1.8738288569643899</v>
      </c>
      <c r="F2558" s="3">
        <v>-1.87383017896536</v>
      </c>
      <c r="G2558" s="3">
        <v>49.421844</v>
      </c>
      <c r="H2558" s="3">
        <v>1277.23377618116</v>
      </c>
      <c r="I2558" s="3">
        <v>47.94</v>
      </c>
      <c r="J2558" s="3">
        <v>48.06</v>
      </c>
      <c r="K2558" s="3">
        <v>47.05</v>
      </c>
      <c r="L2558" s="3">
        <v>1213.3671797316599</v>
      </c>
    </row>
    <row r="2559" spans="1:12" ht="15" customHeight="1" x14ac:dyDescent="0.2">
      <c r="A2559" s="2">
        <v>42335</v>
      </c>
      <c r="B2559" s="3">
        <v>48.03</v>
      </c>
      <c r="C2559" s="1">
        <v>140439</v>
      </c>
      <c r="D2559" s="3">
        <v>-0.35000000000000098</v>
      </c>
      <c r="E2559" s="3">
        <v>-0.72343943778421205</v>
      </c>
      <c r="F2559" s="3">
        <v>-0.72343972705535198</v>
      </c>
      <c r="G2559" s="3">
        <v>50.365609999999997</v>
      </c>
      <c r="H2559" s="3">
        <v>1303.53361258571</v>
      </c>
      <c r="I2559" s="3">
        <v>48.26</v>
      </c>
      <c r="J2559" s="3">
        <v>48.46</v>
      </c>
      <c r="K2559" s="3">
        <v>47.96</v>
      </c>
      <c r="L2559" s="3">
        <v>1238.4473932211299</v>
      </c>
    </row>
    <row r="2560" spans="1:12" ht="15" customHeight="1" x14ac:dyDescent="0.2">
      <c r="A2560" s="2">
        <v>42333</v>
      </c>
      <c r="B2560" s="3">
        <v>48.38</v>
      </c>
      <c r="C2560" s="1">
        <v>399978</v>
      </c>
      <c r="D2560" s="3">
        <v>1.03</v>
      </c>
      <c r="E2560" s="3">
        <v>2.1752903907074899</v>
      </c>
      <c r="F2560" s="3">
        <v>2.1752924553188002</v>
      </c>
      <c r="G2560" s="3">
        <v>50.73263</v>
      </c>
      <c r="H2560" s="3">
        <v>1313.76132364672</v>
      </c>
      <c r="I2560" s="3">
        <v>47.53</v>
      </c>
      <c r="J2560" s="3">
        <v>48.45</v>
      </c>
      <c r="K2560" s="3">
        <v>47.43</v>
      </c>
      <c r="L2560" s="3">
        <v>1248.20080957814</v>
      </c>
    </row>
    <row r="2561" spans="1:12" ht="15" customHeight="1" x14ac:dyDescent="0.2">
      <c r="A2561" s="2">
        <v>42332</v>
      </c>
      <c r="B2561" s="3">
        <v>47.35</v>
      </c>
      <c r="C2561" s="1">
        <v>597714</v>
      </c>
      <c r="D2561" s="3">
        <v>3.0000000000001099E-2</v>
      </c>
      <c r="E2561" s="3">
        <v>6.3398140321213603E-2</v>
      </c>
      <c r="F2561" s="3">
        <v>6.3400471597940794E-2</v>
      </c>
      <c r="G2561" s="3">
        <v>49.652541999999997</v>
      </c>
      <c r="H2561" s="3">
        <v>1283.6626151718201</v>
      </c>
      <c r="I2561" s="3">
        <v>47.21</v>
      </c>
      <c r="J2561" s="3">
        <v>47.5</v>
      </c>
      <c r="K2561" s="3">
        <v>46.61</v>
      </c>
      <c r="L2561" s="3">
        <v>1219.4978985846401</v>
      </c>
    </row>
    <row r="2562" spans="1:12" ht="15" customHeight="1" x14ac:dyDescent="0.2">
      <c r="A2562" s="2">
        <v>42331</v>
      </c>
      <c r="B2562" s="3">
        <v>47.32</v>
      </c>
      <c r="C2562" s="1">
        <v>565958</v>
      </c>
      <c r="D2562" s="3">
        <v>-0.109999999999999</v>
      </c>
      <c r="E2562" s="3">
        <v>-0.23192072527935501</v>
      </c>
      <c r="F2562" s="3">
        <v>-0.23192856504491399</v>
      </c>
      <c r="G2562" s="3">
        <v>49.621082000000001</v>
      </c>
      <c r="H2562" s="3">
        <v>1282.7859223758401</v>
      </c>
      <c r="I2562" s="3">
        <v>47.49</v>
      </c>
      <c r="J2562" s="3">
        <v>47.98</v>
      </c>
      <c r="K2562" s="3">
        <v>47.31</v>
      </c>
      <c r="L2562" s="3">
        <v>1218.6618914683299</v>
      </c>
    </row>
    <row r="2563" spans="1:12" ht="15" customHeight="1" x14ac:dyDescent="0.2">
      <c r="A2563" s="2">
        <v>42328</v>
      </c>
      <c r="B2563" s="3">
        <v>47.43</v>
      </c>
      <c r="C2563" s="1">
        <v>531629</v>
      </c>
      <c r="D2563" s="3">
        <v>0.47999999999999599</v>
      </c>
      <c r="E2563" s="3">
        <v>1.0223642172523899</v>
      </c>
      <c r="F2563" s="3">
        <v>1.02236518026606</v>
      </c>
      <c r="G2563" s="3">
        <v>49.736435</v>
      </c>
      <c r="H2563" s="3">
        <v>1286.0004533387901</v>
      </c>
      <c r="I2563" s="3">
        <v>47.26</v>
      </c>
      <c r="J2563" s="3">
        <v>47.55</v>
      </c>
      <c r="K2563" s="3">
        <v>47.030099999999997</v>
      </c>
      <c r="L2563" s="3">
        <v>1221.7272508948199</v>
      </c>
    </row>
    <row r="2564" spans="1:12" ht="15" customHeight="1" x14ac:dyDescent="0.2">
      <c r="A2564" s="2">
        <v>42327</v>
      </c>
      <c r="B2564" s="3">
        <v>46.95</v>
      </c>
      <c r="C2564" s="1">
        <v>627739</v>
      </c>
      <c r="D2564" s="3">
        <v>0.56000000000000205</v>
      </c>
      <c r="E2564" s="3">
        <v>1.2071567148092199</v>
      </c>
      <c r="F2564" s="3">
        <v>1.20715925260648</v>
      </c>
      <c r="G2564" s="3">
        <v>49.233092999999997</v>
      </c>
      <c r="H2564" s="3">
        <v>1271.9738702074401</v>
      </c>
      <c r="I2564" s="3">
        <v>46.34</v>
      </c>
      <c r="J2564" s="3">
        <v>47.07</v>
      </c>
      <c r="K2564" s="3">
        <v>45.618200000000002</v>
      </c>
      <c r="L2564" s="3">
        <v>1208.3511370337701</v>
      </c>
    </row>
    <row r="2565" spans="1:12" ht="15" customHeight="1" x14ac:dyDescent="0.2">
      <c r="A2565" s="2">
        <v>42326</v>
      </c>
      <c r="B2565" s="3">
        <v>46.39</v>
      </c>
      <c r="C2565" s="1">
        <v>576115</v>
      </c>
      <c r="D2565" s="3">
        <v>0.68999999999999695</v>
      </c>
      <c r="E2565" s="3">
        <v>1.50984682713346</v>
      </c>
      <c r="F2565" s="3">
        <v>1.5098480444576099</v>
      </c>
      <c r="G2565" s="3">
        <v>48.645859999999999</v>
      </c>
      <c r="H2565" s="3">
        <v>1255.60950464293</v>
      </c>
      <c r="I2565" s="3">
        <v>45.93</v>
      </c>
      <c r="J2565" s="3">
        <v>46.41</v>
      </c>
      <c r="K2565" s="3">
        <v>45.41</v>
      </c>
      <c r="L2565" s="3">
        <v>1192.74567086254</v>
      </c>
    </row>
    <row r="2566" spans="1:12" ht="15" customHeight="1" x14ac:dyDescent="0.2">
      <c r="A2566" s="2">
        <v>42325</v>
      </c>
      <c r="B2566" s="3">
        <v>45.7</v>
      </c>
      <c r="C2566" s="1">
        <v>611554</v>
      </c>
      <c r="D2566" s="3">
        <v>0.100000000000001</v>
      </c>
      <c r="E2566" s="3">
        <v>0.21929824561404099</v>
      </c>
      <c r="F2566" s="3">
        <v>0.21930492305737201</v>
      </c>
      <c r="G2566" s="3">
        <v>47.922305999999999</v>
      </c>
      <c r="H2566" s="3">
        <v>1235.4462948749799</v>
      </c>
      <c r="I2566" s="3">
        <v>46</v>
      </c>
      <c r="J2566" s="3">
        <v>46.65</v>
      </c>
      <c r="K2566" s="3">
        <v>45.55</v>
      </c>
      <c r="L2566" s="3">
        <v>1173.51750718729</v>
      </c>
    </row>
    <row r="2567" spans="1:12" ht="15" customHeight="1" x14ac:dyDescent="0.2">
      <c r="A2567" s="2">
        <v>42324</v>
      </c>
      <c r="B2567" s="3">
        <v>45.6</v>
      </c>
      <c r="C2567" s="1">
        <v>535382</v>
      </c>
      <c r="D2567" s="3">
        <v>0.109999999999999</v>
      </c>
      <c r="E2567" s="3">
        <v>0.241811387118051</v>
      </c>
      <c r="F2567" s="3">
        <v>0.24180279713081801</v>
      </c>
      <c r="G2567" s="3">
        <v>47.817439999999998</v>
      </c>
      <c r="H2567" s="3">
        <v>1232.5240041329901</v>
      </c>
      <c r="I2567" s="3">
        <v>45.4</v>
      </c>
      <c r="J2567" s="3">
        <v>45.81</v>
      </c>
      <c r="K2567" s="3">
        <v>45.17</v>
      </c>
      <c r="L2567" s="3">
        <v>1170.73081679957</v>
      </c>
    </row>
    <row r="2568" spans="1:12" ht="15" customHeight="1" x14ac:dyDescent="0.2">
      <c r="A2568" s="2">
        <v>42321</v>
      </c>
      <c r="B2568" s="3">
        <v>45.49</v>
      </c>
      <c r="C2568" s="1">
        <v>625415</v>
      </c>
      <c r="D2568" s="3">
        <v>-1.28999999999999</v>
      </c>
      <c r="E2568" s="3">
        <v>-2.7575887131252599</v>
      </c>
      <c r="F2568" s="3">
        <v>-2.7575880660057401</v>
      </c>
      <c r="G2568" s="3">
        <v>47.702095</v>
      </c>
      <c r="H2568" s="3">
        <v>1229.30969610528</v>
      </c>
      <c r="I2568" s="3">
        <v>46.14</v>
      </c>
      <c r="J2568" s="3">
        <v>46.67</v>
      </c>
      <c r="K2568" s="3">
        <v>45.38</v>
      </c>
      <c r="L2568" s="3">
        <v>1167.66545737308</v>
      </c>
    </row>
    <row r="2569" spans="1:12" ht="15" customHeight="1" x14ac:dyDescent="0.2">
      <c r="A2569" s="2">
        <v>42320</v>
      </c>
      <c r="B2569" s="3">
        <v>46.78</v>
      </c>
      <c r="C2569" s="1">
        <v>371283</v>
      </c>
      <c r="D2569" s="3">
        <v>-0.85999999999999899</v>
      </c>
      <c r="E2569" s="3">
        <v>-1.80520570948782</v>
      </c>
      <c r="F2569" s="3">
        <v>-1.80519939670885</v>
      </c>
      <c r="G2569" s="3">
        <v>49.054825000000001</v>
      </c>
      <c r="H2569" s="3">
        <v>1267.0060929870599</v>
      </c>
      <c r="I2569" s="3">
        <v>47.6</v>
      </c>
      <c r="J2569" s="3">
        <v>47.8</v>
      </c>
      <c r="K2569" s="3">
        <v>46.74</v>
      </c>
      <c r="L2569" s="3">
        <v>1203.61376337465</v>
      </c>
    </row>
    <row r="2570" spans="1:12" ht="15" customHeight="1" x14ac:dyDescent="0.2">
      <c r="A2570" s="2">
        <v>42319</v>
      </c>
      <c r="B2570" s="3">
        <v>47.64</v>
      </c>
      <c r="C2570" s="1">
        <v>711881</v>
      </c>
      <c r="D2570" s="3">
        <v>0.57999999999999796</v>
      </c>
      <c r="E2570" s="3">
        <v>1.2324691882702901</v>
      </c>
      <c r="F2570" s="3">
        <v>1.23246038851643</v>
      </c>
      <c r="G2570" s="3">
        <v>49.956642000000002</v>
      </c>
      <c r="H2570" s="3">
        <v>1292.1369406408701</v>
      </c>
      <c r="I2570" s="3">
        <v>47.35</v>
      </c>
      <c r="J2570" s="3">
        <v>47.85</v>
      </c>
      <c r="K2570" s="3">
        <v>46.78</v>
      </c>
      <c r="L2570" s="3">
        <v>1227.5793007090199</v>
      </c>
    </row>
    <row r="2571" spans="1:12" ht="15" customHeight="1" x14ac:dyDescent="0.2">
      <c r="A2571" s="2">
        <v>42318</v>
      </c>
      <c r="B2571" s="3">
        <v>47.06</v>
      </c>
      <c r="C2571" s="1">
        <v>646990</v>
      </c>
      <c r="D2571" s="3">
        <v>2.0000000000003099E-2</v>
      </c>
      <c r="E2571" s="3">
        <v>4.2517006802733598E-2</v>
      </c>
      <c r="F2571" s="3">
        <v>4.2515863878689303E-2</v>
      </c>
      <c r="G2571" s="3">
        <v>49.348441999999999</v>
      </c>
      <c r="H2571" s="3">
        <v>1275.1882897027699</v>
      </c>
      <c r="I2571" s="3">
        <v>47.13</v>
      </c>
      <c r="J2571" s="3">
        <v>47.31</v>
      </c>
      <c r="K2571" s="3">
        <v>46.57</v>
      </c>
      <c r="L2571" s="3">
        <v>1211.4164964602601</v>
      </c>
    </row>
    <row r="2572" spans="1:12" ht="15" customHeight="1" x14ac:dyDescent="0.2">
      <c r="A2572" s="2">
        <v>42317</v>
      </c>
      <c r="B2572" s="3">
        <v>47.04</v>
      </c>
      <c r="C2572" s="1">
        <v>497918</v>
      </c>
      <c r="D2572" s="3">
        <v>-0.99000000000000199</v>
      </c>
      <c r="E2572" s="3">
        <v>-2.0612117426608401</v>
      </c>
      <c r="F2572" s="3">
        <v>-2.06120803460932</v>
      </c>
      <c r="G2572" s="3">
        <v>49.327469999999998</v>
      </c>
      <c r="H2572" s="3">
        <v>1274.6038649946499</v>
      </c>
      <c r="I2572" s="3">
        <v>47.84</v>
      </c>
      <c r="J2572" s="3">
        <v>47.99</v>
      </c>
      <c r="K2572" s="3">
        <v>46.810099999999998</v>
      </c>
      <c r="L2572" s="3">
        <v>1210.8591583827099</v>
      </c>
    </row>
    <row r="2573" spans="1:12" ht="15" customHeight="1" x14ac:dyDescent="0.2">
      <c r="A2573" s="2">
        <v>42314</v>
      </c>
      <c r="B2573" s="3">
        <v>48.03</v>
      </c>
      <c r="C2573" s="1">
        <v>557927</v>
      </c>
      <c r="D2573" s="3">
        <v>9.9999999999980105E-3</v>
      </c>
      <c r="E2573" s="3">
        <v>2.0824656393170202E-2</v>
      </c>
      <c r="F2573" s="3">
        <v>2.0822110956930599E-2</v>
      </c>
      <c r="G2573" s="3">
        <v>50.365609999999997</v>
      </c>
      <c r="H2573" s="3">
        <v>1303.53361258571</v>
      </c>
      <c r="I2573" s="3">
        <v>47.84</v>
      </c>
      <c r="J2573" s="3">
        <v>48.25</v>
      </c>
      <c r="K2573" s="3">
        <v>47.66</v>
      </c>
      <c r="L2573" s="3">
        <v>1238.4473932211299</v>
      </c>
    </row>
    <row r="2574" spans="1:12" ht="15" customHeight="1" x14ac:dyDescent="0.2">
      <c r="A2574" s="2">
        <v>42313</v>
      </c>
      <c r="B2574" s="3">
        <v>48.02</v>
      </c>
      <c r="C2574" s="1">
        <v>408246</v>
      </c>
      <c r="D2574" s="3">
        <v>-0.189999999999997</v>
      </c>
      <c r="E2574" s="3">
        <v>-0.39410910599459997</v>
      </c>
      <c r="F2574" s="3">
        <v>2.0746978628127799E-2</v>
      </c>
      <c r="G2574" s="3">
        <v>50.355125000000001</v>
      </c>
      <c r="H2574" s="3">
        <v>1303.2414280985599</v>
      </c>
      <c r="I2574" s="3">
        <v>48.16</v>
      </c>
      <c r="J2574" s="3">
        <v>48.17</v>
      </c>
      <c r="K2574" s="3">
        <v>47.43</v>
      </c>
      <c r="L2574" s="3">
        <v>1238.1687241823499</v>
      </c>
    </row>
    <row r="2575" spans="1:12" ht="15" customHeight="1" x14ac:dyDescent="0.2">
      <c r="A2575" s="2">
        <v>42312</v>
      </c>
      <c r="B2575" s="3">
        <v>48.21</v>
      </c>
      <c r="C2575" s="1">
        <v>558421</v>
      </c>
      <c r="D2575" s="3">
        <v>-0.35000000000000098</v>
      </c>
      <c r="E2575" s="3">
        <v>-0.72075782537067701</v>
      </c>
      <c r="F2575" s="3">
        <v>-0.72076257666607801</v>
      </c>
      <c r="G2575" s="3">
        <v>50.344679999999997</v>
      </c>
      <c r="H2575" s="3">
        <v>1302.95035828756</v>
      </c>
      <c r="I2575" s="3">
        <v>48.84</v>
      </c>
      <c r="J2575" s="3">
        <v>48.92</v>
      </c>
      <c r="K2575" s="3">
        <v>47.911999999999999</v>
      </c>
      <c r="L2575" s="3">
        <v>1243.46343591902</v>
      </c>
    </row>
    <row r="2576" spans="1:12" ht="15" customHeight="1" x14ac:dyDescent="0.2">
      <c r="A2576" s="2">
        <v>42311</v>
      </c>
      <c r="B2576" s="3">
        <v>48.56</v>
      </c>
      <c r="C2576" s="1">
        <v>858526</v>
      </c>
      <c r="D2576" s="3">
        <v>-0.58999999999999597</v>
      </c>
      <c r="E2576" s="3">
        <v>-1.2004069175991801</v>
      </c>
      <c r="F2576" s="3">
        <v>-1.2004078610373301</v>
      </c>
      <c r="G2576" s="3">
        <v>50.710180000000001</v>
      </c>
      <c r="H2576" s="3">
        <v>1313.1357116546801</v>
      </c>
      <c r="I2576" s="3">
        <v>49.03</v>
      </c>
      <c r="J2576" s="3">
        <v>49.11</v>
      </c>
      <c r="K2576" s="3">
        <v>48.19</v>
      </c>
      <c r="L2576" s="3">
        <v>1253.2168522760301</v>
      </c>
    </row>
    <row r="2577" spans="1:12" ht="15" customHeight="1" x14ac:dyDescent="0.2">
      <c r="A2577" s="2">
        <v>42310</v>
      </c>
      <c r="B2577" s="3">
        <v>49.15</v>
      </c>
      <c r="C2577" s="1">
        <v>727993</v>
      </c>
      <c r="D2577" s="3">
        <v>0.94999999999999496</v>
      </c>
      <c r="E2577" s="3">
        <v>1.97095435684646</v>
      </c>
      <c r="F2577" s="3">
        <v>1.9709545629376699</v>
      </c>
      <c r="G2577" s="3">
        <v>51.326304999999998</v>
      </c>
      <c r="H2577" s="3">
        <v>1330.30520780601</v>
      </c>
      <c r="I2577" s="3">
        <v>48.1</v>
      </c>
      <c r="J2577" s="3">
        <v>49.24</v>
      </c>
      <c r="K2577" s="3">
        <v>48.1</v>
      </c>
      <c r="L2577" s="3">
        <v>1269.6583255635701</v>
      </c>
    </row>
    <row r="2578" spans="1:12" ht="15" customHeight="1" x14ac:dyDescent="0.2">
      <c r="A2578" s="2">
        <v>42307</v>
      </c>
      <c r="B2578" s="3">
        <v>48.2</v>
      </c>
      <c r="C2578" s="1">
        <v>808943</v>
      </c>
      <c r="D2578" s="3">
        <v>-0.93999999999999695</v>
      </c>
      <c r="E2578" s="3">
        <v>-1.9129019129019</v>
      </c>
      <c r="F2578" s="3">
        <v>-1.91289788381213</v>
      </c>
      <c r="G2578" s="3">
        <v>50.334240000000001</v>
      </c>
      <c r="H2578" s="3">
        <v>1302.6594278110899</v>
      </c>
      <c r="I2578" s="3">
        <v>49.42</v>
      </c>
      <c r="J2578" s="3">
        <v>49.66</v>
      </c>
      <c r="K2578" s="3">
        <v>48.18</v>
      </c>
      <c r="L2578" s="3">
        <v>1243.18476688025</v>
      </c>
    </row>
    <row r="2579" spans="1:12" ht="15" customHeight="1" x14ac:dyDescent="0.2">
      <c r="A2579" s="2">
        <v>42306</v>
      </c>
      <c r="B2579" s="3">
        <v>49.14</v>
      </c>
      <c r="C2579" s="1">
        <v>1129722</v>
      </c>
      <c r="D2579" s="3">
        <v>-2.1099999999999901</v>
      </c>
      <c r="E2579" s="3">
        <v>-4.1170731707317101</v>
      </c>
      <c r="F2579" s="3">
        <v>-4.11707091688272</v>
      </c>
      <c r="G2579" s="3">
        <v>51.315860000000001</v>
      </c>
      <c r="H2579" s="3">
        <v>1330.0141379950101</v>
      </c>
      <c r="I2579" s="3">
        <v>50.77</v>
      </c>
      <c r="J2579" s="3">
        <v>50.77</v>
      </c>
      <c r="K2579" s="3">
        <v>48.92</v>
      </c>
      <c r="L2579" s="3">
        <v>1269.3796565248001</v>
      </c>
    </row>
    <row r="2580" spans="1:12" ht="15" customHeight="1" x14ac:dyDescent="0.2">
      <c r="A2580" s="2">
        <v>42305</v>
      </c>
      <c r="B2580" s="3">
        <v>51.25</v>
      </c>
      <c r="C2580" s="1">
        <v>938905</v>
      </c>
      <c r="D2580" s="3">
        <v>1.6499999999999899</v>
      </c>
      <c r="E2580" s="3">
        <v>3.3266129032257998</v>
      </c>
      <c r="F2580" s="3">
        <v>3.3266129596659599</v>
      </c>
      <c r="G2580" s="3">
        <v>53.519286999999998</v>
      </c>
      <c r="H2580" s="3">
        <v>1391.4168264043999</v>
      </c>
      <c r="I2580" s="3">
        <v>49.55</v>
      </c>
      <c r="J2580" s="3">
        <v>51.26</v>
      </c>
      <c r="K2580" s="3">
        <v>49.48</v>
      </c>
      <c r="L2580" s="3">
        <v>1328.1788237056601</v>
      </c>
    </row>
    <row r="2581" spans="1:12" ht="15" customHeight="1" x14ac:dyDescent="0.2">
      <c r="A2581" s="2">
        <v>42304</v>
      </c>
      <c r="B2581" s="3">
        <v>49.6</v>
      </c>
      <c r="C2581" s="1">
        <v>2489452</v>
      </c>
      <c r="D2581" s="3">
        <v>-2.39</v>
      </c>
      <c r="E2581" s="3">
        <v>-4.5970378919022803</v>
      </c>
      <c r="F2581" s="3">
        <v>-4.5970444626918399</v>
      </c>
      <c r="G2581" s="3">
        <v>51.796227000000002</v>
      </c>
      <c r="H2581" s="3">
        <v>1343.4004790097799</v>
      </c>
      <c r="I2581" s="3">
        <v>49.45</v>
      </c>
      <c r="J2581" s="3">
        <v>49.94</v>
      </c>
      <c r="K2581" s="3">
        <v>48.3</v>
      </c>
      <c r="L2581" s="3">
        <v>1282.1984323083</v>
      </c>
    </row>
    <row r="2582" spans="1:12" ht="15" customHeight="1" x14ac:dyDescent="0.2">
      <c r="A2582" s="2">
        <v>42303</v>
      </c>
      <c r="B2582" s="3">
        <v>51.99</v>
      </c>
      <c r="C2582" s="1">
        <v>1561839</v>
      </c>
      <c r="D2582" s="3">
        <v>1.28</v>
      </c>
      <c r="E2582" s="3">
        <v>2.5241569710116201</v>
      </c>
      <c r="F2582" s="3">
        <v>2.5241648742140899</v>
      </c>
      <c r="G2582" s="3">
        <v>54.292057</v>
      </c>
      <c r="H2582" s="3">
        <v>1412.9515337135699</v>
      </c>
      <c r="I2582" s="3">
        <v>50.87</v>
      </c>
      <c r="J2582" s="3">
        <v>52.17</v>
      </c>
      <c r="K2582" s="3">
        <v>50.74</v>
      </c>
      <c r="L2582" s="3">
        <v>1348.80033257477</v>
      </c>
    </row>
    <row r="2583" spans="1:12" ht="15" customHeight="1" x14ac:dyDescent="0.2">
      <c r="A2583" s="2">
        <v>42300</v>
      </c>
      <c r="B2583" s="3">
        <v>50.71</v>
      </c>
      <c r="C2583" s="1">
        <v>1540674</v>
      </c>
      <c r="D2583" s="3">
        <v>-0.29999999999999699</v>
      </c>
      <c r="E2583" s="3">
        <v>-0.58811997647519798</v>
      </c>
      <c r="F2583" s="3">
        <v>-0.58811693735554205</v>
      </c>
      <c r="G2583" s="3">
        <v>52.955376000000001</v>
      </c>
      <c r="H2583" s="3">
        <v>1375.70237277211</v>
      </c>
      <c r="I2583" s="3">
        <v>51.06</v>
      </c>
      <c r="J2583" s="3">
        <v>52.24</v>
      </c>
      <c r="K2583" s="3">
        <v>50.12</v>
      </c>
      <c r="L2583" s="3">
        <v>1313.1306956119799</v>
      </c>
    </row>
    <row r="2584" spans="1:12" ht="15" customHeight="1" x14ac:dyDescent="0.2">
      <c r="A2584" s="2">
        <v>42299</v>
      </c>
      <c r="B2584" s="3">
        <v>51.01</v>
      </c>
      <c r="C2584" s="1">
        <v>920117</v>
      </c>
      <c r="D2584" s="3">
        <v>-0.46</v>
      </c>
      <c r="E2584" s="3">
        <v>-0.89372449970857004</v>
      </c>
      <c r="F2584" s="3">
        <v>-0.89373147757270099</v>
      </c>
      <c r="G2584" s="3">
        <v>53.268658000000002</v>
      </c>
      <c r="H2584" s="3">
        <v>1384.4325721525599</v>
      </c>
      <c r="I2584" s="3">
        <v>51.27</v>
      </c>
      <c r="J2584" s="3">
        <v>52.94</v>
      </c>
      <c r="K2584" s="3">
        <v>50.86</v>
      </c>
      <c r="L2584" s="3">
        <v>1321.4907667751299</v>
      </c>
    </row>
    <row r="2585" spans="1:12" ht="15" customHeight="1" x14ac:dyDescent="0.2">
      <c r="A2585" s="2">
        <v>42298</v>
      </c>
      <c r="B2585" s="3">
        <v>51.47</v>
      </c>
      <c r="C2585" s="1">
        <v>871590</v>
      </c>
      <c r="D2585" s="3">
        <v>-1.41</v>
      </c>
      <c r="E2585" s="3">
        <v>-2.66641452344932</v>
      </c>
      <c r="F2585" s="3">
        <v>-2.6664125625648998</v>
      </c>
      <c r="G2585" s="3">
        <v>53.749029999999998</v>
      </c>
      <c r="H2585" s="3">
        <v>1397.8190525018499</v>
      </c>
      <c r="I2585" s="3">
        <v>52.94</v>
      </c>
      <c r="J2585" s="3">
        <v>52.94</v>
      </c>
      <c r="K2585" s="3">
        <v>51.4</v>
      </c>
      <c r="L2585" s="3">
        <v>1334.30954255864</v>
      </c>
    </row>
    <row r="2586" spans="1:12" ht="15" customHeight="1" x14ac:dyDescent="0.2">
      <c r="A2586" s="2">
        <v>42297</v>
      </c>
      <c r="B2586" s="3">
        <v>52.88</v>
      </c>
      <c r="C2586" s="1">
        <v>687683</v>
      </c>
      <c r="D2586" s="3">
        <v>-0.64999999999999802</v>
      </c>
      <c r="E2586" s="3">
        <v>-1.2142723706332801</v>
      </c>
      <c r="F2586" s="3">
        <v>-1.2142667008227399</v>
      </c>
      <c r="G2586" s="3">
        <v>55.221462000000002</v>
      </c>
      <c r="H2586" s="3">
        <v>1438.8511735115401</v>
      </c>
      <c r="I2586" s="3">
        <v>53.1</v>
      </c>
      <c r="J2586" s="3">
        <v>53.38</v>
      </c>
      <c r="K2586" s="3">
        <v>52.774999999999999</v>
      </c>
      <c r="L2586" s="3">
        <v>1373.60187702547</v>
      </c>
    </row>
    <row r="2587" spans="1:12" ht="15" customHeight="1" x14ac:dyDescent="0.2">
      <c r="A2587" s="2">
        <v>42296</v>
      </c>
      <c r="B2587" s="3">
        <v>53.53</v>
      </c>
      <c r="C2587" s="1">
        <v>1122891</v>
      </c>
      <c r="D2587" s="3">
        <v>0.85000000000000098</v>
      </c>
      <c r="E2587" s="3">
        <v>1.6135155656795599</v>
      </c>
      <c r="F2587" s="3">
        <v>1.61350648927605</v>
      </c>
      <c r="G2587" s="3">
        <v>55.900239999999997</v>
      </c>
      <c r="H2587" s="3">
        <v>1457.7666147914899</v>
      </c>
      <c r="I2587" s="3">
        <v>52.67</v>
      </c>
      <c r="J2587" s="3">
        <v>53.55</v>
      </c>
      <c r="K2587" s="3">
        <v>52.53</v>
      </c>
      <c r="L2587" s="3">
        <v>1391.7153645456401</v>
      </c>
    </row>
    <row r="2588" spans="1:12" ht="15" customHeight="1" x14ac:dyDescent="0.2">
      <c r="A2588" s="2">
        <v>42293</v>
      </c>
      <c r="B2588" s="3">
        <v>52.68</v>
      </c>
      <c r="C2588" s="1">
        <v>1257866</v>
      </c>
      <c r="D2588" s="3">
        <v>-0.119999999999997</v>
      </c>
      <c r="E2588" s="3">
        <v>-0.22727272727271999</v>
      </c>
      <c r="F2588" s="3">
        <v>-0.22727008925981201</v>
      </c>
      <c r="G2588" s="3">
        <v>55.012608</v>
      </c>
      <c r="H2588" s="3">
        <v>1433.03105916918</v>
      </c>
      <c r="I2588" s="3">
        <v>52.71</v>
      </c>
      <c r="J2588" s="3">
        <v>53</v>
      </c>
      <c r="K2588" s="3">
        <v>52.33</v>
      </c>
      <c r="L2588" s="3">
        <v>1368.02849625003</v>
      </c>
    </row>
    <row r="2589" spans="1:12" ht="15" customHeight="1" x14ac:dyDescent="0.2">
      <c r="A2589" s="2">
        <v>42292</v>
      </c>
      <c r="B2589" s="3">
        <v>52.8</v>
      </c>
      <c r="C2589" s="1">
        <v>1054181</v>
      </c>
      <c r="D2589" s="3">
        <v>-0.54000000000000603</v>
      </c>
      <c r="E2589" s="3">
        <v>-1.0123734533183399</v>
      </c>
      <c r="F2589" s="3">
        <v>-1.0123724839919901</v>
      </c>
      <c r="G2589" s="3">
        <v>55.137920000000001</v>
      </c>
      <c r="H2589" s="3">
        <v>1436.52311662784</v>
      </c>
      <c r="I2589" s="3">
        <v>53.54</v>
      </c>
      <c r="J2589" s="3">
        <v>53.64</v>
      </c>
      <c r="K2589" s="3">
        <v>52.59</v>
      </c>
      <c r="L2589" s="3">
        <v>1371.37252471529</v>
      </c>
    </row>
    <row r="2590" spans="1:12" ht="15" customHeight="1" x14ac:dyDescent="0.2">
      <c r="A2590" s="2">
        <v>42291</v>
      </c>
      <c r="B2590" s="3">
        <v>53.34</v>
      </c>
      <c r="C2590" s="1">
        <v>661236</v>
      </c>
      <c r="D2590" s="3">
        <v>-1.5699999999999901</v>
      </c>
      <c r="E2590" s="3">
        <v>-2.8592241850300399</v>
      </c>
      <c r="F2590" s="3">
        <v>-2.8592230315063798</v>
      </c>
      <c r="G2590" s="3">
        <v>55.701830000000001</v>
      </c>
      <c r="H2590" s="3">
        <v>1452.2375423932201</v>
      </c>
      <c r="I2590" s="3">
        <v>55</v>
      </c>
      <c r="J2590" s="3">
        <v>55</v>
      </c>
      <c r="K2590" s="3">
        <v>53.05</v>
      </c>
      <c r="L2590" s="3">
        <v>1386.4206528089701</v>
      </c>
    </row>
    <row r="2591" spans="1:12" ht="15" customHeight="1" x14ac:dyDescent="0.2">
      <c r="A2591" s="2">
        <v>42290</v>
      </c>
      <c r="B2591" s="3">
        <v>54.91</v>
      </c>
      <c r="C2591" s="1">
        <v>367766</v>
      </c>
      <c r="D2591" s="3">
        <v>-0.23000000000000301</v>
      </c>
      <c r="E2591" s="3">
        <v>-0.41712005803410301</v>
      </c>
      <c r="F2591" s="3">
        <v>-0.41711812798305098</v>
      </c>
      <c r="G2591" s="3">
        <v>57.341346999999999</v>
      </c>
      <c r="H2591" s="3">
        <v>1497.92580503723</v>
      </c>
      <c r="I2591" s="3">
        <v>54.89</v>
      </c>
      <c r="J2591" s="3">
        <v>55.3</v>
      </c>
      <c r="K2591" s="3">
        <v>54.04</v>
      </c>
      <c r="L2591" s="3">
        <v>1430.1716918961499</v>
      </c>
    </row>
    <row r="2592" spans="1:12" ht="15" customHeight="1" x14ac:dyDescent="0.2">
      <c r="A2592" s="2">
        <v>42289</v>
      </c>
      <c r="B2592" s="3">
        <v>55.14</v>
      </c>
      <c r="C2592" s="1">
        <v>418056</v>
      </c>
      <c r="D2592" s="3">
        <v>0.54999999999999705</v>
      </c>
      <c r="E2592" s="3">
        <v>1.0075105330646399</v>
      </c>
      <c r="F2592" s="3">
        <v>1.0075046687101501</v>
      </c>
      <c r="G2592" s="3">
        <v>57.581530000000001</v>
      </c>
      <c r="H2592" s="3">
        <v>1504.6189616111601</v>
      </c>
      <c r="I2592" s="3">
        <v>54.82</v>
      </c>
      <c r="J2592" s="3">
        <v>55.37</v>
      </c>
      <c r="K2592" s="3">
        <v>54.5</v>
      </c>
      <c r="L2592" s="3">
        <v>1436.5810797879001</v>
      </c>
    </row>
    <row r="2593" spans="1:12" ht="15" customHeight="1" x14ac:dyDescent="0.2">
      <c r="A2593" s="2">
        <v>42286</v>
      </c>
      <c r="B2593" s="3">
        <v>54.59</v>
      </c>
      <c r="C2593" s="1">
        <v>477551</v>
      </c>
      <c r="D2593" s="3">
        <v>-0.28999999999999898</v>
      </c>
      <c r="E2593" s="3">
        <v>-0.52842565597667202</v>
      </c>
      <c r="F2593" s="3">
        <v>-0.52842417434158995</v>
      </c>
      <c r="G2593" s="3">
        <v>57.007179999999998</v>
      </c>
      <c r="H2593" s="3">
        <v>1488.6136053693001</v>
      </c>
      <c r="I2593" s="3">
        <v>54.74</v>
      </c>
      <c r="J2593" s="3">
        <v>55.299900000000001</v>
      </c>
      <c r="K2593" s="3">
        <v>54</v>
      </c>
      <c r="L2593" s="3">
        <v>1421.25428265545</v>
      </c>
    </row>
    <row r="2594" spans="1:12" ht="15" customHeight="1" x14ac:dyDescent="0.2">
      <c r="A2594" s="2">
        <v>42285</v>
      </c>
      <c r="B2594" s="3">
        <v>54.88</v>
      </c>
      <c r="C2594" s="1">
        <v>622756</v>
      </c>
      <c r="D2594" s="3">
        <v>7.0000000000000201E-2</v>
      </c>
      <c r="E2594" s="3">
        <v>0.12771392081736199</v>
      </c>
      <c r="F2594" s="3">
        <v>0.12770952065330701</v>
      </c>
      <c r="G2594" s="3">
        <v>57.310020000000002</v>
      </c>
      <c r="H2594" s="3">
        <v>1497.0528185394701</v>
      </c>
      <c r="I2594" s="3">
        <v>54.83</v>
      </c>
      <c r="J2594" s="3">
        <v>55.53</v>
      </c>
      <c r="K2594" s="3">
        <v>54.31</v>
      </c>
      <c r="L2594" s="3">
        <v>1429.33568477983</v>
      </c>
    </row>
    <row r="2595" spans="1:12" ht="15" customHeight="1" x14ac:dyDescent="0.2">
      <c r="A2595" s="2">
        <v>42284</v>
      </c>
      <c r="B2595" s="3">
        <v>54.81</v>
      </c>
      <c r="C2595" s="1">
        <v>635114</v>
      </c>
      <c r="D2595" s="3">
        <v>0.760000000000005</v>
      </c>
      <c r="E2595" s="3">
        <v>1.4061054579093499</v>
      </c>
      <c r="F2595" s="3">
        <v>1.40611099980956</v>
      </c>
      <c r="G2595" s="3">
        <v>57.236922999999997</v>
      </c>
      <c r="H2595" s="3">
        <v>1495.0158314667599</v>
      </c>
      <c r="I2595" s="3">
        <v>54.22</v>
      </c>
      <c r="J2595" s="3">
        <v>54.82</v>
      </c>
      <c r="K2595" s="3">
        <v>53.36</v>
      </c>
      <c r="L2595" s="3">
        <v>1427.3850015084299</v>
      </c>
    </row>
    <row r="2596" spans="1:12" ht="15" customHeight="1" x14ac:dyDescent="0.2">
      <c r="A2596" s="2">
        <v>42283</v>
      </c>
      <c r="B2596" s="3">
        <v>54.05</v>
      </c>
      <c r="C2596" s="1">
        <v>462501</v>
      </c>
      <c r="D2596" s="3">
        <v>-0.81000000000000205</v>
      </c>
      <c r="E2596" s="3">
        <v>-1.4764855997083499</v>
      </c>
      <c r="F2596" s="3">
        <v>-1.4764876446467501</v>
      </c>
      <c r="G2596" s="3">
        <v>56.443268000000003</v>
      </c>
      <c r="H2596" s="3">
        <v>1472.8991238701101</v>
      </c>
      <c r="I2596" s="3">
        <v>54.78</v>
      </c>
      <c r="J2596" s="3">
        <v>54.97</v>
      </c>
      <c r="K2596" s="3">
        <v>54.01</v>
      </c>
      <c r="L2596" s="3">
        <v>1406.2061545617701</v>
      </c>
    </row>
    <row r="2597" spans="1:12" ht="15" customHeight="1" x14ac:dyDescent="0.2">
      <c r="A2597" s="2">
        <v>42282</v>
      </c>
      <c r="B2597" s="3">
        <v>54.86</v>
      </c>
      <c r="C2597" s="1">
        <v>354941</v>
      </c>
      <c r="D2597" s="3">
        <v>0.78999999999999904</v>
      </c>
      <c r="E2597" s="3">
        <v>1.46106898464952</v>
      </c>
      <c r="F2597" s="3">
        <v>1.46107212482227</v>
      </c>
      <c r="G2597" s="3">
        <v>57.289135000000002</v>
      </c>
      <c r="H2597" s="3">
        <v>1496.4708182519901</v>
      </c>
      <c r="I2597" s="3">
        <v>54.33</v>
      </c>
      <c r="J2597" s="3">
        <v>54.87</v>
      </c>
      <c r="K2597" s="3">
        <v>53.95</v>
      </c>
      <c r="L2597" s="3">
        <v>1428.77834670229</v>
      </c>
    </row>
    <row r="2598" spans="1:12" ht="15" customHeight="1" x14ac:dyDescent="0.2">
      <c r="A2598" s="2">
        <v>42279</v>
      </c>
      <c r="B2598" s="3">
        <v>54.07</v>
      </c>
      <c r="C2598" s="1">
        <v>391421</v>
      </c>
      <c r="D2598" s="3">
        <v>0.92999999999999905</v>
      </c>
      <c r="E2598" s="3">
        <v>1.7500940910801499</v>
      </c>
      <c r="F2598" s="3">
        <v>1.7500954580321499</v>
      </c>
      <c r="G2598" s="3">
        <v>56.464153000000003</v>
      </c>
      <c r="H2598" s="3">
        <v>1473.4811241575901</v>
      </c>
      <c r="I2598" s="3">
        <v>52.87</v>
      </c>
      <c r="J2598" s="3">
        <v>54.09</v>
      </c>
      <c r="K2598" s="3">
        <v>52.58</v>
      </c>
      <c r="L2598" s="3">
        <v>1406.76349263931</v>
      </c>
    </row>
    <row r="2599" spans="1:12" ht="15" customHeight="1" x14ac:dyDescent="0.2">
      <c r="A2599" s="2">
        <v>42278</v>
      </c>
      <c r="B2599" s="3">
        <v>53.14</v>
      </c>
      <c r="C2599" s="1">
        <v>331353</v>
      </c>
      <c r="D2599" s="3">
        <v>-0.82</v>
      </c>
      <c r="E2599" s="3">
        <v>-1.5196441808747201</v>
      </c>
      <c r="F2599" s="3">
        <v>-1.51964142221515</v>
      </c>
      <c r="G2599" s="3">
        <v>55.492972999999999</v>
      </c>
      <c r="H2599" s="3">
        <v>1446.41734445014</v>
      </c>
      <c r="I2599" s="3">
        <v>53.78</v>
      </c>
      <c r="J2599" s="3">
        <v>53.875</v>
      </c>
      <c r="K2599" s="3">
        <v>52.69</v>
      </c>
      <c r="L2599" s="3">
        <v>1380.8472720335301</v>
      </c>
    </row>
    <row r="2600" spans="1:12" ht="15" customHeight="1" x14ac:dyDescent="0.2">
      <c r="A2600" s="2">
        <v>42277</v>
      </c>
      <c r="B2600" s="3">
        <v>53.96</v>
      </c>
      <c r="C2600" s="1">
        <v>476076</v>
      </c>
      <c r="D2600" s="3">
        <v>0.32999999999999802</v>
      </c>
      <c r="E2600" s="3">
        <v>0.61532724221517998</v>
      </c>
      <c r="F2600" s="3">
        <v>0.61531829674286098</v>
      </c>
      <c r="G2600" s="3">
        <v>56.34928</v>
      </c>
      <c r="H2600" s="3">
        <v>1470.2799693085001</v>
      </c>
      <c r="I2600" s="3">
        <v>53.93</v>
      </c>
      <c r="J2600" s="3">
        <v>54.28</v>
      </c>
      <c r="K2600" s="3">
        <v>53.485999999999997</v>
      </c>
      <c r="L2600" s="3">
        <v>1403.69813321282</v>
      </c>
    </row>
    <row r="2601" spans="1:12" ht="15" customHeight="1" x14ac:dyDescent="0.2">
      <c r="A2601" s="2">
        <v>42276</v>
      </c>
      <c r="B2601" s="3">
        <v>53.63</v>
      </c>
      <c r="C2601" s="1">
        <v>471917</v>
      </c>
      <c r="D2601" s="3">
        <v>0.190000000000004</v>
      </c>
      <c r="E2601" s="3">
        <v>0.35553892215569499</v>
      </c>
      <c r="F2601" s="3">
        <v>0.35554795784091803</v>
      </c>
      <c r="G2601" s="3">
        <v>56.004672999999997</v>
      </c>
      <c r="H2601" s="3">
        <v>1460.6768391641001</v>
      </c>
      <c r="I2601" s="3">
        <v>53.61</v>
      </c>
      <c r="J2601" s="3">
        <v>54</v>
      </c>
      <c r="K2601" s="3">
        <v>53.08</v>
      </c>
      <c r="L2601" s="3">
        <v>1394.5020549333501</v>
      </c>
    </row>
    <row r="2602" spans="1:12" ht="15" customHeight="1" x14ac:dyDescent="0.2">
      <c r="A2602" s="2">
        <v>42275</v>
      </c>
      <c r="B2602" s="3">
        <v>53.44</v>
      </c>
      <c r="C2602" s="1">
        <v>346224</v>
      </c>
      <c r="D2602" s="3">
        <v>-1.1000000000000001</v>
      </c>
      <c r="E2602" s="3">
        <v>-2.0168683535020202</v>
      </c>
      <c r="F2602" s="3">
        <v>-2.0168776500212902</v>
      </c>
      <c r="G2602" s="3">
        <v>55.806255</v>
      </c>
      <c r="H2602" s="3">
        <v>1455.1475438305899</v>
      </c>
      <c r="I2602" s="3">
        <v>54.46</v>
      </c>
      <c r="J2602" s="3">
        <v>54.73</v>
      </c>
      <c r="K2602" s="3">
        <v>53.16</v>
      </c>
      <c r="L2602" s="3">
        <v>1389.2073431966901</v>
      </c>
    </row>
    <row r="2603" spans="1:12" ht="15" customHeight="1" x14ac:dyDescent="0.2">
      <c r="A2603" s="2">
        <v>42272</v>
      </c>
      <c r="B2603" s="3">
        <v>54.54</v>
      </c>
      <c r="C2603" s="1">
        <v>409023</v>
      </c>
      <c r="D2603" s="3">
        <v>-0.45000000000000201</v>
      </c>
      <c r="E2603" s="3">
        <v>-0.81833060556465398</v>
      </c>
      <c r="F2603" s="3">
        <v>-0.81832979328894095</v>
      </c>
      <c r="G2603" s="3">
        <v>56.954967000000003</v>
      </c>
      <c r="H2603" s="3">
        <v>1487.15859071716</v>
      </c>
      <c r="I2603" s="3">
        <v>55.18</v>
      </c>
      <c r="J2603" s="3">
        <v>55.58</v>
      </c>
      <c r="K2603" s="3">
        <v>54.54</v>
      </c>
      <c r="L2603" s="3">
        <v>1419.8609374615901</v>
      </c>
    </row>
    <row r="2604" spans="1:12" ht="15" customHeight="1" x14ac:dyDescent="0.2">
      <c r="A2604" s="2">
        <v>42271</v>
      </c>
      <c r="B2604" s="3">
        <v>54.99</v>
      </c>
      <c r="C2604" s="1">
        <v>328173</v>
      </c>
      <c r="D2604" s="3">
        <v>0.149999999999998</v>
      </c>
      <c r="E2604" s="3">
        <v>0.27352297592997399</v>
      </c>
      <c r="F2604" s="3">
        <v>0.27352328733634101</v>
      </c>
      <c r="G2604" s="3">
        <v>57.424892</v>
      </c>
      <c r="H2604" s="3">
        <v>1500.2539455216499</v>
      </c>
      <c r="I2604" s="3">
        <v>54.54</v>
      </c>
      <c r="J2604" s="3">
        <v>55.07</v>
      </c>
      <c r="K2604" s="3">
        <v>54.32</v>
      </c>
      <c r="L2604" s="3">
        <v>1432.40104420632</v>
      </c>
    </row>
    <row r="2605" spans="1:12" ht="15" customHeight="1" x14ac:dyDescent="0.2">
      <c r="A2605" s="2">
        <v>42270</v>
      </c>
      <c r="B2605" s="3">
        <v>54.84</v>
      </c>
      <c r="C2605" s="1">
        <v>291900</v>
      </c>
      <c r="D2605" s="3">
        <v>0.21</v>
      </c>
      <c r="E2605" s="3">
        <v>0.38440417353102702</v>
      </c>
      <c r="F2605" s="3">
        <v>0.38440672440072099</v>
      </c>
      <c r="G2605" s="3">
        <v>57.268250000000002</v>
      </c>
      <c r="H2605" s="3">
        <v>1495.8888179645201</v>
      </c>
      <c r="I2605" s="3">
        <v>54.65</v>
      </c>
      <c r="J2605" s="3">
        <v>55.06</v>
      </c>
      <c r="K2605" s="3">
        <v>54.49</v>
      </c>
      <c r="L2605" s="3">
        <v>1428.2210086247501</v>
      </c>
    </row>
    <row r="2606" spans="1:12" ht="15" customHeight="1" x14ac:dyDescent="0.2">
      <c r="A2606" s="2">
        <v>42269</v>
      </c>
      <c r="B2606" s="3">
        <v>54.63</v>
      </c>
      <c r="C2606" s="1">
        <v>574951</v>
      </c>
      <c r="D2606" s="3">
        <v>0.39</v>
      </c>
      <c r="E2606" s="3">
        <v>0.71902654867257398</v>
      </c>
      <c r="F2606" s="3">
        <v>0.71902881411709496</v>
      </c>
      <c r="G2606" s="3">
        <v>57.048949999999998</v>
      </c>
      <c r="H2606" s="3">
        <v>1489.7776059442499</v>
      </c>
      <c r="I2606" s="3">
        <v>53.91</v>
      </c>
      <c r="J2606" s="3">
        <v>54.69</v>
      </c>
      <c r="K2606" s="3">
        <v>53.7</v>
      </c>
      <c r="L2606" s="3">
        <v>1422.3689588105401</v>
      </c>
    </row>
    <row r="2607" spans="1:12" ht="15" customHeight="1" x14ac:dyDescent="0.2">
      <c r="A2607" s="2">
        <v>42268</v>
      </c>
      <c r="B2607" s="3">
        <v>54.24</v>
      </c>
      <c r="C2607" s="1">
        <v>414911</v>
      </c>
      <c r="D2607" s="3">
        <v>0.60000000000000098</v>
      </c>
      <c r="E2607" s="3">
        <v>1.11856823266218</v>
      </c>
      <c r="F2607" s="3">
        <v>1.1185659641788901</v>
      </c>
      <c r="G2607" s="3">
        <v>56.641680000000001</v>
      </c>
      <c r="H2607" s="3">
        <v>1478.42825200219</v>
      </c>
      <c r="I2607" s="3">
        <v>54.01</v>
      </c>
      <c r="J2607" s="3">
        <v>54.56</v>
      </c>
      <c r="K2607" s="3">
        <v>53.77</v>
      </c>
      <c r="L2607" s="3">
        <v>1411.5008662984401</v>
      </c>
    </row>
    <row r="2608" spans="1:12" ht="15" customHeight="1" x14ac:dyDescent="0.2">
      <c r="A2608" s="2">
        <v>42265</v>
      </c>
      <c r="B2608" s="3">
        <v>53.64</v>
      </c>
      <c r="C2608" s="1">
        <v>687619</v>
      </c>
      <c r="D2608" s="3">
        <v>-0.33999999999999603</v>
      </c>
      <c r="E2608" s="3">
        <v>-0.62986291218969304</v>
      </c>
      <c r="F2608" s="3">
        <v>-0.62985976252297704</v>
      </c>
      <c r="G2608" s="3">
        <v>56.015113999999997</v>
      </c>
      <c r="H2608" s="3">
        <v>1460.9677975074801</v>
      </c>
      <c r="I2608" s="3">
        <v>53.48</v>
      </c>
      <c r="J2608" s="3">
        <v>54.2</v>
      </c>
      <c r="K2608" s="3">
        <v>53</v>
      </c>
      <c r="L2608" s="3">
        <v>1394.7807239721301</v>
      </c>
    </row>
    <row r="2609" spans="1:12" ht="15" customHeight="1" x14ac:dyDescent="0.2">
      <c r="A2609" s="2">
        <v>42264</v>
      </c>
      <c r="B2609" s="3">
        <v>53.98</v>
      </c>
      <c r="C2609" s="1">
        <v>714707</v>
      </c>
      <c r="D2609" s="3">
        <v>-0.160000000000003</v>
      </c>
      <c r="E2609" s="3">
        <v>-0.29553010712967098</v>
      </c>
      <c r="F2609" s="3">
        <v>-0.29553433918102501</v>
      </c>
      <c r="G2609" s="3">
        <v>56.370167000000002</v>
      </c>
      <c r="H2609" s="3">
        <v>1470.86202532978</v>
      </c>
      <c r="I2609" s="3">
        <v>54.22</v>
      </c>
      <c r="J2609" s="3">
        <v>54.66</v>
      </c>
      <c r="K2609" s="3">
        <v>53.91</v>
      </c>
      <c r="L2609" s="3">
        <v>1404.25547129037</v>
      </c>
    </row>
    <row r="2610" spans="1:12" ht="15" customHeight="1" x14ac:dyDescent="0.2">
      <c r="A2610" s="2">
        <v>42263</v>
      </c>
      <c r="B2610" s="3">
        <v>54.14</v>
      </c>
      <c r="C2610" s="1">
        <v>695993</v>
      </c>
      <c r="D2610" s="3">
        <v>-0.53999999999999904</v>
      </c>
      <c r="E2610" s="3">
        <v>-0.98756400877834105</v>
      </c>
      <c r="F2610" s="3">
        <v>-0.98756652359778196</v>
      </c>
      <c r="G2610" s="3">
        <v>56.537253999999997</v>
      </c>
      <c r="H2610" s="3">
        <v>1475.51822269791</v>
      </c>
      <c r="I2610" s="3">
        <v>54.51</v>
      </c>
      <c r="J2610" s="3">
        <v>54.53</v>
      </c>
      <c r="K2610" s="3">
        <v>53.84</v>
      </c>
      <c r="L2610" s="3">
        <v>1408.7141759107201</v>
      </c>
    </row>
    <row r="2611" spans="1:12" ht="15" customHeight="1" x14ac:dyDescent="0.2">
      <c r="A2611" s="2">
        <v>42262</v>
      </c>
      <c r="B2611" s="3">
        <v>54.68</v>
      </c>
      <c r="C2611" s="1">
        <v>458093</v>
      </c>
      <c r="D2611" s="3">
        <v>0.439999999999997</v>
      </c>
      <c r="E2611" s="3">
        <v>0.81120943952801505</v>
      </c>
      <c r="F2611" s="3">
        <v>0.81121534530754702</v>
      </c>
      <c r="G2611" s="3">
        <v>57.101165999999999</v>
      </c>
      <c r="H2611" s="3">
        <v>1491.2327041971</v>
      </c>
      <c r="I2611" s="3">
        <v>54.5</v>
      </c>
      <c r="J2611" s="3">
        <v>54.9</v>
      </c>
      <c r="K2611" s="3">
        <v>53.91</v>
      </c>
      <c r="L2611" s="3">
        <v>1423.7623040044</v>
      </c>
    </row>
    <row r="2612" spans="1:12" ht="15" customHeight="1" x14ac:dyDescent="0.2">
      <c r="A2612" s="2">
        <v>42261</v>
      </c>
      <c r="B2612" s="3">
        <v>54.24</v>
      </c>
      <c r="C2612" s="1">
        <v>211553</v>
      </c>
      <c r="D2612" s="3">
        <v>-0.109999999999999</v>
      </c>
      <c r="E2612" s="3">
        <v>-0.202391904323828</v>
      </c>
      <c r="F2612" s="3">
        <v>-0.202390737280533</v>
      </c>
      <c r="G2612" s="3">
        <v>56.641680000000001</v>
      </c>
      <c r="H2612" s="3">
        <v>1478.42825200219</v>
      </c>
      <c r="I2612" s="3">
        <v>54.45</v>
      </c>
      <c r="J2612" s="3">
        <v>54.65</v>
      </c>
      <c r="K2612" s="3">
        <v>54.09</v>
      </c>
      <c r="L2612" s="3">
        <v>1411.5008662984401</v>
      </c>
    </row>
    <row r="2613" spans="1:12" ht="15" customHeight="1" x14ac:dyDescent="0.2">
      <c r="A2613" s="2">
        <v>42258</v>
      </c>
      <c r="B2613" s="3">
        <v>54.35</v>
      </c>
      <c r="C2613" s="1">
        <v>240160</v>
      </c>
      <c r="D2613" s="3">
        <v>0.73000000000000398</v>
      </c>
      <c r="E2613" s="3">
        <v>1.36143230138008</v>
      </c>
      <c r="F2613" s="3">
        <v>1.3614259897850101</v>
      </c>
      <c r="G2613" s="3">
        <v>56.756549999999997</v>
      </c>
      <c r="H2613" s="3">
        <v>1481.62932325056</v>
      </c>
      <c r="I2613" s="3">
        <v>53.44</v>
      </c>
      <c r="J2613" s="3">
        <v>54.38</v>
      </c>
      <c r="K2613" s="3">
        <v>53.44</v>
      </c>
      <c r="L2613" s="3">
        <v>1414.5662257249301</v>
      </c>
    </row>
    <row r="2614" spans="1:12" ht="15" customHeight="1" x14ac:dyDescent="0.2">
      <c r="A2614" s="2">
        <v>42257</v>
      </c>
      <c r="B2614" s="3">
        <v>53.62</v>
      </c>
      <c r="C2614" s="1">
        <v>322813</v>
      </c>
      <c r="D2614" s="3">
        <v>-0.160000000000003</v>
      </c>
      <c r="E2614" s="3">
        <v>-0.29750836742283798</v>
      </c>
      <c r="F2614" s="3">
        <v>-0.297503733531012</v>
      </c>
      <c r="G2614" s="3">
        <v>55.994230000000002</v>
      </c>
      <c r="H2614" s="3">
        <v>1460.38582508691</v>
      </c>
      <c r="I2614" s="3">
        <v>53.7</v>
      </c>
      <c r="J2614" s="3">
        <v>54.353999999999999</v>
      </c>
      <c r="K2614" s="3">
        <v>53.48</v>
      </c>
      <c r="L2614" s="3">
        <v>1394.2233858945799</v>
      </c>
    </row>
    <row r="2615" spans="1:12" ht="15" customHeight="1" x14ac:dyDescent="0.2">
      <c r="A2615" s="2">
        <v>42256</v>
      </c>
      <c r="B2615" s="3">
        <v>53.78</v>
      </c>
      <c r="C2615" s="1">
        <v>425583</v>
      </c>
      <c r="D2615" s="3">
        <v>-0.25</v>
      </c>
      <c r="E2615" s="3">
        <v>-0.46270590412733598</v>
      </c>
      <c r="F2615" s="3">
        <v>-0.46270644865719002</v>
      </c>
      <c r="G2615" s="3">
        <v>56.161312000000002</v>
      </c>
      <c r="H2615" s="3">
        <v>1465.04188312052</v>
      </c>
      <c r="I2615" s="3">
        <v>54.66</v>
      </c>
      <c r="J2615" s="3">
        <v>54.79</v>
      </c>
      <c r="K2615" s="3">
        <v>53.74</v>
      </c>
      <c r="L2615" s="3">
        <v>1398.68209051493</v>
      </c>
    </row>
    <row r="2616" spans="1:12" ht="15" customHeight="1" x14ac:dyDescent="0.2">
      <c r="A2616" s="2">
        <v>42255</v>
      </c>
      <c r="B2616" s="3">
        <v>54.03</v>
      </c>
      <c r="C2616" s="1">
        <v>367958</v>
      </c>
      <c r="D2616" s="3">
        <v>0.57999999999999796</v>
      </c>
      <c r="E2616" s="3">
        <v>1.08512628624881</v>
      </c>
      <c r="F2616" s="3">
        <v>1.08511960863901</v>
      </c>
      <c r="G2616" s="3">
        <v>56.422381999999999</v>
      </c>
      <c r="H2616" s="3">
        <v>1472.3170957157299</v>
      </c>
      <c r="I2616" s="3">
        <v>54.1</v>
      </c>
      <c r="J2616" s="3">
        <v>54.2</v>
      </c>
      <c r="K2616" s="3">
        <v>53.68</v>
      </c>
      <c r="L2616" s="3">
        <v>1405.6488164842301</v>
      </c>
    </row>
    <row r="2617" spans="1:12" ht="15" customHeight="1" x14ac:dyDescent="0.2">
      <c r="A2617" s="2">
        <v>42251</v>
      </c>
      <c r="B2617" s="3">
        <v>53.45</v>
      </c>
      <c r="C2617" s="1">
        <v>405748</v>
      </c>
      <c r="D2617" s="3">
        <v>-5.9999999999995099E-2</v>
      </c>
      <c r="E2617" s="3">
        <v>-0.112128574098291</v>
      </c>
      <c r="F2617" s="3">
        <v>-0.112120118206082</v>
      </c>
      <c r="G2617" s="3">
        <v>55.816704000000001</v>
      </c>
      <c r="H2617" s="3">
        <v>1455.4387251092101</v>
      </c>
      <c r="I2617" s="3">
        <v>53.06</v>
      </c>
      <c r="J2617" s="3">
        <v>54.05</v>
      </c>
      <c r="K2617" s="3">
        <v>52.96</v>
      </c>
      <c r="L2617" s="3">
        <v>1389.4860122354601</v>
      </c>
    </row>
    <row r="2618" spans="1:12" ht="15" customHeight="1" x14ac:dyDescent="0.2">
      <c r="A2618" s="2">
        <v>42250</v>
      </c>
      <c r="B2618" s="3">
        <v>53.51</v>
      </c>
      <c r="C2618" s="1">
        <v>357498</v>
      </c>
      <c r="D2618" s="3">
        <v>-0.14000000000000001</v>
      </c>
      <c r="E2618" s="3">
        <v>-0.26095060577819801</v>
      </c>
      <c r="F2618" s="3">
        <v>-0.26095946207409498</v>
      </c>
      <c r="G2618" s="3">
        <v>55.879356000000001</v>
      </c>
      <c r="H2618" s="3">
        <v>1457.1846423709201</v>
      </c>
      <c r="I2618" s="3">
        <v>53.93</v>
      </c>
      <c r="J2618" s="3">
        <v>54.14</v>
      </c>
      <c r="K2618" s="3">
        <v>53.430100000000003</v>
      </c>
      <c r="L2618" s="3">
        <v>1391.1580264680899</v>
      </c>
    </row>
    <row r="2619" spans="1:12" ht="15" customHeight="1" x14ac:dyDescent="0.2">
      <c r="A2619" s="2">
        <v>42249</v>
      </c>
      <c r="B2619" s="3">
        <v>53.65</v>
      </c>
      <c r="C2619" s="1">
        <v>596509</v>
      </c>
      <c r="D2619" s="3">
        <v>0.90999999999999603</v>
      </c>
      <c r="E2619" s="3">
        <v>1.7254455821008501</v>
      </c>
      <c r="F2619" s="3">
        <v>1.7254497409218099</v>
      </c>
      <c r="G2619" s="3">
        <v>56.025559999999999</v>
      </c>
      <c r="H2619" s="3">
        <v>1461.25889518538</v>
      </c>
      <c r="I2619" s="3">
        <v>53.16</v>
      </c>
      <c r="J2619" s="3">
        <v>53.65</v>
      </c>
      <c r="K2619" s="3">
        <v>52.7</v>
      </c>
      <c r="L2619" s="3">
        <v>1395.0593930109001</v>
      </c>
    </row>
    <row r="2620" spans="1:12" ht="15" customHeight="1" x14ac:dyDescent="0.2">
      <c r="A2620" s="2">
        <v>42248</v>
      </c>
      <c r="B2620" s="3">
        <v>52.74</v>
      </c>
      <c r="C2620" s="1">
        <v>1286033</v>
      </c>
      <c r="D2620" s="3">
        <v>-1.53</v>
      </c>
      <c r="E2620" s="3">
        <v>-2.8192371475953499</v>
      </c>
      <c r="F2620" s="3">
        <v>-2.8192361760915801</v>
      </c>
      <c r="G2620" s="3">
        <v>55.075263999999997</v>
      </c>
      <c r="H2620" s="3">
        <v>1434.77708789851</v>
      </c>
      <c r="I2620" s="3">
        <v>53.52</v>
      </c>
      <c r="J2620" s="3">
        <v>54.45</v>
      </c>
      <c r="K2620" s="3">
        <v>52.64</v>
      </c>
      <c r="L2620" s="3">
        <v>1369.7005104826601</v>
      </c>
    </row>
    <row r="2621" spans="1:12" ht="15" customHeight="1" x14ac:dyDescent="0.2">
      <c r="A2621" s="2">
        <v>42247</v>
      </c>
      <c r="B2621" s="3">
        <v>54.27</v>
      </c>
      <c r="C2621" s="1">
        <v>806430</v>
      </c>
      <c r="D2621" s="3">
        <v>-1.25</v>
      </c>
      <c r="E2621" s="3">
        <v>-2.2514409221901999</v>
      </c>
      <c r="F2621" s="3">
        <v>-2.2514434695979602</v>
      </c>
      <c r="G2621" s="3">
        <v>56.673009999999998</v>
      </c>
      <c r="H2621" s="3">
        <v>1479.3013221006599</v>
      </c>
      <c r="I2621" s="3">
        <v>54.86</v>
      </c>
      <c r="J2621" s="3">
        <v>55.484999999999999</v>
      </c>
      <c r="K2621" s="3">
        <v>53.93</v>
      </c>
      <c r="L2621" s="3">
        <v>1412.33687341475</v>
      </c>
    </row>
    <row r="2622" spans="1:12" ht="15" customHeight="1" x14ac:dyDescent="0.2">
      <c r="A2622" s="2">
        <v>42244</v>
      </c>
      <c r="B2622" s="3">
        <v>55.52</v>
      </c>
      <c r="C2622" s="1">
        <v>994116</v>
      </c>
      <c r="D2622" s="3">
        <v>0.30000000000000399</v>
      </c>
      <c r="E2622" s="3">
        <v>0.54328141977544298</v>
      </c>
      <c r="F2622" s="3">
        <v>0.54328029424117696</v>
      </c>
      <c r="G2622" s="3">
        <v>57.978360000000002</v>
      </c>
      <c r="H2622" s="3">
        <v>1515.6773850767399</v>
      </c>
      <c r="I2622" s="3">
        <v>55.14</v>
      </c>
      <c r="J2622" s="3">
        <v>55.79</v>
      </c>
      <c r="K2622" s="3">
        <v>55.1</v>
      </c>
      <c r="L2622" s="3">
        <v>1447.1705032612299</v>
      </c>
    </row>
    <row r="2623" spans="1:12" ht="15" customHeight="1" x14ac:dyDescent="0.2">
      <c r="A2623" s="2">
        <v>42243</v>
      </c>
      <c r="B2623" s="3">
        <v>55.22</v>
      </c>
      <c r="C2623" s="1">
        <v>770224</v>
      </c>
      <c r="D2623" s="3">
        <v>1.3799999999999899</v>
      </c>
      <c r="E2623" s="3">
        <v>2.5631500742941902</v>
      </c>
      <c r="F2623" s="3">
        <v>2.56315411380589</v>
      </c>
      <c r="G2623" s="3">
        <v>57.665076999999997</v>
      </c>
      <c r="H2623" s="3">
        <v>1506.9471578293901</v>
      </c>
      <c r="I2623" s="3">
        <v>54.16</v>
      </c>
      <c r="J2623" s="3">
        <v>55.47</v>
      </c>
      <c r="K2623" s="3">
        <v>54.16</v>
      </c>
      <c r="L2623" s="3">
        <v>1438.8104320980799</v>
      </c>
    </row>
    <row r="2624" spans="1:12" ht="15" customHeight="1" x14ac:dyDescent="0.2">
      <c r="A2624" s="2">
        <v>42242</v>
      </c>
      <c r="B2624" s="3">
        <v>53.84</v>
      </c>
      <c r="C2624" s="1">
        <v>660790</v>
      </c>
      <c r="D2624" s="3">
        <v>0.89</v>
      </c>
      <c r="E2624" s="3">
        <v>1.6808309726156601</v>
      </c>
      <c r="F2624" s="3">
        <v>1.6808289089833299</v>
      </c>
      <c r="G2624" s="3">
        <v>56.223970000000001</v>
      </c>
      <c r="H2624" s="3">
        <v>1466.78796758365</v>
      </c>
      <c r="I2624" s="3">
        <v>53.91</v>
      </c>
      <c r="J2624" s="3">
        <v>54.13</v>
      </c>
      <c r="K2624" s="3">
        <v>52.75</v>
      </c>
      <c r="L2624" s="3">
        <v>1400.3541047475601</v>
      </c>
    </row>
    <row r="2625" spans="1:12" ht="15" customHeight="1" x14ac:dyDescent="0.2">
      <c r="A2625" s="2">
        <v>42241</v>
      </c>
      <c r="B2625" s="3">
        <v>52.95</v>
      </c>
      <c r="C2625" s="1">
        <v>705889</v>
      </c>
      <c r="D2625" s="3">
        <v>0.53000000000000103</v>
      </c>
      <c r="E2625" s="3">
        <v>1.0110644792064001</v>
      </c>
      <c r="F2625" s="3">
        <v>1.0110685952142</v>
      </c>
      <c r="G2625" s="3">
        <v>55.294562999999997</v>
      </c>
      <c r="H2625" s="3">
        <v>1440.88827205187</v>
      </c>
      <c r="I2625" s="3">
        <v>53.2</v>
      </c>
      <c r="J2625" s="3">
        <v>53.83</v>
      </c>
      <c r="K2625" s="3">
        <v>52.63</v>
      </c>
      <c r="L2625" s="3">
        <v>1375.5525602968701</v>
      </c>
    </row>
    <row r="2626" spans="1:12" ht="15" customHeight="1" x14ac:dyDescent="0.2">
      <c r="A2626" s="2">
        <v>42240</v>
      </c>
      <c r="B2626" s="3">
        <v>52.42</v>
      </c>
      <c r="C2626" s="1">
        <v>1162751</v>
      </c>
      <c r="D2626" s="3">
        <v>-1.5499999999999901</v>
      </c>
      <c r="E2626" s="3">
        <v>-2.8719659069853498</v>
      </c>
      <c r="F2626" s="3">
        <v>-2.8719674754983799</v>
      </c>
      <c r="G2626" s="3">
        <v>54.741092999999999</v>
      </c>
      <c r="H2626" s="3">
        <v>1425.4647767629699</v>
      </c>
      <c r="I2626" s="3">
        <v>51.8</v>
      </c>
      <c r="J2626" s="3">
        <v>54.32</v>
      </c>
      <c r="K2626" s="3">
        <v>50.02</v>
      </c>
      <c r="L2626" s="3">
        <v>1360.7831012419599</v>
      </c>
    </row>
    <row r="2627" spans="1:12" ht="15" customHeight="1" x14ac:dyDescent="0.2">
      <c r="A2627" s="2">
        <v>42237</v>
      </c>
      <c r="B2627" s="3">
        <v>53.97</v>
      </c>
      <c r="C2627" s="1">
        <v>724947</v>
      </c>
      <c r="D2627" s="3">
        <v>-1.24</v>
      </c>
      <c r="E2627" s="3">
        <v>-2.2459699329831602</v>
      </c>
      <c r="F2627" s="3">
        <v>-2.2459721493674101</v>
      </c>
      <c r="G2627" s="3">
        <v>56.359726000000002</v>
      </c>
      <c r="H2627" s="3">
        <v>1470.5710669864</v>
      </c>
      <c r="I2627" s="3">
        <v>54.39</v>
      </c>
      <c r="J2627" s="3">
        <v>54.84</v>
      </c>
      <c r="K2627" s="3">
        <v>53.74</v>
      </c>
      <c r="L2627" s="3">
        <v>1403.9768022516</v>
      </c>
    </row>
    <row r="2628" spans="1:12" ht="15" customHeight="1" x14ac:dyDescent="0.2">
      <c r="A2628" s="2">
        <v>42236</v>
      </c>
      <c r="B2628" s="3">
        <v>55.21</v>
      </c>
      <c r="C2628" s="1">
        <v>366948</v>
      </c>
      <c r="D2628" s="3">
        <v>-0.76999999999999602</v>
      </c>
      <c r="E2628" s="3">
        <v>-1.37549124687387</v>
      </c>
      <c r="F2628" s="3">
        <v>-1.3754867216142701</v>
      </c>
      <c r="G2628" s="3">
        <v>57.654632999999997</v>
      </c>
      <c r="H2628" s="3">
        <v>1506.6561158852901</v>
      </c>
      <c r="I2628" s="3">
        <v>55.47</v>
      </c>
      <c r="J2628" s="3">
        <v>55.89</v>
      </c>
      <c r="K2628" s="3">
        <v>55.13</v>
      </c>
      <c r="L2628" s="3">
        <v>1438.5317630592999</v>
      </c>
    </row>
    <row r="2629" spans="1:12" ht="15" customHeight="1" x14ac:dyDescent="0.2">
      <c r="A2629" s="2">
        <v>42235</v>
      </c>
      <c r="B2629" s="3">
        <v>55.98</v>
      </c>
      <c r="C2629" s="1">
        <v>495386</v>
      </c>
      <c r="D2629" s="3">
        <v>-0.510000000000005</v>
      </c>
      <c r="E2629" s="3">
        <v>-0.90281465746150302</v>
      </c>
      <c r="F2629" s="3">
        <v>-0.90281941526640896</v>
      </c>
      <c r="G2629" s="3">
        <v>58.458725000000001</v>
      </c>
      <c r="H2629" s="3">
        <v>1529.06367035771</v>
      </c>
      <c r="I2629" s="3">
        <v>56.49</v>
      </c>
      <c r="J2629" s="3">
        <v>56.625</v>
      </c>
      <c r="K2629" s="3">
        <v>55.75</v>
      </c>
      <c r="L2629" s="3">
        <v>1459.98927904474</v>
      </c>
    </row>
    <row r="2630" spans="1:12" ht="15" customHeight="1" x14ac:dyDescent="0.2">
      <c r="A2630" s="2">
        <v>42234</v>
      </c>
      <c r="B2630" s="3">
        <v>56.49</v>
      </c>
      <c r="C2630" s="1">
        <v>382117</v>
      </c>
      <c r="D2630" s="3">
        <v>-0.80999999999999495</v>
      </c>
      <c r="E2630" s="3">
        <v>-1.41361256544502</v>
      </c>
      <c r="F2630" s="3">
        <v>-1.4136078922044</v>
      </c>
      <c r="G2630" s="3">
        <v>58.991309999999999</v>
      </c>
      <c r="H2630" s="3">
        <v>1543.90516535914</v>
      </c>
      <c r="I2630" s="3">
        <v>57.3</v>
      </c>
      <c r="J2630" s="3">
        <v>57.57</v>
      </c>
      <c r="K2630" s="3">
        <v>56.27</v>
      </c>
      <c r="L2630" s="3">
        <v>1474.2014000221</v>
      </c>
    </row>
    <row r="2631" spans="1:12" ht="15" customHeight="1" x14ac:dyDescent="0.2">
      <c r="A2631" s="2">
        <v>42233</v>
      </c>
      <c r="B2631" s="3">
        <v>57.3</v>
      </c>
      <c r="C2631" s="1">
        <v>306424</v>
      </c>
      <c r="D2631" s="3">
        <v>0.19999999999999499</v>
      </c>
      <c r="E2631" s="3">
        <v>0.35026269702276203</v>
      </c>
      <c r="F2631" s="3">
        <v>0.35025806529513898</v>
      </c>
      <c r="G2631" s="3">
        <v>59.837173</v>
      </c>
      <c r="H2631" s="3">
        <v>1567.4767482734001</v>
      </c>
      <c r="I2631" s="3">
        <v>56.74</v>
      </c>
      <c r="J2631" s="3">
        <v>57.59</v>
      </c>
      <c r="K2631" s="3">
        <v>56.58</v>
      </c>
      <c r="L2631" s="3">
        <v>1496.7735921626199</v>
      </c>
    </row>
    <row r="2632" spans="1:12" ht="15" customHeight="1" x14ac:dyDescent="0.2">
      <c r="A2632" s="2">
        <v>42230</v>
      </c>
      <c r="B2632" s="3">
        <v>57.1</v>
      </c>
      <c r="C2632" s="1">
        <v>326150</v>
      </c>
      <c r="D2632" s="3">
        <v>3.0000000000001099E-2</v>
      </c>
      <c r="E2632" s="3">
        <v>5.2567022954263999E-2</v>
      </c>
      <c r="F2632" s="3">
        <v>5.2569769043708803E-2</v>
      </c>
      <c r="G2632" s="3">
        <v>59.628320000000002</v>
      </c>
      <c r="H2632" s="3">
        <v>1561.6566617979399</v>
      </c>
      <c r="I2632" s="3">
        <v>56.86</v>
      </c>
      <c r="J2632" s="3">
        <v>57.47</v>
      </c>
      <c r="K2632" s="3">
        <v>56.75</v>
      </c>
      <c r="L2632" s="3">
        <v>1491.2002113871799</v>
      </c>
    </row>
    <row r="2633" spans="1:12" ht="15" customHeight="1" x14ac:dyDescent="0.2">
      <c r="A2633" s="2">
        <v>42229</v>
      </c>
      <c r="B2633" s="3">
        <v>57.07</v>
      </c>
      <c r="C2633" s="1">
        <v>618958</v>
      </c>
      <c r="D2633" s="3">
        <v>0.64</v>
      </c>
      <c r="E2633" s="3">
        <v>1.1341485025695599</v>
      </c>
      <c r="F2633" s="3">
        <v>1.13414435021712</v>
      </c>
      <c r="G2633" s="3">
        <v>59.596989999999998</v>
      </c>
      <c r="H2633" s="3">
        <v>1560.78359169947</v>
      </c>
      <c r="I2633" s="3">
        <v>56.68</v>
      </c>
      <c r="J2633" s="3">
        <v>57.41</v>
      </c>
      <c r="K2633" s="3">
        <v>56.585000000000001</v>
      </c>
      <c r="L2633" s="3">
        <v>1490.36420427087</v>
      </c>
    </row>
    <row r="2634" spans="1:12" ht="15" customHeight="1" x14ac:dyDescent="0.2">
      <c r="A2634" s="2">
        <v>42228</v>
      </c>
      <c r="B2634" s="3">
        <v>56.43</v>
      </c>
      <c r="C2634" s="1">
        <v>524041</v>
      </c>
      <c r="D2634" s="3">
        <v>2.0000000000003099E-2</v>
      </c>
      <c r="E2634" s="3">
        <v>3.5454706612303398E-2</v>
      </c>
      <c r="F2634" s="3">
        <v>3.5452029503080199E-2</v>
      </c>
      <c r="G2634" s="3">
        <v>58.928654000000002</v>
      </c>
      <c r="H2634" s="3">
        <v>1542.1591366298101</v>
      </c>
      <c r="I2634" s="3">
        <v>55.96</v>
      </c>
      <c r="J2634" s="3">
        <v>56.49</v>
      </c>
      <c r="K2634" s="3">
        <v>55.34</v>
      </c>
      <c r="L2634" s="3">
        <v>1472.5293857894701</v>
      </c>
    </row>
    <row r="2635" spans="1:12" ht="15" customHeight="1" x14ac:dyDescent="0.2">
      <c r="A2635" s="2">
        <v>42227</v>
      </c>
      <c r="B2635" s="3">
        <v>56.41</v>
      </c>
      <c r="C2635" s="1">
        <v>736876</v>
      </c>
      <c r="D2635" s="3">
        <v>0.82999999999999796</v>
      </c>
      <c r="E2635" s="3">
        <v>1.4933429291111799</v>
      </c>
      <c r="F2635" s="3">
        <v>1.4933473941944799</v>
      </c>
      <c r="G2635" s="3">
        <v>58.907769999999999</v>
      </c>
      <c r="H2635" s="3">
        <v>1541.57716420924</v>
      </c>
      <c r="I2635" s="3">
        <v>55.54</v>
      </c>
      <c r="J2635" s="3">
        <v>56.44</v>
      </c>
      <c r="K2635" s="3">
        <v>55.18</v>
      </c>
      <c r="L2635" s="3">
        <v>1471.9720477119199</v>
      </c>
    </row>
    <row r="2636" spans="1:12" ht="15" customHeight="1" x14ac:dyDescent="0.2">
      <c r="A2636" s="2">
        <v>42226</v>
      </c>
      <c r="B2636" s="3">
        <v>55.58</v>
      </c>
      <c r="C2636" s="1">
        <v>843940</v>
      </c>
      <c r="D2636" s="3">
        <v>-0.94000000000000405</v>
      </c>
      <c r="E2636" s="3">
        <v>-1.6631280962491199</v>
      </c>
      <c r="F2636" s="3">
        <v>-1.66312463577532</v>
      </c>
      <c r="G2636" s="3">
        <v>58.041015999999999</v>
      </c>
      <c r="H2636" s="3">
        <v>1517.4234138060699</v>
      </c>
      <c r="I2636" s="3">
        <v>56.86</v>
      </c>
      <c r="J2636" s="3">
        <v>57.18</v>
      </c>
      <c r="K2636" s="3">
        <v>55.43</v>
      </c>
      <c r="L2636" s="3">
        <v>1448.84251749386</v>
      </c>
    </row>
    <row r="2637" spans="1:12" ht="15" customHeight="1" x14ac:dyDescent="0.2">
      <c r="A2637" s="2">
        <v>42223</v>
      </c>
      <c r="B2637" s="3">
        <v>56.52</v>
      </c>
      <c r="C2637" s="1">
        <v>612679</v>
      </c>
      <c r="D2637" s="3">
        <v>-4.9999999999997102E-2</v>
      </c>
      <c r="E2637" s="3">
        <v>-8.8386070355306295E-2</v>
      </c>
      <c r="F2637" s="3">
        <v>-8.8389557031820498E-2</v>
      </c>
      <c r="G2637" s="3">
        <v>59.022635999999999</v>
      </c>
      <c r="H2637" s="3">
        <v>1544.77812398999</v>
      </c>
      <c r="I2637" s="3">
        <v>56.34</v>
      </c>
      <c r="J2637" s="3">
        <v>56.54</v>
      </c>
      <c r="K2637" s="3">
        <v>55.66</v>
      </c>
      <c r="L2637" s="3">
        <v>1475.0374071384099</v>
      </c>
    </row>
    <row r="2638" spans="1:12" ht="15" customHeight="1" x14ac:dyDescent="0.2">
      <c r="A2638" s="2">
        <v>42222</v>
      </c>
      <c r="B2638" s="3">
        <v>56.57</v>
      </c>
      <c r="C2638" s="1">
        <v>727839</v>
      </c>
      <c r="D2638" s="3">
        <v>-1.6</v>
      </c>
      <c r="E2638" s="3">
        <v>-2.7505587072374</v>
      </c>
      <c r="F2638" s="3">
        <v>-2.7505569653764899</v>
      </c>
      <c r="G2638" s="3">
        <v>59.074852</v>
      </c>
      <c r="H2638" s="3">
        <v>1546.2332222428499</v>
      </c>
      <c r="I2638" s="3">
        <v>58.07</v>
      </c>
      <c r="J2638" s="3">
        <v>58.27</v>
      </c>
      <c r="K2638" s="3">
        <v>56.31</v>
      </c>
      <c r="L2638" s="3">
        <v>1476.43075233227</v>
      </c>
    </row>
    <row r="2639" spans="1:12" ht="15" customHeight="1" x14ac:dyDescent="0.2">
      <c r="A2639" s="2">
        <v>42221</v>
      </c>
      <c r="B2639" s="3">
        <v>58.17</v>
      </c>
      <c r="C2639" s="1">
        <v>406848</v>
      </c>
      <c r="D2639" s="3">
        <v>2.0000000000003099E-2</v>
      </c>
      <c r="E2639" s="3">
        <v>3.4393809114363599E-2</v>
      </c>
      <c r="F2639" s="3">
        <v>3.4396155377014397E-2</v>
      </c>
      <c r="G2639" s="3">
        <v>60.745697</v>
      </c>
      <c r="H2639" s="3">
        <v>1592.7944992515199</v>
      </c>
      <c r="I2639" s="3">
        <v>58.28</v>
      </c>
      <c r="J2639" s="3">
        <v>58.86</v>
      </c>
      <c r="K2639" s="3">
        <v>58.11</v>
      </c>
      <c r="L2639" s="3">
        <v>1521.01779853577</v>
      </c>
    </row>
    <row r="2640" spans="1:12" ht="15" customHeight="1" x14ac:dyDescent="0.2">
      <c r="A2640" s="2">
        <v>42220</v>
      </c>
      <c r="B2640" s="3">
        <v>58.15</v>
      </c>
      <c r="C2640" s="1">
        <v>576661</v>
      </c>
      <c r="D2640" s="3">
        <v>0.60999999999999899</v>
      </c>
      <c r="E2640" s="3">
        <v>1.0601320820298801</v>
      </c>
      <c r="F2640" s="3">
        <v>1.0601269612070701</v>
      </c>
      <c r="G2640" s="3">
        <v>60.724809999999998</v>
      </c>
      <c r="H2640" s="3">
        <v>1592.2124432302401</v>
      </c>
      <c r="I2640" s="3">
        <v>57.58</v>
      </c>
      <c r="J2640" s="3">
        <v>58.22</v>
      </c>
      <c r="K2640" s="3">
        <v>57.32</v>
      </c>
      <c r="L2640" s="3">
        <v>1520.46046045822</v>
      </c>
    </row>
    <row r="2641" spans="1:12" ht="15" customHeight="1" x14ac:dyDescent="0.2">
      <c r="A2641" s="2">
        <v>42219</v>
      </c>
      <c r="B2641" s="3">
        <v>57.54</v>
      </c>
      <c r="C2641" s="1">
        <v>647422</v>
      </c>
      <c r="D2641" s="3">
        <v>-0.20000000000000201</v>
      </c>
      <c r="E2641" s="3">
        <v>-0.34638032559750598</v>
      </c>
      <c r="F2641" s="3">
        <v>-6.6569245893432998E-6</v>
      </c>
      <c r="G2641" s="3">
        <v>60.087803000000001</v>
      </c>
      <c r="H2641" s="3">
        <v>1574.4610303921399</v>
      </c>
      <c r="I2641" s="3">
        <v>57.5</v>
      </c>
      <c r="J2641" s="3">
        <v>57.68</v>
      </c>
      <c r="K2641" s="3">
        <v>57.03</v>
      </c>
      <c r="L2641" s="3">
        <v>1503.4616490931401</v>
      </c>
    </row>
    <row r="2642" spans="1:12" ht="15" customHeight="1" x14ac:dyDescent="0.2">
      <c r="A2642" s="2">
        <v>42216</v>
      </c>
      <c r="B2642" s="3">
        <v>57.74</v>
      </c>
      <c r="C2642" s="1">
        <v>650154</v>
      </c>
      <c r="D2642" s="3"/>
      <c r="E2642" s="3"/>
      <c r="F2642" s="3"/>
      <c r="G2642" s="3">
        <v>60.087806999999998</v>
      </c>
      <c r="H2642" s="3">
        <v>1574.4611418597599</v>
      </c>
      <c r="I2642" s="3">
        <v>57.89</v>
      </c>
      <c r="J2642" s="3">
        <v>58.28</v>
      </c>
      <c r="K2642" s="3">
        <v>57.48</v>
      </c>
      <c r="L2642" s="3">
        <v>1509.0350298685801</v>
      </c>
    </row>
    <row r="2643" spans="1:12" ht="15" customHeight="1" x14ac:dyDescent="0.2">
      <c r="A2643" s="2">
        <v>42215</v>
      </c>
      <c r="B2643" s="3">
        <v>57.74</v>
      </c>
      <c r="C2643" s="1">
        <v>752627</v>
      </c>
      <c r="D2643" s="3">
        <v>0.87000000000000399</v>
      </c>
      <c r="E2643" s="3">
        <v>1.52980481800599</v>
      </c>
      <c r="F2643" s="3">
        <v>1.52981393496778</v>
      </c>
      <c r="G2643" s="3">
        <v>60.087806999999998</v>
      </c>
      <c r="H2643" s="3">
        <v>1574.4611418597599</v>
      </c>
      <c r="I2643" s="3">
        <v>56.88</v>
      </c>
      <c r="J2643" s="3">
        <v>57.98</v>
      </c>
      <c r="K2643" s="3">
        <v>56.255000000000003</v>
      </c>
      <c r="L2643" s="3">
        <v>1509.0350298685801</v>
      </c>
    </row>
    <row r="2644" spans="1:12" ht="15" customHeight="1" x14ac:dyDescent="0.2">
      <c r="A2644" s="2">
        <v>42214</v>
      </c>
      <c r="B2644" s="3">
        <v>56.87</v>
      </c>
      <c r="C2644" s="1">
        <v>807951</v>
      </c>
      <c r="D2644" s="3">
        <v>0.53999999999999904</v>
      </c>
      <c r="E2644" s="3">
        <v>0.95863660571631204</v>
      </c>
      <c r="F2644" s="3">
        <v>0.95862408213813699</v>
      </c>
      <c r="G2644" s="3">
        <v>59.182426</v>
      </c>
      <c r="H2644" s="3">
        <v>1549.2309765605301</v>
      </c>
      <c r="I2644" s="3">
        <v>56.5</v>
      </c>
      <c r="J2644" s="3">
        <v>57.44</v>
      </c>
      <c r="K2644" s="3">
        <v>56.5</v>
      </c>
      <c r="L2644" s="3">
        <v>1484.79082349543</v>
      </c>
    </row>
    <row r="2645" spans="1:12" ht="15" customHeight="1" x14ac:dyDescent="0.2">
      <c r="A2645" s="2">
        <v>42213</v>
      </c>
      <c r="B2645" s="3">
        <v>56.33</v>
      </c>
      <c r="C2645" s="1">
        <v>652863</v>
      </c>
      <c r="D2645" s="3">
        <v>0.42000000000000098</v>
      </c>
      <c r="E2645" s="3">
        <v>0.75120729744231296</v>
      </c>
      <c r="F2645" s="3">
        <v>0.75121260971451298</v>
      </c>
      <c r="G2645" s="3">
        <v>58.620475999999996</v>
      </c>
      <c r="H2645" s="3">
        <v>1533.5711699267499</v>
      </c>
      <c r="I2645" s="3">
        <v>55.95</v>
      </c>
      <c r="J2645" s="3">
        <v>56.43</v>
      </c>
      <c r="K2645" s="3">
        <v>55.3</v>
      </c>
      <c r="L2645" s="3">
        <v>1469.7426954017501</v>
      </c>
    </row>
    <row r="2646" spans="1:12" ht="15" customHeight="1" x14ac:dyDescent="0.2">
      <c r="A2646" s="2">
        <v>42212</v>
      </c>
      <c r="B2646" s="3">
        <v>55.91</v>
      </c>
      <c r="C2646" s="1">
        <v>630065</v>
      </c>
      <c r="D2646" s="3">
        <v>0.189999999999997</v>
      </c>
      <c r="E2646" s="3">
        <v>0.34099066762383001</v>
      </c>
      <c r="F2646" s="3">
        <v>0.34098942031712798</v>
      </c>
      <c r="G2646" s="3">
        <v>58.183394999999997</v>
      </c>
      <c r="H2646" s="3">
        <v>1521.3910757132001</v>
      </c>
      <c r="I2646" s="3">
        <v>55.71</v>
      </c>
      <c r="J2646" s="3">
        <v>56.39</v>
      </c>
      <c r="K2646" s="3">
        <v>55.39</v>
      </c>
      <c r="L2646" s="3">
        <v>1458.0385957733299</v>
      </c>
    </row>
    <row r="2647" spans="1:12" ht="15" customHeight="1" x14ac:dyDescent="0.2">
      <c r="A2647" s="2">
        <v>42209</v>
      </c>
      <c r="B2647" s="3">
        <v>55.72</v>
      </c>
      <c r="C2647" s="1">
        <v>772693</v>
      </c>
      <c r="D2647" s="3">
        <v>-0.75999999999999801</v>
      </c>
      <c r="E2647" s="3">
        <v>-1.3456090651557999</v>
      </c>
      <c r="F2647" s="3">
        <v>-1.3456042092963201</v>
      </c>
      <c r="G2647" s="3">
        <v>57.985669999999999</v>
      </c>
      <c r="H2647" s="3">
        <v>1515.88109214409</v>
      </c>
      <c r="I2647" s="3">
        <v>56.66</v>
      </c>
      <c r="J2647" s="3">
        <v>56.83</v>
      </c>
      <c r="K2647" s="3">
        <v>55.71</v>
      </c>
      <c r="L2647" s="3">
        <v>1452.7438840366699</v>
      </c>
    </row>
    <row r="2648" spans="1:12" ht="15" customHeight="1" x14ac:dyDescent="0.2">
      <c r="A2648" s="2">
        <v>42208</v>
      </c>
      <c r="B2648" s="3">
        <v>56.48</v>
      </c>
      <c r="C2648" s="1">
        <v>2356734</v>
      </c>
      <c r="D2648" s="3">
        <v>1.3599999999999901</v>
      </c>
      <c r="E2648" s="3">
        <v>2.4673439767779399</v>
      </c>
      <c r="F2648" s="3">
        <v>2.4673442551045301</v>
      </c>
      <c r="G2648" s="3">
        <v>58.77657</v>
      </c>
      <c r="H2648" s="3">
        <v>1537.9210264205501</v>
      </c>
      <c r="I2648" s="3">
        <v>56.84</v>
      </c>
      <c r="J2648" s="3">
        <v>58.1</v>
      </c>
      <c r="K2648" s="3">
        <v>56.01</v>
      </c>
      <c r="L2648" s="3">
        <v>1473.92273098333</v>
      </c>
    </row>
    <row r="2649" spans="1:12" ht="15" customHeight="1" x14ac:dyDescent="0.2">
      <c r="A2649" s="2">
        <v>42207</v>
      </c>
      <c r="B2649" s="3">
        <v>55.12</v>
      </c>
      <c r="C2649" s="1">
        <v>1625737</v>
      </c>
      <c r="D2649" s="3">
        <v>0.989999999999994</v>
      </c>
      <c r="E2649" s="3">
        <v>1.82893035285423</v>
      </c>
      <c r="F2649" s="3">
        <v>1.8289266817249099</v>
      </c>
      <c r="G2649" s="3">
        <v>57.361269999999998</v>
      </c>
      <c r="H2649" s="3">
        <v>1498.48099736317</v>
      </c>
      <c r="I2649" s="3">
        <v>54.27</v>
      </c>
      <c r="J2649" s="3">
        <v>55.47</v>
      </c>
      <c r="K2649" s="3">
        <v>54.2</v>
      </c>
      <c r="L2649" s="3">
        <v>1436.0237417103599</v>
      </c>
    </row>
    <row r="2650" spans="1:12" ht="15" customHeight="1" x14ac:dyDescent="0.2">
      <c r="A2650" s="2">
        <v>42206</v>
      </c>
      <c r="B2650" s="3">
        <v>54.13</v>
      </c>
      <c r="C2650" s="1">
        <v>549398</v>
      </c>
      <c r="D2650" s="3">
        <v>0.28000000000000103</v>
      </c>
      <c r="E2650" s="3">
        <v>0.51996285979574097</v>
      </c>
      <c r="F2650" s="3">
        <v>0.51996595980381399</v>
      </c>
      <c r="G2650" s="3">
        <v>56.331017000000003</v>
      </c>
      <c r="H2650" s="3">
        <v>1469.7710360429901</v>
      </c>
      <c r="I2650" s="3">
        <v>53.96</v>
      </c>
      <c r="J2650" s="3">
        <v>54.25</v>
      </c>
      <c r="K2650" s="3">
        <v>53.33</v>
      </c>
      <c r="L2650" s="3">
        <v>1408.4355068719501</v>
      </c>
    </row>
    <row r="2651" spans="1:12" ht="15" customHeight="1" x14ac:dyDescent="0.2">
      <c r="A2651" s="2">
        <v>42205</v>
      </c>
      <c r="B2651" s="3">
        <v>53.85</v>
      </c>
      <c r="C2651" s="1">
        <v>656172</v>
      </c>
      <c r="D2651" s="3">
        <v>0.310000000000002</v>
      </c>
      <c r="E2651" s="3">
        <v>0.57900635039223003</v>
      </c>
      <c r="F2651" s="3">
        <v>0.57900434240694099</v>
      </c>
      <c r="G2651" s="3">
        <v>56.039630000000002</v>
      </c>
      <c r="H2651" s="3">
        <v>1461.65098252293</v>
      </c>
      <c r="I2651" s="3">
        <v>53.59</v>
      </c>
      <c r="J2651" s="3">
        <v>54.14</v>
      </c>
      <c r="K2651" s="3">
        <v>53.39</v>
      </c>
      <c r="L2651" s="3">
        <v>1400.6327737863301</v>
      </c>
    </row>
    <row r="2652" spans="1:12" ht="15" customHeight="1" x14ac:dyDescent="0.2">
      <c r="A2652" s="2">
        <v>42202</v>
      </c>
      <c r="B2652" s="3">
        <v>53.54</v>
      </c>
      <c r="C2652" s="1">
        <v>584894</v>
      </c>
      <c r="D2652" s="3">
        <v>-0.380000000000002</v>
      </c>
      <c r="E2652" s="3">
        <v>-0.70474777448071801</v>
      </c>
      <c r="F2652" s="3">
        <v>-0.70474523348427098</v>
      </c>
      <c r="G2652" s="3">
        <v>55.717025999999997</v>
      </c>
      <c r="H2652" s="3">
        <v>1452.6610078645399</v>
      </c>
      <c r="I2652" s="3">
        <v>54.11</v>
      </c>
      <c r="J2652" s="3">
        <v>54.24</v>
      </c>
      <c r="K2652" s="3">
        <v>53.24</v>
      </c>
      <c r="L2652" s="3">
        <v>1391.9940335844101</v>
      </c>
    </row>
    <row r="2653" spans="1:12" ht="15" customHeight="1" x14ac:dyDescent="0.2">
      <c r="A2653" s="2">
        <v>42201</v>
      </c>
      <c r="B2653" s="3">
        <v>53.92</v>
      </c>
      <c r="C2653" s="1">
        <v>708507</v>
      </c>
      <c r="D2653" s="3">
        <v>-0.369999999999997</v>
      </c>
      <c r="E2653" s="3">
        <v>-0.68152514275188203</v>
      </c>
      <c r="F2653" s="3">
        <v>-0.68153075168391197</v>
      </c>
      <c r="G2653" s="3">
        <v>56.112476000000001</v>
      </c>
      <c r="H2653" s="3">
        <v>1463.6809750027701</v>
      </c>
      <c r="I2653" s="3">
        <v>54.09</v>
      </c>
      <c r="J2653" s="3">
        <v>54.33</v>
      </c>
      <c r="K2653" s="3">
        <v>53.74</v>
      </c>
      <c r="L2653" s="3">
        <v>1402.5834570577399</v>
      </c>
    </row>
    <row r="2654" spans="1:12" ht="15" customHeight="1" x14ac:dyDescent="0.2">
      <c r="A2654" s="2">
        <v>42200</v>
      </c>
      <c r="B2654" s="3">
        <v>54.29</v>
      </c>
      <c r="C2654" s="1">
        <v>585334</v>
      </c>
      <c r="D2654" s="3">
        <v>-0.369999999999997</v>
      </c>
      <c r="E2654" s="3">
        <v>-0.67691181851444704</v>
      </c>
      <c r="F2654" s="3">
        <v>-0.676913859553118</v>
      </c>
      <c r="G2654" s="3">
        <v>56.497523999999999</v>
      </c>
      <c r="H2654" s="3">
        <v>1474.41107060687</v>
      </c>
      <c r="I2654" s="3">
        <v>54.89</v>
      </c>
      <c r="J2654" s="3">
        <v>54.89</v>
      </c>
      <c r="K2654" s="3">
        <v>54.198799999999999</v>
      </c>
      <c r="L2654" s="3">
        <v>1412.8942114923</v>
      </c>
    </row>
    <row r="2655" spans="1:12" ht="15" customHeight="1" x14ac:dyDescent="0.2">
      <c r="A2655" s="2">
        <v>42199</v>
      </c>
      <c r="B2655" s="3">
        <v>54.66</v>
      </c>
      <c r="C2655" s="1">
        <v>554275</v>
      </c>
      <c r="D2655" s="3">
        <v>-0.310000000000002</v>
      </c>
      <c r="E2655" s="3">
        <v>-0.56394396943787395</v>
      </c>
      <c r="F2655" s="3">
        <v>-0.56394025764068201</v>
      </c>
      <c r="G2655" s="3">
        <v>56.882570000000001</v>
      </c>
      <c r="H2655" s="3">
        <v>1485.1411104771601</v>
      </c>
      <c r="I2655" s="3">
        <v>55.06</v>
      </c>
      <c r="J2655" s="3">
        <v>55.15</v>
      </c>
      <c r="K2655" s="3">
        <v>54.42</v>
      </c>
      <c r="L2655" s="3">
        <v>1423.20496592685</v>
      </c>
    </row>
    <row r="2656" spans="1:12" ht="15" customHeight="1" x14ac:dyDescent="0.2">
      <c r="A2656" s="2">
        <v>42198</v>
      </c>
      <c r="B2656" s="3">
        <v>54.97</v>
      </c>
      <c r="C2656" s="1">
        <v>712538</v>
      </c>
      <c r="D2656" s="3">
        <v>0.78999999999999904</v>
      </c>
      <c r="E2656" s="3">
        <v>1.4581026208933201</v>
      </c>
      <c r="F2656" s="3">
        <v>1.45810310013383</v>
      </c>
      <c r="G2656" s="3">
        <v>57.205173000000002</v>
      </c>
      <c r="H2656" s="3">
        <v>1494.13105726866</v>
      </c>
      <c r="I2656" s="3">
        <v>54.59</v>
      </c>
      <c r="J2656" s="3">
        <v>55.06</v>
      </c>
      <c r="K2656" s="3">
        <v>54.34</v>
      </c>
      <c r="L2656" s="3">
        <v>1431.84370612878</v>
      </c>
    </row>
    <row r="2657" spans="1:12" ht="15" customHeight="1" x14ac:dyDescent="0.2">
      <c r="A2657" s="2">
        <v>42195</v>
      </c>
      <c r="B2657" s="3">
        <v>54.18</v>
      </c>
      <c r="C2657" s="1">
        <v>508828</v>
      </c>
      <c r="D2657" s="3">
        <v>0.46</v>
      </c>
      <c r="E2657" s="3">
        <v>0.85629188384215205</v>
      </c>
      <c r="F2657" s="3">
        <v>0.856291208558279</v>
      </c>
      <c r="G2657" s="3">
        <v>56.383049999999997</v>
      </c>
      <c r="H2657" s="3">
        <v>1471.22103465243</v>
      </c>
      <c r="I2657" s="3">
        <v>54</v>
      </c>
      <c r="J2657" s="3">
        <v>54.314</v>
      </c>
      <c r="K2657" s="3">
        <v>53.78</v>
      </c>
      <c r="L2657" s="3">
        <v>1409.8288520658</v>
      </c>
    </row>
    <row r="2658" spans="1:12" ht="15" customHeight="1" x14ac:dyDescent="0.2">
      <c r="A2658" s="2">
        <v>42194</v>
      </c>
      <c r="B2658" s="3">
        <v>53.72</v>
      </c>
      <c r="C2658" s="1">
        <v>439515</v>
      </c>
      <c r="D2658" s="3">
        <v>-0.25</v>
      </c>
      <c r="E2658" s="3">
        <v>-0.46322030757828198</v>
      </c>
      <c r="F2658" s="3">
        <v>-0.463223103171928</v>
      </c>
      <c r="G2658" s="3">
        <v>55.904345999999997</v>
      </c>
      <c r="H2658" s="3">
        <v>1457.8810362988099</v>
      </c>
      <c r="I2658" s="3">
        <v>54.31</v>
      </c>
      <c r="J2658" s="3">
        <v>54.74</v>
      </c>
      <c r="K2658" s="3">
        <v>53.63</v>
      </c>
      <c r="L2658" s="3">
        <v>1397.0100762822999</v>
      </c>
    </row>
    <row r="2659" spans="1:12" ht="15" customHeight="1" x14ac:dyDescent="0.2">
      <c r="A2659" s="2">
        <v>42193</v>
      </c>
      <c r="B2659" s="3">
        <v>53.97</v>
      </c>
      <c r="C2659" s="1">
        <v>706222</v>
      </c>
      <c r="D2659" s="3">
        <v>-0.41499999999999898</v>
      </c>
      <c r="E2659" s="3">
        <v>-0.76307805461064404</v>
      </c>
      <c r="F2659" s="3">
        <v>-0.76306821167473304</v>
      </c>
      <c r="G2659" s="3">
        <v>56.164512999999999</v>
      </c>
      <c r="H2659" s="3">
        <v>1465.13108507983</v>
      </c>
      <c r="I2659" s="3">
        <v>54</v>
      </c>
      <c r="J2659" s="3">
        <v>54.66</v>
      </c>
      <c r="K2659" s="3">
        <v>53.65</v>
      </c>
      <c r="L2659" s="3">
        <v>1403.9768022516</v>
      </c>
    </row>
    <row r="2660" spans="1:12" ht="15" customHeight="1" x14ac:dyDescent="0.2">
      <c r="A2660" s="2">
        <v>42192</v>
      </c>
      <c r="B2660" s="3">
        <v>54.384999999999998</v>
      </c>
      <c r="C2660" s="1">
        <v>475138</v>
      </c>
      <c r="D2660" s="3">
        <v>0.64499999999999602</v>
      </c>
      <c r="E2660" s="3">
        <v>1.2002232973576401</v>
      </c>
      <c r="F2660" s="3">
        <v>1.20021471552338</v>
      </c>
      <c r="G2660" s="3">
        <v>56.596381999999998</v>
      </c>
      <c r="H2660" s="3">
        <v>1477.16593699036</v>
      </c>
      <c r="I2660" s="3">
        <v>53.87</v>
      </c>
      <c r="J2660" s="3">
        <v>54.43</v>
      </c>
      <c r="K2660" s="3">
        <v>53.39</v>
      </c>
      <c r="L2660" s="3">
        <v>1415.5415673606301</v>
      </c>
    </row>
    <row r="2661" spans="1:12" ht="15" customHeight="1" x14ac:dyDescent="0.2">
      <c r="A2661" s="2">
        <v>42191</v>
      </c>
      <c r="B2661" s="3">
        <v>53.74</v>
      </c>
      <c r="C2661" s="1">
        <v>493793</v>
      </c>
      <c r="D2661" s="3">
        <v>-0.14000000000000001</v>
      </c>
      <c r="E2661" s="3">
        <v>-0.25983667409057398</v>
      </c>
      <c r="F2661" s="3">
        <v>-0.25983198043190098</v>
      </c>
      <c r="G2661" s="3">
        <v>55.925159999999998</v>
      </c>
      <c r="H2661" s="3">
        <v>1458.46105803611</v>
      </c>
      <c r="I2661" s="3">
        <v>53.68</v>
      </c>
      <c r="J2661" s="3">
        <v>54</v>
      </c>
      <c r="K2661" s="3">
        <v>53.4</v>
      </c>
      <c r="L2661" s="3">
        <v>1397.5674143598401</v>
      </c>
    </row>
    <row r="2662" spans="1:12" ht="15" customHeight="1" x14ac:dyDescent="0.2">
      <c r="A2662" s="2">
        <v>42187</v>
      </c>
      <c r="B2662" s="3">
        <v>53.88</v>
      </c>
      <c r="C2662" s="1">
        <v>556129</v>
      </c>
      <c r="D2662" s="3">
        <v>0.17999999999999899</v>
      </c>
      <c r="E2662" s="3">
        <v>0.33519553072625102</v>
      </c>
      <c r="F2662" s="3">
        <v>0.33519176391369998</v>
      </c>
      <c r="G2662" s="3">
        <v>56.07085</v>
      </c>
      <c r="H2662" s="3">
        <v>1462.5209872619801</v>
      </c>
      <c r="I2662" s="3">
        <v>53.73</v>
      </c>
      <c r="J2662" s="3">
        <v>54.405099999999997</v>
      </c>
      <c r="K2662" s="3">
        <v>53.7</v>
      </c>
      <c r="L2662" s="3">
        <v>1401.46878090265</v>
      </c>
    </row>
    <row r="2663" spans="1:12" ht="15" customHeight="1" x14ac:dyDescent="0.2">
      <c r="A2663" s="2">
        <v>42186</v>
      </c>
      <c r="B2663" s="3">
        <v>53.7</v>
      </c>
      <c r="C2663" s="1">
        <v>945842</v>
      </c>
      <c r="D2663" s="3">
        <v>-0.83499999999999297</v>
      </c>
      <c r="E2663" s="3">
        <v>-1.5311267993031801</v>
      </c>
      <c r="F2663" s="3">
        <v>-1.53112243564743</v>
      </c>
      <c r="G2663" s="3">
        <v>55.883533</v>
      </c>
      <c r="H2663" s="3">
        <v>1457.30104242842</v>
      </c>
      <c r="I2663" s="3">
        <v>53.98</v>
      </c>
      <c r="J2663" s="3">
        <v>54.6</v>
      </c>
      <c r="K2663" s="3">
        <v>53.54</v>
      </c>
      <c r="L2663" s="3">
        <v>1396.45273820476</v>
      </c>
    </row>
    <row r="2664" spans="1:12" ht="15" customHeight="1" x14ac:dyDescent="0.2">
      <c r="A2664" s="2">
        <v>42185</v>
      </c>
      <c r="B2664" s="3">
        <v>54.534999999999997</v>
      </c>
      <c r="C2664" s="1">
        <v>414201</v>
      </c>
      <c r="D2664" s="3">
        <v>0.364999999999994</v>
      </c>
      <c r="E2664" s="3">
        <v>0.67380468894220302</v>
      </c>
      <c r="F2664" s="3">
        <v>0.673802007118951</v>
      </c>
      <c r="G2664" s="3">
        <v>56.752482999999998</v>
      </c>
      <c r="H2664" s="3">
        <v>1481.5159885524899</v>
      </c>
      <c r="I2664" s="3">
        <v>54.61</v>
      </c>
      <c r="J2664" s="3">
        <v>54.7</v>
      </c>
      <c r="K2664" s="3">
        <v>54.15</v>
      </c>
      <c r="L2664" s="3">
        <v>1419.72160294221</v>
      </c>
    </row>
    <row r="2665" spans="1:12" ht="15" customHeight="1" x14ac:dyDescent="0.2">
      <c r="A2665" s="2">
        <v>42184</v>
      </c>
      <c r="B2665" s="3">
        <v>54.17</v>
      </c>
      <c r="C2665" s="1">
        <v>332050</v>
      </c>
      <c r="D2665" s="3">
        <v>-1.1599999999999899</v>
      </c>
      <c r="E2665" s="3">
        <v>-2.0965118380625301</v>
      </c>
      <c r="F2665" s="3">
        <v>-2.0965109124187902</v>
      </c>
      <c r="G2665" s="3">
        <v>56.372642999999997</v>
      </c>
      <c r="H2665" s="3">
        <v>1470.9310237837799</v>
      </c>
      <c r="I2665" s="3">
        <v>54.93</v>
      </c>
      <c r="J2665" s="3">
        <v>55.1</v>
      </c>
      <c r="K2665" s="3">
        <v>54.1</v>
      </c>
      <c r="L2665" s="3">
        <v>1409.55018302703</v>
      </c>
    </row>
    <row r="2666" spans="1:12" ht="15" customHeight="1" x14ac:dyDescent="0.2">
      <c r="A2666" s="2">
        <v>42181</v>
      </c>
      <c r="B2666" s="3">
        <v>55.33</v>
      </c>
      <c r="C2666" s="1">
        <v>807489</v>
      </c>
      <c r="D2666" s="3">
        <v>0.53999999999999904</v>
      </c>
      <c r="E2666" s="3">
        <v>0.98558131045811603</v>
      </c>
      <c r="F2666" s="3">
        <v>0.98558077940955602</v>
      </c>
      <c r="G2666" s="3">
        <v>57.579810000000002</v>
      </c>
      <c r="H2666" s="3">
        <v>1504.5710305364901</v>
      </c>
      <c r="I2666" s="3">
        <v>54.95</v>
      </c>
      <c r="J2666" s="3">
        <v>55.47</v>
      </c>
      <c r="K2666" s="3">
        <v>54.77</v>
      </c>
      <c r="L2666" s="3">
        <v>1441.8757915245701</v>
      </c>
    </row>
    <row r="2667" spans="1:12" ht="15" customHeight="1" x14ac:dyDescent="0.2">
      <c r="A2667" s="2">
        <v>42180</v>
      </c>
      <c r="B2667" s="3">
        <v>54.79</v>
      </c>
      <c r="C2667" s="1">
        <v>377901</v>
      </c>
      <c r="D2667" s="3">
        <v>0.28000000000000103</v>
      </c>
      <c r="E2667" s="3">
        <v>0.513667217024393</v>
      </c>
      <c r="F2667" s="3">
        <v>0.51366851385263801</v>
      </c>
      <c r="G2667" s="3">
        <v>57.017853000000002</v>
      </c>
      <c r="H2667" s="3">
        <v>1488.91102883438</v>
      </c>
      <c r="I2667" s="3">
        <v>54.85</v>
      </c>
      <c r="J2667" s="3">
        <v>54.99</v>
      </c>
      <c r="K2667" s="3">
        <v>54.3</v>
      </c>
      <c r="L2667" s="3">
        <v>1426.82766343089</v>
      </c>
    </row>
    <row r="2668" spans="1:12" ht="15" customHeight="1" x14ac:dyDescent="0.2">
      <c r="A2668" s="2">
        <v>42179</v>
      </c>
      <c r="B2668" s="3">
        <v>54.51</v>
      </c>
      <c r="C2668" s="1">
        <v>364299</v>
      </c>
      <c r="D2668" s="3">
        <v>-0.130000000000002</v>
      </c>
      <c r="E2668" s="3">
        <v>-0.237920937042468</v>
      </c>
      <c r="F2668" s="3">
        <v>-0.23791564628242701</v>
      </c>
      <c r="G2668" s="3">
        <v>56.726467</v>
      </c>
      <c r="H2668" s="3">
        <v>1480.7910031812301</v>
      </c>
      <c r="I2668" s="3">
        <v>54.43</v>
      </c>
      <c r="J2668" s="3">
        <v>54.86</v>
      </c>
      <c r="K2668" s="3">
        <v>54.43</v>
      </c>
      <c r="L2668" s="3">
        <v>1419.0249303452799</v>
      </c>
    </row>
    <row r="2669" spans="1:12" ht="15" customHeight="1" x14ac:dyDescent="0.2">
      <c r="A2669" s="2">
        <v>42178</v>
      </c>
      <c r="B2669" s="3">
        <v>54.64</v>
      </c>
      <c r="C2669" s="1">
        <v>568365</v>
      </c>
      <c r="D2669" s="3">
        <v>-0.505000000000002</v>
      </c>
      <c r="E2669" s="3">
        <v>-0.91576752198748701</v>
      </c>
      <c r="F2669" s="3">
        <v>-0.91577251247301195</v>
      </c>
      <c r="G2669" s="3">
        <v>56.861750000000001</v>
      </c>
      <c r="H2669" s="3">
        <v>1484.56092153844</v>
      </c>
      <c r="I2669" s="3">
        <v>55.39</v>
      </c>
      <c r="J2669" s="3">
        <v>55.48</v>
      </c>
      <c r="K2669" s="3">
        <v>54.4</v>
      </c>
      <c r="L2669" s="3">
        <v>1422.6476278493101</v>
      </c>
    </row>
    <row r="2670" spans="1:12" ht="15" customHeight="1" x14ac:dyDescent="0.2">
      <c r="A2670" s="2">
        <v>42177</v>
      </c>
      <c r="B2670" s="3">
        <v>55.145000000000003</v>
      </c>
      <c r="C2670" s="1">
        <v>355971</v>
      </c>
      <c r="D2670" s="3">
        <v>0.27500000000000502</v>
      </c>
      <c r="E2670" s="3">
        <v>0.50118461818846605</v>
      </c>
      <c r="F2670" s="3">
        <v>0.50118469686357603</v>
      </c>
      <c r="G2670" s="3">
        <v>57.387287000000001</v>
      </c>
      <c r="H2670" s="3">
        <v>1499.20601060135</v>
      </c>
      <c r="I2670" s="3">
        <v>55.14</v>
      </c>
      <c r="J2670" s="3">
        <v>55.247700000000002</v>
      </c>
      <c r="K2670" s="3">
        <v>54.77</v>
      </c>
      <c r="L2670" s="3">
        <v>1436.72041430729</v>
      </c>
    </row>
    <row r="2671" spans="1:12" ht="15" customHeight="1" x14ac:dyDescent="0.2">
      <c r="A2671" s="2">
        <v>42174</v>
      </c>
      <c r="B2671" s="3">
        <v>54.87</v>
      </c>
      <c r="C2671" s="1">
        <v>660491</v>
      </c>
      <c r="D2671" s="3">
        <v>-7.0000000000000201E-2</v>
      </c>
      <c r="E2671" s="3">
        <v>-0.12741172187841199</v>
      </c>
      <c r="F2671" s="3">
        <v>-0.127409423347524</v>
      </c>
      <c r="G2671" s="3">
        <v>57.101104999999997</v>
      </c>
      <c r="H2671" s="3">
        <v>1491.23100431597</v>
      </c>
      <c r="I2671" s="3">
        <v>55.09</v>
      </c>
      <c r="J2671" s="3">
        <v>55.14</v>
      </c>
      <c r="K2671" s="3">
        <v>54.594999999999999</v>
      </c>
      <c r="L2671" s="3">
        <v>1429.05701574106</v>
      </c>
    </row>
    <row r="2672" spans="1:12" ht="15" customHeight="1" x14ac:dyDescent="0.2">
      <c r="A2672" s="2">
        <v>42173</v>
      </c>
      <c r="B2672" s="3">
        <v>54.94</v>
      </c>
      <c r="C2672" s="1">
        <v>470181</v>
      </c>
      <c r="D2672" s="3">
        <v>0.109999999999999</v>
      </c>
      <c r="E2672" s="3">
        <v>0.200620098486226</v>
      </c>
      <c r="F2672" s="3">
        <v>0.20060994944521801</v>
      </c>
      <c r="G2672" s="3">
        <v>57.173949999999998</v>
      </c>
      <c r="H2672" s="3">
        <v>1493.2609689289</v>
      </c>
      <c r="I2672" s="3">
        <v>54.77</v>
      </c>
      <c r="J2672" s="3">
        <v>55.21</v>
      </c>
      <c r="K2672" s="3">
        <v>54.67</v>
      </c>
      <c r="L2672" s="3">
        <v>1431.0076990124601</v>
      </c>
    </row>
    <row r="2673" spans="1:12" ht="15" customHeight="1" x14ac:dyDescent="0.2">
      <c r="A2673" s="2">
        <v>42172</v>
      </c>
      <c r="B2673" s="3">
        <v>54.83</v>
      </c>
      <c r="C2673" s="1">
        <v>522381.99999999901</v>
      </c>
      <c r="D2673" s="3">
        <v>0.26999999999999602</v>
      </c>
      <c r="E2673" s="3">
        <v>0.49486803519060901</v>
      </c>
      <c r="F2673" s="3">
        <v>0.49487039135216399</v>
      </c>
      <c r="G2673" s="3">
        <v>57.059483</v>
      </c>
      <c r="H2673" s="3">
        <v>1490.07112804279</v>
      </c>
      <c r="I2673" s="3">
        <v>54.76</v>
      </c>
      <c r="J2673" s="3">
        <v>54.96</v>
      </c>
      <c r="K2673" s="3">
        <v>54.4</v>
      </c>
      <c r="L2673" s="3">
        <v>1427.9423395859701</v>
      </c>
    </row>
    <row r="2674" spans="1:12" ht="15" customHeight="1" x14ac:dyDescent="0.2">
      <c r="A2674" s="2">
        <v>42171</v>
      </c>
      <c r="B2674" s="3">
        <v>54.56</v>
      </c>
      <c r="C2674" s="1">
        <v>725244</v>
      </c>
      <c r="D2674" s="3">
        <v>0.46</v>
      </c>
      <c r="E2674" s="3">
        <v>0.85027726432531603</v>
      </c>
      <c r="F2674" s="3">
        <v>0.85028731810790004</v>
      </c>
      <c r="G2674" s="3">
        <v>56.778503000000001</v>
      </c>
      <c r="H2674" s="3">
        <v>1482.24108539138</v>
      </c>
      <c r="I2674" s="3">
        <v>54.21</v>
      </c>
      <c r="J2674" s="3">
        <v>54.59</v>
      </c>
      <c r="K2674" s="3">
        <v>53.84</v>
      </c>
      <c r="L2674" s="3">
        <v>1420.41827553913</v>
      </c>
    </row>
    <row r="2675" spans="1:12" ht="15" customHeight="1" x14ac:dyDescent="0.2">
      <c r="A2675" s="2">
        <v>42170</v>
      </c>
      <c r="B2675" s="3">
        <v>54.1</v>
      </c>
      <c r="C2675" s="1">
        <v>1262533</v>
      </c>
      <c r="D2675" s="3">
        <v>-0.26999999999999602</v>
      </c>
      <c r="E2675" s="3">
        <v>-0.49659738826558403</v>
      </c>
      <c r="F2675" s="3">
        <v>-0.496598031571582</v>
      </c>
      <c r="G2675" s="3">
        <v>56.299793000000001</v>
      </c>
      <c r="H2675" s="3">
        <v>1468.9009198363301</v>
      </c>
      <c r="I2675" s="3">
        <v>53.9</v>
      </c>
      <c r="J2675" s="3">
        <v>54.37</v>
      </c>
      <c r="K2675" s="3">
        <v>53.34</v>
      </c>
      <c r="L2675" s="3">
        <v>1407.5994997556299</v>
      </c>
    </row>
    <row r="2676" spans="1:12" ht="15" customHeight="1" x14ac:dyDescent="0.2">
      <c r="A2676" s="2">
        <v>42167</v>
      </c>
      <c r="B2676" s="3">
        <v>54.37</v>
      </c>
      <c r="C2676" s="1">
        <v>1624043</v>
      </c>
      <c r="D2676" s="3">
        <v>0.58999999999999597</v>
      </c>
      <c r="E2676" s="3">
        <v>1.09706210487168</v>
      </c>
      <c r="F2676" s="3">
        <v>1.0970650803923301</v>
      </c>
      <c r="G2676" s="3">
        <v>56.580772000000003</v>
      </c>
      <c r="H2676" s="3">
        <v>1476.7309346208399</v>
      </c>
      <c r="I2676" s="3">
        <v>53.8</v>
      </c>
      <c r="J2676" s="3">
        <v>54.68</v>
      </c>
      <c r="K2676" s="3">
        <v>53.572000000000003</v>
      </c>
      <c r="L2676" s="3">
        <v>1415.12356380247</v>
      </c>
    </row>
    <row r="2677" spans="1:12" ht="15" customHeight="1" x14ac:dyDescent="0.2">
      <c r="A2677" s="2">
        <v>42166</v>
      </c>
      <c r="B2677" s="3">
        <v>53.78</v>
      </c>
      <c r="C2677" s="1">
        <v>460239</v>
      </c>
      <c r="D2677" s="3">
        <v>0.35999999999999899</v>
      </c>
      <c r="E2677" s="3">
        <v>0.67390490453014196</v>
      </c>
      <c r="F2677" s="3">
        <v>0.67390097420960604</v>
      </c>
      <c r="G2677" s="3">
        <v>55.96678</v>
      </c>
      <c r="H2677" s="3">
        <v>1459.62087857548</v>
      </c>
      <c r="I2677" s="3">
        <v>53.61</v>
      </c>
      <c r="J2677" s="3">
        <v>54.04</v>
      </c>
      <c r="K2677" s="3">
        <v>53.29</v>
      </c>
      <c r="L2677" s="3">
        <v>1398.68209051493</v>
      </c>
    </row>
    <row r="2678" spans="1:12" ht="15" customHeight="1" x14ac:dyDescent="0.2">
      <c r="A2678" s="2">
        <v>42165</v>
      </c>
      <c r="B2678" s="3">
        <v>53.42</v>
      </c>
      <c r="C2678" s="1">
        <v>600316</v>
      </c>
      <c r="D2678" s="3">
        <v>0.60999999999999899</v>
      </c>
      <c r="E2678" s="3">
        <v>1.1550842643438699</v>
      </c>
      <c r="F2678" s="3">
        <v>1.1550776544077399</v>
      </c>
      <c r="G2678" s="3">
        <v>55.592143999999998</v>
      </c>
      <c r="H2678" s="3">
        <v>1449.1809331745501</v>
      </c>
      <c r="I2678" s="3">
        <v>52.86</v>
      </c>
      <c r="J2678" s="3">
        <v>53.85</v>
      </c>
      <c r="K2678" s="3">
        <v>52.46</v>
      </c>
      <c r="L2678" s="3">
        <v>1388.6500051191499</v>
      </c>
    </row>
    <row r="2679" spans="1:12" ht="15" customHeight="1" x14ac:dyDescent="0.2">
      <c r="A2679" s="2">
        <v>42164</v>
      </c>
      <c r="B2679" s="3">
        <v>52.81</v>
      </c>
      <c r="C2679" s="1">
        <v>334186</v>
      </c>
      <c r="D2679" s="3">
        <v>0.130000000000002</v>
      </c>
      <c r="E2679" s="3">
        <v>0.24677296886863501</v>
      </c>
      <c r="F2679" s="3">
        <v>0.24677658933476199</v>
      </c>
      <c r="G2679" s="3">
        <v>54.957343999999999</v>
      </c>
      <c r="H2679" s="3">
        <v>1431.4910225933099</v>
      </c>
      <c r="I2679" s="3">
        <v>52.53</v>
      </c>
      <c r="J2679" s="3">
        <v>52.93</v>
      </c>
      <c r="K2679" s="3">
        <v>52.28</v>
      </c>
      <c r="L2679" s="3">
        <v>1371.6511937540599</v>
      </c>
    </row>
    <row r="2680" spans="1:12" ht="15" customHeight="1" x14ac:dyDescent="0.2">
      <c r="A2680" s="2">
        <v>42163</v>
      </c>
      <c r="B2680" s="3">
        <v>52.68</v>
      </c>
      <c r="C2680" s="1">
        <v>590279</v>
      </c>
      <c r="D2680" s="3">
        <v>-0.22999999999999601</v>
      </c>
      <c r="E2680" s="3">
        <v>-0.43470043470043002</v>
      </c>
      <c r="F2680" s="3">
        <v>-0.43470372444148703</v>
      </c>
      <c r="G2680" s="3">
        <v>54.822056000000003</v>
      </c>
      <c r="H2680" s="3">
        <v>1427.7209649015699</v>
      </c>
      <c r="I2680" s="3">
        <v>52.72</v>
      </c>
      <c r="J2680" s="3">
        <v>53.23</v>
      </c>
      <c r="K2680" s="3">
        <v>52.64</v>
      </c>
      <c r="L2680" s="3">
        <v>1368.02849625003</v>
      </c>
    </row>
    <row r="2681" spans="1:12" ht="15" customHeight="1" x14ac:dyDescent="0.2">
      <c r="A2681" s="2">
        <v>42160</v>
      </c>
      <c r="B2681" s="3">
        <v>52.91</v>
      </c>
      <c r="C2681" s="1">
        <v>690679</v>
      </c>
      <c r="D2681" s="3">
        <v>1.03999999999999</v>
      </c>
      <c r="E2681" s="3">
        <v>2.0050125313283198</v>
      </c>
      <c r="F2681" s="3">
        <v>2.0050160135993198</v>
      </c>
      <c r="G2681" s="3">
        <v>55.061410000000002</v>
      </c>
      <c r="H2681" s="3">
        <v>1434.3910198121901</v>
      </c>
      <c r="I2681" s="3">
        <v>51.98</v>
      </c>
      <c r="J2681" s="3">
        <v>53.01</v>
      </c>
      <c r="K2681" s="3">
        <v>51.31</v>
      </c>
      <c r="L2681" s="3">
        <v>1374.4378841417799</v>
      </c>
    </row>
    <row r="2682" spans="1:12" ht="15" customHeight="1" x14ac:dyDescent="0.2">
      <c r="A2682" s="2">
        <v>42159</v>
      </c>
      <c r="B2682" s="3">
        <v>51.87</v>
      </c>
      <c r="C2682" s="1">
        <v>297639</v>
      </c>
      <c r="D2682" s="3">
        <v>-0.56000000000000205</v>
      </c>
      <c r="E2682" s="3">
        <v>-1.0680907877169501</v>
      </c>
      <c r="F2682" s="3">
        <v>-1.06809527301406</v>
      </c>
      <c r="G2682" s="3">
        <v>53.979120000000002</v>
      </c>
      <c r="H2682" s="3">
        <v>1404.23094841496</v>
      </c>
      <c r="I2682" s="3">
        <v>52.26</v>
      </c>
      <c r="J2682" s="3">
        <v>52.53</v>
      </c>
      <c r="K2682" s="3">
        <v>51.79</v>
      </c>
      <c r="L2682" s="3">
        <v>1345.45630410951</v>
      </c>
    </row>
    <row r="2683" spans="1:12" ht="15" customHeight="1" x14ac:dyDescent="0.2">
      <c r="A2683" s="2">
        <v>42158</v>
      </c>
      <c r="B2683" s="3">
        <v>52.43</v>
      </c>
      <c r="C2683" s="1">
        <v>443084</v>
      </c>
      <c r="D2683" s="3">
        <v>0.64</v>
      </c>
      <c r="E2683" s="3">
        <v>1.2357597991890401</v>
      </c>
      <c r="F2683" s="3">
        <v>1.23575888096805</v>
      </c>
      <c r="G2683" s="3">
        <v>54.561892999999998</v>
      </c>
      <c r="H2683" s="3">
        <v>1420.47102758817</v>
      </c>
      <c r="I2683" s="3">
        <v>52.06</v>
      </c>
      <c r="J2683" s="3">
        <v>52.66</v>
      </c>
      <c r="K2683" s="3">
        <v>51.78</v>
      </c>
      <c r="L2683" s="3">
        <v>1361.0617702807299</v>
      </c>
    </row>
    <row r="2684" spans="1:12" ht="15" customHeight="1" x14ac:dyDescent="0.2">
      <c r="A2684" s="2">
        <v>42157</v>
      </c>
      <c r="B2684" s="3">
        <v>51.79</v>
      </c>
      <c r="C2684" s="1">
        <v>380066</v>
      </c>
      <c r="D2684" s="3">
        <v>-5.0000000000004201E-2</v>
      </c>
      <c r="E2684" s="3">
        <v>-9.6450617283960705E-2</v>
      </c>
      <c r="F2684" s="3">
        <v>-9.6450458880659104E-2</v>
      </c>
      <c r="G2684" s="3">
        <v>53.895870000000002</v>
      </c>
      <c r="H2684" s="3">
        <v>1401.9110286671801</v>
      </c>
      <c r="I2684" s="3">
        <v>51.62</v>
      </c>
      <c r="J2684" s="3">
        <v>52.22</v>
      </c>
      <c r="K2684" s="3">
        <v>51.32</v>
      </c>
      <c r="L2684" s="3">
        <v>1343.22695179934</v>
      </c>
    </row>
    <row r="2685" spans="1:12" ht="15" customHeight="1" x14ac:dyDescent="0.2">
      <c r="A2685" s="2">
        <v>42156</v>
      </c>
      <c r="B2685" s="3">
        <v>51.84</v>
      </c>
      <c r="C2685" s="1">
        <v>646754</v>
      </c>
      <c r="D2685" s="3">
        <v>0.27000000000000302</v>
      </c>
      <c r="E2685" s="3">
        <v>0.52356020942407799</v>
      </c>
      <c r="F2685" s="3">
        <v>0.52356084354674404</v>
      </c>
      <c r="G2685" s="3">
        <v>53.947902999999997</v>
      </c>
      <c r="H2685" s="3">
        <v>1403.36102727662</v>
      </c>
      <c r="I2685" s="3">
        <v>51.76</v>
      </c>
      <c r="J2685" s="3">
        <v>52.17</v>
      </c>
      <c r="K2685" s="3">
        <v>51.23</v>
      </c>
      <c r="L2685" s="3">
        <v>1344.6202969932001</v>
      </c>
    </row>
    <row r="2686" spans="1:12" ht="15" customHeight="1" x14ac:dyDescent="0.2">
      <c r="A2686" s="2">
        <v>42153</v>
      </c>
      <c r="B2686" s="3">
        <v>51.57</v>
      </c>
      <c r="C2686" s="1">
        <v>423699</v>
      </c>
      <c r="D2686" s="3">
        <v>-0.70000000000000195</v>
      </c>
      <c r="E2686" s="3">
        <v>-1.3392003061029201</v>
      </c>
      <c r="F2686" s="3">
        <v>-1.3391981444896801</v>
      </c>
      <c r="G2686" s="3">
        <v>53.666924000000002</v>
      </c>
      <c r="H2686" s="3">
        <v>1395.53101249212</v>
      </c>
      <c r="I2686" s="3">
        <v>52.15</v>
      </c>
      <c r="J2686" s="3">
        <v>52.484999999999999</v>
      </c>
      <c r="K2686" s="3">
        <v>51.55</v>
      </c>
      <c r="L2686" s="3">
        <v>1337.09623294636</v>
      </c>
    </row>
    <row r="2687" spans="1:12" ht="15" customHeight="1" x14ac:dyDescent="0.2">
      <c r="A2687" s="2">
        <v>42152</v>
      </c>
      <c r="B2687" s="3">
        <v>52.27</v>
      </c>
      <c r="C2687" s="1">
        <v>468919</v>
      </c>
      <c r="D2687" s="3">
        <v>-0.13999999999999299</v>
      </c>
      <c r="E2687" s="3">
        <v>-0.26712459454301102</v>
      </c>
      <c r="F2687" s="3">
        <v>-0.26712160451103301</v>
      </c>
      <c r="G2687" s="3">
        <v>54.395386000000002</v>
      </c>
      <c r="H2687" s="3">
        <v>1415.8309930242999</v>
      </c>
      <c r="I2687" s="3">
        <v>52.45</v>
      </c>
      <c r="J2687" s="3">
        <v>53.03</v>
      </c>
      <c r="K2687" s="3">
        <v>52.16</v>
      </c>
      <c r="L2687" s="3">
        <v>1356.60306566038</v>
      </c>
    </row>
    <row r="2688" spans="1:12" ht="15" customHeight="1" x14ac:dyDescent="0.2">
      <c r="A2688" s="2">
        <v>42151</v>
      </c>
      <c r="B2688" s="3">
        <v>52.41</v>
      </c>
      <c r="C2688" s="1">
        <v>611113</v>
      </c>
      <c r="D2688" s="3">
        <v>0.65999999999999603</v>
      </c>
      <c r="E2688" s="3">
        <v>1.2753623188405701</v>
      </c>
      <c r="F2688" s="3">
        <v>1.27536290550196</v>
      </c>
      <c r="G2688" s="3">
        <v>54.541077000000001</v>
      </c>
      <c r="H2688" s="3">
        <v>1419.8909501170699</v>
      </c>
      <c r="I2688" s="3">
        <v>52.05</v>
      </c>
      <c r="J2688" s="3">
        <v>52.58</v>
      </c>
      <c r="K2688" s="3">
        <v>51.98</v>
      </c>
      <c r="L2688" s="3">
        <v>1360.5044322031899</v>
      </c>
    </row>
    <row r="2689" spans="1:12" ht="15" customHeight="1" x14ac:dyDescent="0.2">
      <c r="A2689" s="2">
        <v>42150</v>
      </c>
      <c r="B2689" s="3">
        <v>51.75</v>
      </c>
      <c r="C2689" s="1">
        <v>565526</v>
      </c>
      <c r="D2689" s="3">
        <v>-0.52000000000000302</v>
      </c>
      <c r="E2689" s="3">
        <v>-0.99483451310503601</v>
      </c>
      <c r="F2689" s="3">
        <v>-0.99483805483061505</v>
      </c>
      <c r="G2689" s="3">
        <v>53.854239999999997</v>
      </c>
      <c r="H2689" s="3">
        <v>1400.7509294587701</v>
      </c>
      <c r="I2689" s="3">
        <v>52.25</v>
      </c>
      <c r="J2689" s="3">
        <v>52.52</v>
      </c>
      <c r="K2689" s="3">
        <v>51.41</v>
      </c>
      <c r="L2689" s="3">
        <v>1342.1122756442501</v>
      </c>
    </row>
    <row r="2690" spans="1:12" ht="15" customHeight="1" x14ac:dyDescent="0.2">
      <c r="A2690" s="2">
        <v>42146</v>
      </c>
      <c r="B2690" s="3">
        <v>52.27</v>
      </c>
      <c r="C2690" s="1">
        <v>639934</v>
      </c>
      <c r="D2690" s="3">
        <v>-0.13999999999999299</v>
      </c>
      <c r="E2690" s="3">
        <v>-0.26712459454301102</v>
      </c>
      <c r="F2690" s="3">
        <v>-0.26712160451103301</v>
      </c>
      <c r="G2690" s="3">
        <v>54.395386000000002</v>
      </c>
      <c r="H2690" s="3">
        <v>1415.8309930242999</v>
      </c>
      <c r="I2690" s="3">
        <v>52.49</v>
      </c>
      <c r="J2690" s="3">
        <v>52.99</v>
      </c>
      <c r="K2690" s="3">
        <v>52.22</v>
      </c>
      <c r="L2690" s="3">
        <v>1356.60306566038</v>
      </c>
    </row>
    <row r="2691" spans="1:12" ht="15" customHeight="1" x14ac:dyDescent="0.2">
      <c r="A2691" s="2">
        <v>42145</v>
      </c>
      <c r="B2691" s="3">
        <v>52.41</v>
      </c>
      <c r="C2691" s="1">
        <v>511213</v>
      </c>
      <c r="D2691" s="3">
        <v>0.109999999999999</v>
      </c>
      <c r="E2691" s="3">
        <v>0.21032504780114</v>
      </c>
      <c r="F2691" s="3">
        <v>0.210323609198104</v>
      </c>
      <c r="G2691" s="3">
        <v>54.541077000000001</v>
      </c>
      <c r="H2691" s="3">
        <v>1419.8909501170699</v>
      </c>
      <c r="I2691" s="3">
        <v>52.52</v>
      </c>
      <c r="J2691" s="3">
        <v>52.8</v>
      </c>
      <c r="K2691" s="3">
        <v>52.15</v>
      </c>
      <c r="L2691" s="3">
        <v>1360.5044322031899</v>
      </c>
    </row>
    <row r="2692" spans="1:12" ht="15" customHeight="1" x14ac:dyDescent="0.2">
      <c r="A2692" s="2">
        <v>42144</v>
      </c>
      <c r="B2692" s="3">
        <v>52.3</v>
      </c>
      <c r="C2692" s="1">
        <v>572297</v>
      </c>
      <c r="D2692" s="3">
        <v>-9.0000000000003397E-2</v>
      </c>
      <c r="E2692" s="3">
        <v>-0.171788509257497</v>
      </c>
      <c r="F2692" s="3">
        <v>-0.17178750271641299</v>
      </c>
      <c r="G2692" s="3">
        <v>54.426605000000002</v>
      </c>
      <c r="H2692" s="3">
        <v>1416.70096989644</v>
      </c>
      <c r="I2692" s="3">
        <v>52.29</v>
      </c>
      <c r="J2692" s="3">
        <v>52.33</v>
      </c>
      <c r="K2692" s="3">
        <v>51.82</v>
      </c>
      <c r="L2692" s="3">
        <v>1357.4390727767</v>
      </c>
    </row>
    <row r="2693" spans="1:12" ht="15" customHeight="1" x14ac:dyDescent="0.2">
      <c r="A2693" s="2">
        <v>42143</v>
      </c>
      <c r="B2693" s="3">
        <v>52.39</v>
      </c>
      <c r="C2693" s="1">
        <v>654881</v>
      </c>
      <c r="D2693" s="3">
        <v>0.56999999999999995</v>
      </c>
      <c r="E2693" s="3">
        <v>1.09996140486299</v>
      </c>
      <c r="F2693" s="3">
        <v>1.0999630130209299</v>
      </c>
      <c r="G2693" s="3">
        <v>54.520263999999997</v>
      </c>
      <c r="H2693" s="3">
        <v>1419.31095624667</v>
      </c>
      <c r="I2693" s="3">
        <v>52</v>
      </c>
      <c r="J2693" s="3">
        <v>52.48</v>
      </c>
      <c r="K2693" s="3">
        <v>51.66</v>
      </c>
      <c r="L2693" s="3">
        <v>1359.94709412565</v>
      </c>
    </row>
    <row r="2694" spans="1:12" ht="15" customHeight="1" x14ac:dyDescent="0.2">
      <c r="A2694" s="2">
        <v>42142</v>
      </c>
      <c r="B2694" s="3">
        <v>51.82</v>
      </c>
      <c r="C2694" s="1">
        <v>561024</v>
      </c>
      <c r="D2694" s="3">
        <v>0.42999999999999899</v>
      </c>
      <c r="E2694" s="3">
        <v>0.836738665109937</v>
      </c>
      <c r="F2694" s="3">
        <v>0.83673582992005402</v>
      </c>
      <c r="G2694" s="3">
        <v>53.927086000000003</v>
      </c>
      <c r="H2694" s="3">
        <v>1402.7809219386099</v>
      </c>
      <c r="I2694" s="3">
        <v>51.36</v>
      </c>
      <c r="J2694" s="3">
        <v>51.92</v>
      </c>
      <c r="K2694" s="3">
        <v>51.09</v>
      </c>
      <c r="L2694" s="3">
        <v>1344.0629589156499</v>
      </c>
    </row>
    <row r="2695" spans="1:12" ht="15" customHeight="1" x14ac:dyDescent="0.2">
      <c r="A2695" s="2">
        <v>42139</v>
      </c>
      <c r="B2695" s="3">
        <v>51.39</v>
      </c>
      <c r="C2695" s="1">
        <v>531064</v>
      </c>
      <c r="D2695" s="3">
        <v>0.310000000000002</v>
      </c>
      <c r="E2695" s="3">
        <v>0.60689115113547998</v>
      </c>
      <c r="F2695" s="3">
        <v>0.60688714562522295</v>
      </c>
      <c r="G2695" s="3">
        <v>53.479602999999997</v>
      </c>
      <c r="H2695" s="3">
        <v>1390.31095619094</v>
      </c>
      <c r="I2695" s="3">
        <v>51.17</v>
      </c>
      <c r="J2695" s="3">
        <v>51.78</v>
      </c>
      <c r="K2695" s="3">
        <v>51</v>
      </c>
      <c r="L2695" s="3">
        <v>1332.08019024846</v>
      </c>
    </row>
    <row r="2696" spans="1:12" ht="15" customHeight="1" x14ac:dyDescent="0.2">
      <c r="A2696" s="2">
        <v>42138</v>
      </c>
      <c r="B2696" s="3">
        <v>51.08</v>
      </c>
      <c r="C2696" s="1">
        <v>752256</v>
      </c>
      <c r="D2696" s="3">
        <v>0.82</v>
      </c>
      <c r="E2696" s="3">
        <v>1.6315161161957801</v>
      </c>
      <c r="F2696" s="3">
        <v>1.63152272305868</v>
      </c>
      <c r="G2696" s="3">
        <v>53.156999999999996</v>
      </c>
      <c r="H2696" s="3">
        <v>1381.3210093994501</v>
      </c>
      <c r="I2696" s="3">
        <v>50.42</v>
      </c>
      <c r="J2696" s="3">
        <v>51.27</v>
      </c>
      <c r="K2696" s="3">
        <v>50</v>
      </c>
      <c r="L2696" s="3">
        <v>1323.44145004654</v>
      </c>
    </row>
    <row r="2697" spans="1:12" ht="15" customHeight="1" x14ac:dyDescent="0.2">
      <c r="A2697" s="2">
        <v>42137</v>
      </c>
      <c r="B2697" s="3">
        <v>50.26</v>
      </c>
      <c r="C2697" s="1">
        <v>470110</v>
      </c>
      <c r="D2697" s="3">
        <v>0.100000000000001</v>
      </c>
      <c r="E2697" s="3">
        <v>0.19936204146731001</v>
      </c>
      <c r="F2697" s="3">
        <v>0.199357887676887</v>
      </c>
      <c r="G2697" s="3">
        <v>52.303654000000002</v>
      </c>
      <c r="H2697" s="3">
        <v>1357.54089844347</v>
      </c>
      <c r="I2697" s="3">
        <v>50.09</v>
      </c>
      <c r="J2697" s="3">
        <v>50.517000000000003</v>
      </c>
      <c r="K2697" s="3">
        <v>49.89</v>
      </c>
      <c r="L2697" s="3">
        <v>1300.5905888672401</v>
      </c>
    </row>
    <row r="2698" spans="1:12" ht="15" customHeight="1" x14ac:dyDescent="0.2">
      <c r="A2698" s="2">
        <v>42136</v>
      </c>
      <c r="B2698" s="3">
        <v>50.16</v>
      </c>
      <c r="C2698" s="1">
        <v>452912</v>
      </c>
      <c r="D2698" s="3">
        <v>-0.310000000000002</v>
      </c>
      <c r="E2698" s="3">
        <v>-0.61422627303349098</v>
      </c>
      <c r="F2698" s="3">
        <v>-0.61423171970069701</v>
      </c>
      <c r="G2698" s="3">
        <v>52.199590000000001</v>
      </c>
      <c r="H2698" s="3">
        <v>1354.64095695839</v>
      </c>
      <c r="I2698" s="3">
        <v>50.19</v>
      </c>
      <c r="J2698" s="3">
        <v>50.52</v>
      </c>
      <c r="K2698" s="3">
        <v>49.54</v>
      </c>
      <c r="L2698" s="3">
        <v>1297.8038984795301</v>
      </c>
    </row>
    <row r="2699" spans="1:12" ht="15" customHeight="1" x14ac:dyDescent="0.2">
      <c r="A2699" s="2">
        <v>42135</v>
      </c>
      <c r="B2699" s="3">
        <v>50.47</v>
      </c>
      <c r="C2699" s="1">
        <v>414391</v>
      </c>
      <c r="D2699" s="3">
        <v>-0.219999999999998</v>
      </c>
      <c r="E2699" s="3">
        <v>-0.43401065298874703</v>
      </c>
      <c r="F2699" s="3">
        <v>-0.434003890721601</v>
      </c>
      <c r="G2699" s="3">
        <v>52.522198000000003</v>
      </c>
      <c r="H2699" s="3">
        <v>1363.6310430844001</v>
      </c>
      <c r="I2699" s="3">
        <v>50.55</v>
      </c>
      <c r="J2699" s="3">
        <v>51.05</v>
      </c>
      <c r="K2699" s="3">
        <v>50.33</v>
      </c>
      <c r="L2699" s="3">
        <v>1306.44263868145</v>
      </c>
    </row>
    <row r="2700" spans="1:12" ht="15" customHeight="1" x14ac:dyDescent="0.2">
      <c r="A2700" s="2">
        <v>42132</v>
      </c>
      <c r="B2700" s="3">
        <v>50.69</v>
      </c>
      <c r="C2700" s="1">
        <v>908876</v>
      </c>
      <c r="D2700" s="3">
        <v>-0.27000000000000302</v>
      </c>
      <c r="E2700" s="3">
        <v>-0.529827315541608</v>
      </c>
      <c r="F2700" s="3">
        <v>-0.52982984651566101</v>
      </c>
      <c r="G2700" s="3">
        <v>52.751139999999999</v>
      </c>
      <c r="H2700" s="3">
        <v>1370.01094779185</v>
      </c>
      <c r="I2700" s="3">
        <v>51.41</v>
      </c>
      <c r="J2700" s="3">
        <v>51.72</v>
      </c>
      <c r="K2700" s="3">
        <v>50.47</v>
      </c>
      <c r="L2700" s="3">
        <v>1312.57335753443</v>
      </c>
    </row>
    <row r="2701" spans="1:12" ht="15" customHeight="1" x14ac:dyDescent="0.2">
      <c r="A2701" s="2">
        <v>42131</v>
      </c>
      <c r="B2701" s="3">
        <v>50.96</v>
      </c>
      <c r="C2701" s="1">
        <v>681534</v>
      </c>
      <c r="D2701" s="3">
        <v>0.92000000000000104</v>
      </c>
      <c r="E2701" s="3">
        <v>1.83852917665867</v>
      </c>
      <c r="F2701" s="3">
        <v>1.83853160200027</v>
      </c>
      <c r="G2701" s="3">
        <v>53.032119999999999</v>
      </c>
      <c r="H2701" s="3">
        <v>1377.8409904432599</v>
      </c>
      <c r="I2701" s="3">
        <v>50.04</v>
      </c>
      <c r="J2701" s="3">
        <v>51.09</v>
      </c>
      <c r="K2701" s="3">
        <v>50.01</v>
      </c>
      <c r="L2701" s="3">
        <v>1320.0974215812701</v>
      </c>
    </row>
    <row r="2702" spans="1:12" ht="15" customHeight="1" x14ac:dyDescent="0.2">
      <c r="A2702" s="2">
        <v>42130</v>
      </c>
      <c r="B2702" s="3">
        <v>50.04</v>
      </c>
      <c r="C2702" s="1">
        <v>517393</v>
      </c>
      <c r="D2702" s="3">
        <v>0.25</v>
      </c>
      <c r="E2702" s="3">
        <v>0.50210885720023402</v>
      </c>
      <c r="F2702" s="3">
        <v>0.50210804707442303</v>
      </c>
      <c r="G2702" s="3">
        <v>52.074710000000003</v>
      </c>
      <c r="H2702" s="3">
        <v>1351.1609380022101</v>
      </c>
      <c r="I2702" s="3">
        <v>49.82</v>
      </c>
      <c r="J2702" s="3">
        <v>50.22</v>
      </c>
      <c r="K2702" s="3">
        <v>49.61</v>
      </c>
      <c r="L2702" s="3">
        <v>1294.4598700142601</v>
      </c>
    </row>
    <row r="2703" spans="1:12" ht="15" customHeight="1" x14ac:dyDescent="0.2">
      <c r="A2703" s="2">
        <v>42129</v>
      </c>
      <c r="B2703" s="3">
        <v>49.79</v>
      </c>
      <c r="C2703" s="1">
        <v>686205</v>
      </c>
      <c r="D2703" s="3">
        <v>-0.46</v>
      </c>
      <c r="E2703" s="3">
        <v>-0.91542288557213602</v>
      </c>
      <c r="F2703" s="3">
        <v>-0.91541839044724205</v>
      </c>
      <c r="G2703" s="3">
        <v>51.814545000000003</v>
      </c>
      <c r="H2703" s="3">
        <v>1343.9109449550001</v>
      </c>
      <c r="I2703" s="3">
        <v>50.44</v>
      </c>
      <c r="J2703" s="3">
        <v>50.63</v>
      </c>
      <c r="K2703" s="3">
        <v>49.6</v>
      </c>
      <c r="L2703" s="3">
        <v>1287.49314404497</v>
      </c>
    </row>
    <row r="2704" spans="1:12" ht="15" customHeight="1" x14ac:dyDescent="0.2">
      <c r="A2704" s="2">
        <v>42128</v>
      </c>
      <c r="B2704" s="3">
        <v>50.25</v>
      </c>
      <c r="C2704" s="1">
        <v>432113</v>
      </c>
      <c r="D2704" s="3">
        <v>-0.310000000000002</v>
      </c>
      <c r="E2704" s="3">
        <v>-0.613132911392411</v>
      </c>
      <c r="F2704" s="3">
        <v>-0.28678972573418199</v>
      </c>
      <c r="G2704" s="3">
        <v>52.293247000000001</v>
      </c>
      <c r="H2704" s="3">
        <v>1357.2508875748199</v>
      </c>
      <c r="I2704" s="3">
        <v>50.67</v>
      </c>
      <c r="J2704" s="3">
        <v>51.08</v>
      </c>
      <c r="K2704" s="3">
        <v>50.17</v>
      </c>
      <c r="L2704" s="3">
        <v>1300.3119198284701</v>
      </c>
    </row>
    <row r="2705" spans="1:12" ht="15" customHeight="1" x14ac:dyDescent="0.2">
      <c r="A2705" s="2">
        <v>42125</v>
      </c>
      <c r="B2705" s="3">
        <v>50.56</v>
      </c>
      <c r="C2705" s="1">
        <v>742686</v>
      </c>
      <c r="D2705" s="3">
        <v>0.42999999999999899</v>
      </c>
      <c r="E2705" s="3">
        <v>0.85776979852383295</v>
      </c>
      <c r="F2705" s="3">
        <v>0.85776986374186404</v>
      </c>
      <c r="G2705" s="3">
        <v>52.443649999999998</v>
      </c>
      <c r="H2705" s="3">
        <v>1361.44215351866</v>
      </c>
      <c r="I2705" s="3">
        <v>50.29</v>
      </c>
      <c r="J2705" s="3">
        <v>50.97</v>
      </c>
      <c r="K2705" s="3">
        <v>50.04</v>
      </c>
      <c r="L2705" s="3">
        <v>1308.9506600304001</v>
      </c>
    </row>
    <row r="2706" spans="1:12" ht="15" customHeight="1" x14ac:dyDescent="0.2">
      <c r="A2706" s="2">
        <v>42124</v>
      </c>
      <c r="B2706" s="3">
        <v>50.13</v>
      </c>
      <c r="C2706" s="1">
        <v>1275099</v>
      </c>
      <c r="D2706" s="3">
        <v>-1.28999999999999</v>
      </c>
      <c r="E2706" s="3">
        <v>-2.5087514585764299</v>
      </c>
      <c r="F2706" s="3">
        <v>-2.5087443330156098</v>
      </c>
      <c r="G2706" s="3">
        <v>51.997630000000001</v>
      </c>
      <c r="H2706" s="3">
        <v>1349.01295705136</v>
      </c>
      <c r="I2706" s="3">
        <v>51.4</v>
      </c>
      <c r="J2706" s="3">
        <v>51.774000000000001</v>
      </c>
      <c r="K2706" s="3">
        <v>50.07</v>
      </c>
      <c r="L2706" s="3">
        <v>1296.9678913632099</v>
      </c>
    </row>
    <row r="2707" spans="1:12" ht="15" customHeight="1" x14ac:dyDescent="0.2">
      <c r="A2707" s="2">
        <v>42123</v>
      </c>
      <c r="B2707" s="3">
        <v>51.42</v>
      </c>
      <c r="C2707" s="1">
        <v>1192951</v>
      </c>
      <c r="D2707" s="3">
        <v>-1.48999999999999</v>
      </c>
      <c r="E2707" s="3">
        <v>-2.8161028161027999</v>
      </c>
      <c r="F2707" s="3">
        <v>-2.81610824836191</v>
      </c>
      <c r="G2707" s="3">
        <v>53.335686000000003</v>
      </c>
      <c r="H2707" s="3">
        <v>1386.3004349856401</v>
      </c>
      <c r="I2707" s="3">
        <v>52.39</v>
      </c>
      <c r="J2707" s="3">
        <v>52.53</v>
      </c>
      <c r="K2707" s="3">
        <v>50.704999999999998</v>
      </c>
      <c r="L2707" s="3">
        <v>1332.9161973647799</v>
      </c>
    </row>
    <row r="2708" spans="1:12" ht="15" customHeight="1" x14ac:dyDescent="0.2">
      <c r="A2708" s="2">
        <v>42122</v>
      </c>
      <c r="B2708" s="3">
        <v>52.91</v>
      </c>
      <c r="C2708" s="1">
        <v>1180612</v>
      </c>
      <c r="D2708" s="3">
        <v>0.37999999999999501</v>
      </c>
      <c r="E2708" s="3">
        <v>0.72339615457832596</v>
      </c>
      <c r="F2708" s="3">
        <v>0.72340138131929899</v>
      </c>
      <c r="G2708" s="3">
        <v>54.8812</v>
      </c>
      <c r="H2708" s="3">
        <v>1429.3691250644899</v>
      </c>
      <c r="I2708" s="3">
        <v>52.57</v>
      </c>
      <c r="J2708" s="3">
        <v>53.35</v>
      </c>
      <c r="K2708" s="3">
        <v>52.14</v>
      </c>
      <c r="L2708" s="3">
        <v>1374.4378841417799</v>
      </c>
    </row>
    <row r="2709" spans="1:12" ht="15" customHeight="1" x14ac:dyDescent="0.2">
      <c r="A2709" s="2">
        <v>42121</v>
      </c>
      <c r="B2709" s="3">
        <v>52.53</v>
      </c>
      <c r="C2709" s="1">
        <v>1125802</v>
      </c>
      <c r="D2709" s="3">
        <v>-0.44999999999999502</v>
      </c>
      <c r="E2709" s="3">
        <v>-0.84937712344279603</v>
      </c>
      <c r="F2709" s="3">
        <v>-0.84938244861939505</v>
      </c>
      <c r="G2709" s="3">
        <v>54.48704</v>
      </c>
      <c r="H2709" s="3">
        <v>1418.3851062322599</v>
      </c>
      <c r="I2709" s="3">
        <v>53</v>
      </c>
      <c r="J2709" s="3">
        <v>53.15</v>
      </c>
      <c r="K2709" s="3">
        <v>52.27</v>
      </c>
      <c r="L2709" s="3">
        <v>1363.8484606684499</v>
      </c>
    </row>
    <row r="2710" spans="1:12" ht="15" customHeight="1" x14ac:dyDescent="0.2">
      <c r="A2710" s="2">
        <v>42118</v>
      </c>
      <c r="B2710" s="3">
        <v>52.98</v>
      </c>
      <c r="C2710" s="1">
        <v>1049318</v>
      </c>
      <c r="D2710" s="3">
        <v>0.55999999999999495</v>
      </c>
      <c r="E2710" s="3">
        <v>1.0682945440671301</v>
      </c>
      <c r="F2710" s="3">
        <v>1.0682960260529599</v>
      </c>
      <c r="G2710" s="3">
        <v>54.953808000000002</v>
      </c>
      <c r="H2710" s="3">
        <v>1431.3924852212001</v>
      </c>
      <c r="I2710" s="3">
        <v>52.76</v>
      </c>
      <c r="J2710" s="3">
        <v>53.27</v>
      </c>
      <c r="K2710" s="3">
        <v>52.7</v>
      </c>
      <c r="L2710" s="3">
        <v>1376.38856741318</v>
      </c>
    </row>
    <row r="2711" spans="1:12" ht="15" customHeight="1" x14ac:dyDescent="0.2">
      <c r="A2711" s="2">
        <v>42117</v>
      </c>
      <c r="B2711" s="3">
        <v>52.42</v>
      </c>
      <c r="C2711" s="1">
        <v>3042469</v>
      </c>
      <c r="D2711" s="3">
        <v>2.37</v>
      </c>
      <c r="E2711" s="3">
        <v>4.7352647352647503</v>
      </c>
      <c r="F2711" s="3">
        <v>4.7352687332202903</v>
      </c>
      <c r="G2711" s="3">
        <v>54.372943999999997</v>
      </c>
      <c r="H2711" s="3">
        <v>1415.2056039674801</v>
      </c>
      <c r="I2711" s="3">
        <v>53.92</v>
      </c>
      <c r="J2711" s="3">
        <v>53.98</v>
      </c>
      <c r="K2711" s="3">
        <v>51.42</v>
      </c>
      <c r="L2711" s="3">
        <v>1360.7831012419599</v>
      </c>
    </row>
    <row r="2712" spans="1:12" ht="15" customHeight="1" x14ac:dyDescent="0.2">
      <c r="A2712" s="2">
        <v>42116</v>
      </c>
      <c r="B2712" s="3">
        <v>50.05</v>
      </c>
      <c r="C2712" s="1">
        <v>2256896</v>
      </c>
      <c r="D2712" s="3">
        <v>0.83999999999999597</v>
      </c>
      <c r="E2712" s="3">
        <v>1.7069701280227401</v>
      </c>
      <c r="F2712" s="3">
        <v>1.70696463245734</v>
      </c>
      <c r="G2712" s="3">
        <v>51.914645999999998</v>
      </c>
      <c r="H2712" s="3">
        <v>1346.70044990001</v>
      </c>
      <c r="I2712" s="3">
        <v>49.31</v>
      </c>
      <c r="J2712" s="3">
        <v>50.32</v>
      </c>
      <c r="K2712" s="3">
        <v>48.88</v>
      </c>
      <c r="L2712" s="3">
        <v>1294.7385390530401</v>
      </c>
    </row>
    <row r="2713" spans="1:12" ht="15" customHeight="1" x14ac:dyDescent="0.2">
      <c r="A2713" s="2">
        <v>42115</v>
      </c>
      <c r="B2713" s="3">
        <v>49.21</v>
      </c>
      <c r="C2713" s="1">
        <v>831474</v>
      </c>
      <c r="D2713" s="3">
        <v>0.41000000000000297</v>
      </c>
      <c r="E2713" s="3">
        <v>0.84016393442623005</v>
      </c>
      <c r="F2713" s="3">
        <v>0.84016225032637004</v>
      </c>
      <c r="G2713" s="3">
        <v>51.043354000000001</v>
      </c>
      <c r="H2713" s="3">
        <v>1322.4202394870499</v>
      </c>
      <c r="I2713" s="3">
        <v>48.91</v>
      </c>
      <c r="J2713" s="3">
        <v>49.32</v>
      </c>
      <c r="K2713" s="3">
        <v>48.44</v>
      </c>
      <c r="L2713" s="3">
        <v>1271.3303397962</v>
      </c>
    </row>
    <row r="2714" spans="1:12" ht="15" customHeight="1" x14ac:dyDescent="0.2">
      <c r="A2714" s="2">
        <v>42114</v>
      </c>
      <c r="B2714" s="3">
        <v>48.8</v>
      </c>
      <c r="C2714" s="1">
        <v>791662</v>
      </c>
      <c r="D2714" s="3">
        <v>0.149999999999998</v>
      </c>
      <c r="E2714" s="3">
        <v>0.30832476875641801</v>
      </c>
      <c r="F2714" s="3">
        <v>0.30832007629271102</v>
      </c>
      <c r="G2714" s="3">
        <v>50.618079999999999</v>
      </c>
      <c r="H2714" s="3">
        <v>1310.56916980759</v>
      </c>
      <c r="I2714" s="3">
        <v>48.86</v>
      </c>
      <c r="J2714" s="3">
        <v>49.225000000000001</v>
      </c>
      <c r="K2714" s="3">
        <v>48.55</v>
      </c>
      <c r="L2714" s="3">
        <v>1259.90490920656</v>
      </c>
    </row>
    <row r="2715" spans="1:12" ht="15" customHeight="1" x14ac:dyDescent="0.2">
      <c r="A2715" s="2">
        <v>42111</v>
      </c>
      <c r="B2715" s="3">
        <v>48.65</v>
      </c>
      <c r="C2715" s="1">
        <v>773703</v>
      </c>
      <c r="D2715" s="3">
        <v>-5.0000000000004201E-2</v>
      </c>
      <c r="E2715" s="3">
        <v>-0.10266940451746299</v>
      </c>
      <c r="F2715" s="3">
        <v>-0.102665865970186</v>
      </c>
      <c r="G2715" s="3">
        <v>50.462494</v>
      </c>
      <c r="H2715" s="3">
        <v>1306.2334697009501</v>
      </c>
      <c r="I2715" s="3">
        <v>48.46</v>
      </c>
      <c r="J2715" s="3">
        <v>48.89</v>
      </c>
      <c r="K2715" s="3">
        <v>48.11</v>
      </c>
      <c r="L2715" s="3">
        <v>1255.7248736249801</v>
      </c>
    </row>
    <row r="2716" spans="1:12" ht="15" customHeight="1" x14ac:dyDescent="0.2">
      <c r="A2716" s="2">
        <v>42110</v>
      </c>
      <c r="B2716" s="3">
        <v>48.7</v>
      </c>
      <c r="C2716" s="1">
        <v>846332</v>
      </c>
      <c r="D2716" s="3">
        <v>0.33000000000000501</v>
      </c>
      <c r="E2716" s="3">
        <v>0.68224105850736005</v>
      </c>
      <c r="F2716" s="3">
        <v>0.68224226790767295</v>
      </c>
      <c r="G2716" s="3">
        <v>50.514355000000002</v>
      </c>
      <c r="H2716" s="3">
        <v>1307.67867520293</v>
      </c>
      <c r="I2716" s="3">
        <v>48.32</v>
      </c>
      <c r="J2716" s="3">
        <v>49.369500000000002</v>
      </c>
      <c r="K2716" s="3">
        <v>48.3</v>
      </c>
      <c r="L2716" s="3">
        <v>1257.11821881884</v>
      </c>
    </row>
    <row r="2717" spans="1:12" ht="15" customHeight="1" x14ac:dyDescent="0.2">
      <c r="A2717" s="2">
        <v>42109</v>
      </c>
      <c r="B2717" s="3">
        <v>48.37</v>
      </c>
      <c r="C2717" s="1">
        <v>647596</v>
      </c>
      <c r="D2717" s="3">
        <v>-0.24000000000000199</v>
      </c>
      <c r="E2717" s="3">
        <v>-0.49372557087019597</v>
      </c>
      <c r="F2717" s="3">
        <v>-0.49372285357290802</v>
      </c>
      <c r="G2717" s="3">
        <v>50.172060000000002</v>
      </c>
      <c r="H2717" s="3">
        <v>1298.13997334029</v>
      </c>
      <c r="I2717" s="3">
        <v>48.71</v>
      </c>
      <c r="J2717" s="3">
        <v>49.1</v>
      </c>
      <c r="K2717" s="3">
        <v>48.16</v>
      </c>
      <c r="L2717" s="3">
        <v>1247.92214053937</v>
      </c>
    </row>
    <row r="2718" spans="1:12" ht="15" customHeight="1" x14ac:dyDescent="0.2">
      <c r="A2718" s="2">
        <v>42108</v>
      </c>
      <c r="B2718" s="3">
        <v>48.61</v>
      </c>
      <c r="C2718" s="1">
        <v>446732</v>
      </c>
      <c r="D2718" s="3">
        <v>-0.17999999999999899</v>
      </c>
      <c r="E2718" s="3">
        <v>-0.36892805902848302</v>
      </c>
      <c r="F2718" s="3">
        <v>-0.36893194214605501</v>
      </c>
      <c r="G2718" s="3">
        <v>50.420999999999999</v>
      </c>
      <c r="H2718" s="3">
        <v>1305.07716039147</v>
      </c>
      <c r="I2718" s="3">
        <v>48.79</v>
      </c>
      <c r="J2718" s="3">
        <v>48.91</v>
      </c>
      <c r="K2718" s="3">
        <v>48.17</v>
      </c>
      <c r="L2718" s="3">
        <v>1254.61019746989</v>
      </c>
    </row>
    <row r="2719" spans="1:12" ht="15" customHeight="1" x14ac:dyDescent="0.2">
      <c r="A2719" s="2">
        <v>42107</v>
      </c>
      <c r="B2719" s="3">
        <v>48.79</v>
      </c>
      <c r="C2719" s="1">
        <v>328375</v>
      </c>
      <c r="D2719" s="3">
        <v>-0.32999999999999802</v>
      </c>
      <c r="E2719" s="3">
        <v>-0.67182410423451899</v>
      </c>
      <c r="F2719" s="3">
        <v>-0.671819430814524</v>
      </c>
      <c r="G2719" s="3">
        <v>50.607708000000002</v>
      </c>
      <c r="H2719" s="3">
        <v>1310.2801342805701</v>
      </c>
      <c r="I2719" s="3">
        <v>48.96</v>
      </c>
      <c r="J2719" s="3">
        <v>49.45</v>
      </c>
      <c r="K2719" s="3">
        <v>48.68</v>
      </c>
      <c r="L2719" s="3">
        <v>1259.62624016779</v>
      </c>
    </row>
    <row r="2720" spans="1:12" ht="15" customHeight="1" x14ac:dyDescent="0.2">
      <c r="A2720" s="2">
        <v>42104</v>
      </c>
      <c r="B2720" s="3">
        <v>49.12</v>
      </c>
      <c r="C2720" s="1">
        <v>437682</v>
      </c>
      <c r="D2720" s="3">
        <v>0.25999999999999801</v>
      </c>
      <c r="E2720" s="3">
        <v>0.53213262382316695</v>
      </c>
      <c r="F2720" s="3">
        <v>0.53212571657750196</v>
      </c>
      <c r="G2720" s="3">
        <v>50.95</v>
      </c>
      <c r="H2720" s="3">
        <v>1319.8187525425001</v>
      </c>
      <c r="I2720" s="3">
        <v>49.09</v>
      </c>
      <c r="J2720" s="3">
        <v>49.6</v>
      </c>
      <c r="K2720" s="3">
        <v>48.92</v>
      </c>
      <c r="L2720" s="3">
        <v>1268.8223184472599</v>
      </c>
    </row>
    <row r="2721" spans="1:12" ht="15" customHeight="1" x14ac:dyDescent="0.2">
      <c r="A2721" s="2">
        <v>42103</v>
      </c>
      <c r="B2721" s="3">
        <v>48.86</v>
      </c>
      <c r="C2721" s="1">
        <v>546448</v>
      </c>
      <c r="D2721" s="3">
        <v>-0.49000000000000199</v>
      </c>
      <c r="E2721" s="3">
        <v>-0.99290780141844104</v>
      </c>
      <c r="F2721" s="3">
        <v>-0.99290329852933501</v>
      </c>
      <c r="G2721" s="3">
        <v>50.680317000000002</v>
      </c>
      <c r="H2721" s="3">
        <v>1312.30352230419</v>
      </c>
      <c r="I2721" s="3">
        <v>49.21</v>
      </c>
      <c r="J2721" s="3">
        <v>49.74</v>
      </c>
      <c r="K2721" s="3">
        <v>48.54</v>
      </c>
      <c r="L2721" s="3">
        <v>1261.5769234391901</v>
      </c>
    </row>
    <row r="2722" spans="1:12" ht="15" customHeight="1" x14ac:dyDescent="0.2">
      <c r="A2722" s="2">
        <v>42102</v>
      </c>
      <c r="B2722" s="3">
        <v>49.35</v>
      </c>
      <c r="C2722" s="1">
        <v>555771</v>
      </c>
      <c r="D2722" s="3">
        <v>1.25</v>
      </c>
      <c r="E2722" s="3">
        <v>2.5987525987525899</v>
      </c>
      <c r="F2722" s="3">
        <v>2.5987533071434301</v>
      </c>
      <c r="G2722" s="3">
        <v>51.188569999999999</v>
      </c>
      <c r="H2722" s="3">
        <v>1326.46695980048</v>
      </c>
      <c r="I2722" s="3">
        <v>48.2</v>
      </c>
      <c r="J2722" s="3">
        <v>49.405000000000001</v>
      </c>
      <c r="K2722" s="3">
        <v>48.16</v>
      </c>
      <c r="L2722" s="3">
        <v>1275.2317063390101</v>
      </c>
    </row>
    <row r="2723" spans="1:12" ht="15" customHeight="1" x14ac:dyDescent="0.2">
      <c r="A2723" s="2">
        <v>42101</v>
      </c>
      <c r="B2723" s="3">
        <v>48.1</v>
      </c>
      <c r="C2723" s="1">
        <v>663942</v>
      </c>
      <c r="D2723" s="3">
        <v>-0.29999999999999699</v>
      </c>
      <c r="E2723" s="3">
        <v>-0.61983471074379404</v>
      </c>
      <c r="F2723" s="3">
        <v>-0.61984121324585295</v>
      </c>
      <c r="G2723" s="3">
        <v>49.892000000000003</v>
      </c>
      <c r="H2723" s="3">
        <v>1290.3355682404399</v>
      </c>
      <c r="I2723" s="3">
        <v>48.37</v>
      </c>
      <c r="J2723" s="3">
        <v>48.41</v>
      </c>
      <c r="K2723" s="3">
        <v>47.91</v>
      </c>
      <c r="L2723" s="3">
        <v>1240.39807649253</v>
      </c>
    </row>
    <row r="2724" spans="1:12" ht="15" customHeight="1" x14ac:dyDescent="0.2">
      <c r="A2724" s="2">
        <v>42100</v>
      </c>
      <c r="B2724" s="3">
        <v>48.4</v>
      </c>
      <c r="C2724" s="1">
        <v>665085</v>
      </c>
      <c r="D2724" s="3">
        <v>-0.39999999999999802</v>
      </c>
      <c r="E2724" s="3">
        <v>-0.81967213114754101</v>
      </c>
      <c r="F2724" s="3">
        <v>-0.81966759703251402</v>
      </c>
      <c r="G2724" s="3">
        <v>50.203180000000003</v>
      </c>
      <c r="H2724" s="3">
        <v>1299.0071913889401</v>
      </c>
      <c r="I2724" s="3">
        <v>48.42</v>
      </c>
      <c r="J2724" s="3">
        <v>49.15</v>
      </c>
      <c r="K2724" s="3">
        <v>48.2</v>
      </c>
      <c r="L2724" s="3">
        <v>1248.75814765568</v>
      </c>
    </row>
    <row r="2725" spans="1:12" ht="15" customHeight="1" x14ac:dyDescent="0.2">
      <c r="A2725" s="2">
        <v>42096</v>
      </c>
      <c r="B2725" s="3">
        <v>48.8</v>
      </c>
      <c r="C2725" s="1">
        <v>490733</v>
      </c>
      <c r="D2725" s="3">
        <v>-0.29000000000000598</v>
      </c>
      <c r="E2725" s="3">
        <v>-0.59075168058668703</v>
      </c>
      <c r="F2725" s="3">
        <v>-0.59075136053649002</v>
      </c>
      <c r="G2725" s="3">
        <v>50.618079999999999</v>
      </c>
      <c r="H2725" s="3">
        <v>1310.56916980759</v>
      </c>
      <c r="I2725" s="3">
        <v>49.24</v>
      </c>
      <c r="J2725" s="3">
        <v>49.24</v>
      </c>
      <c r="K2725" s="3">
        <v>48.51</v>
      </c>
      <c r="L2725" s="3">
        <v>1259.90490920656</v>
      </c>
    </row>
    <row r="2726" spans="1:12" ht="15" customHeight="1" x14ac:dyDescent="0.2">
      <c r="A2726" s="2">
        <v>42095</v>
      </c>
      <c r="B2726" s="3">
        <v>49.09</v>
      </c>
      <c r="C2726" s="1">
        <v>444916</v>
      </c>
      <c r="D2726" s="3">
        <v>-0.239999999999994</v>
      </c>
      <c r="E2726" s="3">
        <v>-0.48651935941617003</v>
      </c>
      <c r="F2726" s="3">
        <v>-0.48652446220699402</v>
      </c>
      <c r="G2726" s="3">
        <v>50.918883999999998</v>
      </c>
      <c r="H2726" s="3">
        <v>1318.9516459614599</v>
      </c>
      <c r="I2726" s="3">
        <v>49.26</v>
      </c>
      <c r="J2726" s="3">
        <v>49.26</v>
      </c>
      <c r="K2726" s="3">
        <v>48.45</v>
      </c>
      <c r="L2726" s="3">
        <v>1267.98631133094</v>
      </c>
    </row>
    <row r="2727" spans="1:12" ht="15" customHeight="1" x14ac:dyDescent="0.2">
      <c r="A2727" s="2">
        <v>42094</v>
      </c>
      <c r="B2727" s="3">
        <v>49.33</v>
      </c>
      <c r="C2727" s="1">
        <v>585378</v>
      </c>
      <c r="D2727" s="3">
        <v>-0.14000000000000001</v>
      </c>
      <c r="E2727" s="3">
        <v>-0.28299979785728602</v>
      </c>
      <c r="F2727" s="3">
        <v>-0.28299239335653997</v>
      </c>
      <c r="G2727" s="3">
        <v>51.167828</v>
      </c>
      <c r="H2727" s="3">
        <v>1325.8889444802601</v>
      </c>
      <c r="I2727" s="3">
        <v>49.25</v>
      </c>
      <c r="J2727" s="3">
        <v>49.65</v>
      </c>
      <c r="K2727" s="3">
        <v>49.11</v>
      </c>
      <c r="L2727" s="3">
        <v>1274.6743682614599</v>
      </c>
    </row>
    <row r="2728" spans="1:12" ht="15" customHeight="1" x14ac:dyDescent="0.2">
      <c r="A2728" s="2">
        <v>42093</v>
      </c>
      <c r="B2728" s="3">
        <v>49.47</v>
      </c>
      <c r="C2728" s="1">
        <v>565727</v>
      </c>
      <c r="D2728" s="3">
        <v>0.67999999999999905</v>
      </c>
      <c r="E2728" s="3">
        <v>1.3937282229965</v>
      </c>
      <c r="F2728" s="3">
        <v>1.3937244500383099</v>
      </c>
      <c r="G2728" s="3">
        <v>51.313040000000001</v>
      </c>
      <c r="H2728" s="3">
        <v>1329.93555332607</v>
      </c>
      <c r="I2728" s="3">
        <v>49.01</v>
      </c>
      <c r="J2728" s="3">
        <v>49.65</v>
      </c>
      <c r="K2728" s="3">
        <v>48.8</v>
      </c>
      <c r="L2728" s="3">
        <v>1278.57573480427</v>
      </c>
    </row>
    <row r="2729" spans="1:12" ht="15" customHeight="1" x14ac:dyDescent="0.2">
      <c r="A2729" s="2">
        <v>42090</v>
      </c>
      <c r="B2729" s="3">
        <v>48.79</v>
      </c>
      <c r="C2729" s="1">
        <v>570389</v>
      </c>
      <c r="D2729" s="3">
        <v>0.47999999999999599</v>
      </c>
      <c r="E2729" s="3">
        <v>0.99358310908714798</v>
      </c>
      <c r="F2729" s="3">
        <v>0.99358359363657101</v>
      </c>
      <c r="G2729" s="3">
        <v>50.607708000000002</v>
      </c>
      <c r="H2729" s="3">
        <v>1310.2801342805701</v>
      </c>
      <c r="I2729" s="3">
        <v>48.46</v>
      </c>
      <c r="J2729" s="3">
        <v>49.49</v>
      </c>
      <c r="K2729" s="3">
        <v>48.45</v>
      </c>
      <c r="L2729" s="3">
        <v>1259.62624016779</v>
      </c>
    </row>
    <row r="2730" spans="1:12" ht="15" customHeight="1" x14ac:dyDescent="0.2">
      <c r="A2730" s="2">
        <v>42089</v>
      </c>
      <c r="B2730" s="3">
        <v>48.31</v>
      </c>
      <c r="C2730" s="1">
        <v>542985</v>
      </c>
      <c r="D2730" s="3">
        <v>-0.25</v>
      </c>
      <c r="E2730" s="3">
        <v>-0.51482701812191001</v>
      </c>
      <c r="F2730" s="3">
        <v>-0.51482911957599897</v>
      </c>
      <c r="G2730" s="3">
        <v>50.109825000000001</v>
      </c>
      <c r="H2730" s="3">
        <v>1296.4056765774901</v>
      </c>
      <c r="I2730" s="3">
        <v>48.29</v>
      </c>
      <c r="J2730" s="3">
        <v>48.49</v>
      </c>
      <c r="K2730" s="3">
        <v>47.74</v>
      </c>
      <c r="L2730" s="3">
        <v>1246.25012630674</v>
      </c>
    </row>
    <row r="2731" spans="1:12" ht="15" customHeight="1" x14ac:dyDescent="0.2">
      <c r="A2731" s="2">
        <v>42088</v>
      </c>
      <c r="B2731" s="3">
        <v>48.56</v>
      </c>
      <c r="C2731" s="1">
        <v>397470</v>
      </c>
      <c r="D2731" s="3">
        <v>-0.75999999999999801</v>
      </c>
      <c r="E2731" s="3">
        <v>-1.54095701540956</v>
      </c>
      <c r="F2731" s="3">
        <v>-1.5409485812916599</v>
      </c>
      <c r="G2731" s="3">
        <v>50.369140000000002</v>
      </c>
      <c r="H2731" s="3">
        <v>1303.6319827564</v>
      </c>
      <c r="I2731" s="3">
        <v>49.29</v>
      </c>
      <c r="J2731" s="3">
        <v>49.49</v>
      </c>
      <c r="K2731" s="3">
        <v>48.55</v>
      </c>
      <c r="L2731" s="3">
        <v>1253.2168522760301</v>
      </c>
    </row>
    <row r="2732" spans="1:12" ht="15" customHeight="1" x14ac:dyDescent="0.2">
      <c r="A2732" s="2">
        <v>42087</v>
      </c>
      <c r="B2732" s="3">
        <v>49.32</v>
      </c>
      <c r="C2732" s="1">
        <v>596255</v>
      </c>
      <c r="D2732" s="3">
        <v>-0.17999999999999899</v>
      </c>
      <c r="E2732" s="3">
        <v>-0.36363636363636598</v>
      </c>
      <c r="F2732" s="3">
        <v>-0.36364408337774501</v>
      </c>
      <c r="G2732" s="3">
        <v>51.157449999999997</v>
      </c>
      <c r="H2732" s="3">
        <v>1325.5997417518199</v>
      </c>
      <c r="I2732" s="3">
        <v>49.49</v>
      </c>
      <c r="J2732" s="3">
        <v>49.56</v>
      </c>
      <c r="K2732" s="3">
        <v>48.95</v>
      </c>
      <c r="L2732" s="3">
        <v>1274.3956992226899</v>
      </c>
    </row>
    <row r="2733" spans="1:12" ht="15" customHeight="1" x14ac:dyDescent="0.2">
      <c r="A2733" s="2">
        <v>42086</v>
      </c>
      <c r="B2733" s="3">
        <v>49.5</v>
      </c>
      <c r="C2733" s="1">
        <v>715189</v>
      </c>
      <c r="D2733" s="3">
        <v>0.39</v>
      </c>
      <c r="E2733" s="3">
        <v>0.79413561392791499</v>
      </c>
      <c r="F2733" s="3">
        <v>0.79413611759646596</v>
      </c>
      <c r="G2733" s="3">
        <v>51.344160000000002</v>
      </c>
      <c r="H2733" s="3">
        <v>1330.8027713747299</v>
      </c>
      <c r="I2733" s="3">
        <v>48.99</v>
      </c>
      <c r="J2733" s="3">
        <v>49.57</v>
      </c>
      <c r="K2733" s="3">
        <v>48.61</v>
      </c>
      <c r="L2733" s="3">
        <v>1279.41174192059</v>
      </c>
    </row>
    <row r="2734" spans="1:12" ht="15" customHeight="1" x14ac:dyDescent="0.2">
      <c r="A2734" s="2">
        <v>42083</v>
      </c>
      <c r="B2734" s="3">
        <v>49.11</v>
      </c>
      <c r="C2734" s="1">
        <v>723068</v>
      </c>
      <c r="D2734" s="3">
        <v>0.28999999999999898</v>
      </c>
      <c r="E2734" s="3">
        <v>0.59401884473575495</v>
      </c>
      <c r="F2734" s="3">
        <v>0.59402248361850596</v>
      </c>
      <c r="G2734" s="3">
        <v>50.939630000000001</v>
      </c>
      <c r="H2734" s="3">
        <v>1319.5297727493</v>
      </c>
      <c r="I2734" s="3">
        <v>49.16</v>
      </c>
      <c r="J2734" s="3">
        <v>49.344999999999999</v>
      </c>
      <c r="K2734" s="3">
        <v>48.5</v>
      </c>
      <c r="L2734" s="3">
        <v>1268.54364940848</v>
      </c>
    </row>
    <row r="2735" spans="1:12" ht="15" customHeight="1" x14ac:dyDescent="0.2">
      <c r="A2735" s="2">
        <v>42082</v>
      </c>
      <c r="B2735" s="3">
        <v>48.82</v>
      </c>
      <c r="C2735" s="1">
        <v>455428</v>
      </c>
      <c r="D2735" s="3">
        <v>0.189999999999997</v>
      </c>
      <c r="E2735" s="3">
        <v>0.39070532593048402</v>
      </c>
      <c r="F2735" s="3">
        <v>0.39070416000270802</v>
      </c>
      <c r="G2735" s="3">
        <v>50.638824</v>
      </c>
      <c r="H2735" s="3">
        <v>1311.14724086162</v>
      </c>
      <c r="I2735" s="3">
        <v>48.67</v>
      </c>
      <c r="J2735" s="3">
        <v>49.304699999999997</v>
      </c>
      <c r="K2735" s="3">
        <v>48.67</v>
      </c>
      <c r="L2735" s="3">
        <v>1260.4622472840999</v>
      </c>
    </row>
    <row r="2736" spans="1:12" ht="15" customHeight="1" x14ac:dyDescent="0.2">
      <c r="A2736" s="2">
        <v>42081</v>
      </c>
      <c r="B2736" s="3">
        <v>48.63</v>
      </c>
      <c r="C2736" s="1">
        <v>568034</v>
      </c>
      <c r="D2736" s="3">
        <v>-0.53999999999999904</v>
      </c>
      <c r="E2736" s="3">
        <v>-1.0982306284319701</v>
      </c>
      <c r="F2736" s="3">
        <v>-1.0982226922704299</v>
      </c>
      <c r="G2736" s="3">
        <v>50.441746000000002</v>
      </c>
      <c r="H2736" s="3">
        <v>1305.6552871793101</v>
      </c>
      <c r="I2736" s="3">
        <v>49.22</v>
      </c>
      <c r="J2736" s="3">
        <v>49.28</v>
      </c>
      <c r="K2736" s="3">
        <v>48.41</v>
      </c>
      <c r="L2736" s="3">
        <v>1255.1675355474399</v>
      </c>
    </row>
    <row r="2737" spans="1:12" ht="15" customHeight="1" x14ac:dyDescent="0.2">
      <c r="A2737" s="2">
        <v>42080</v>
      </c>
      <c r="B2737" s="3">
        <v>49.17</v>
      </c>
      <c r="C2737" s="1">
        <v>611255</v>
      </c>
      <c r="D2737" s="3">
        <v>0.5</v>
      </c>
      <c r="E2737" s="3">
        <v>1.0273268954181101</v>
      </c>
      <c r="F2737" s="3">
        <v>1.02732324953667</v>
      </c>
      <c r="G2737" s="3">
        <v>51.001860000000001</v>
      </c>
      <c r="H2737" s="3">
        <v>1321.26393017757</v>
      </c>
      <c r="I2737" s="3">
        <v>48.74</v>
      </c>
      <c r="J2737" s="3">
        <v>49.244999999999997</v>
      </c>
      <c r="K2737" s="3">
        <v>48.58</v>
      </c>
      <c r="L2737" s="3">
        <v>1270.21566364111</v>
      </c>
    </row>
    <row r="2738" spans="1:12" ht="15" customHeight="1" x14ac:dyDescent="0.2">
      <c r="A2738" s="2">
        <v>42079</v>
      </c>
      <c r="B2738" s="3">
        <v>48.67</v>
      </c>
      <c r="C2738" s="1">
        <v>381723</v>
      </c>
      <c r="D2738" s="3">
        <v>0.28000000000000103</v>
      </c>
      <c r="E2738" s="3">
        <v>0.578631948749741</v>
      </c>
      <c r="F2738" s="3">
        <v>0.578632768897824</v>
      </c>
      <c r="G2738" s="3">
        <v>50.483234000000003</v>
      </c>
      <c r="H2738" s="3">
        <v>1306.8114292873599</v>
      </c>
      <c r="I2738" s="3">
        <v>48.69</v>
      </c>
      <c r="J2738" s="3">
        <v>49.04</v>
      </c>
      <c r="K2738" s="3">
        <v>48.37</v>
      </c>
      <c r="L2738" s="3">
        <v>1256.28221170252</v>
      </c>
    </row>
    <row r="2739" spans="1:12" ht="15" customHeight="1" x14ac:dyDescent="0.2">
      <c r="A2739" s="2">
        <v>42076</v>
      </c>
      <c r="B2739" s="3">
        <v>48.39</v>
      </c>
      <c r="C2739" s="1">
        <v>445929</v>
      </c>
      <c r="D2739" s="3">
        <v>-0.369999999999997</v>
      </c>
      <c r="E2739" s="3">
        <v>-0.75881870385561201</v>
      </c>
      <c r="F2739" s="3">
        <v>-0.758821453119773</v>
      </c>
      <c r="G2739" s="3">
        <v>50.192802</v>
      </c>
      <c r="H2739" s="3">
        <v>1298.7179886605099</v>
      </c>
      <c r="I2739" s="3">
        <v>48.93</v>
      </c>
      <c r="J2739" s="3">
        <v>48.98</v>
      </c>
      <c r="K2739" s="3">
        <v>48.13</v>
      </c>
      <c r="L2739" s="3">
        <v>1248.47947861691</v>
      </c>
    </row>
    <row r="2740" spans="1:12" ht="15" customHeight="1" x14ac:dyDescent="0.2">
      <c r="A2740" s="2">
        <v>42075</v>
      </c>
      <c r="B2740" s="3">
        <v>48.76</v>
      </c>
      <c r="C2740" s="1">
        <v>598474</v>
      </c>
      <c r="D2740" s="3">
        <v>1.43999999999999</v>
      </c>
      <c r="E2740" s="3">
        <v>3.0431107354184301</v>
      </c>
      <c r="F2740" s="3">
        <v>3.0431102945341002</v>
      </c>
      <c r="G2740" s="3">
        <v>50.576588000000001</v>
      </c>
      <c r="H2740" s="3">
        <v>1309.41291623191</v>
      </c>
      <c r="I2740" s="3">
        <v>47.58</v>
      </c>
      <c r="J2740" s="3">
        <v>48.85</v>
      </c>
      <c r="K2740" s="3">
        <v>47.39</v>
      </c>
      <c r="L2740" s="3">
        <v>1258.7902330514701</v>
      </c>
    </row>
    <row r="2741" spans="1:12" ht="15" customHeight="1" x14ac:dyDescent="0.2">
      <c r="A2741" s="2">
        <v>42074</v>
      </c>
      <c r="B2741" s="3">
        <v>47.32</v>
      </c>
      <c r="C2741" s="1">
        <v>650154</v>
      </c>
      <c r="D2741" s="3">
        <v>-0.24000000000000199</v>
      </c>
      <c r="E2741" s="3">
        <v>-0.50462573591253301</v>
      </c>
      <c r="F2741" s="3">
        <v>-0.50462700774318503</v>
      </c>
      <c r="G2741" s="3">
        <v>49.082940000000001</v>
      </c>
      <c r="H2741" s="3">
        <v>1267.7895709895699</v>
      </c>
      <c r="I2741" s="3">
        <v>47.64</v>
      </c>
      <c r="J2741" s="3">
        <v>47.8</v>
      </c>
      <c r="K2741" s="3">
        <v>47.14</v>
      </c>
      <c r="L2741" s="3">
        <v>1218.6618914683299</v>
      </c>
    </row>
    <row r="2742" spans="1:12" ht="15" customHeight="1" x14ac:dyDescent="0.2">
      <c r="A2742" s="2">
        <v>42073</v>
      </c>
      <c r="B2742" s="3">
        <v>47.56</v>
      </c>
      <c r="C2742" s="1">
        <v>761471</v>
      </c>
      <c r="D2742" s="3">
        <v>-7.9999999999998295E-2</v>
      </c>
      <c r="E2742" s="3">
        <v>-0.167926112510496</v>
      </c>
      <c r="F2742" s="3">
        <v>-0.16792922874380101</v>
      </c>
      <c r="G2742" s="3">
        <v>49.331882</v>
      </c>
      <c r="H2742" s="3">
        <v>1274.72681377456</v>
      </c>
      <c r="I2742" s="3">
        <v>47.71</v>
      </c>
      <c r="J2742" s="3">
        <v>47.95</v>
      </c>
      <c r="K2742" s="3">
        <v>47.34</v>
      </c>
      <c r="L2742" s="3">
        <v>1225.3499483988501</v>
      </c>
    </row>
    <row r="2743" spans="1:12" ht="15" customHeight="1" x14ac:dyDescent="0.2">
      <c r="A2743" s="2">
        <v>42072</v>
      </c>
      <c r="B2743" s="3">
        <v>47.64</v>
      </c>
      <c r="C2743" s="1">
        <v>667853</v>
      </c>
      <c r="D2743" s="3">
        <v>0.45000000000000201</v>
      </c>
      <c r="E2743" s="3">
        <v>0.95359186268277796</v>
      </c>
      <c r="F2743" s="3">
        <v>0.95359580577771796</v>
      </c>
      <c r="G2743" s="3">
        <v>49.414864000000001</v>
      </c>
      <c r="H2743" s="3">
        <v>1277.0392651920999</v>
      </c>
      <c r="I2743" s="3">
        <v>47.28</v>
      </c>
      <c r="J2743" s="3">
        <v>48.11</v>
      </c>
      <c r="K2743" s="3">
        <v>47.28</v>
      </c>
      <c r="L2743" s="3">
        <v>1227.5793007090199</v>
      </c>
    </row>
    <row r="2744" spans="1:12" ht="15" customHeight="1" x14ac:dyDescent="0.2">
      <c r="A2744" s="2">
        <v>42069</v>
      </c>
      <c r="B2744" s="3">
        <v>47.19</v>
      </c>
      <c r="C2744" s="1">
        <v>941276</v>
      </c>
      <c r="D2744" s="3">
        <v>-0.82</v>
      </c>
      <c r="E2744" s="3">
        <v>-1.70797750468651</v>
      </c>
      <c r="F2744" s="3">
        <v>-1.7079741828316799</v>
      </c>
      <c r="G2744" s="3">
        <v>48.948096999999997</v>
      </c>
      <c r="H2744" s="3">
        <v>1264.0319140700601</v>
      </c>
      <c r="I2744" s="3">
        <v>47.92</v>
      </c>
      <c r="J2744" s="3">
        <v>48.14</v>
      </c>
      <c r="K2744" s="3">
        <v>47.07</v>
      </c>
      <c r="L2744" s="3">
        <v>1215.03919396429</v>
      </c>
    </row>
    <row r="2745" spans="1:12" ht="15" customHeight="1" x14ac:dyDescent="0.2">
      <c r="A2745" s="2">
        <v>42068</v>
      </c>
      <c r="B2745" s="3">
        <v>48.01</v>
      </c>
      <c r="C2745" s="1">
        <v>984030</v>
      </c>
      <c r="D2745" s="3">
        <v>-7.0000000000000201E-2</v>
      </c>
      <c r="E2745" s="3">
        <v>-0.145590682196339</v>
      </c>
      <c r="F2745" s="3">
        <v>-0.145600899018827</v>
      </c>
      <c r="G2745" s="3">
        <v>49.798645</v>
      </c>
      <c r="H2745" s="3">
        <v>1287.7340534289899</v>
      </c>
      <c r="I2745" s="3">
        <v>47.23</v>
      </c>
      <c r="J2745" s="3">
        <v>48.4</v>
      </c>
      <c r="K2745" s="3">
        <v>47.23</v>
      </c>
      <c r="L2745" s="3">
        <v>1237.89005514358</v>
      </c>
    </row>
    <row r="2746" spans="1:12" ht="15" customHeight="1" x14ac:dyDescent="0.2">
      <c r="A2746" s="2">
        <v>42067</v>
      </c>
      <c r="B2746" s="3">
        <v>48.08</v>
      </c>
      <c r="C2746" s="1">
        <v>754768</v>
      </c>
      <c r="D2746" s="3">
        <v>-0.630000000000002</v>
      </c>
      <c r="E2746" s="3">
        <v>-1.2933689180866399</v>
      </c>
      <c r="F2746" s="3">
        <v>-1.2933647320845501</v>
      </c>
      <c r="G2746" s="3">
        <v>49.871257999999997</v>
      </c>
      <c r="H2746" s="3">
        <v>1289.75755292022</v>
      </c>
      <c r="I2746" s="3">
        <v>48.25</v>
      </c>
      <c r="J2746" s="3">
        <v>48.75</v>
      </c>
      <c r="K2746" s="3">
        <v>48</v>
      </c>
      <c r="L2746" s="3">
        <v>1239.84073841498</v>
      </c>
    </row>
    <row r="2747" spans="1:12" ht="15" customHeight="1" x14ac:dyDescent="0.2">
      <c r="A2747" s="2">
        <v>42066</v>
      </c>
      <c r="B2747" s="3">
        <v>48.71</v>
      </c>
      <c r="C2747" s="1">
        <v>701533</v>
      </c>
      <c r="D2747" s="3">
        <v>9.9999999999980105E-3</v>
      </c>
      <c r="E2747" s="3">
        <v>2.0533880903483799E-2</v>
      </c>
      <c r="F2747" s="3">
        <v>2.05327772669683E-2</v>
      </c>
      <c r="G2747" s="3">
        <v>50.524726999999999</v>
      </c>
      <c r="H2747" s="3">
        <v>1307.9677107299401</v>
      </c>
      <c r="I2747" s="3">
        <v>48.67</v>
      </c>
      <c r="J2747" s="3">
        <v>48.835000000000001</v>
      </c>
      <c r="K2747" s="3">
        <v>48.32</v>
      </c>
      <c r="L2747" s="3">
        <v>1257.39688785761</v>
      </c>
    </row>
    <row r="2748" spans="1:12" ht="15" customHeight="1" x14ac:dyDescent="0.2">
      <c r="A2748" s="2">
        <v>42065</v>
      </c>
      <c r="B2748" s="3">
        <v>48.7</v>
      </c>
      <c r="C2748" s="1">
        <v>1490489</v>
      </c>
      <c r="D2748" s="3">
        <v>1.1799999999999899</v>
      </c>
      <c r="E2748" s="3">
        <v>2.48316498316498</v>
      </c>
      <c r="F2748" s="3">
        <v>2.4831633522750902</v>
      </c>
      <c r="G2748" s="3">
        <v>50.514355000000002</v>
      </c>
      <c r="H2748" s="3">
        <v>1307.67867520293</v>
      </c>
      <c r="I2748" s="3">
        <v>47.61</v>
      </c>
      <c r="J2748" s="3">
        <v>49.12</v>
      </c>
      <c r="K2748" s="3">
        <v>47.46</v>
      </c>
      <c r="L2748" s="3">
        <v>1257.11821881884</v>
      </c>
    </row>
    <row r="2749" spans="1:12" ht="15" customHeight="1" x14ac:dyDescent="0.2">
      <c r="A2749" s="2">
        <v>42062</v>
      </c>
      <c r="B2749" s="3">
        <v>47.52</v>
      </c>
      <c r="C2749" s="1">
        <v>1108145</v>
      </c>
      <c r="D2749" s="3">
        <v>-1.1299999999999899</v>
      </c>
      <c r="E2749" s="3">
        <v>-2.3227132579650398</v>
      </c>
      <c r="F2749" s="3">
        <v>-2.3227151634637799</v>
      </c>
      <c r="G2749" s="3">
        <v>49.290393999999999</v>
      </c>
      <c r="H2749" s="3">
        <v>1273.5706716664999</v>
      </c>
      <c r="I2749" s="3">
        <v>48.58</v>
      </c>
      <c r="J2749" s="3">
        <v>48.58</v>
      </c>
      <c r="K2749" s="3">
        <v>47.48</v>
      </c>
      <c r="L2749" s="3">
        <v>1224.2352722437599</v>
      </c>
    </row>
    <row r="2750" spans="1:12" ht="15" customHeight="1" x14ac:dyDescent="0.2">
      <c r="A2750" s="2">
        <v>42061</v>
      </c>
      <c r="B2750" s="3">
        <v>48.65</v>
      </c>
      <c r="C2750" s="1">
        <v>700295</v>
      </c>
      <c r="D2750" s="3">
        <v>-0.53000000000000103</v>
      </c>
      <c r="E2750" s="3">
        <v>-1.07767385115901</v>
      </c>
      <c r="F2750" s="3">
        <v>-1.0776708130311801</v>
      </c>
      <c r="G2750" s="3">
        <v>50.462494</v>
      </c>
      <c r="H2750" s="3">
        <v>1306.2334697009501</v>
      </c>
      <c r="I2750" s="3">
        <v>49.26</v>
      </c>
      <c r="J2750" s="3">
        <v>49.26</v>
      </c>
      <c r="K2750" s="3">
        <v>48.08</v>
      </c>
      <c r="L2750" s="3">
        <v>1255.7248736249801</v>
      </c>
    </row>
    <row r="2751" spans="1:12" ht="15" customHeight="1" x14ac:dyDescent="0.2">
      <c r="A2751" s="2">
        <v>42060</v>
      </c>
      <c r="B2751" s="3">
        <v>49.18</v>
      </c>
      <c r="C2751" s="1">
        <v>660295</v>
      </c>
      <c r="D2751" s="3">
        <v>-0.28000000000000103</v>
      </c>
      <c r="E2751" s="3">
        <v>-0.56611403154064299</v>
      </c>
      <c r="F2751" s="3">
        <v>-0.56610703233238502</v>
      </c>
      <c r="G2751" s="3">
        <v>51.012238000000004</v>
      </c>
      <c r="H2751" s="3">
        <v>1321.55313290601</v>
      </c>
      <c r="I2751" s="3">
        <v>49.2</v>
      </c>
      <c r="J2751" s="3">
        <v>49.55</v>
      </c>
      <c r="K2751" s="3">
        <v>48.79</v>
      </c>
      <c r="L2751" s="3">
        <v>1270.49433267989</v>
      </c>
    </row>
    <row r="2752" spans="1:12" ht="15" customHeight="1" x14ac:dyDescent="0.2">
      <c r="A2752" s="2">
        <v>42059</v>
      </c>
      <c r="B2752" s="3">
        <v>49.46</v>
      </c>
      <c r="C2752" s="1">
        <v>773803</v>
      </c>
      <c r="D2752" s="3">
        <v>3.0000000000001099E-2</v>
      </c>
      <c r="E2752" s="3">
        <v>6.06918875176942E-2</v>
      </c>
      <c r="F2752" s="3">
        <v>6.0688627513716398E-2</v>
      </c>
      <c r="G2752" s="3">
        <v>51.302666000000002</v>
      </c>
      <c r="H2752" s="3">
        <v>1329.64646206525</v>
      </c>
      <c r="I2752" s="3">
        <v>49.47</v>
      </c>
      <c r="J2752" s="3">
        <v>49.989899999999999</v>
      </c>
      <c r="K2752" s="3">
        <v>49.17</v>
      </c>
      <c r="L2752" s="3">
        <v>1278.2970657655001</v>
      </c>
    </row>
    <row r="2753" spans="1:12" ht="15" customHeight="1" x14ac:dyDescent="0.2">
      <c r="A2753" s="2">
        <v>42058</v>
      </c>
      <c r="B2753" s="3">
        <v>49.43</v>
      </c>
      <c r="C2753" s="1">
        <v>625259</v>
      </c>
      <c r="D2753" s="3">
        <v>0.21</v>
      </c>
      <c r="E2753" s="3">
        <v>0.42665583096301801</v>
      </c>
      <c r="F2753" s="3">
        <v>0.76188579434588399</v>
      </c>
      <c r="G2753" s="3">
        <v>51.271549999999998</v>
      </c>
      <c r="H2753" s="3">
        <v>1328.7793554842101</v>
      </c>
      <c r="I2753" s="3">
        <v>48.96</v>
      </c>
      <c r="J2753" s="3">
        <v>49.52</v>
      </c>
      <c r="K2753" s="3">
        <v>48.92</v>
      </c>
      <c r="L2753" s="3">
        <v>1277.4610586491799</v>
      </c>
    </row>
    <row r="2754" spans="1:12" ht="15" customHeight="1" x14ac:dyDescent="0.2">
      <c r="A2754" s="2">
        <v>42055</v>
      </c>
      <c r="B2754" s="3">
        <v>49.22</v>
      </c>
      <c r="C2754" s="1">
        <v>806226</v>
      </c>
      <c r="D2754" s="3">
        <v>-0.189999999999997</v>
      </c>
      <c r="E2754" s="3">
        <v>-0.384537543007479</v>
      </c>
      <c r="F2754" s="3">
        <v>-0.384537709021881</v>
      </c>
      <c r="G2754" s="3">
        <v>50.883873000000001</v>
      </c>
      <c r="H2754" s="3">
        <v>1317.97599778982</v>
      </c>
      <c r="I2754" s="3">
        <v>49.56</v>
      </c>
      <c r="J2754" s="3">
        <v>49.57</v>
      </c>
      <c r="K2754" s="3">
        <v>48.51</v>
      </c>
      <c r="L2754" s="3">
        <v>1271.6090088349699</v>
      </c>
    </row>
    <row r="2755" spans="1:12" ht="15" customHeight="1" x14ac:dyDescent="0.2">
      <c r="A2755" s="2">
        <v>42054</v>
      </c>
      <c r="B2755" s="3">
        <v>49.41</v>
      </c>
      <c r="C2755" s="1">
        <v>1633386</v>
      </c>
      <c r="D2755" s="3">
        <v>0.40999999999999598</v>
      </c>
      <c r="E2755" s="3">
        <v>0.83673469387754995</v>
      </c>
      <c r="F2755" s="3">
        <v>0.83674071563624097</v>
      </c>
      <c r="G2755" s="3">
        <v>51.080295999999997</v>
      </c>
      <c r="H2755" s="3">
        <v>1323.4496986500801</v>
      </c>
      <c r="I2755" s="3">
        <v>49.15</v>
      </c>
      <c r="J2755" s="3">
        <v>49.89</v>
      </c>
      <c r="K2755" s="3">
        <v>49.0501</v>
      </c>
      <c r="L2755" s="3">
        <v>1276.90372057164</v>
      </c>
    </row>
    <row r="2756" spans="1:12" ht="15" customHeight="1" x14ac:dyDescent="0.2">
      <c r="A2756" s="2">
        <v>42053</v>
      </c>
      <c r="B2756" s="3">
        <v>49</v>
      </c>
      <c r="C2756" s="1">
        <v>929019</v>
      </c>
      <c r="D2756" s="3">
        <v>0.75999999999999801</v>
      </c>
      <c r="E2756" s="3">
        <v>1.57545605306799</v>
      </c>
      <c r="F2756" s="3">
        <v>1.5754527659633999</v>
      </c>
      <c r="G2756" s="3">
        <v>50.656433</v>
      </c>
      <c r="H2756" s="3">
        <v>1311.6379491719899</v>
      </c>
      <c r="I2756" s="3">
        <v>48.37</v>
      </c>
      <c r="J2756" s="3">
        <v>49.18</v>
      </c>
      <c r="K2756" s="3">
        <v>48.35</v>
      </c>
      <c r="L2756" s="3">
        <v>1265.47828998199</v>
      </c>
    </row>
    <row r="2757" spans="1:12" ht="15" customHeight="1" x14ac:dyDescent="0.2">
      <c r="A2757" s="2">
        <v>42052</v>
      </c>
      <c r="B2757" s="3">
        <v>48.24</v>
      </c>
      <c r="C2757" s="1">
        <v>1251243</v>
      </c>
      <c r="D2757" s="3">
        <v>2.0000000000003099E-2</v>
      </c>
      <c r="E2757" s="3">
        <v>4.1476565740361501E-2</v>
      </c>
      <c r="F2757" s="3">
        <v>4.14763735422818E-2</v>
      </c>
      <c r="G2757" s="3">
        <v>49.870742999999997</v>
      </c>
      <c r="H2757" s="3">
        <v>1289.74320146472</v>
      </c>
      <c r="I2757" s="3">
        <v>48.39</v>
      </c>
      <c r="J2757" s="3">
        <v>48.67</v>
      </c>
      <c r="K2757" s="3">
        <v>47.93</v>
      </c>
      <c r="L2757" s="3">
        <v>1244.2994430353299</v>
      </c>
    </row>
    <row r="2758" spans="1:12" ht="15" customHeight="1" x14ac:dyDescent="0.2">
      <c r="A2758" s="2">
        <v>42048</v>
      </c>
      <c r="B2758" s="3">
        <v>48.22</v>
      </c>
      <c r="C2758" s="1">
        <v>1575234</v>
      </c>
      <c r="D2758" s="3">
        <v>-1.03999999999999</v>
      </c>
      <c r="E2758" s="3">
        <v>-2.11124644742184</v>
      </c>
      <c r="F2758" s="3">
        <v>-2.1112387928810001</v>
      </c>
      <c r="G2758" s="3">
        <v>49.850067000000003</v>
      </c>
      <c r="H2758" s="3">
        <v>1289.1670253601601</v>
      </c>
      <c r="I2758" s="3">
        <v>49.06</v>
      </c>
      <c r="J2758" s="3">
        <v>49.25</v>
      </c>
      <c r="K2758" s="3">
        <v>47.83</v>
      </c>
      <c r="L2758" s="3">
        <v>1243.7421049577899</v>
      </c>
    </row>
    <row r="2759" spans="1:12" ht="15" customHeight="1" x14ac:dyDescent="0.2">
      <c r="A2759" s="2">
        <v>42047</v>
      </c>
      <c r="B2759" s="3">
        <v>49.26</v>
      </c>
      <c r="C2759" s="1">
        <v>5494357</v>
      </c>
      <c r="D2759" s="3">
        <v>-3.78</v>
      </c>
      <c r="E2759" s="3">
        <v>-7.1266968325791797</v>
      </c>
      <c r="F2759" s="3">
        <v>-7.1267073292787302</v>
      </c>
      <c r="G2759" s="3">
        <v>50.925220000000003</v>
      </c>
      <c r="H2759" s="3">
        <v>1319.1282106644301</v>
      </c>
      <c r="I2759" s="3">
        <v>48.68</v>
      </c>
      <c r="J2759" s="3">
        <v>49.28</v>
      </c>
      <c r="K2759" s="3">
        <v>46.52</v>
      </c>
      <c r="L2759" s="3">
        <v>1272.7236849900601</v>
      </c>
    </row>
    <row r="2760" spans="1:12" ht="15" customHeight="1" x14ac:dyDescent="0.2">
      <c r="A2760" s="2">
        <v>42046</v>
      </c>
      <c r="B2760" s="3">
        <v>53.04</v>
      </c>
      <c r="C2760" s="1">
        <v>1556436</v>
      </c>
      <c r="D2760" s="3">
        <v>-1.0900000000000001</v>
      </c>
      <c r="E2760" s="3">
        <v>-2.0136707925364901</v>
      </c>
      <c r="F2760" s="3">
        <v>-2.0136685846249698</v>
      </c>
      <c r="G2760" s="3">
        <v>54.833008</v>
      </c>
      <c r="H2760" s="3">
        <v>1428.02616323284</v>
      </c>
      <c r="I2760" s="3">
        <v>54.15</v>
      </c>
      <c r="J2760" s="3">
        <v>54.3</v>
      </c>
      <c r="K2760" s="3">
        <v>52.8</v>
      </c>
      <c r="L2760" s="3">
        <v>1378.0605816458201</v>
      </c>
    </row>
    <row r="2761" spans="1:12" ht="15" customHeight="1" x14ac:dyDescent="0.2">
      <c r="A2761" s="2">
        <v>42045</v>
      </c>
      <c r="B2761" s="3">
        <v>54.13</v>
      </c>
      <c r="C2761" s="1">
        <v>711114</v>
      </c>
      <c r="D2761" s="3">
        <v>1.21</v>
      </c>
      <c r="E2761" s="3">
        <v>2.2864701436130002</v>
      </c>
      <c r="F2761" s="3">
        <v>2.2864779738216798</v>
      </c>
      <c r="G2761" s="3">
        <v>55.959854</v>
      </c>
      <c r="H2761" s="3">
        <v>1459.42787239923</v>
      </c>
      <c r="I2761" s="3">
        <v>53.53</v>
      </c>
      <c r="J2761" s="3">
        <v>54.31</v>
      </c>
      <c r="K2761" s="3">
        <v>53.25</v>
      </c>
      <c r="L2761" s="3">
        <v>1408.4355068719501</v>
      </c>
    </row>
    <row r="2762" spans="1:12" ht="15" customHeight="1" x14ac:dyDescent="0.2">
      <c r="A2762" s="2">
        <v>42044</v>
      </c>
      <c r="B2762" s="3">
        <v>52.92</v>
      </c>
      <c r="C2762" s="1">
        <v>513688</v>
      </c>
      <c r="D2762" s="3">
        <v>-0.78000000000000103</v>
      </c>
      <c r="E2762" s="3">
        <v>-1.4525139664804501</v>
      </c>
      <c r="F2762" s="3">
        <v>-1.45251807627286</v>
      </c>
      <c r="G2762" s="3">
        <v>54.708945999999997</v>
      </c>
      <c r="H2762" s="3">
        <v>1424.5689394040301</v>
      </c>
      <c r="I2762" s="3">
        <v>53.36</v>
      </c>
      <c r="J2762" s="3">
        <v>53.68</v>
      </c>
      <c r="K2762" s="3">
        <v>52.8</v>
      </c>
      <c r="L2762" s="3">
        <v>1374.7165531805499</v>
      </c>
    </row>
    <row r="2763" spans="1:12" ht="15" customHeight="1" x14ac:dyDescent="0.2">
      <c r="A2763" s="2">
        <v>42041</v>
      </c>
      <c r="B2763" s="3">
        <v>53.7</v>
      </c>
      <c r="C2763" s="1">
        <v>744720</v>
      </c>
      <c r="D2763" s="3">
        <v>0.79000000000000603</v>
      </c>
      <c r="E2763" s="3">
        <v>1.4931014931015101</v>
      </c>
      <c r="F2763" s="3">
        <v>1.4930982160936599</v>
      </c>
      <c r="G2763" s="3">
        <v>55.515315999999999</v>
      </c>
      <c r="H2763" s="3">
        <v>1447.0399746834701</v>
      </c>
      <c r="I2763" s="3">
        <v>52.93</v>
      </c>
      <c r="J2763" s="3">
        <v>53.89</v>
      </c>
      <c r="K2763" s="3">
        <v>52.56</v>
      </c>
      <c r="L2763" s="3">
        <v>1396.45273820476</v>
      </c>
    </row>
    <row r="2764" spans="1:12" ht="15" customHeight="1" x14ac:dyDescent="0.2">
      <c r="A2764" s="2">
        <v>42040</v>
      </c>
      <c r="B2764" s="3">
        <v>52.91</v>
      </c>
      <c r="C2764" s="1">
        <v>556389</v>
      </c>
      <c r="D2764" s="3">
        <v>-7.0000000000000201E-2</v>
      </c>
      <c r="E2764" s="3">
        <v>-0.13212533031332599</v>
      </c>
      <c r="F2764" s="3">
        <v>-0.13212289421092799</v>
      </c>
      <c r="G2764" s="3">
        <v>54.698611999999997</v>
      </c>
      <c r="H2764" s="3">
        <v>1424.28096281936</v>
      </c>
      <c r="I2764" s="3">
        <v>53.09</v>
      </c>
      <c r="J2764" s="3">
        <v>53.45</v>
      </c>
      <c r="K2764" s="3">
        <v>52.7</v>
      </c>
      <c r="L2764" s="3">
        <v>1374.4378841417799</v>
      </c>
    </row>
    <row r="2765" spans="1:12" ht="15" customHeight="1" x14ac:dyDescent="0.2">
      <c r="A2765" s="2">
        <v>42039</v>
      </c>
      <c r="B2765" s="3">
        <v>52.98</v>
      </c>
      <c r="C2765" s="1">
        <v>607315</v>
      </c>
      <c r="D2765" s="3">
        <v>0.56999999999999995</v>
      </c>
      <c r="E2765" s="3">
        <v>1.0875787063537401</v>
      </c>
      <c r="F2765" s="3">
        <v>1.08757549364906</v>
      </c>
      <c r="G2765" s="3">
        <v>54.770977000000002</v>
      </c>
      <c r="H2765" s="3">
        <v>1426.2975513184299</v>
      </c>
      <c r="I2765" s="3">
        <v>52.41</v>
      </c>
      <c r="J2765" s="3">
        <v>53.31</v>
      </c>
      <c r="K2765" s="3">
        <v>52.131999999999998</v>
      </c>
      <c r="L2765" s="3">
        <v>1376.38856741318</v>
      </c>
    </row>
    <row r="2766" spans="1:12" ht="15" customHeight="1" x14ac:dyDescent="0.2">
      <c r="A2766" s="2">
        <v>42038</v>
      </c>
      <c r="B2766" s="3">
        <v>52.41</v>
      </c>
      <c r="C2766" s="1">
        <v>480315</v>
      </c>
      <c r="D2766" s="3">
        <v>0.34999999999999398</v>
      </c>
      <c r="E2766" s="3">
        <v>0.67230119093353302</v>
      </c>
      <c r="F2766" s="3">
        <v>0.67230178411032904</v>
      </c>
      <c r="G2766" s="3">
        <v>54.181710000000002</v>
      </c>
      <c r="H2766" s="3">
        <v>1409.8765044714301</v>
      </c>
      <c r="I2766" s="3">
        <v>52.14</v>
      </c>
      <c r="J2766" s="3">
        <v>52.9</v>
      </c>
      <c r="K2766" s="3">
        <v>51.92</v>
      </c>
      <c r="L2766" s="3">
        <v>1360.5044322031899</v>
      </c>
    </row>
    <row r="2767" spans="1:12" ht="15" customHeight="1" x14ac:dyDescent="0.2">
      <c r="A2767" s="2">
        <v>42037</v>
      </c>
      <c r="B2767" s="3">
        <v>52.06</v>
      </c>
      <c r="C2767" s="1">
        <v>897516</v>
      </c>
      <c r="D2767" s="3">
        <v>-0.44999999999999502</v>
      </c>
      <c r="E2767" s="3">
        <v>-0.85697962292895502</v>
      </c>
      <c r="F2767" s="3">
        <v>-0.85697567626674598</v>
      </c>
      <c r="G2767" s="3">
        <v>53.819878000000003</v>
      </c>
      <c r="H2767" s="3">
        <v>1399.7933669077499</v>
      </c>
      <c r="I2767" s="3">
        <v>52.4</v>
      </c>
      <c r="J2767" s="3">
        <v>52.53</v>
      </c>
      <c r="K2767" s="3">
        <v>51.09</v>
      </c>
      <c r="L2767" s="3">
        <v>1350.7510158461801</v>
      </c>
    </row>
    <row r="2768" spans="1:12" ht="15" customHeight="1" x14ac:dyDescent="0.2">
      <c r="A2768" s="2">
        <v>42034</v>
      </c>
      <c r="B2768" s="3">
        <v>52.51</v>
      </c>
      <c r="C2768" s="1">
        <v>730987</v>
      </c>
      <c r="D2768" s="3">
        <v>-0.66000000000000303</v>
      </c>
      <c r="E2768" s="3">
        <v>-1.24130148580027</v>
      </c>
      <c r="F2768" s="3">
        <v>-1.24130302688502</v>
      </c>
      <c r="G2768" s="3">
        <v>54.285088000000002</v>
      </c>
      <c r="H2768" s="3">
        <v>1412.75732926045</v>
      </c>
      <c r="I2768" s="3">
        <v>52.94</v>
      </c>
      <c r="J2768" s="3">
        <v>53.15</v>
      </c>
      <c r="K2768" s="3">
        <v>52.26</v>
      </c>
      <c r="L2768" s="3">
        <v>1363.2911225909099</v>
      </c>
    </row>
    <row r="2769" spans="1:12" ht="15" customHeight="1" x14ac:dyDescent="0.2">
      <c r="A2769" s="2">
        <v>42033</v>
      </c>
      <c r="B2769" s="3">
        <v>53.17</v>
      </c>
      <c r="C2769" s="1">
        <v>1177533</v>
      </c>
      <c r="D2769" s="3">
        <v>-0.22999999999999601</v>
      </c>
      <c r="E2769" s="3">
        <v>-0.430711610486889</v>
      </c>
      <c r="F2769" s="3">
        <v>-0.43071503964202601</v>
      </c>
      <c r="G2769" s="3">
        <v>54.967399999999998</v>
      </c>
      <c r="H2769" s="3">
        <v>1431.7712521787</v>
      </c>
      <c r="I2769" s="3">
        <v>53.56</v>
      </c>
      <c r="J2769" s="3">
        <v>53.56</v>
      </c>
      <c r="K2769" s="3">
        <v>52.545000000000002</v>
      </c>
      <c r="L2769" s="3">
        <v>1381.68327914985</v>
      </c>
    </row>
    <row r="2770" spans="1:12" ht="15" customHeight="1" x14ac:dyDescent="0.2">
      <c r="A2770" s="2">
        <v>42032</v>
      </c>
      <c r="B2770" s="3">
        <v>53.4</v>
      </c>
      <c r="C2770" s="1">
        <v>693190</v>
      </c>
      <c r="D2770" s="3">
        <v>-1.03999999999999</v>
      </c>
      <c r="E2770" s="3">
        <v>-1.9103600293901499</v>
      </c>
      <c r="F2770" s="3">
        <v>-1.91035304874722</v>
      </c>
      <c r="G2770" s="3">
        <v>55.205176999999999</v>
      </c>
      <c r="H2770" s="3">
        <v>1438.3973609819</v>
      </c>
      <c r="I2770" s="3">
        <v>54.75</v>
      </c>
      <c r="J2770" s="3">
        <v>54.93</v>
      </c>
      <c r="K2770" s="3">
        <v>53.14</v>
      </c>
      <c r="L2770" s="3">
        <v>1388.0926670416</v>
      </c>
    </row>
    <row r="2771" spans="1:12" ht="15" customHeight="1" x14ac:dyDescent="0.2">
      <c r="A2771" s="2">
        <v>42031</v>
      </c>
      <c r="B2771" s="3">
        <v>54.44</v>
      </c>
      <c r="C2771" s="1">
        <v>419275</v>
      </c>
      <c r="D2771" s="3">
        <v>-0.28999999999999898</v>
      </c>
      <c r="E2771" s="3">
        <v>-0.52987392654850696</v>
      </c>
      <c r="F2771" s="3">
        <v>-0.52987678449335496</v>
      </c>
      <c r="G2771" s="3">
        <v>56.280329999999999</v>
      </c>
      <c r="H2771" s="3">
        <v>1468.3585462861699</v>
      </c>
      <c r="I2771" s="3">
        <v>54.38</v>
      </c>
      <c r="J2771" s="3">
        <v>54.69</v>
      </c>
      <c r="K2771" s="3">
        <v>54</v>
      </c>
      <c r="L2771" s="3">
        <v>1417.0742470738701</v>
      </c>
    </row>
    <row r="2772" spans="1:12" ht="15" customHeight="1" x14ac:dyDescent="0.2">
      <c r="A2772" s="2">
        <v>42030</v>
      </c>
      <c r="B2772" s="3">
        <v>54.73</v>
      </c>
      <c r="C2772" s="1">
        <v>553357</v>
      </c>
      <c r="D2772" s="3">
        <v>0.59999999999999398</v>
      </c>
      <c r="E2772" s="3">
        <v>1.10844263809346</v>
      </c>
      <c r="F2772" s="3">
        <v>1.1084392750559899</v>
      </c>
      <c r="G2772" s="3">
        <v>56.580134999999999</v>
      </c>
      <c r="H2772" s="3">
        <v>1476.7131834030699</v>
      </c>
      <c r="I2772" s="3">
        <v>54.16</v>
      </c>
      <c r="J2772" s="3">
        <v>55.13</v>
      </c>
      <c r="K2772" s="3">
        <v>54.13</v>
      </c>
      <c r="L2772" s="3">
        <v>1425.1556491982601</v>
      </c>
    </row>
    <row r="2773" spans="1:12" ht="15" customHeight="1" x14ac:dyDescent="0.2">
      <c r="A2773" s="2">
        <v>42027</v>
      </c>
      <c r="B2773" s="3">
        <v>54.13</v>
      </c>
      <c r="C2773" s="1">
        <v>523578.99999999901</v>
      </c>
      <c r="D2773" s="3">
        <v>3.0000000000001099E-2</v>
      </c>
      <c r="E2773" s="3">
        <v>5.5452865064697897E-2</v>
      </c>
      <c r="F2773" s="3">
        <v>5.5457974211048297E-2</v>
      </c>
      <c r="G2773" s="3">
        <v>55.959854</v>
      </c>
      <c r="H2773" s="3">
        <v>1459.42787239923</v>
      </c>
      <c r="I2773" s="3">
        <v>54.25</v>
      </c>
      <c r="J2773" s="3">
        <v>54.47</v>
      </c>
      <c r="K2773" s="3">
        <v>53.74</v>
      </c>
      <c r="L2773" s="3">
        <v>1408.4355068719501</v>
      </c>
    </row>
    <row r="2774" spans="1:12" ht="15" customHeight="1" x14ac:dyDescent="0.2">
      <c r="A2774" s="2">
        <v>42026</v>
      </c>
      <c r="B2774" s="3">
        <v>54.1</v>
      </c>
      <c r="C2774" s="1">
        <v>553356</v>
      </c>
      <c r="D2774" s="3">
        <v>0.81000000000000205</v>
      </c>
      <c r="E2774" s="3">
        <v>1.5199849878025899</v>
      </c>
      <c r="F2774" s="3">
        <v>1.5199815826254199</v>
      </c>
      <c r="G2774" s="3">
        <v>55.928837000000001</v>
      </c>
      <c r="H2774" s="3">
        <v>1458.56352464167</v>
      </c>
      <c r="I2774" s="3">
        <v>53.64</v>
      </c>
      <c r="J2774" s="3">
        <v>54.21</v>
      </c>
      <c r="K2774" s="3">
        <v>53.15</v>
      </c>
      <c r="L2774" s="3">
        <v>1407.5994997556299</v>
      </c>
    </row>
    <row r="2775" spans="1:12" ht="15" customHeight="1" x14ac:dyDescent="0.2">
      <c r="A2775" s="2">
        <v>42025</v>
      </c>
      <c r="B2775" s="3">
        <v>53.29</v>
      </c>
      <c r="C2775" s="1">
        <v>577501</v>
      </c>
      <c r="D2775" s="3">
        <v>0.28999999999999898</v>
      </c>
      <c r="E2775" s="3">
        <v>0.54716981132074605</v>
      </c>
      <c r="F2775" s="3">
        <v>0.54717093495975</v>
      </c>
      <c r="G2775" s="3">
        <v>55.091456999999998</v>
      </c>
      <c r="H2775" s="3">
        <v>1435.2283366729901</v>
      </c>
      <c r="I2775" s="3">
        <v>52.72</v>
      </c>
      <c r="J2775" s="3">
        <v>53.32</v>
      </c>
      <c r="K2775" s="3">
        <v>52.46</v>
      </c>
      <c r="L2775" s="3">
        <v>1385.02730761511</v>
      </c>
    </row>
    <row r="2776" spans="1:12" ht="15" customHeight="1" x14ac:dyDescent="0.2">
      <c r="A2776" s="2">
        <v>42024</v>
      </c>
      <c r="B2776" s="3">
        <v>53</v>
      </c>
      <c r="C2776" s="1">
        <v>1105546</v>
      </c>
      <c r="D2776" s="3">
        <v>0.84000000000000297</v>
      </c>
      <c r="E2776" s="3">
        <v>1.6104294478527601</v>
      </c>
      <c r="F2776" s="3">
        <v>1.61043131371738</v>
      </c>
      <c r="G2776" s="3">
        <v>54.791652999999997</v>
      </c>
      <c r="H2776" s="3">
        <v>1426.873727423</v>
      </c>
      <c r="I2776" s="3">
        <v>53.5</v>
      </c>
      <c r="J2776" s="3">
        <v>54.12</v>
      </c>
      <c r="K2776" s="3">
        <v>52.5501</v>
      </c>
      <c r="L2776" s="3">
        <v>1376.94590549073</v>
      </c>
    </row>
    <row r="2777" spans="1:12" ht="15" customHeight="1" x14ac:dyDescent="0.2">
      <c r="A2777" s="2">
        <v>42020</v>
      </c>
      <c r="B2777" s="3">
        <v>52.16</v>
      </c>
      <c r="C2777" s="1">
        <v>438929</v>
      </c>
      <c r="D2777" s="3">
        <v>0.31999999999999301</v>
      </c>
      <c r="E2777" s="3">
        <v>0.61728395061726404</v>
      </c>
      <c r="F2777" s="3">
        <v>0.61728109412446597</v>
      </c>
      <c r="G2777" s="3">
        <v>53.923256000000002</v>
      </c>
      <c r="H2777" s="3">
        <v>1402.6741916967601</v>
      </c>
      <c r="I2777" s="3">
        <v>51.62</v>
      </c>
      <c r="J2777" s="3">
        <v>52.2</v>
      </c>
      <c r="K2777" s="3">
        <v>51.39</v>
      </c>
      <c r="L2777" s="3">
        <v>1353.53770623389</v>
      </c>
    </row>
    <row r="2778" spans="1:12" ht="15" customHeight="1" x14ac:dyDescent="0.2">
      <c r="A2778" s="2">
        <v>42019</v>
      </c>
      <c r="B2778" s="3">
        <v>51.84</v>
      </c>
      <c r="C2778" s="1">
        <v>490561</v>
      </c>
      <c r="D2778" s="3">
        <v>-0.44999999999999502</v>
      </c>
      <c r="E2778" s="3">
        <v>-0.86058519793458199</v>
      </c>
      <c r="F2778" s="3">
        <v>-0.86058124983234796</v>
      </c>
      <c r="G2778" s="3">
        <v>53.592440000000003</v>
      </c>
      <c r="H2778" s="3">
        <v>1393.45537402373</v>
      </c>
      <c r="I2778" s="3">
        <v>52.41</v>
      </c>
      <c r="J2778" s="3">
        <v>52.47</v>
      </c>
      <c r="K2778" s="3">
        <v>50.84</v>
      </c>
      <c r="L2778" s="3">
        <v>1344.6202969932001</v>
      </c>
    </row>
    <row r="2779" spans="1:12" ht="15" customHeight="1" x14ac:dyDescent="0.2">
      <c r="A2779" s="2">
        <v>42018</v>
      </c>
      <c r="B2779" s="3">
        <v>52.29</v>
      </c>
      <c r="C2779" s="1">
        <v>464343</v>
      </c>
      <c r="D2779" s="3">
        <v>-0.41000000000000297</v>
      </c>
      <c r="E2779" s="3">
        <v>-0.77798861480076198</v>
      </c>
      <c r="F2779" s="3">
        <v>-0.77799600062508001</v>
      </c>
      <c r="G2779" s="3">
        <v>54.057650000000002</v>
      </c>
      <c r="H2779" s="3">
        <v>1406.41933637643</v>
      </c>
      <c r="I2779" s="3">
        <v>52.64</v>
      </c>
      <c r="J2779" s="3">
        <v>52.8</v>
      </c>
      <c r="K2779" s="3">
        <v>51.99</v>
      </c>
      <c r="L2779" s="3">
        <v>1357.16040373793</v>
      </c>
    </row>
    <row r="2780" spans="1:12" ht="15" customHeight="1" x14ac:dyDescent="0.2">
      <c r="A2780" s="2">
        <v>42017</v>
      </c>
      <c r="B2780" s="3">
        <v>52.7</v>
      </c>
      <c r="C2780" s="1">
        <v>551278</v>
      </c>
      <c r="D2780" s="3">
        <v>0.510000000000005</v>
      </c>
      <c r="E2780" s="3">
        <v>0.97719869706840401</v>
      </c>
      <c r="F2780" s="3">
        <v>0.97720532591767295</v>
      </c>
      <c r="G2780" s="3">
        <v>54.481513999999997</v>
      </c>
      <c r="H2780" s="3">
        <v>1418.2311137214299</v>
      </c>
      <c r="I2780" s="3">
        <v>52.62</v>
      </c>
      <c r="J2780" s="3">
        <v>53.18</v>
      </c>
      <c r="K2780" s="3">
        <v>52</v>
      </c>
      <c r="L2780" s="3">
        <v>1368.58583432757</v>
      </c>
    </row>
    <row r="2781" spans="1:12" ht="15" customHeight="1" x14ac:dyDescent="0.2">
      <c r="A2781" s="2">
        <v>42016</v>
      </c>
      <c r="B2781" s="3">
        <v>52.19</v>
      </c>
      <c r="C2781" s="1">
        <v>386479</v>
      </c>
      <c r="D2781" s="3">
        <v>-0.160000000000003</v>
      </c>
      <c r="E2781" s="3">
        <v>-0.30563514804202702</v>
      </c>
      <c r="F2781" s="3">
        <v>-0.30563743170691698</v>
      </c>
      <c r="G2781" s="3">
        <v>53.954270000000001</v>
      </c>
      <c r="H2781" s="3">
        <v>1403.53845585361</v>
      </c>
      <c r="I2781" s="3">
        <v>52.52</v>
      </c>
      <c r="J2781" s="3">
        <v>52.639899999999997</v>
      </c>
      <c r="K2781" s="3">
        <v>52.02</v>
      </c>
      <c r="L2781" s="3">
        <v>1354.37371335021</v>
      </c>
    </row>
    <row r="2782" spans="1:12" ht="15" customHeight="1" x14ac:dyDescent="0.2">
      <c r="A2782" s="2">
        <v>42013</v>
      </c>
      <c r="B2782" s="3">
        <v>52.35</v>
      </c>
      <c r="C2782" s="1">
        <v>499577</v>
      </c>
      <c r="D2782" s="3">
        <v>-7.0000000000000201E-2</v>
      </c>
      <c r="E2782" s="3">
        <v>-0.13353681800839501</v>
      </c>
      <c r="F2782" s="3">
        <v>-0.133530673497572</v>
      </c>
      <c r="G2782" s="3">
        <v>54.119680000000002</v>
      </c>
      <c r="H2782" s="3">
        <v>1408.1479204239299</v>
      </c>
      <c r="I2782" s="3">
        <v>52.5</v>
      </c>
      <c r="J2782" s="3">
        <v>52.56</v>
      </c>
      <c r="K2782" s="3">
        <v>51.51</v>
      </c>
      <c r="L2782" s="3">
        <v>1358.8324179705601</v>
      </c>
    </row>
    <row r="2783" spans="1:12" ht="15" customHeight="1" x14ac:dyDescent="0.2">
      <c r="A2783" s="2">
        <v>42012</v>
      </c>
      <c r="B2783" s="3">
        <v>52.42</v>
      </c>
      <c r="C2783" s="1">
        <v>951827</v>
      </c>
      <c r="D2783" s="3">
        <v>0.71999999999999797</v>
      </c>
      <c r="E2783" s="3">
        <v>1.3926499032882</v>
      </c>
      <c r="F2783" s="3">
        <v>1.3926377762489599</v>
      </c>
      <c r="G2783" s="3">
        <v>54.192042999999998</v>
      </c>
      <c r="H2783" s="3">
        <v>1410.1644531892</v>
      </c>
      <c r="I2783" s="3">
        <v>51.93</v>
      </c>
      <c r="J2783" s="3">
        <v>52.75</v>
      </c>
      <c r="K2783" s="3">
        <v>51.75</v>
      </c>
      <c r="L2783" s="3">
        <v>1360.7831012419599</v>
      </c>
    </row>
    <row r="2784" spans="1:12" ht="15" customHeight="1" x14ac:dyDescent="0.2">
      <c r="A2784" s="2">
        <v>42011</v>
      </c>
      <c r="B2784" s="3">
        <v>51.7</v>
      </c>
      <c r="C2784" s="1">
        <v>1151343</v>
      </c>
      <c r="D2784" s="3">
        <v>1.88</v>
      </c>
      <c r="E2784" s="3">
        <v>3.7735849056603699</v>
      </c>
      <c r="F2784" s="3">
        <v>3.7735907670670699</v>
      </c>
      <c r="G2784" s="3">
        <v>53.447710000000001</v>
      </c>
      <c r="H2784" s="3">
        <v>1389.4221970255801</v>
      </c>
      <c r="I2784" s="3">
        <v>51</v>
      </c>
      <c r="J2784" s="3">
        <v>51.82</v>
      </c>
      <c r="K2784" s="3">
        <v>50.274999999999999</v>
      </c>
      <c r="L2784" s="3">
        <v>1340.71893045039</v>
      </c>
    </row>
    <row r="2785" spans="1:12" ht="15" customHeight="1" x14ac:dyDescent="0.2">
      <c r="A2785" s="2">
        <v>42010</v>
      </c>
      <c r="B2785" s="3">
        <v>49.82</v>
      </c>
      <c r="C2785" s="1">
        <v>591411</v>
      </c>
      <c r="D2785" s="3">
        <v>-0.380000000000002</v>
      </c>
      <c r="E2785" s="3">
        <v>-0.75697211155378796</v>
      </c>
      <c r="F2785" s="3">
        <v>-0.75697246468967505</v>
      </c>
      <c r="G2785" s="3">
        <v>51.504154</v>
      </c>
      <c r="H2785" s="3">
        <v>1335.26130879366</v>
      </c>
      <c r="I2785" s="3">
        <v>50.48</v>
      </c>
      <c r="J2785" s="3">
        <v>50.57</v>
      </c>
      <c r="K2785" s="3">
        <v>49.09</v>
      </c>
      <c r="L2785" s="3">
        <v>1288.3291511612799</v>
      </c>
    </row>
    <row r="2786" spans="1:12" ht="15" customHeight="1" x14ac:dyDescent="0.2">
      <c r="A2786" s="2">
        <v>42009</v>
      </c>
      <c r="B2786" s="3">
        <v>50.2</v>
      </c>
      <c r="C2786" s="1">
        <v>504218</v>
      </c>
      <c r="D2786" s="3">
        <v>9.0000000000003397E-2</v>
      </c>
      <c r="E2786" s="3">
        <v>0.179604869287564</v>
      </c>
      <c r="F2786" s="3">
        <v>0.17960016956233199</v>
      </c>
      <c r="G2786" s="3">
        <v>51.896999999999998</v>
      </c>
      <c r="H2786" s="3">
        <v>1346.20871051419</v>
      </c>
      <c r="I2786" s="3">
        <v>49.92</v>
      </c>
      <c r="J2786" s="3">
        <v>50.64</v>
      </c>
      <c r="K2786" s="3">
        <v>49.82</v>
      </c>
      <c r="L2786" s="3">
        <v>1298.91857463461</v>
      </c>
    </row>
    <row r="2787" spans="1:12" ht="15" customHeight="1" x14ac:dyDescent="0.2">
      <c r="A2787" s="2">
        <v>42006</v>
      </c>
      <c r="B2787" s="3">
        <v>50.11</v>
      </c>
      <c r="C2787" s="1">
        <v>508325</v>
      </c>
      <c r="D2787" s="3">
        <v>-0.20000000000000201</v>
      </c>
      <c r="E2787" s="3">
        <v>-0.39753528125621101</v>
      </c>
      <c r="F2787" s="3">
        <v>-0.397533431569496</v>
      </c>
      <c r="G2787" s="3">
        <v>51.803960000000004</v>
      </c>
      <c r="H2787" s="3">
        <v>1343.6159737774601</v>
      </c>
      <c r="I2787" s="3">
        <v>50.63</v>
      </c>
      <c r="J2787" s="3">
        <v>50.88</v>
      </c>
      <c r="K2787" s="3">
        <v>49.79</v>
      </c>
      <c r="L2787" s="3">
        <v>1296.4105532856699</v>
      </c>
    </row>
    <row r="2788" spans="1:12" ht="15" customHeight="1" x14ac:dyDescent="0.2">
      <c r="A2788" s="2">
        <v>42004</v>
      </c>
      <c r="B2788" s="3">
        <v>50.31</v>
      </c>
      <c r="C2788" s="1">
        <v>417089</v>
      </c>
      <c r="D2788" s="3">
        <v>-0.239999999999994</v>
      </c>
      <c r="E2788" s="3">
        <v>-0.47477744807120598</v>
      </c>
      <c r="F2788" s="3">
        <v>-0.47477144053933401</v>
      </c>
      <c r="G2788" s="3">
        <v>52.010719999999999</v>
      </c>
      <c r="H2788" s="3">
        <v>1349.3777348231099</v>
      </c>
      <c r="I2788" s="3">
        <v>50.77</v>
      </c>
      <c r="J2788" s="3">
        <v>51.2</v>
      </c>
      <c r="K2788" s="3">
        <v>50.25</v>
      </c>
      <c r="L2788" s="3">
        <v>1301.9839340610999</v>
      </c>
    </row>
    <row r="2789" spans="1:12" ht="15" customHeight="1" x14ac:dyDescent="0.2">
      <c r="A2789" s="2">
        <v>42003</v>
      </c>
      <c r="B2789" s="3">
        <v>50.55</v>
      </c>
      <c r="C2789" s="1">
        <v>300772</v>
      </c>
      <c r="D2789" s="3">
        <v>-0.35999999999999899</v>
      </c>
      <c r="E2789" s="3">
        <v>-0.70713022981732099</v>
      </c>
      <c r="F2789" s="3">
        <v>-0.70713077843855798</v>
      </c>
      <c r="G2789" s="3">
        <v>52.258830000000003</v>
      </c>
      <c r="H2789" s="3">
        <v>1356.29179234408</v>
      </c>
      <c r="I2789" s="3">
        <v>50.79</v>
      </c>
      <c r="J2789" s="3">
        <v>51.445</v>
      </c>
      <c r="K2789" s="3">
        <v>50.3</v>
      </c>
      <c r="L2789" s="3">
        <v>1308.6719909916301</v>
      </c>
    </row>
    <row r="2790" spans="1:12" ht="15" customHeight="1" x14ac:dyDescent="0.2">
      <c r="A2790" s="2">
        <v>42002</v>
      </c>
      <c r="B2790" s="3">
        <v>50.91</v>
      </c>
      <c r="C2790" s="1">
        <v>710354</v>
      </c>
      <c r="D2790" s="3">
        <v>1.3699999999999899</v>
      </c>
      <c r="E2790" s="3">
        <v>2.7654420670165401</v>
      </c>
      <c r="F2790" s="3">
        <v>2.7654370259782901</v>
      </c>
      <c r="G2790" s="3">
        <v>52.631</v>
      </c>
      <c r="H2790" s="3">
        <v>1366.66301796005</v>
      </c>
      <c r="I2790" s="3">
        <v>49.87</v>
      </c>
      <c r="J2790" s="3">
        <v>51.19</v>
      </c>
      <c r="K2790" s="3">
        <v>49.6</v>
      </c>
      <c r="L2790" s="3">
        <v>1318.7040763874099</v>
      </c>
    </row>
    <row r="2791" spans="1:12" ht="15" customHeight="1" x14ac:dyDescent="0.2">
      <c r="A2791" s="2">
        <v>41999</v>
      </c>
      <c r="B2791" s="3">
        <v>49.54</v>
      </c>
      <c r="C2791" s="1">
        <v>580171</v>
      </c>
      <c r="D2791" s="3">
        <v>7.9999999999998295E-2</v>
      </c>
      <c r="E2791" s="3">
        <v>0.16174686615446601</v>
      </c>
      <c r="F2791" s="3">
        <v>0.16174807217048601</v>
      </c>
      <c r="G2791" s="3">
        <v>51.214689999999997</v>
      </c>
      <c r="H2791" s="3">
        <v>1327.19484332975</v>
      </c>
      <c r="I2791" s="3">
        <v>49.55</v>
      </c>
      <c r="J2791" s="3">
        <v>49.73</v>
      </c>
      <c r="K2791" s="3">
        <v>49.39</v>
      </c>
      <c r="L2791" s="3">
        <v>1280.5264180756701</v>
      </c>
    </row>
    <row r="2792" spans="1:12" ht="15" customHeight="1" x14ac:dyDescent="0.2">
      <c r="A2792" s="2">
        <v>41997</v>
      </c>
      <c r="B2792" s="3">
        <v>49.46</v>
      </c>
      <c r="C2792" s="1">
        <v>97361</v>
      </c>
      <c r="D2792" s="3">
        <v>1.5000000000000501E-2</v>
      </c>
      <c r="E2792" s="3">
        <v>3.03367377894714E-2</v>
      </c>
      <c r="F2792" s="3">
        <v>3.03365971340952E-2</v>
      </c>
      <c r="G2792" s="3">
        <v>51.131985</v>
      </c>
      <c r="H2792" s="3">
        <v>1324.89011104459</v>
      </c>
      <c r="I2792" s="3">
        <v>49.66</v>
      </c>
      <c r="J2792" s="3">
        <v>49.79</v>
      </c>
      <c r="K2792" s="3">
        <v>49.27</v>
      </c>
      <c r="L2792" s="3">
        <v>1278.2970657655001</v>
      </c>
    </row>
    <row r="2793" spans="1:12" ht="15" customHeight="1" x14ac:dyDescent="0.2">
      <c r="A2793" s="2">
        <v>41996</v>
      </c>
      <c r="B2793" s="3">
        <v>49.445</v>
      </c>
      <c r="C2793" s="1">
        <v>253802</v>
      </c>
      <c r="D2793" s="3">
        <v>0.125</v>
      </c>
      <c r="E2793" s="3">
        <v>0.25344687753445699</v>
      </c>
      <c r="F2793" s="3">
        <v>0.25345159819365398</v>
      </c>
      <c r="G2793" s="3">
        <v>51.116478000000001</v>
      </c>
      <c r="H2793" s="3">
        <v>1324.45797896617</v>
      </c>
      <c r="I2793" s="3">
        <v>49.47</v>
      </c>
      <c r="J2793" s="3">
        <v>49.81</v>
      </c>
      <c r="K2793" s="3">
        <v>49.29</v>
      </c>
      <c r="L2793" s="3">
        <v>1277.87906220734</v>
      </c>
    </row>
    <row r="2794" spans="1:12" ht="15" customHeight="1" x14ac:dyDescent="0.2">
      <c r="A2794" s="2">
        <v>41995</v>
      </c>
      <c r="B2794" s="3">
        <v>49.32</v>
      </c>
      <c r="C2794" s="1">
        <v>261425</v>
      </c>
      <c r="D2794" s="3">
        <v>0.70000000000000195</v>
      </c>
      <c r="E2794" s="3">
        <v>1.4397367338543701</v>
      </c>
      <c r="F2794" s="3">
        <v>1.4397340675321499</v>
      </c>
      <c r="G2794" s="3">
        <v>50.987250000000003</v>
      </c>
      <c r="H2794" s="3">
        <v>1320.85679471193</v>
      </c>
      <c r="I2794" s="3">
        <v>48.79</v>
      </c>
      <c r="J2794" s="3">
        <v>49.35</v>
      </c>
      <c r="K2794" s="3">
        <v>48.7</v>
      </c>
      <c r="L2794" s="3">
        <v>1274.3956992226899</v>
      </c>
    </row>
    <row r="2795" spans="1:12" ht="15" customHeight="1" x14ac:dyDescent="0.2">
      <c r="A2795" s="2">
        <v>41992</v>
      </c>
      <c r="B2795" s="3">
        <v>48.62</v>
      </c>
      <c r="C2795" s="1">
        <v>782428</v>
      </c>
      <c r="D2795" s="3">
        <v>-0.60999999999999899</v>
      </c>
      <c r="E2795" s="3">
        <v>-1.2390818606540599</v>
      </c>
      <c r="F2795" s="3">
        <v>-1.2390781528435999</v>
      </c>
      <c r="G2795" s="3">
        <v>50.263587999999999</v>
      </c>
      <c r="H2795" s="3">
        <v>1300.6905753183601</v>
      </c>
      <c r="I2795" s="3">
        <v>49.12</v>
      </c>
      <c r="J2795" s="3">
        <v>49.2</v>
      </c>
      <c r="K2795" s="3">
        <v>48.55</v>
      </c>
      <c r="L2795" s="3">
        <v>1254.8888665086599</v>
      </c>
    </row>
    <row r="2796" spans="1:12" ht="15" customHeight="1" x14ac:dyDescent="0.2">
      <c r="A2796" s="2">
        <v>41991</v>
      </c>
      <c r="B2796" s="3">
        <v>49.23</v>
      </c>
      <c r="C2796" s="1">
        <v>404967</v>
      </c>
      <c r="D2796" s="3">
        <v>0.17499999999999699</v>
      </c>
      <c r="E2796" s="3">
        <v>0.35674243196410699</v>
      </c>
      <c r="F2796" s="3">
        <v>0.35673485621472401</v>
      </c>
      <c r="G2796" s="3">
        <v>50.894207000000002</v>
      </c>
      <c r="H2796" s="3">
        <v>1318.2639743744801</v>
      </c>
      <c r="I2796" s="3">
        <v>49.43</v>
      </c>
      <c r="J2796" s="3">
        <v>49.45</v>
      </c>
      <c r="K2796" s="3">
        <v>48.73</v>
      </c>
      <c r="L2796" s="3">
        <v>1271.8876778737499</v>
      </c>
    </row>
    <row r="2797" spans="1:12" ht="15" customHeight="1" x14ac:dyDescent="0.2">
      <c r="A2797" s="2">
        <v>41990</v>
      </c>
      <c r="B2797" s="3">
        <v>49.055</v>
      </c>
      <c r="C2797" s="1">
        <v>868912</v>
      </c>
      <c r="D2797" s="3">
        <v>0.59499999999999797</v>
      </c>
      <c r="E2797" s="3">
        <v>1.22781675608749</v>
      </c>
      <c r="F2797" s="3">
        <v>1.22781905450457</v>
      </c>
      <c r="G2797" s="3">
        <v>50.713295000000002</v>
      </c>
      <c r="H2797" s="3">
        <v>1313.2225170602501</v>
      </c>
      <c r="I2797" s="3">
        <v>48.85</v>
      </c>
      <c r="J2797" s="3">
        <v>49.2</v>
      </c>
      <c r="K2797" s="3">
        <v>48.4</v>
      </c>
      <c r="L2797" s="3">
        <v>1267.01096969524</v>
      </c>
    </row>
    <row r="2798" spans="1:12" ht="15" customHeight="1" x14ac:dyDescent="0.2">
      <c r="A2798" s="2">
        <v>41989</v>
      </c>
      <c r="B2798" s="3">
        <v>48.46</v>
      </c>
      <c r="C2798" s="1">
        <v>820944</v>
      </c>
      <c r="D2798" s="3">
        <v>-0.149999999999998</v>
      </c>
      <c r="E2798" s="3">
        <v>-0.30857848179386399</v>
      </c>
      <c r="F2798" s="3">
        <v>-0.30857705720526102</v>
      </c>
      <c r="G2798" s="3">
        <v>50.098179999999999</v>
      </c>
      <c r="H2798" s="3">
        <v>1296.08116648184</v>
      </c>
      <c r="I2798" s="3">
        <v>48.58</v>
      </c>
      <c r="J2798" s="3">
        <v>48.72</v>
      </c>
      <c r="K2798" s="3">
        <v>47.98</v>
      </c>
      <c r="L2798" s="3">
        <v>1250.4301618883101</v>
      </c>
    </row>
    <row r="2799" spans="1:12" ht="15" customHeight="1" x14ac:dyDescent="0.2">
      <c r="A2799" s="2">
        <v>41988</v>
      </c>
      <c r="B2799" s="3">
        <v>48.61</v>
      </c>
      <c r="C2799" s="1">
        <v>691752</v>
      </c>
      <c r="D2799" s="3">
        <v>7.9999999999998295E-2</v>
      </c>
      <c r="E2799" s="3">
        <v>0.16484648670924601</v>
      </c>
      <c r="F2799" s="3">
        <v>0.16484971739594201</v>
      </c>
      <c r="G2799" s="3">
        <v>50.253250000000001</v>
      </c>
      <c r="H2799" s="3">
        <v>1300.40248726607</v>
      </c>
      <c r="I2799" s="3">
        <v>48.67</v>
      </c>
      <c r="J2799" s="3">
        <v>48.99</v>
      </c>
      <c r="K2799" s="3">
        <v>48.11</v>
      </c>
      <c r="L2799" s="3">
        <v>1254.61019746989</v>
      </c>
    </row>
    <row r="2800" spans="1:12" ht="15" customHeight="1" x14ac:dyDescent="0.2">
      <c r="A2800" s="2">
        <v>41985</v>
      </c>
      <c r="B2800" s="3">
        <v>48.53</v>
      </c>
      <c r="C2800" s="1">
        <v>552568</v>
      </c>
      <c r="D2800" s="3">
        <v>0.32999999999999802</v>
      </c>
      <c r="E2800" s="3">
        <v>0.68464730290456099</v>
      </c>
      <c r="F2800" s="3">
        <v>0.68464414274387297</v>
      </c>
      <c r="G2800" s="3">
        <v>50.170544</v>
      </c>
      <c r="H2800" s="3">
        <v>1298.09772711401</v>
      </c>
      <c r="I2800" s="3">
        <v>48.07</v>
      </c>
      <c r="J2800" s="3">
        <v>48.99</v>
      </c>
      <c r="K2800" s="3">
        <v>47.95</v>
      </c>
      <c r="L2800" s="3">
        <v>1252.3808451597199</v>
      </c>
    </row>
    <row r="2801" spans="1:12" ht="15" customHeight="1" x14ac:dyDescent="0.2">
      <c r="A2801" s="2">
        <v>41984</v>
      </c>
      <c r="B2801" s="3">
        <v>48.2</v>
      </c>
      <c r="C2801" s="1">
        <v>522308.99999999901</v>
      </c>
      <c r="D2801" s="3">
        <v>0.75</v>
      </c>
      <c r="E2801" s="3">
        <v>1.58061116965226</v>
      </c>
      <c r="F2801" s="3">
        <v>1.5806037586302699</v>
      </c>
      <c r="G2801" s="3">
        <v>49.829389999999997</v>
      </c>
      <c r="H2801" s="3">
        <v>1288.5908213886901</v>
      </c>
      <c r="I2801" s="3">
        <v>47.85</v>
      </c>
      <c r="J2801" s="3">
        <v>48.62</v>
      </c>
      <c r="K2801" s="3">
        <v>47.57</v>
      </c>
      <c r="L2801" s="3">
        <v>1243.18476688025</v>
      </c>
    </row>
    <row r="2802" spans="1:12" ht="15" customHeight="1" x14ac:dyDescent="0.2">
      <c r="A2802" s="2">
        <v>41983</v>
      </c>
      <c r="B2802" s="3">
        <v>47.45</v>
      </c>
      <c r="C2802" s="1">
        <v>555007</v>
      </c>
      <c r="D2802" s="3">
        <v>-1.0899999999999901</v>
      </c>
      <c r="E2802" s="3">
        <v>-2.24557066337041</v>
      </c>
      <c r="F2802" s="3">
        <v>-2.24556621510362</v>
      </c>
      <c r="G2802" s="3">
        <v>49.054040000000001</v>
      </c>
      <c r="H2802" s="3">
        <v>1266.98421746752</v>
      </c>
      <c r="I2802" s="3">
        <v>48.37</v>
      </c>
      <c r="J2802" s="3">
        <v>48.37</v>
      </c>
      <c r="K2802" s="3">
        <v>47.29</v>
      </c>
      <c r="L2802" s="3">
        <v>1222.2845889723601</v>
      </c>
    </row>
    <row r="2803" spans="1:12" ht="15" customHeight="1" x14ac:dyDescent="0.2">
      <c r="A2803" s="2">
        <v>41982</v>
      </c>
      <c r="B2803" s="3">
        <v>48.54</v>
      </c>
      <c r="C2803" s="1">
        <v>761328</v>
      </c>
      <c r="D2803" s="3"/>
      <c r="E2803" s="3"/>
      <c r="F2803" s="3"/>
      <c r="G2803" s="3">
        <v>50.180885000000004</v>
      </c>
      <c r="H2803" s="3">
        <v>1298.3858987670001</v>
      </c>
      <c r="I2803" s="3">
        <v>48.19</v>
      </c>
      <c r="J2803" s="3">
        <v>48.6999</v>
      </c>
      <c r="K2803" s="3">
        <v>46.515000000000001</v>
      </c>
      <c r="L2803" s="3">
        <v>1252.6595141984899</v>
      </c>
    </row>
    <row r="2804" spans="1:12" ht="15" customHeight="1" x14ac:dyDescent="0.2">
      <c r="A2804" s="2">
        <v>41981</v>
      </c>
      <c r="B2804" s="3">
        <v>48.54</v>
      </c>
      <c r="C2804" s="1">
        <v>663339</v>
      </c>
      <c r="D2804" s="3">
        <v>0.189999999999997</v>
      </c>
      <c r="E2804" s="3">
        <v>0.39296794208893898</v>
      </c>
      <c r="F2804" s="3">
        <v>0.39297213573978801</v>
      </c>
      <c r="G2804" s="3">
        <v>50.180885000000004</v>
      </c>
      <c r="H2804" s="3">
        <v>1298.3858987670001</v>
      </c>
      <c r="I2804" s="3">
        <v>48.26</v>
      </c>
      <c r="J2804" s="3">
        <v>49.02</v>
      </c>
      <c r="K2804" s="3">
        <v>47.95</v>
      </c>
      <c r="L2804" s="3">
        <v>1252.6595141984899</v>
      </c>
    </row>
    <row r="2805" spans="1:12" ht="15" customHeight="1" x14ac:dyDescent="0.2">
      <c r="A2805" s="2">
        <v>41978</v>
      </c>
      <c r="B2805" s="3">
        <v>48.35</v>
      </c>
      <c r="C2805" s="1">
        <v>463922</v>
      </c>
      <c r="D2805" s="3">
        <v>0.17000000000000101</v>
      </c>
      <c r="E2805" s="3">
        <v>0.35284350352844301</v>
      </c>
      <c r="F2805" s="3">
        <v>0.35283784468564899</v>
      </c>
      <c r="G2805" s="3">
        <v>49.984459999999999</v>
      </c>
      <c r="H2805" s="3">
        <v>1292.9121421729301</v>
      </c>
      <c r="I2805" s="3">
        <v>48.16</v>
      </c>
      <c r="J2805" s="3">
        <v>48.92</v>
      </c>
      <c r="K2805" s="3">
        <v>48.16</v>
      </c>
      <c r="L2805" s="3">
        <v>1247.3648024618201</v>
      </c>
    </row>
    <row r="2806" spans="1:12" ht="15" customHeight="1" x14ac:dyDescent="0.2">
      <c r="A2806" s="2">
        <v>41977</v>
      </c>
      <c r="B2806" s="3">
        <v>48.18</v>
      </c>
      <c r="C2806" s="1">
        <v>719721</v>
      </c>
      <c r="D2806" s="3">
        <v>0.50999999999999801</v>
      </c>
      <c r="E2806" s="3">
        <v>1.0698552548772799</v>
      </c>
      <c r="F2806" s="3">
        <v>1.0698666253259099</v>
      </c>
      <c r="G2806" s="3">
        <v>49.808715999999997</v>
      </c>
      <c r="H2806" s="3">
        <v>1288.0147010179301</v>
      </c>
      <c r="I2806" s="3">
        <v>47.81</v>
      </c>
      <c r="J2806" s="3">
        <v>49.74</v>
      </c>
      <c r="K2806" s="3">
        <v>47.58</v>
      </c>
      <c r="L2806" s="3">
        <v>1242.6274288027</v>
      </c>
    </row>
    <row r="2807" spans="1:12" ht="15" customHeight="1" x14ac:dyDescent="0.2">
      <c r="A2807" s="2">
        <v>41976</v>
      </c>
      <c r="B2807" s="3">
        <v>47.67</v>
      </c>
      <c r="C2807" s="1">
        <v>567403</v>
      </c>
      <c r="D2807" s="3">
        <v>-0.149999999999998</v>
      </c>
      <c r="E2807" s="3">
        <v>-0.31367628607277198</v>
      </c>
      <c r="F2807" s="3">
        <v>-0.31368091413673799</v>
      </c>
      <c r="G2807" s="3">
        <v>49.281469999999999</v>
      </c>
      <c r="H2807" s="3">
        <v>1273.3219874163001</v>
      </c>
      <c r="I2807" s="3">
        <v>47.69</v>
      </c>
      <c r="J2807" s="3">
        <v>47.92</v>
      </c>
      <c r="K2807" s="3">
        <v>47.426000000000002</v>
      </c>
      <c r="L2807" s="3">
        <v>1228.4153078253401</v>
      </c>
    </row>
    <row r="2808" spans="1:12" ht="15" customHeight="1" x14ac:dyDescent="0.2">
      <c r="A2808" s="2">
        <v>41975</v>
      </c>
      <c r="B2808" s="3">
        <v>47.82</v>
      </c>
      <c r="C2808" s="1">
        <v>582336</v>
      </c>
      <c r="D2808" s="3">
        <v>0.20000000000000201</v>
      </c>
      <c r="E2808" s="3">
        <v>0.41999160016801201</v>
      </c>
      <c r="F2808" s="3">
        <v>0.41999170339612701</v>
      </c>
      <c r="G2808" s="3">
        <v>49.436543</v>
      </c>
      <c r="H2808" s="3">
        <v>1277.6433918012499</v>
      </c>
      <c r="I2808" s="3">
        <v>47.79</v>
      </c>
      <c r="J2808" s="3">
        <v>48.26</v>
      </c>
      <c r="K2808" s="3">
        <v>47.57</v>
      </c>
      <c r="L2808" s="3">
        <v>1232.5953434069199</v>
      </c>
    </row>
    <row r="2809" spans="1:12" ht="15" customHeight="1" x14ac:dyDescent="0.2">
      <c r="A2809" s="2">
        <v>41974</v>
      </c>
      <c r="B2809" s="3">
        <v>47.62</v>
      </c>
      <c r="C2809" s="1">
        <v>622702</v>
      </c>
      <c r="D2809" s="3">
        <v>-0.81000000000000205</v>
      </c>
      <c r="E2809" s="3">
        <v>-1.6725170348957199</v>
      </c>
      <c r="F2809" s="3">
        <v>-1.6725193048178399</v>
      </c>
      <c r="G2809" s="3">
        <v>49.229782</v>
      </c>
      <c r="H2809" s="3">
        <v>1271.8816028886999</v>
      </c>
      <c r="I2809" s="3">
        <v>48.42</v>
      </c>
      <c r="J2809" s="3">
        <v>48.64</v>
      </c>
      <c r="K2809" s="3">
        <v>47.62</v>
      </c>
      <c r="L2809" s="3">
        <v>1227.0219626314799</v>
      </c>
    </row>
    <row r="2810" spans="1:12" ht="15" customHeight="1" x14ac:dyDescent="0.2">
      <c r="A2810" s="2">
        <v>41971</v>
      </c>
      <c r="B2810" s="3">
        <v>48.43</v>
      </c>
      <c r="C2810" s="1">
        <v>464950</v>
      </c>
      <c r="D2810" s="3">
        <v>0.95499999999999796</v>
      </c>
      <c r="E2810" s="3">
        <v>2.0115850447604</v>
      </c>
      <c r="F2810" s="3">
        <v>2.0115880478925399</v>
      </c>
      <c r="G2810" s="3">
        <v>50.067165000000003</v>
      </c>
      <c r="H2810" s="3">
        <v>1295.2168744580899</v>
      </c>
      <c r="I2810" s="3">
        <v>47.63</v>
      </c>
      <c r="J2810" s="3">
        <v>48.85</v>
      </c>
      <c r="K2810" s="3">
        <v>47.62</v>
      </c>
      <c r="L2810" s="3">
        <v>1249.5941547719999</v>
      </c>
    </row>
    <row r="2811" spans="1:12" ht="15" customHeight="1" x14ac:dyDescent="0.2">
      <c r="A2811" s="2">
        <v>41969</v>
      </c>
      <c r="B2811" s="3">
        <v>47.475000000000001</v>
      </c>
      <c r="C2811" s="1">
        <v>254457</v>
      </c>
      <c r="D2811" s="3">
        <v>-0.20499999999999799</v>
      </c>
      <c r="E2811" s="3">
        <v>-0.42994966442952898</v>
      </c>
      <c r="F2811" s="3">
        <v>-0.42995578190640998</v>
      </c>
      <c r="G2811" s="3">
        <v>49.079880000000003</v>
      </c>
      <c r="H2811" s="3">
        <v>1267.7042982636999</v>
      </c>
      <c r="I2811" s="3">
        <v>47.83</v>
      </c>
      <c r="J2811" s="3">
        <v>47.83</v>
      </c>
      <c r="K2811" s="3">
        <v>47.42</v>
      </c>
      <c r="L2811" s="3">
        <v>1222.9812615692899</v>
      </c>
    </row>
    <row r="2812" spans="1:12" ht="15" customHeight="1" x14ac:dyDescent="0.2">
      <c r="A2812" s="2">
        <v>41968</v>
      </c>
      <c r="B2812" s="3">
        <v>47.68</v>
      </c>
      <c r="C2812" s="1">
        <v>533351</v>
      </c>
      <c r="D2812" s="3">
        <v>0.189999999999997</v>
      </c>
      <c r="E2812" s="3">
        <v>0.40008422825856799</v>
      </c>
      <c r="F2812" s="3">
        <v>0.400084407110323</v>
      </c>
      <c r="G2812" s="3">
        <v>49.291812999999998</v>
      </c>
      <c r="H2812" s="3">
        <v>1273.61021480311</v>
      </c>
      <c r="I2812" s="3">
        <v>47.7</v>
      </c>
      <c r="J2812" s="3">
        <v>47.96</v>
      </c>
      <c r="K2812" s="3">
        <v>47.48</v>
      </c>
      <c r="L2812" s="3">
        <v>1228.69397686411</v>
      </c>
    </row>
    <row r="2813" spans="1:12" ht="15" customHeight="1" x14ac:dyDescent="0.2">
      <c r="A2813" s="2">
        <v>41967</v>
      </c>
      <c r="B2813" s="3">
        <v>47.49</v>
      </c>
      <c r="C2813" s="1">
        <v>545199</v>
      </c>
      <c r="D2813" s="3">
        <v>0.219999999999998</v>
      </c>
      <c r="E2813" s="3">
        <v>0.465411466046106</v>
      </c>
      <c r="F2813" s="3">
        <v>0.46541751802562298</v>
      </c>
      <c r="G2813" s="3">
        <v>49.095390000000002</v>
      </c>
      <c r="H2813" s="3">
        <v>1268.1365139428401</v>
      </c>
      <c r="I2813" s="3">
        <v>47.38</v>
      </c>
      <c r="J2813" s="3">
        <v>47.71</v>
      </c>
      <c r="K2813" s="3">
        <v>47.2</v>
      </c>
      <c r="L2813" s="3">
        <v>1223.39926512745</v>
      </c>
    </row>
    <row r="2814" spans="1:12" ht="15" customHeight="1" x14ac:dyDescent="0.2">
      <c r="A2814" s="2">
        <v>41964</v>
      </c>
      <c r="B2814" s="3">
        <v>47.27</v>
      </c>
      <c r="C2814" s="1">
        <v>500530</v>
      </c>
      <c r="D2814" s="3">
        <v>0.21500000000000299</v>
      </c>
      <c r="E2814" s="3">
        <v>0.45691212411009802</v>
      </c>
      <c r="F2814" s="3">
        <v>0.456910020155332</v>
      </c>
      <c r="G2814" s="3">
        <v>48.86795</v>
      </c>
      <c r="H2814" s="3">
        <v>1261.7984653250101</v>
      </c>
      <c r="I2814" s="3">
        <v>47.5</v>
      </c>
      <c r="J2814" s="3">
        <v>47.65</v>
      </c>
      <c r="K2814" s="3">
        <v>46.92</v>
      </c>
      <c r="L2814" s="3">
        <v>1217.2685462744701</v>
      </c>
    </row>
    <row r="2815" spans="1:12" ht="15" customHeight="1" x14ac:dyDescent="0.2">
      <c r="A2815" s="2">
        <v>41963</v>
      </c>
      <c r="B2815" s="3">
        <v>47.055</v>
      </c>
      <c r="C2815" s="1">
        <v>839225</v>
      </c>
      <c r="D2815" s="3">
        <v>0.435000000000002</v>
      </c>
      <c r="E2815" s="3">
        <v>0.93307593307594405</v>
      </c>
      <c r="F2815" s="3">
        <v>0.933079973315598</v>
      </c>
      <c r="G2815" s="3">
        <v>48.645682999999998</v>
      </c>
      <c r="H2815" s="3">
        <v>1255.6045722009401</v>
      </c>
      <c r="I2815" s="3">
        <v>46.47</v>
      </c>
      <c r="J2815" s="3">
        <v>47.36</v>
      </c>
      <c r="K2815" s="3">
        <v>46.4</v>
      </c>
      <c r="L2815" s="3">
        <v>1211.27716194087</v>
      </c>
    </row>
    <row r="2816" spans="1:12" ht="15" customHeight="1" x14ac:dyDescent="0.2">
      <c r="A2816" s="2">
        <v>41962</v>
      </c>
      <c r="B2816" s="3">
        <v>46.62</v>
      </c>
      <c r="C2816" s="1">
        <v>683081</v>
      </c>
      <c r="D2816" s="3">
        <v>0.239999999999994</v>
      </c>
      <c r="E2816" s="3">
        <v>0.51746442432081197</v>
      </c>
      <c r="F2816" s="3">
        <v>0.51744947168663702</v>
      </c>
      <c r="G2816" s="3">
        <v>48.195976000000002</v>
      </c>
      <c r="H2816" s="3">
        <v>1243.0726304590401</v>
      </c>
      <c r="I2816" s="3">
        <v>46.45</v>
      </c>
      <c r="J2816" s="3">
        <v>46.67</v>
      </c>
      <c r="K2816" s="3">
        <v>45.93</v>
      </c>
      <c r="L2816" s="3">
        <v>1199.1550587542999</v>
      </c>
    </row>
    <row r="2817" spans="1:12" ht="15" customHeight="1" x14ac:dyDescent="0.2">
      <c r="A2817" s="2">
        <v>41961</v>
      </c>
      <c r="B2817" s="3">
        <v>46.38</v>
      </c>
      <c r="C2817" s="1">
        <v>798819</v>
      </c>
      <c r="D2817" s="3">
        <v>-0.41999999999999399</v>
      </c>
      <c r="E2817" s="3">
        <v>-0.89743589743588303</v>
      </c>
      <c r="F2817" s="3">
        <v>-0.89741941537834202</v>
      </c>
      <c r="G2817" s="3">
        <v>47.947870000000002</v>
      </c>
      <c r="H2817" s="3">
        <v>1236.1586844056901</v>
      </c>
      <c r="I2817" s="3">
        <v>46.79</v>
      </c>
      <c r="J2817" s="3">
        <v>47.05</v>
      </c>
      <c r="K2817" s="3">
        <v>46.32</v>
      </c>
      <c r="L2817" s="3">
        <v>1192.46700182377</v>
      </c>
    </row>
    <row r="2818" spans="1:12" ht="15" customHeight="1" x14ac:dyDescent="0.2">
      <c r="A2818" s="2">
        <v>41960</v>
      </c>
      <c r="B2818" s="3">
        <v>46.8</v>
      </c>
      <c r="C2818" s="1">
        <v>486587</v>
      </c>
      <c r="D2818" s="3">
        <v>-0.60000000000000098</v>
      </c>
      <c r="E2818" s="3">
        <v>-1.26582278481013</v>
      </c>
      <c r="F2818" s="3">
        <v>-1.26583725066246</v>
      </c>
      <c r="G2818" s="3">
        <v>48.382060000000003</v>
      </c>
      <c r="H2818" s="3">
        <v>1248.25821540013</v>
      </c>
      <c r="I2818" s="3">
        <v>47.48</v>
      </c>
      <c r="J2818" s="3">
        <v>47.71</v>
      </c>
      <c r="K2818" s="3">
        <v>46.8</v>
      </c>
      <c r="L2818" s="3">
        <v>1204.17110145219</v>
      </c>
    </row>
    <row r="2819" spans="1:12" ht="15" customHeight="1" x14ac:dyDescent="0.2">
      <c r="A2819" s="2">
        <v>41957</v>
      </c>
      <c r="B2819" s="3">
        <v>47.4</v>
      </c>
      <c r="C2819" s="1">
        <v>619770</v>
      </c>
      <c r="D2819" s="3">
        <v>-0.5</v>
      </c>
      <c r="E2819" s="3">
        <v>-1.0438413361169101</v>
      </c>
      <c r="F2819" s="3">
        <v>-1.04383648783048</v>
      </c>
      <c r="G2819" s="3">
        <v>49.00235</v>
      </c>
      <c r="H2819" s="3">
        <v>1265.5437772061</v>
      </c>
      <c r="I2819" s="3">
        <v>47.89</v>
      </c>
      <c r="J2819" s="3">
        <v>48.2</v>
      </c>
      <c r="K2819" s="3">
        <v>47.32</v>
      </c>
      <c r="L2819" s="3">
        <v>1220.8912437785</v>
      </c>
    </row>
    <row r="2820" spans="1:12" ht="15" customHeight="1" x14ac:dyDescent="0.2">
      <c r="A2820" s="2">
        <v>41956</v>
      </c>
      <c r="B2820" s="3">
        <v>47.9</v>
      </c>
      <c r="C2820" s="1">
        <v>874658</v>
      </c>
      <c r="D2820" s="3">
        <v>-0.57999999999999796</v>
      </c>
      <c r="E2820" s="3">
        <v>-1.19636963696369</v>
      </c>
      <c r="F2820" s="3">
        <v>-1.19636611810066</v>
      </c>
      <c r="G2820" s="3">
        <v>49.51925</v>
      </c>
      <c r="H2820" s="3">
        <v>1279.94817982022</v>
      </c>
      <c r="I2820" s="3">
        <v>48.67</v>
      </c>
      <c r="J2820" s="3">
        <v>48.951999999999998</v>
      </c>
      <c r="K2820" s="3">
        <v>47.5</v>
      </c>
      <c r="L2820" s="3">
        <v>1234.82469571709</v>
      </c>
    </row>
    <row r="2821" spans="1:12" ht="15" customHeight="1" x14ac:dyDescent="0.2">
      <c r="A2821" s="2">
        <v>41955</v>
      </c>
      <c r="B2821" s="3">
        <v>48.48</v>
      </c>
      <c r="C2821" s="1">
        <v>631727</v>
      </c>
      <c r="D2821" s="3">
        <v>2.9999999999994E-2</v>
      </c>
      <c r="E2821" s="3">
        <v>6.1919504643959102E-2</v>
      </c>
      <c r="F2821" s="3">
        <v>6.19212168063265E-2</v>
      </c>
      <c r="G2821" s="3">
        <v>50.118855000000003</v>
      </c>
      <c r="H2821" s="3">
        <v>1296.6573147194999</v>
      </c>
      <c r="I2821" s="3">
        <v>48.28</v>
      </c>
      <c r="J2821" s="3">
        <v>48.65</v>
      </c>
      <c r="K2821" s="3">
        <v>48.03</v>
      </c>
      <c r="L2821" s="3">
        <v>1250.98749996586</v>
      </c>
    </row>
    <row r="2822" spans="1:12" ht="15" customHeight="1" x14ac:dyDescent="0.2">
      <c r="A2822" s="2">
        <v>41954</v>
      </c>
      <c r="B2822" s="3">
        <v>48.45</v>
      </c>
      <c r="C2822" s="1">
        <v>483963</v>
      </c>
      <c r="D2822" s="3">
        <v>-0.369999999999997</v>
      </c>
      <c r="E2822" s="3">
        <v>-0.75788611224907299</v>
      </c>
      <c r="F2822" s="3">
        <v>-0.757890523842219</v>
      </c>
      <c r="G2822" s="3">
        <v>50.08784</v>
      </c>
      <c r="H2822" s="3">
        <v>1295.7930226957501</v>
      </c>
      <c r="I2822" s="3">
        <v>48.75</v>
      </c>
      <c r="J2822" s="3">
        <v>48.999899999999997</v>
      </c>
      <c r="K2822" s="3">
        <v>48.13</v>
      </c>
      <c r="L2822" s="3">
        <v>1250.1514928495401</v>
      </c>
    </row>
    <row r="2823" spans="1:12" ht="15" customHeight="1" x14ac:dyDescent="0.2">
      <c r="A2823" s="2">
        <v>41953</v>
      </c>
      <c r="B2823" s="3">
        <v>48.82</v>
      </c>
      <c r="C2823" s="1">
        <v>692847</v>
      </c>
      <c r="D2823" s="3">
        <v>-3.9999999999999099E-2</v>
      </c>
      <c r="E2823" s="3">
        <v>-8.1866557511256405E-2</v>
      </c>
      <c r="F2823" s="3">
        <v>-8.1868156375553003E-2</v>
      </c>
      <c r="G2823" s="3">
        <v>50.470350000000003</v>
      </c>
      <c r="H2823" s="3">
        <v>1306.4523920978099</v>
      </c>
      <c r="I2823" s="3">
        <v>48.93</v>
      </c>
      <c r="J2823" s="3">
        <v>49.45</v>
      </c>
      <c r="K2823" s="3">
        <v>48.6</v>
      </c>
      <c r="L2823" s="3">
        <v>1260.4622472840999</v>
      </c>
    </row>
    <row r="2824" spans="1:12" ht="15" customHeight="1" x14ac:dyDescent="0.2">
      <c r="A2824" s="2">
        <v>41950</v>
      </c>
      <c r="B2824" s="3">
        <v>48.86</v>
      </c>
      <c r="C2824" s="1">
        <v>669718</v>
      </c>
      <c r="D2824" s="3">
        <v>0.125</v>
      </c>
      <c r="E2824" s="3">
        <v>0.25648917615677103</v>
      </c>
      <c r="F2824" s="3">
        <v>0.25648996971703297</v>
      </c>
      <c r="G2824" s="3">
        <v>50.511702999999997</v>
      </c>
      <c r="H2824" s="3">
        <v>1307.60477217384</v>
      </c>
      <c r="I2824" s="3">
        <v>48.81</v>
      </c>
      <c r="J2824" s="3">
        <v>48.96</v>
      </c>
      <c r="K2824" s="3">
        <v>48.1</v>
      </c>
      <c r="L2824" s="3">
        <v>1261.5769234391901</v>
      </c>
    </row>
    <row r="2825" spans="1:12" ht="15" customHeight="1" x14ac:dyDescent="0.2">
      <c r="A2825" s="2">
        <v>41949</v>
      </c>
      <c r="B2825" s="3">
        <v>48.734999999999999</v>
      </c>
      <c r="C2825" s="1">
        <v>686157</v>
      </c>
      <c r="D2825" s="3">
        <v>0.58499999999999996</v>
      </c>
      <c r="E2825" s="3">
        <v>1.21495327102802</v>
      </c>
      <c r="F2825" s="3">
        <v>1.2149516263326201</v>
      </c>
      <c r="G2825" s="3">
        <v>50.382477000000002</v>
      </c>
      <c r="H2825" s="3">
        <v>1304.0036436534101</v>
      </c>
      <c r="I2825" s="3">
        <v>48.05</v>
      </c>
      <c r="J2825" s="3">
        <v>48.81</v>
      </c>
      <c r="K2825" s="3">
        <v>48.05</v>
      </c>
      <c r="L2825" s="3">
        <v>1258.09356045454</v>
      </c>
    </row>
    <row r="2826" spans="1:12" ht="15" customHeight="1" x14ac:dyDescent="0.2">
      <c r="A2826" s="2">
        <v>41948</v>
      </c>
      <c r="B2826" s="3">
        <v>48.15</v>
      </c>
      <c r="C2826" s="1">
        <v>977294</v>
      </c>
      <c r="D2826" s="3">
        <v>0.35999999999999899</v>
      </c>
      <c r="E2826" s="3">
        <v>0.75329566854991303</v>
      </c>
      <c r="F2826" s="3">
        <v>0.75329417051324099</v>
      </c>
      <c r="G2826" s="3">
        <v>49.777701999999998</v>
      </c>
      <c r="H2826" s="3">
        <v>1287.1504368610899</v>
      </c>
      <c r="I2826" s="3">
        <v>48</v>
      </c>
      <c r="J2826" s="3">
        <v>48.45</v>
      </c>
      <c r="K2826" s="3">
        <v>47.7</v>
      </c>
      <c r="L2826" s="3">
        <v>1241.7914216863901</v>
      </c>
    </row>
    <row r="2827" spans="1:12" ht="15" customHeight="1" x14ac:dyDescent="0.2">
      <c r="A2827" s="2">
        <v>41947</v>
      </c>
      <c r="B2827" s="3">
        <v>47.79</v>
      </c>
      <c r="C2827" s="1">
        <v>1006180</v>
      </c>
      <c r="D2827" s="3">
        <v>1.75999999999999</v>
      </c>
      <c r="E2827" s="3">
        <v>3.8235933087117102</v>
      </c>
      <c r="F2827" s="3">
        <v>3.8236009292894799</v>
      </c>
      <c r="G2827" s="3">
        <v>49.405532999999998</v>
      </c>
      <c r="H2827" s="3">
        <v>1276.7792391120199</v>
      </c>
      <c r="I2827" s="3">
        <v>46.04</v>
      </c>
      <c r="J2827" s="3">
        <v>47.924999999999997</v>
      </c>
      <c r="K2827" s="3">
        <v>45.93</v>
      </c>
      <c r="L2827" s="3">
        <v>1231.7593362906</v>
      </c>
    </row>
    <row r="2828" spans="1:12" ht="15" customHeight="1" x14ac:dyDescent="0.2">
      <c r="A2828" s="2">
        <v>41946</v>
      </c>
      <c r="B2828" s="3">
        <v>46.03</v>
      </c>
      <c r="C2828" s="1">
        <v>577764</v>
      </c>
      <c r="D2828" s="3">
        <v>9.0000000000003397E-2</v>
      </c>
      <c r="E2828" s="3">
        <v>0.19590770570310201</v>
      </c>
      <c r="F2828" s="3">
        <v>0.55507478517002795</v>
      </c>
      <c r="G2828" s="3">
        <v>47.586033</v>
      </c>
      <c r="H2828" s="3">
        <v>1226.0754075074799</v>
      </c>
      <c r="I2828" s="3">
        <v>45.93</v>
      </c>
      <c r="J2828" s="3">
        <v>46.21</v>
      </c>
      <c r="K2828" s="3">
        <v>45.79</v>
      </c>
      <c r="L2828" s="3">
        <v>1182.7135854667599</v>
      </c>
    </row>
    <row r="2829" spans="1:12" ht="15" customHeight="1" x14ac:dyDescent="0.2">
      <c r="A2829" s="2">
        <v>41943</v>
      </c>
      <c r="B2829" s="3">
        <v>45.94</v>
      </c>
      <c r="C2829" s="1">
        <v>754340</v>
      </c>
      <c r="D2829" s="3">
        <v>-0.20000000000000201</v>
      </c>
      <c r="E2829" s="3">
        <v>-0.43346337234504401</v>
      </c>
      <c r="F2829" s="3">
        <v>-0.43346665368662002</v>
      </c>
      <c r="G2829" s="3">
        <v>47.323352999999997</v>
      </c>
      <c r="H2829" s="3">
        <v>1218.7553291970301</v>
      </c>
      <c r="I2829" s="3">
        <v>46.02</v>
      </c>
      <c r="J2829" s="3">
        <v>46.438299999999998</v>
      </c>
      <c r="K2829" s="3">
        <v>45.69</v>
      </c>
      <c r="L2829" s="3">
        <v>1180.2055641178099</v>
      </c>
    </row>
    <row r="2830" spans="1:12" ht="15" customHeight="1" x14ac:dyDescent="0.2">
      <c r="A2830" s="2">
        <v>41942</v>
      </c>
      <c r="B2830" s="3">
        <v>46.14</v>
      </c>
      <c r="C2830" s="1">
        <v>674010</v>
      </c>
      <c r="D2830" s="3">
        <v>0.60999999999999899</v>
      </c>
      <c r="E2830" s="3">
        <v>1.33977597188665</v>
      </c>
      <c r="F2830" s="3">
        <v>1.3397728535057001</v>
      </c>
      <c r="G2830" s="3">
        <v>47.529376999999997</v>
      </c>
      <c r="H2830" s="3">
        <v>1224.4965802014201</v>
      </c>
      <c r="I2830" s="3">
        <v>45.22</v>
      </c>
      <c r="J2830" s="3">
        <v>46.32</v>
      </c>
      <c r="K2830" s="3">
        <v>45.22</v>
      </c>
      <c r="L2830" s="3">
        <v>1185.7789448932499</v>
      </c>
    </row>
    <row r="2831" spans="1:12" ht="15" customHeight="1" x14ac:dyDescent="0.2">
      <c r="A2831" s="2">
        <v>41941</v>
      </c>
      <c r="B2831" s="3">
        <v>45.53</v>
      </c>
      <c r="C2831" s="1">
        <v>584875</v>
      </c>
      <c r="D2831" s="3">
        <v>-0.32</v>
      </c>
      <c r="E2831" s="3">
        <v>-0.69792802617229999</v>
      </c>
      <c r="F2831" s="3">
        <v>-0.69792400035875102</v>
      </c>
      <c r="G2831" s="3">
        <v>46.901009999999999</v>
      </c>
      <c r="H2831" s="3">
        <v>1206.98593741282</v>
      </c>
      <c r="I2831" s="3">
        <v>45.72</v>
      </c>
      <c r="J2831" s="3">
        <v>45.88</v>
      </c>
      <c r="K2831" s="3">
        <v>45.255000000000003</v>
      </c>
      <c r="L2831" s="3">
        <v>1168.7801335281699</v>
      </c>
    </row>
    <row r="2832" spans="1:12" ht="15" customHeight="1" x14ac:dyDescent="0.2">
      <c r="A2832" s="2">
        <v>41940</v>
      </c>
      <c r="B2832" s="3">
        <v>45.85</v>
      </c>
      <c r="C2832" s="1">
        <v>847922</v>
      </c>
      <c r="D2832" s="3">
        <v>1.27</v>
      </c>
      <c r="E2832" s="3">
        <v>2.84881112606549</v>
      </c>
      <c r="F2832" s="3">
        <v>2.8488033237806301</v>
      </c>
      <c r="G2832" s="3">
        <v>47.230643999999998</v>
      </c>
      <c r="H2832" s="3">
        <v>1216.1718164054801</v>
      </c>
      <c r="I2832" s="3">
        <v>44.9</v>
      </c>
      <c r="J2832" s="3">
        <v>46.08</v>
      </c>
      <c r="K2832" s="3">
        <v>44.61</v>
      </c>
      <c r="L2832" s="3">
        <v>1177.6975427688701</v>
      </c>
    </row>
    <row r="2833" spans="1:12" ht="15" customHeight="1" x14ac:dyDescent="0.2">
      <c r="A2833" s="2">
        <v>41939</v>
      </c>
      <c r="B2833" s="3">
        <v>44.58</v>
      </c>
      <c r="C2833" s="1">
        <v>679812</v>
      </c>
      <c r="D2833" s="3">
        <v>0.53999999999999904</v>
      </c>
      <c r="E2833" s="3">
        <v>1.22615803814714</v>
      </c>
      <c r="F2833" s="3">
        <v>1.22616333564355</v>
      </c>
      <c r="G2833" s="3">
        <v>45.922404999999998</v>
      </c>
      <c r="H2833" s="3">
        <v>1179.7152459440899</v>
      </c>
      <c r="I2833" s="3">
        <v>43.64</v>
      </c>
      <c r="J2833" s="3">
        <v>44.72</v>
      </c>
      <c r="K2833" s="3">
        <v>43.64</v>
      </c>
      <c r="L2833" s="3">
        <v>1142.30657484484</v>
      </c>
    </row>
    <row r="2834" spans="1:12" ht="15" customHeight="1" x14ac:dyDescent="0.2">
      <c r="A2834" s="2">
        <v>41936</v>
      </c>
      <c r="B2834" s="3">
        <v>44.04</v>
      </c>
      <c r="C2834" s="1">
        <v>875224</v>
      </c>
      <c r="D2834" s="3">
        <v>0.83999999999999597</v>
      </c>
      <c r="E2834" s="3">
        <v>1.94444444444443</v>
      </c>
      <c r="F2834" s="3">
        <v>1.9444461360477101</v>
      </c>
      <c r="G2834" s="3">
        <v>45.366142000000004</v>
      </c>
      <c r="H2834" s="3">
        <v>1164.2139183926599</v>
      </c>
      <c r="I2834" s="3">
        <v>43.42</v>
      </c>
      <c r="J2834" s="3">
        <v>44.08</v>
      </c>
      <c r="K2834" s="3">
        <v>43.020099999999999</v>
      </c>
      <c r="L2834" s="3">
        <v>1127.2584467511599</v>
      </c>
    </row>
    <row r="2835" spans="1:12" ht="15" customHeight="1" x14ac:dyDescent="0.2">
      <c r="A2835" s="2">
        <v>41935</v>
      </c>
      <c r="B2835" s="3">
        <v>43.2</v>
      </c>
      <c r="C2835" s="1">
        <v>2997598</v>
      </c>
      <c r="D2835" s="3">
        <v>-1.2999999999999901</v>
      </c>
      <c r="E2835" s="3">
        <v>-2.9213483146067301</v>
      </c>
      <c r="F2835" s="3">
        <v>-2.9213486136439801</v>
      </c>
      <c r="G2835" s="3">
        <v>44.500847</v>
      </c>
      <c r="H2835" s="3">
        <v>1140.10082580225</v>
      </c>
      <c r="I2835" s="3">
        <v>42.5</v>
      </c>
      <c r="J2835" s="3">
        <v>44.35</v>
      </c>
      <c r="K2835" s="3">
        <v>42</v>
      </c>
      <c r="L2835" s="3">
        <v>1103.85024749433</v>
      </c>
    </row>
    <row r="2836" spans="1:12" ht="15" customHeight="1" x14ac:dyDescent="0.2">
      <c r="A2836" s="2">
        <v>41934</v>
      </c>
      <c r="B2836" s="3">
        <v>44.5</v>
      </c>
      <c r="C2836" s="1">
        <v>2848210</v>
      </c>
      <c r="D2836" s="3">
        <v>-0.149999999999998</v>
      </c>
      <c r="E2836" s="3">
        <v>-0.33594624860021599</v>
      </c>
      <c r="F2836" s="3">
        <v>-0.33594661623745897</v>
      </c>
      <c r="G2836" s="3">
        <v>45.839993</v>
      </c>
      <c r="H2836" s="3">
        <v>1177.4186786617699</v>
      </c>
      <c r="I2836" s="3">
        <v>44.61</v>
      </c>
      <c r="J2836" s="3">
        <v>45.48</v>
      </c>
      <c r="K2836" s="3">
        <v>44.32</v>
      </c>
      <c r="L2836" s="3">
        <v>1140.07722253467</v>
      </c>
    </row>
    <row r="2837" spans="1:12" ht="15" customHeight="1" x14ac:dyDescent="0.2">
      <c r="A2837" s="2">
        <v>41933</v>
      </c>
      <c r="B2837" s="3">
        <v>44.65</v>
      </c>
      <c r="C2837" s="1">
        <v>2126906</v>
      </c>
      <c r="D2837" s="3">
        <v>-2</v>
      </c>
      <c r="E2837" s="3">
        <v>-4.2872454448017097</v>
      </c>
      <c r="F2837" s="3">
        <v>-4.2872505992489396</v>
      </c>
      <c r="G2837" s="3">
        <v>45.994509999999998</v>
      </c>
      <c r="H2837" s="3">
        <v>1181.7245890481599</v>
      </c>
      <c r="I2837" s="3">
        <v>46.01</v>
      </c>
      <c r="J2837" s="3">
        <v>46.41</v>
      </c>
      <c r="K2837" s="3">
        <v>44.5</v>
      </c>
      <c r="L2837" s="3">
        <v>1144.2572581162401</v>
      </c>
    </row>
    <row r="2838" spans="1:12" ht="15" customHeight="1" x14ac:dyDescent="0.2">
      <c r="A2838" s="2">
        <v>41932</v>
      </c>
      <c r="B2838" s="3">
        <v>46.65</v>
      </c>
      <c r="C2838" s="1">
        <v>1040161</v>
      </c>
      <c r="D2838" s="3">
        <v>0.42000000000000098</v>
      </c>
      <c r="E2838" s="3">
        <v>0.90850097339389901</v>
      </c>
      <c r="F2838" s="3">
        <v>0.90850913166633496</v>
      </c>
      <c r="G2838" s="3">
        <v>48.054737000000003</v>
      </c>
      <c r="H2838" s="3">
        <v>1239.13673682234</v>
      </c>
      <c r="I2838" s="3">
        <v>46.07</v>
      </c>
      <c r="J2838" s="3">
        <v>46.7</v>
      </c>
      <c r="K2838" s="3">
        <v>46.02</v>
      </c>
      <c r="L2838" s="3">
        <v>1199.9910658706101</v>
      </c>
    </row>
    <row r="2839" spans="1:12" ht="15" customHeight="1" x14ac:dyDescent="0.2">
      <c r="A2839" s="2">
        <v>41929</v>
      </c>
      <c r="B2839" s="3">
        <v>46.23</v>
      </c>
      <c r="C2839" s="1">
        <v>727761</v>
      </c>
      <c r="D2839" s="3">
        <v>-0.54000000000000603</v>
      </c>
      <c r="E2839" s="3">
        <v>-1.1545862732520999</v>
      </c>
      <c r="F2839" s="3">
        <v>-1.15459329761189</v>
      </c>
      <c r="G2839" s="3">
        <v>47.622086000000003</v>
      </c>
      <c r="H2839" s="3">
        <v>1227.0800929929701</v>
      </c>
      <c r="I2839" s="3">
        <v>47.46</v>
      </c>
      <c r="J2839" s="3">
        <v>47.469499999999996</v>
      </c>
      <c r="K2839" s="3">
        <v>46.11</v>
      </c>
      <c r="L2839" s="3">
        <v>1188.2869662421999</v>
      </c>
    </row>
    <row r="2840" spans="1:12" ht="15" customHeight="1" x14ac:dyDescent="0.2">
      <c r="A2840" s="2">
        <v>41928</v>
      </c>
      <c r="B2840" s="3">
        <v>46.77</v>
      </c>
      <c r="C2840" s="1">
        <v>747640</v>
      </c>
      <c r="D2840" s="3">
        <v>5.0000000000004201E-2</v>
      </c>
      <c r="E2840" s="3">
        <v>0.107020547945224</v>
      </c>
      <c r="F2840" s="3">
        <v>0.107025513953318</v>
      </c>
      <c r="G2840" s="3">
        <v>48.178350000000002</v>
      </c>
      <c r="H2840" s="3">
        <v>1242.58144841131</v>
      </c>
      <c r="I2840" s="3">
        <v>45.94</v>
      </c>
      <c r="J2840" s="3">
        <v>47</v>
      </c>
      <c r="K2840" s="3">
        <v>45.94</v>
      </c>
      <c r="L2840" s="3">
        <v>1203.3350943358701</v>
      </c>
    </row>
    <row r="2841" spans="1:12" ht="15" customHeight="1" x14ac:dyDescent="0.2">
      <c r="A2841" s="2">
        <v>41927</v>
      </c>
      <c r="B2841" s="3">
        <v>46.72</v>
      </c>
      <c r="C2841" s="1">
        <v>1128455</v>
      </c>
      <c r="D2841" s="3">
        <v>0.189999999999997</v>
      </c>
      <c r="E2841" s="3">
        <v>0.40833870621104201</v>
      </c>
      <c r="F2841" s="3">
        <v>0.40834013476005399</v>
      </c>
      <c r="G2841" s="3">
        <v>48.126842000000003</v>
      </c>
      <c r="H2841" s="3">
        <v>1241.1460799264</v>
      </c>
      <c r="I2841" s="3">
        <v>46.22</v>
      </c>
      <c r="J2841" s="3">
        <v>47.03</v>
      </c>
      <c r="K2841" s="3">
        <v>45.57</v>
      </c>
      <c r="L2841" s="3">
        <v>1201.9417491420199</v>
      </c>
    </row>
    <row r="2842" spans="1:12" ht="15" customHeight="1" x14ac:dyDescent="0.2">
      <c r="A2842" s="2">
        <v>41926</v>
      </c>
      <c r="B2842" s="3">
        <v>46.53</v>
      </c>
      <c r="C2842" s="1">
        <v>1021262</v>
      </c>
      <c r="D2842" s="3">
        <v>1.55</v>
      </c>
      <c r="E2842" s="3">
        <v>3.4459759893286002</v>
      </c>
      <c r="F2842" s="3">
        <v>3.4459762397936098</v>
      </c>
      <c r="G2842" s="3">
        <v>47.93112</v>
      </c>
      <c r="H2842" s="3">
        <v>1235.6919137657501</v>
      </c>
      <c r="I2842" s="3">
        <v>45.29</v>
      </c>
      <c r="J2842" s="3">
        <v>46.6</v>
      </c>
      <c r="K2842" s="3">
        <v>45.05</v>
      </c>
      <c r="L2842" s="3">
        <v>1196.6470374053499</v>
      </c>
    </row>
    <row r="2843" spans="1:12" ht="15" customHeight="1" x14ac:dyDescent="0.2">
      <c r="A2843" s="2">
        <v>41925</v>
      </c>
      <c r="B2843" s="3">
        <v>44.98</v>
      </c>
      <c r="C2843" s="1">
        <v>752620</v>
      </c>
      <c r="D2843" s="3">
        <v>-0.27000000000000302</v>
      </c>
      <c r="E2843" s="3">
        <v>-0.59668508287293798</v>
      </c>
      <c r="F2843" s="3">
        <v>-0.59669299575351098</v>
      </c>
      <c r="G2843" s="3">
        <v>46.334446</v>
      </c>
      <c r="H2843" s="3">
        <v>1191.1975528845501</v>
      </c>
      <c r="I2843" s="3">
        <v>45.35</v>
      </c>
      <c r="J2843" s="3">
        <v>45.774999999999999</v>
      </c>
      <c r="K2843" s="3">
        <v>44.91</v>
      </c>
      <c r="L2843" s="3">
        <v>1153.45333639572</v>
      </c>
    </row>
    <row r="2844" spans="1:12" ht="15" customHeight="1" x14ac:dyDescent="0.2">
      <c r="A2844" s="2">
        <v>41922</v>
      </c>
      <c r="B2844" s="3">
        <v>45.25</v>
      </c>
      <c r="C2844" s="1">
        <v>1049535</v>
      </c>
      <c r="D2844" s="3">
        <v>0.17000000000000101</v>
      </c>
      <c r="E2844" s="3">
        <v>0.37710736468501399</v>
      </c>
      <c r="F2844" s="3">
        <v>0.37710934232837401</v>
      </c>
      <c r="G2844" s="3">
        <v>46.612580000000001</v>
      </c>
      <c r="H2844" s="3">
        <v>1198.94828632753</v>
      </c>
      <c r="I2844" s="3">
        <v>44.89</v>
      </c>
      <c r="J2844" s="3">
        <v>45.75</v>
      </c>
      <c r="K2844" s="3">
        <v>44.59</v>
      </c>
      <c r="L2844" s="3">
        <v>1160.9774004425501</v>
      </c>
    </row>
    <row r="2845" spans="1:12" ht="15" customHeight="1" x14ac:dyDescent="0.2">
      <c r="A2845" s="2">
        <v>41921</v>
      </c>
      <c r="B2845" s="3">
        <v>45.08</v>
      </c>
      <c r="C2845" s="1">
        <v>636778</v>
      </c>
      <c r="D2845" s="3">
        <v>-0.64</v>
      </c>
      <c r="E2845" s="3">
        <v>-1.3998250218722601</v>
      </c>
      <c r="F2845" s="3">
        <v>-1.3998274572463301</v>
      </c>
      <c r="G2845" s="3">
        <v>46.437460000000002</v>
      </c>
      <c r="H2845" s="3">
        <v>1194.06823412056</v>
      </c>
      <c r="I2845" s="3">
        <v>44.505000000000003</v>
      </c>
      <c r="J2845" s="3">
        <v>46.05</v>
      </c>
      <c r="K2845" s="3">
        <v>44.505000000000003</v>
      </c>
      <c r="L2845" s="3">
        <v>1156.24002678343</v>
      </c>
    </row>
    <row r="2846" spans="1:12" ht="15" customHeight="1" x14ac:dyDescent="0.2">
      <c r="A2846" s="2">
        <v>41920</v>
      </c>
      <c r="B2846" s="3">
        <v>45.72</v>
      </c>
      <c r="C2846" s="1">
        <v>688568</v>
      </c>
      <c r="D2846" s="3">
        <v>1.22999999999999</v>
      </c>
      <c r="E2846" s="3">
        <v>2.7646662171274299</v>
      </c>
      <c r="F2846" s="3">
        <v>2.7646704943015799</v>
      </c>
      <c r="G2846" s="3">
        <v>47.096733</v>
      </c>
      <c r="H2846" s="3">
        <v>1212.4401314403799</v>
      </c>
      <c r="I2846" s="3">
        <v>44.47</v>
      </c>
      <c r="J2846" s="3">
        <v>45.78</v>
      </c>
      <c r="K2846" s="3">
        <v>44.395000000000003</v>
      </c>
      <c r="L2846" s="3">
        <v>1174.0748452648299</v>
      </c>
    </row>
    <row r="2847" spans="1:12" ht="15" customHeight="1" x14ac:dyDescent="0.2">
      <c r="A2847" s="2">
        <v>41919</v>
      </c>
      <c r="B2847" s="3">
        <v>44.49</v>
      </c>
      <c r="C2847" s="1">
        <v>734589</v>
      </c>
      <c r="D2847" s="3">
        <v>-0.89</v>
      </c>
      <c r="E2847" s="3">
        <v>-1.96121639488762</v>
      </c>
      <c r="F2847" s="3">
        <v>-1.96121873867161</v>
      </c>
      <c r="G2847" s="3">
        <v>45.829692999999999</v>
      </c>
      <c r="H2847" s="3">
        <v>1177.1316495518299</v>
      </c>
      <c r="I2847" s="3">
        <v>45.03</v>
      </c>
      <c r="J2847" s="3">
        <v>45.11</v>
      </c>
      <c r="K2847" s="3">
        <v>44.47</v>
      </c>
      <c r="L2847" s="3">
        <v>1139.7985534959</v>
      </c>
    </row>
    <row r="2848" spans="1:12" ht="15" customHeight="1" x14ac:dyDescent="0.2">
      <c r="A2848" s="2">
        <v>41918</v>
      </c>
      <c r="B2848" s="3">
        <v>45.38</v>
      </c>
      <c r="C2848" s="1">
        <v>378710</v>
      </c>
      <c r="D2848" s="3">
        <v>-0.42499999999999699</v>
      </c>
      <c r="E2848" s="3">
        <v>-0.92784630498853304</v>
      </c>
      <c r="F2848" s="3">
        <v>-0.92784272053261196</v>
      </c>
      <c r="G2848" s="3">
        <v>46.746493999999998</v>
      </c>
      <c r="H2848" s="3">
        <v>1202.68005489334</v>
      </c>
      <c r="I2848" s="3">
        <v>45.9</v>
      </c>
      <c r="J2848" s="3">
        <v>46.06</v>
      </c>
      <c r="K2848" s="3">
        <v>45.36</v>
      </c>
      <c r="L2848" s="3">
        <v>1164.60009794659</v>
      </c>
    </row>
    <row r="2849" spans="1:12" ht="15" customHeight="1" x14ac:dyDescent="0.2">
      <c r="A2849" s="2">
        <v>41915</v>
      </c>
      <c r="B2849" s="3">
        <v>45.805</v>
      </c>
      <c r="C2849" s="1">
        <v>483406</v>
      </c>
      <c r="D2849" s="3">
        <v>0.47999999999999599</v>
      </c>
      <c r="E2849" s="3">
        <v>1.05901820187532</v>
      </c>
      <c r="F2849" s="3">
        <v>1.0590098402564601</v>
      </c>
      <c r="G2849" s="3">
        <v>47.184289999999997</v>
      </c>
      <c r="H2849" s="3">
        <v>1214.8800739431499</v>
      </c>
      <c r="I2849" s="3">
        <v>45.71</v>
      </c>
      <c r="J2849" s="3">
        <v>46.29</v>
      </c>
      <c r="K2849" s="3">
        <v>45.62</v>
      </c>
      <c r="L2849" s="3">
        <v>1176.4435320943901</v>
      </c>
    </row>
    <row r="2850" spans="1:12" ht="15" customHeight="1" x14ac:dyDescent="0.2">
      <c r="A2850" s="2">
        <v>41914</v>
      </c>
      <c r="B2850" s="3">
        <v>45.325000000000003</v>
      </c>
      <c r="C2850" s="1">
        <v>593583</v>
      </c>
      <c r="D2850" s="3">
        <v>0.35000000000000098</v>
      </c>
      <c r="E2850" s="3">
        <v>0.77821011673151397</v>
      </c>
      <c r="F2850" s="3">
        <v>0.77822032952972098</v>
      </c>
      <c r="G2850" s="3">
        <v>46.689839999999997</v>
      </c>
      <c r="H2850" s="3">
        <v>1201.10128332108</v>
      </c>
      <c r="I2850" s="3">
        <v>45.05</v>
      </c>
      <c r="J2850" s="3">
        <v>45.64</v>
      </c>
      <c r="K2850" s="3">
        <v>44.93</v>
      </c>
      <c r="L2850" s="3">
        <v>1163.06741823334</v>
      </c>
    </row>
    <row r="2851" spans="1:12" ht="15" customHeight="1" x14ac:dyDescent="0.2">
      <c r="A2851" s="2">
        <v>41913</v>
      </c>
      <c r="B2851" s="3">
        <v>44.975000000000001</v>
      </c>
      <c r="C2851" s="1">
        <v>591321</v>
      </c>
      <c r="D2851" s="3">
        <v>-0.52499999999999802</v>
      </c>
      <c r="E2851" s="3">
        <v>-1.15384615384614</v>
      </c>
      <c r="F2851" s="3">
        <v>-1.15384846793391</v>
      </c>
      <c r="G2851" s="3">
        <v>46.329295999999999</v>
      </c>
      <c r="H2851" s="3">
        <v>1191.05403832958</v>
      </c>
      <c r="I2851" s="3">
        <v>45.69</v>
      </c>
      <c r="J2851" s="3">
        <v>45.86</v>
      </c>
      <c r="K2851" s="3">
        <v>44.9</v>
      </c>
      <c r="L2851" s="3">
        <v>1153.3140018763299</v>
      </c>
    </row>
    <row r="2852" spans="1:12" ht="15" customHeight="1" x14ac:dyDescent="0.2">
      <c r="A2852" s="2">
        <v>41912</v>
      </c>
      <c r="B2852" s="3">
        <v>45.5</v>
      </c>
      <c r="C2852" s="1">
        <v>536118</v>
      </c>
      <c r="D2852" s="3">
        <v>-0.46</v>
      </c>
      <c r="E2852" s="3">
        <v>-1.0008703220191499</v>
      </c>
      <c r="F2852" s="3">
        <v>-1.0008669322014301</v>
      </c>
      <c r="G2852" s="3">
        <v>46.870106</v>
      </c>
      <c r="H2852" s="3">
        <v>1206.1247386154</v>
      </c>
      <c r="I2852" s="3">
        <v>46</v>
      </c>
      <c r="J2852" s="3">
        <v>46.29</v>
      </c>
      <c r="K2852" s="3">
        <v>45.49</v>
      </c>
      <c r="L2852" s="3">
        <v>1167.94412641185</v>
      </c>
    </row>
    <row r="2853" spans="1:12" ht="15" customHeight="1" x14ac:dyDescent="0.2">
      <c r="A2853" s="2">
        <v>41911</v>
      </c>
      <c r="B2853" s="3">
        <v>45.96</v>
      </c>
      <c r="C2853" s="1">
        <v>594744</v>
      </c>
      <c r="D2853" s="3">
        <v>0.310000000000002</v>
      </c>
      <c r="E2853" s="3">
        <v>0.67907995618838801</v>
      </c>
      <c r="F2853" s="3">
        <v>0.67907401024620495</v>
      </c>
      <c r="G2853" s="3">
        <v>47.343955999999999</v>
      </c>
      <c r="H2853" s="3">
        <v>1219.3294710176101</v>
      </c>
      <c r="I2853" s="3">
        <v>45.34</v>
      </c>
      <c r="J2853" s="3">
        <v>45.98</v>
      </c>
      <c r="K2853" s="3">
        <v>45.03</v>
      </c>
      <c r="L2853" s="3">
        <v>1180.7629021953601</v>
      </c>
    </row>
    <row r="2854" spans="1:12" ht="15" customHeight="1" x14ac:dyDescent="0.2">
      <c r="A2854" s="2">
        <v>41908</v>
      </c>
      <c r="B2854" s="3">
        <v>45.65</v>
      </c>
      <c r="C2854" s="1">
        <v>562625</v>
      </c>
      <c r="D2854" s="3">
        <v>0.35000000000000098</v>
      </c>
      <c r="E2854" s="3">
        <v>0.77262693156732098</v>
      </c>
      <c r="F2854" s="3">
        <v>0.77263711188564299</v>
      </c>
      <c r="G2854" s="3">
        <v>47.024624000000003</v>
      </c>
      <c r="H2854" s="3">
        <v>1210.4306768686999</v>
      </c>
      <c r="I2854" s="3">
        <v>43.89</v>
      </c>
      <c r="J2854" s="3">
        <v>45.69</v>
      </c>
      <c r="K2854" s="3">
        <v>43.89</v>
      </c>
      <c r="L2854" s="3">
        <v>1172.1241619934301</v>
      </c>
    </row>
    <row r="2855" spans="1:12" ht="15" customHeight="1" x14ac:dyDescent="0.2">
      <c r="A2855" s="2">
        <v>41907</v>
      </c>
      <c r="B2855" s="3">
        <v>45.3</v>
      </c>
      <c r="C2855" s="1">
        <v>373840</v>
      </c>
      <c r="D2855" s="3">
        <v>-0.35999999999999899</v>
      </c>
      <c r="E2855" s="3">
        <v>-0.78843626806832601</v>
      </c>
      <c r="F2855" s="3">
        <v>-0.78844392307299005</v>
      </c>
      <c r="G2855" s="3">
        <v>46.664079999999998</v>
      </c>
      <c r="H2855" s="3">
        <v>1200.3834318772001</v>
      </c>
      <c r="I2855" s="3">
        <v>45.62</v>
      </c>
      <c r="J2855" s="3">
        <v>45.83</v>
      </c>
      <c r="K2855" s="3">
        <v>45.115000000000002</v>
      </c>
      <c r="L2855" s="3">
        <v>1162.37074563641</v>
      </c>
    </row>
    <row r="2856" spans="1:12" ht="15" customHeight="1" x14ac:dyDescent="0.2">
      <c r="A2856" s="2">
        <v>41906</v>
      </c>
      <c r="B2856" s="3">
        <v>45.66</v>
      </c>
      <c r="C2856" s="1">
        <v>485629</v>
      </c>
      <c r="D2856" s="3">
        <v>0.39999999999999802</v>
      </c>
      <c r="E2856" s="3">
        <v>0.88378258948298405</v>
      </c>
      <c r="F2856" s="3">
        <v>0.88379148647523798</v>
      </c>
      <c r="G2856" s="3">
        <v>47.034923999999997</v>
      </c>
      <c r="H2856" s="3">
        <v>1210.71770597863</v>
      </c>
      <c r="I2856" s="3">
        <v>45.23</v>
      </c>
      <c r="J2856" s="3">
        <v>45.75</v>
      </c>
      <c r="K2856" s="3">
        <v>45.23</v>
      </c>
      <c r="L2856" s="3">
        <v>1172.4028310322001</v>
      </c>
    </row>
    <row r="2857" spans="1:12" ht="15" customHeight="1" x14ac:dyDescent="0.2">
      <c r="A2857" s="2">
        <v>41905</v>
      </c>
      <c r="B2857" s="3">
        <v>45.26</v>
      </c>
      <c r="C2857" s="1">
        <v>417506</v>
      </c>
      <c r="D2857" s="3">
        <v>-0.160000000000003</v>
      </c>
      <c r="E2857" s="3">
        <v>-0.35226772346984497</v>
      </c>
      <c r="F2857" s="3">
        <v>-0.35226784958172203</v>
      </c>
      <c r="G2857" s="3">
        <v>46.622875000000001</v>
      </c>
      <c r="H2857" s="3">
        <v>1199.2351761029399</v>
      </c>
      <c r="I2857" s="3">
        <v>45.35</v>
      </c>
      <c r="J2857" s="3">
        <v>45.53</v>
      </c>
      <c r="K2857" s="3">
        <v>45.185000000000002</v>
      </c>
      <c r="L2857" s="3">
        <v>1161.2560694813301</v>
      </c>
    </row>
    <row r="2858" spans="1:12" ht="15" customHeight="1" x14ac:dyDescent="0.2">
      <c r="A2858" s="2">
        <v>41904</v>
      </c>
      <c r="B2858" s="3">
        <v>45.42</v>
      </c>
      <c r="C2858" s="1">
        <v>313781</v>
      </c>
      <c r="D2858" s="3">
        <v>-0.44999999999999502</v>
      </c>
      <c r="E2858" s="3">
        <v>-0.98103335513406398</v>
      </c>
      <c r="F2858" s="3">
        <v>-0.981040775495301</v>
      </c>
      <c r="G2858" s="3">
        <v>46.787692999999997</v>
      </c>
      <c r="H2858" s="3">
        <v>1203.8281434661701</v>
      </c>
      <c r="I2858" s="3">
        <v>45.73</v>
      </c>
      <c r="J2858" s="3">
        <v>45.77</v>
      </c>
      <c r="K2858" s="3">
        <v>45.31</v>
      </c>
      <c r="L2858" s="3">
        <v>1165.71477410168</v>
      </c>
    </row>
    <row r="2859" spans="1:12" ht="15" customHeight="1" x14ac:dyDescent="0.2">
      <c r="A2859" s="2">
        <v>41901</v>
      </c>
      <c r="B2859" s="3">
        <v>45.87</v>
      </c>
      <c r="C2859" s="1">
        <v>628441</v>
      </c>
      <c r="D2859" s="3">
        <v>-0.28999999999999898</v>
      </c>
      <c r="E2859" s="3">
        <v>-0.62824956672443699</v>
      </c>
      <c r="F2859" s="3">
        <v>-0.62825052712955898</v>
      </c>
      <c r="G2859" s="3">
        <v>47.251246999999999</v>
      </c>
      <c r="H2859" s="3">
        <v>1216.7459582260601</v>
      </c>
      <c r="I2859" s="3">
        <v>46.25</v>
      </c>
      <c r="J2859" s="3">
        <v>46.6</v>
      </c>
      <c r="K2859" s="3">
        <v>45.84</v>
      </c>
      <c r="L2859" s="3">
        <v>1178.2548808464101</v>
      </c>
    </row>
    <row r="2860" spans="1:12" ht="15" customHeight="1" x14ac:dyDescent="0.2">
      <c r="A2860" s="2">
        <v>41900</v>
      </c>
      <c r="B2860" s="3">
        <v>46.16</v>
      </c>
      <c r="C2860" s="1">
        <v>591799</v>
      </c>
      <c r="D2860" s="3">
        <v>0.50999999999999801</v>
      </c>
      <c r="E2860" s="3">
        <v>1.1171960569550801</v>
      </c>
      <c r="F2860" s="3">
        <v>1.1171934091381299</v>
      </c>
      <c r="G2860" s="3">
        <v>47.549979999999998</v>
      </c>
      <c r="H2860" s="3">
        <v>1225.0707220219999</v>
      </c>
      <c r="I2860" s="3">
        <v>45.87</v>
      </c>
      <c r="J2860" s="3">
        <v>46.46</v>
      </c>
      <c r="K2860" s="3">
        <v>45.65</v>
      </c>
      <c r="L2860" s="3">
        <v>1186.3362829707901</v>
      </c>
    </row>
    <row r="2861" spans="1:12" ht="15" customHeight="1" x14ac:dyDescent="0.2">
      <c r="A2861" s="2">
        <v>41899</v>
      </c>
      <c r="B2861" s="3">
        <v>45.65</v>
      </c>
      <c r="C2861" s="1">
        <v>445705</v>
      </c>
      <c r="D2861" s="3">
        <v>0.25999999999999801</v>
      </c>
      <c r="E2861" s="3">
        <v>0.57281339502093198</v>
      </c>
      <c r="F2861" s="3">
        <v>0.57281515067093502</v>
      </c>
      <c r="G2861" s="3">
        <v>47.024624000000003</v>
      </c>
      <c r="H2861" s="3">
        <v>1210.4306768686999</v>
      </c>
      <c r="I2861" s="3">
        <v>45.39</v>
      </c>
      <c r="J2861" s="3">
        <v>45.7</v>
      </c>
      <c r="K2861" s="3">
        <v>44.96</v>
      </c>
      <c r="L2861" s="3">
        <v>1172.1241619934301</v>
      </c>
    </row>
    <row r="2862" spans="1:12" ht="15" customHeight="1" x14ac:dyDescent="0.2">
      <c r="A2862" s="2">
        <v>41898</v>
      </c>
      <c r="B2862" s="3">
        <v>45.39</v>
      </c>
      <c r="C2862" s="1">
        <v>478012</v>
      </c>
      <c r="D2862" s="3">
        <v>0.160000000000003</v>
      </c>
      <c r="E2862" s="3">
        <v>0.35374751271279797</v>
      </c>
      <c r="F2862" s="3">
        <v>0.35374760666944099</v>
      </c>
      <c r="G2862" s="3">
        <v>46.756793999999999</v>
      </c>
      <c r="H2862" s="3">
        <v>1202.96708400327</v>
      </c>
      <c r="I2862" s="3">
        <v>45.12</v>
      </c>
      <c r="J2862" s="3">
        <v>45.61</v>
      </c>
      <c r="K2862" s="3">
        <v>44.96</v>
      </c>
      <c r="L2862" s="3">
        <v>1164.87876698536</v>
      </c>
    </row>
    <row r="2863" spans="1:12" ht="15" customHeight="1" x14ac:dyDescent="0.2">
      <c r="A2863" s="2">
        <v>41897</v>
      </c>
      <c r="B2863" s="3">
        <v>45.23</v>
      </c>
      <c r="C2863" s="1">
        <v>212588</v>
      </c>
      <c r="D2863" s="3">
        <v>-0.15000000000000499</v>
      </c>
      <c r="E2863" s="3">
        <v>-0.33054208902602</v>
      </c>
      <c r="F2863" s="3">
        <v>-0.330544575171765</v>
      </c>
      <c r="G2863" s="3">
        <v>46.591976000000003</v>
      </c>
      <c r="H2863" s="3">
        <v>1198.37411664004</v>
      </c>
      <c r="I2863" s="3">
        <v>45.36</v>
      </c>
      <c r="J2863" s="3">
        <v>45.45</v>
      </c>
      <c r="K2863" s="3">
        <v>45.06</v>
      </c>
      <c r="L2863" s="3">
        <v>1160.4200623650099</v>
      </c>
    </row>
    <row r="2864" spans="1:12" ht="15" customHeight="1" x14ac:dyDescent="0.2">
      <c r="A2864" s="2">
        <v>41894</v>
      </c>
      <c r="B2864" s="3">
        <v>45.38</v>
      </c>
      <c r="C2864" s="1">
        <v>356516</v>
      </c>
      <c r="D2864" s="3">
        <v>-0.27999999999999398</v>
      </c>
      <c r="E2864" s="3">
        <v>-0.61322820849757298</v>
      </c>
      <c r="F2864" s="3">
        <v>-0.61322518560888895</v>
      </c>
      <c r="G2864" s="3">
        <v>46.746493999999998</v>
      </c>
      <c r="H2864" s="3">
        <v>1202.68005489334</v>
      </c>
      <c r="I2864" s="3">
        <v>45.76</v>
      </c>
      <c r="J2864" s="3">
        <v>45.875</v>
      </c>
      <c r="K2864" s="3">
        <v>45.18</v>
      </c>
      <c r="L2864" s="3">
        <v>1164.60009794659</v>
      </c>
    </row>
    <row r="2865" spans="1:12" ht="15" customHeight="1" x14ac:dyDescent="0.2">
      <c r="A2865" s="2">
        <v>41893</v>
      </c>
      <c r="B2865" s="3">
        <v>45.66</v>
      </c>
      <c r="C2865" s="1">
        <v>497615</v>
      </c>
      <c r="D2865" s="3">
        <v>2.9999999999994E-2</v>
      </c>
      <c r="E2865" s="3">
        <v>6.5746219592366303E-2</v>
      </c>
      <c r="F2865" s="3">
        <v>6.5747567973972701E-2</v>
      </c>
      <c r="G2865" s="3">
        <v>47.034923999999997</v>
      </c>
      <c r="H2865" s="3">
        <v>1210.71770597863</v>
      </c>
      <c r="I2865" s="3">
        <v>45.52</v>
      </c>
      <c r="J2865" s="3">
        <v>45.73</v>
      </c>
      <c r="K2865" s="3">
        <v>45.23</v>
      </c>
      <c r="L2865" s="3">
        <v>1172.4028310322001</v>
      </c>
    </row>
    <row r="2866" spans="1:12" ht="15" customHeight="1" x14ac:dyDescent="0.2">
      <c r="A2866" s="2">
        <v>41892</v>
      </c>
      <c r="B2866" s="3">
        <v>45.63</v>
      </c>
      <c r="C2866" s="1">
        <v>494021</v>
      </c>
      <c r="D2866" s="3">
        <v>0.60000000000000098</v>
      </c>
      <c r="E2866" s="3">
        <v>1.33244503664224</v>
      </c>
      <c r="F2866" s="3">
        <v>1.33244651311672</v>
      </c>
      <c r="G2866" s="3">
        <v>47.004019999999997</v>
      </c>
      <c r="H2866" s="3">
        <v>1209.85650718121</v>
      </c>
      <c r="I2866" s="3">
        <v>45.01</v>
      </c>
      <c r="J2866" s="3">
        <v>45.73</v>
      </c>
      <c r="K2866" s="3">
        <v>44.93</v>
      </c>
      <c r="L2866" s="3">
        <v>1171.5668239158799</v>
      </c>
    </row>
    <row r="2867" spans="1:12" ht="15" customHeight="1" x14ac:dyDescent="0.2">
      <c r="A2867" s="2">
        <v>41891</v>
      </c>
      <c r="B2867" s="3">
        <v>45.03</v>
      </c>
      <c r="C2867" s="1">
        <v>257668</v>
      </c>
      <c r="D2867" s="3">
        <v>-0.219999999999998</v>
      </c>
      <c r="E2867" s="3">
        <v>-0.486187845303864</v>
      </c>
      <c r="F2867" s="3">
        <v>-0.48619492849354401</v>
      </c>
      <c r="G2867" s="3">
        <v>46.385952000000003</v>
      </c>
      <c r="H2867" s="3">
        <v>1192.63286563565</v>
      </c>
      <c r="I2867" s="3">
        <v>45.2</v>
      </c>
      <c r="J2867" s="3">
        <v>45.33</v>
      </c>
      <c r="K2867" s="3">
        <v>44.95</v>
      </c>
      <c r="L2867" s="3">
        <v>1154.8466815895699</v>
      </c>
    </row>
    <row r="2868" spans="1:12" ht="15" customHeight="1" x14ac:dyDescent="0.2">
      <c r="A2868" s="2">
        <v>41890</v>
      </c>
      <c r="B2868" s="3">
        <v>45.25</v>
      </c>
      <c r="C2868" s="1">
        <v>376841</v>
      </c>
      <c r="D2868" s="3">
        <v>-7.0000000000000201E-2</v>
      </c>
      <c r="E2868" s="3">
        <v>-0.154457193292145</v>
      </c>
      <c r="F2868" s="3">
        <v>-0.15445107962065399</v>
      </c>
      <c r="G2868" s="3">
        <v>46.612580000000001</v>
      </c>
      <c r="H2868" s="3">
        <v>1198.94828632753</v>
      </c>
      <c r="I2868" s="3">
        <v>45.3</v>
      </c>
      <c r="J2868" s="3">
        <v>45.53</v>
      </c>
      <c r="K2868" s="3">
        <v>45.12</v>
      </c>
      <c r="L2868" s="3">
        <v>1160.9774004425501</v>
      </c>
    </row>
    <row r="2869" spans="1:12" ht="15" customHeight="1" x14ac:dyDescent="0.2">
      <c r="A2869" s="2">
        <v>41887</v>
      </c>
      <c r="B2869" s="3">
        <v>45.32</v>
      </c>
      <c r="C2869" s="1">
        <v>442825</v>
      </c>
      <c r="D2869" s="3">
        <v>0.160000000000003</v>
      </c>
      <c r="E2869" s="3">
        <v>0.35429583702393203</v>
      </c>
      <c r="F2869" s="3">
        <v>0.354295939840088</v>
      </c>
      <c r="G2869" s="3">
        <v>46.684685000000002</v>
      </c>
      <c r="H2869" s="3">
        <v>1200.95762943159</v>
      </c>
      <c r="I2869" s="3">
        <v>45.01</v>
      </c>
      <c r="J2869" s="3">
        <v>45.44</v>
      </c>
      <c r="K2869" s="3">
        <v>44.87</v>
      </c>
      <c r="L2869" s="3">
        <v>1162.9280837139599</v>
      </c>
    </row>
    <row r="2870" spans="1:12" ht="15" customHeight="1" x14ac:dyDescent="0.2">
      <c r="A2870" s="2">
        <v>41886</v>
      </c>
      <c r="B2870" s="3">
        <v>45.16</v>
      </c>
      <c r="C2870" s="1">
        <v>361285</v>
      </c>
      <c r="D2870" s="3">
        <v>0.439999999999997</v>
      </c>
      <c r="E2870" s="3">
        <v>0.983899821109113</v>
      </c>
      <c r="F2870" s="3">
        <v>0.98389462912624703</v>
      </c>
      <c r="G2870" s="3">
        <v>46.519866999999998</v>
      </c>
      <c r="H2870" s="3">
        <v>1196.3646620683601</v>
      </c>
      <c r="I2870" s="3">
        <v>44.74</v>
      </c>
      <c r="J2870" s="3">
        <v>45.22</v>
      </c>
      <c r="K2870" s="3">
        <v>44.56</v>
      </c>
      <c r="L2870" s="3">
        <v>1158.4693790936101</v>
      </c>
    </row>
    <row r="2871" spans="1:12" ht="15" customHeight="1" x14ac:dyDescent="0.2">
      <c r="A2871" s="2">
        <v>41885</v>
      </c>
      <c r="B2871" s="3">
        <v>44.72</v>
      </c>
      <c r="C2871" s="1">
        <v>547560</v>
      </c>
      <c r="D2871" s="3">
        <v>-7.0000000000000201E-2</v>
      </c>
      <c r="E2871" s="3">
        <v>-0.156284885018975</v>
      </c>
      <c r="F2871" s="3">
        <v>-0.15627870080935299</v>
      </c>
      <c r="G2871" s="3">
        <v>46.06662</v>
      </c>
      <c r="H2871" s="3">
        <v>1183.73407148674</v>
      </c>
      <c r="I2871" s="3">
        <v>44.9</v>
      </c>
      <c r="J2871" s="3">
        <v>44.99</v>
      </c>
      <c r="K2871" s="3">
        <v>44.55</v>
      </c>
      <c r="L2871" s="3">
        <v>1146.20794138765</v>
      </c>
    </row>
    <row r="2872" spans="1:12" ht="15" customHeight="1" x14ac:dyDescent="0.2">
      <c r="A2872" s="2">
        <v>41884</v>
      </c>
      <c r="B2872" s="3">
        <v>44.79</v>
      </c>
      <c r="C2872" s="1">
        <v>825164</v>
      </c>
      <c r="D2872" s="3">
        <v>-0.160000000000003</v>
      </c>
      <c r="E2872" s="3">
        <v>-0.355951056729708</v>
      </c>
      <c r="F2872" s="3">
        <v>-0.35595116339153199</v>
      </c>
      <c r="G2872" s="3">
        <v>46.138725000000001</v>
      </c>
      <c r="H2872" s="3">
        <v>1185.7434145908101</v>
      </c>
      <c r="I2872" s="3">
        <v>44.84</v>
      </c>
      <c r="J2872" s="3">
        <v>45.09</v>
      </c>
      <c r="K2872" s="3">
        <v>44.31</v>
      </c>
      <c r="L2872" s="3">
        <v>1148.15862465905</v>
      </c>
    </row>
    <row r="2873" spans="1:12" ht="15" customHeight="1" x14ac:dyDescent="0.2">
      <c r="A2873" s="2">
        <v>41880</v>
      </c>
      <c r="B2873" s="3">
        <v>44.95</v>
      </c>
      <c r="C2873" s="1">
        <v>361499</v>
      </c>
      <c r="D2873" s="3">
        <v>-0.119999999999997</v>
      </c>
      <c r="E2873" s="3">
        <v>-0.26625249611714702</v>
      </c>
      <c r="F2873" s="3">
        <v>-0.26626009430686898</v>
      </c>
      <c r="G2873" s="3">
        <v>46.303542999999998</v>
      </c>
      <c r="H2873" s="3">
        <v>1190.33638195403</v>
      </c>
      <c r="I2873" s="3">
        <v>45.11</v>
      </c>
      <c r="J2873" s="3">
        <v>45.244999999999997</v>
      </c>
      <c r="K2873" s="3">
        <v>44.7</v>
      </c>
      <c r="L2873" s="3">
        <v>1152.6173292794001</v>
      </c>
    </row>
    <row r="2874" spans="1:12" ht="15" customHeight="1" x14ac:dyDescent="0.2">
      <c r="A2874" s="2">
        <v>41879</v>
      </c>
      <c r="B2874" s="3">
        <v>45.07</v>
      </c>
      <c r="C2874" s="1">
        <v>671943</v>
      </c>
      <c r="D2874" s="3">
        <v>0.24000000000000199</v>
      </c>
      <c r="E2874" s="3">
        <v>0.53535578853447496</v>
      </c>
      <c r="F2874" s="3">
        <v>0.53536243991707499</v>
      </c>
      <c r="G2874" s="3">
        <v>46.427160000000001</v>
      </c>
      <c r="H2874" s="3">
        <v>1193.7812050106199</v>
      </c>
      <c r="I2874" s="3">
        <v>44.8</v>
      </c>
      <c r="J2874" s="3">
        <v>45.31</v>
      </c>
      <c r="K2874" s="3">
        <v>44.55</v>
      </c>
      <c r="L2874" s="3">
        <v>1155.9613577446601</v>
      </c>
    </row>
    <row r="2875" spans="1:12" ht="15" customHeight="1" x14ac:dyDescent="0.2">
      <c r="A2875" s="2">
        <v>41878</v>
      </c>
      <c r="B2875" s="3">
        <v>44.83</v>
      </c>
      <c r="C2875" s="1">
        <v>297434</v>
      </c>
      <c r="D2875" s="3">
        <v>-0.32</v>
      </c>
      <c r="E2875" s="3">
        <v>-0.70874861572536296</v>
      </c>
      <c r="F2875" s="3">
        <v>-0.70875095440040503</v>
      </c>
      <c r="G2875" s="3">
        <v>46.179929999999999</v>
      </c>
      <c r="H2875" s="3">
        <v>1186.89167036506</v>
      </c>
      <c r="I2875" s="3">
        <v>45.16</v>
      </c>
      <c r="J2875" s="3">
        <v>45.25</v>
      </c>
      <c r="K2875" s="3">
        <v>44.73</v>
      </c>
      <c r="L2875" s="3">
        <v>1149.2733008141399</v>
      </c>
    </row>
    <row r="2876" spans="1:12" ht="15" customHeight="1" x14ac:dyDescent="0.2">
      <c r="A2876" s="2">
        <v>41877</v>
      </c>
      <c r="B2876" s="3">
        <v>45.15</v>
      </c>
      <c r="C2876" s="1">
        <v>457238</v>
      </c>
      <c r="D2876" s="3">
        <v>-6.0000000000002197E-2</v>
      </c>
      <c r="E2876" s="3">
        <v>-0.132714001327149</v>
      </c>
      <c r="F2876" s="3">
        <v>-0.13271242829796501</v>
      </c>
      <c r="G2876" s="3">
        <v>46.509566999999997</v>
      </c>
      <c r="H2876" s="3">
        <v>1196.0776329584301</v>
      </c>
      <c r="I2876" s="3">
        <v>45.22</v>
      </c>
      <c r="J2876" s="3">
        <v>45.564999999999998</v>
      </c>
      <c r="K2876" s="3">
        <v>45.045000000000002</v>
      </c>
      <c r="L2876" s="3">
        <v>1158.1907100548401</v>
      </c>
    </row>
    <row r="2877" spans="1:12" ht="15" customHeight="1" x14ac:dyDescent="0.2">
      <c r="A2877" s="2">
        <v>41876</v>
      </c>
      <c r="B2877" s="3">
        <v>45.21</v>
      </c>
      <c r="C2877" s="1">
        <v>497848</v>
      </c>
      <c r="D2877" s="3">
        <v>0.73499999999999899</v>
      </c>
      <c r="E2877" s="3">
        <v>1.6526138279932401</v>
      </c>
      <c r="F2877" s="3">
        <v>1.65261499481383</v>
      </c>
      <c r="G2877" s="3">
        <v>46.571373000000001</v>
      </c>
      <c r="H2877" s="3">
        <v>1197.79997481946</v>
      </c>
      <c r="I2877" s="3">
        <v>44.8</v>
      </c>
      <c r="J2877" s="3">
        <v>45.25</v>
      </c>
      <c r="K2877" s="3">
        <v>44.6</v>
      </c>
      <c r="L2877" s="3">
        <v>1159.86272428747</v>
      </c>
    </row>
    <row r="2878" spans="1:12" ht="15" customHeight="1" x14ac:dyDescent="0.2">
      <c r="A2878" s="2">
        <v>41873</v>
      </c>
      <c r="B2878" s="3">
        <v>44.475000000000001</v>
      </c>
      <c r="C2878" s="1">
        <v>416886</v>
      </c>
      <c r="D2878" s="3">
        <v>-0.125</v>
      </c>
      <c r="E2878" s="3">
        <v>-0.28026905829596699</v>
      </c>
      <c r="F2878" s="3">
        <v>-0.28027117512230398</v>
      </c>
      <c r="G2878" s="3">
        <v>45.814239999999998</v>
      </c>
      <c r="H2878" s="3">
        <v>1176.70102228622</v>
      </c>
      <c r="I2878" s="3">
        <v>44.62</v>
      </c>
      <c r="J2878" s="3">
        <v>44.83</v>
      </c>
      <c r="K2878" s="3">
        <v>44.45</v>
      </c>
      <c r="L2878" s="3">
        <v>1139.3805499377399</v>
      </c>
    </row>
    <row r="2879" spans="1:12" ht="15" customHeight="1" x14ac:dyDescent="0.2">
      <c r="A2879" s="2">
        <v>41872</v>
      </c>
      <c r="B2879" s="3">
        <v>44.6</v>
      </c>
      <c r="C2879" s="1">
        <v>964005</v>
      </c>
      <c r="D2879" s="3">
        <v>0.130000000000002</v>
      </c>
      <c r="E2879" s="3">
        <v>0.29233190915223201</v>
      </c>
      <c r="F2879" s="3">
        <v>0.29233280992921801</v>
      </c>
      <c r="G2879" s="3">
        <v>45.943004999999999</v>
      </c>
      <c r="H2879" s="3">
        <v>1180.28930416396</v>
      </c>
      <c r="I2879" s="3">
        <v>43.53</v>
      </c>
      <c r="J2879" s="3">
        <v>44.607500000000002</v>
      </c>
      <c r="K2879" s="3">
        <v>43.500999999999998</v>
      </c>
      <c r="L2879" s="3">
        <v>1142.86391292239</v>
      </c>
    </row>
    <row r="2880" spans="1:12" ht="15" customHeight="1" x14ac:dyDescent="0.2">
      <c r="A2880" s="2">
        <v>41871</v>
      </c>
      <c r="B2880" s="3">
        <v>44.47</v>
      </c>
      <c r="C2880" s="1">
        <v>974631</v>
      </c>
      <c r="D2880" s="3">
        <v>-0.56999999999999995</v>
      </c>
      <c r="E2880" s="3">
        <v>-1.2655417406749501</v>
      </c>
      <c r="F2880" s="3">
        <v>-1.26554395392473</v>
      </c>
      <c r="G2880" s="3">
        <v>45.809089999999998</v>
      </c>
      <c r="H2880" s="3">
        <v>1176.5575077312501</v>
      </c>
      <c r="I2880" s="3">
        <v>44.4</v>
      </c>
      <c r="J2880" s="3">
        <v>44.7</v>
      </c>
      <c r="K2880" s="3">
        <v>43.88</v>
      </c>
      <c r="L2880" s="3">
        <v>1139.2412154183501</v>
      </c>
    </row>
    <row r="2881" spans="1:12" ht="15" customHeight="1" x14ac:dyDescent="0.2">
      <c r="A2881" s="2">
        <v>41870</v>
      </c>
      <c r="B2881" s="3">
        <v>45.04</v>
      </c>
      <c r="C2881" s="1">
        <v>467564</v>
      </c>
      <c r="D2881" s="3">
        <v>0.36500000000000199</v>
      </c>
      <c r="E2881" s="3">
        <v>0.81701175153889805</v>
      </c>
      <c r="F2881" s="3">
        <v>0.81701182765922997</v>
      </c>
      <c r="G2881" s="3">
        <v>46.396254999999996</v>
      </c>
      <c r="H2881" s="3">
        <v>1192.9199783463</v>
      </c>
      <c r="I2881" s="3">
        <v>44.69</v>
      </c>
      <c r="J2881" s="3">
        <v>45.13</v>
      </c>
      <c r="K2881" s="3">
        <v>44.69</v>
      </c>
      <c r="L2881" s="3">
        <v>1155.1253506283499</v>
      </c>
    </row>
    <row r="2882" spans="1:12" ht="15" customHeight="1" x14ac:dyDescent="0.2">
      <c r="A2882" s="2">
        <v>41869</v>
      </c>
      <c r="B2882" s="3">
        <v>44.674999999999997</v>
      </c>
      <c r="C2882" s="1">
        <v>367764</v>
      </c>
      <c r="D2882" s="3">
        <v>0.51500000000000001</v>
      </c>
      <c r="E2882" s="3">
        <v>1.1662137681159399</v>
      </c>
      <c r="F2882" s="3">
        <v>1.1662186610198</v>
      </c>
      <c r="G2882" s="3">
        <v>46.020263999999997</v>
      </c>
      <c r="H2882" s="3">
        <v>1182.44227329061</v>
      </c>
      <c r="I2882" s="3">
        <v>44.47</v>
      </c>
      <c r="J2882" s="3">
        <v>44.75</v>
      </c>
      <c r="K2882" s="3">
        <v>44.45</v>
      </c>
      <c r="L2882" s="3">
        <v>1144.9539307131699</v>
      </c>
    </row>
    <row r="2883" spans="1:12" ht="15" customHeight="1" x14ac:dyDescent="0.2">
      <c r="A2883" s="2">
        <v>41866</v>
      </c>
      <c r="B2883" s="3">
        <v>44.16</v>
      </c>
      <c r="C2883" s="1">
        <v>732938</v>
      </c>
      <c r="D2883" s="3">
        <v>-0.14000000000000001</v>
      </c>
      <c r="E2883" s="3">
        <v>-0.31602708803611901</v>
      </c>
      <c r="F2883" s="3">
        <v>-0.31602773109593502</v>
      </c>
      <c r="G2883" s="3">
        <v>45.489753999999998</v>
      </c>
      <c r="H2883" s="3">
        <v>1167.65860211473</v>
      </c>
      <c r="I2883" s="3">
        <v>44.54</v>
      </c>
      <c r="J2883" s="3">
        <v>44.54</v>
      </c>
      <c r="K2883" s="3">
        <v>43.88</v>
      </c>
      <c r="L2883" s="3">
        <v>1130.6024752164201</v>
      </c>
    </row>
    <row r="2884" spans="1:12" ht="15" customHeight="1" x14ac:dyDescent="0.2">
      <c r="A2884" s="2">
        <v>41865</v>
      </c>
      <c r="B2884" s="3">
        <v>44.3</v>
      </c>
      <c r="C2884" s="1">
        <v>515034.99999999901</v>
      </c>
      <c r="D2884" s="3">
        <v>0.119999999999997</v>
      </c>
      <c r="E2884" s="3">
        <v>0.271616115889528</v>
      </c>
      <c r="F2884" s="3">
        <v>0.27161509631752301</v>
      </c>
      <c r="G2884" s="3">
        <v>45.633969999999998</v>
      </c>
      <c r="H2884" s="3">
        <v>1171.67745552428</v>
      </c>
      <c r="I2884" s="3">
        <v>44.18</v>
      </c>
      <c r="J2884" s="3">
        <v>44.47</v>
      </c>
      <c r="K2884" s="3">
        <v>43.999899999999997</v>
      </c>
      <c r="L2884" s="3">
        <v>1134.50384175923</v>
      </c>
    </row>
    <row r="2885" spans="1:12" ht="15" customHeight="1" x14ac:dyDescent="0.2">
      <c r="A2885" s="2">
        <v>41864</v>
      </c>
      <c r="B2885" s="3">
        <v>44.18</v>
      </c>
      <c r="C2885" s="1">
        <v>478454</v>
      </c>
      <c r="D2885" s="3">
        <v>0.50999999999999801</v>
      </c>
      <c r="E2885" s="3">
        <v>1.1678497824593399</v>
      </c>
      <c r="F2885" s="3">
        <v>1.16785602986702</v>
      </c>
      <c r="G2885" s="3">
        <v>45.510356999999999</v>
      </c>
      <c r="H2885" s="3">
        <v>1168.2327439353101</v>
      </c>
      <c r="I2885" s="3">
        <v>43.76</v>
      </c>
      <c r="J2885" s="3">
        <v>44.39</v>
      </c>
      <c r="K2885" s="3">
        <v>43.69</v>
      </c>
      <c r="L2885" s="3">
        <v>1131.15981329397</v>
      </c>
    </row>
    <row r="2886" spans="1:12" ht="15" customHeight="1" x14ac:dyDescent="0.2">
      <c r="A2886" s="2">
        <v>41863</v>
      </c>
      <c r="B2886" s="3">
        <v>43.67</v>
      </c>
      <c r="C2886" s="1">
        <v>447293</v>
      </c>
      <c r="D2886" s="3">
        <v>-0.12999999999999501</v>
      </c>
      <c r="E2886" s="3">
        <v>-0.29680365296802502</v>
      </c>
      <c r="F2886" s="3">
        <v>-0.296813425216158</v>
      </c>
      <c r="G2886" s="3">
        <v>44.984997</v>
      </c>
      <c r="H2886" s="3">
        <v>1153.5925873143899</v>
      </c>
      <c r="I2886" s="3">
        <v>43.73</v>
      </c>
      <c r="J2886" s="3">
        <v>43.73</v>
      </c>
      <c r="K2886" s="3">
        <v>43.451999999999998</v>
      </c>
      <c r="L2886" s="3">
        <v>1116.9476923166001</v>
      </c>
    </row>
    <row r="2887" spans="1:12" ht="15" customHeight="1" x14ac:dyDescent="0.2">
      <c r="A2887" s="2">
        <v>41862</v>
      </c>
      <c r="B2887" s="3">
        <v>43.8</v>
      </c>
      <c r="C2887" s="1">
        <v>388726</v>
      </c>
      <c r="D2887" s="3">
        <v>0.34999999999999398</v>
      </c>
      <c r="E2887" s="3">
        <v>0.80552359033370102</v>
      </c>
      <c r="F2887" s="3">
        <v>0.805522952720094</v>
      </c>
      <c r="G2887" s="3">
        <v>45.118915999999999</v>
      </c>
      <c r="H2887" s="3">
        <v>1157.3244952147199</v>
      </c>
      <c r="I2887" s="3">
        <v>43.69</v>
      </c>
      <c r="J2887" s="3">
        <v>43.92</v>
      </c>
      <c r="K2887" s="3">
        <v>43.4</v>
      </c>
      <c r="L2887" s="3">
        <v>1120.57038982064</v>
      </c>
    </row>
    <row r="2888" spans="1:12" ht="15" customHeight="1" x14ac:dyDescent="0.2">
      <c r="A2888" s="2">
        <v>41859</v>
      </c>
      <c r="B2888" s="3">
        <v>43.45</v>
      </c>
      <c r="C2888" s="1">
        <v>534519</v>
      </c>
      <c r="D2888" s="3">
        <v>4.0000000000006197E-2</v>
      </c>
      <c r="E2888" s="3">
        <v>9.2144667127413898E-2</v>
      </c>
      <c r="F2888" s="3">
        <v>9.2150285896885897E-2</v>
      </c>
      <c r="G2888" s="3">
        <v>44.758377000000003</v>
      </c>
      <c r="H2888" s="3">
        <v>1147.27738955774</v>
      </c>
      <c r="I2888" s="3">
        <v>43.39</v>
      </c>
      <c r="J2888" s="3">
        <v>43.66</v>
      </c>
      <c r="K2888" s="3">
        <v>43.31</v>
      </c>
      <c r="L2888" s="3">
        <v>1110.8169734636199</v>
      </c>
    </row>
    <row r="2889" spans="1:12" ht="15" customHeight="1" x14ac:dyDescent="0.2">
      <c r="A2889" s="2">
        <v>41858</v>
      </c>
      <c r="B2889" s="3">
        <v>43.41</v>
      </c>
      <c r="C2889" s="1">
        <v>581621</v>
      </c>
      <c r="D2889" s="3">
        <v>0.15999999999999601</v>
      </c>
      <c r="E2889" s="3">
        <v>0.369942196531791</v>
      </c>
      <c r="F2889" s="3">
        <v>0.36994005681363301</v>
      </c>
      <c r="G2889" s="3">
        <v>44.717170000000003</v>
      </c>
      <c r="H2889" s="3">
        <v>1146.1290780496799</v>
      </c>
      <c r="I2889" s="3">
        <v>43.49</v>
      </c>
      <c r="J2889" s="3">
        <v>43.78</v>
      </c>
      <c r="K2889" s="3">
        <v>43.23</v>
      </c>
      <c r="L2889" s="3">
        <v>1109.70229730854</v>
      </c>
    </row>
    <row r="2890" spans="1:12" ht="15" customHeight="1" x14ac:dyDescent="0.2">
      <c r="A2890" s="2">
        <v>41857</v>
      </c>
      <c r="B2890" s="3">
        <v>43.25</v>
      </c>
      <c r="C2890" s="1">
        <v>457965</v>
      </c>
      <c r="D2890" s="3">
        <v>0.35000000000000098</v>
      </c>
      <c r="E2890" s="3">
        <v>0.81585081585082697</v>
      </c>
      <c r="F2890" s="3">
        <v>0.81585019343173304</v>
      </c>
      <c r="G2890" s="3">
        <v>44.552352999999997</v>
      </c>
      <c r="H2890" s="3">
        <v>1141.5361385533499</v>
      </c>
      <c r="I2890" s="3">
        <v>42.72</v>
      </c>
      <c r="J2890" s="3">
        <v>43.44</v>
      </c>
      <c r="K2890" s="3">
        <v>42.679400000000001</v>
      </c>
      <c r="L2890" s="3">
        <v>1105.2435926881899</v>
      </c>
    </row>
    <row r="2891" spans="1:12" ht="15" customHeight="1" x14ac:dyDescent="0.2">
      <c r="A2891" s="2">
        <v>41856</v>
      </c>
      <c r="B2891" s="3">
        <v>42.9</v>
      </c>
      <c r="C2891" s="1">
        <v>592458</v>
      </c>
      <c r="D2891" s="3">
        <v>-0.23000000000000301</v>
      </c>
      <c r="E2891" s="3">
        <v>-0.53327150475308505</v>
      </c>
      <c r="F2891" s="3">
        <v>-0.53327193163703601</v>
      </c>
      <c r="G2891" s="3">
        <v>44.191814000000001</v>
      </c>
      <c r="H2891" s="3">
        <v>1131.48903289637</v>
      </c>
      <c r="I2891" s="3">
        <v>42.85</v>
      </c>
      <c r="J2891" s="3">
        <v>43.25</v>
      </c>
      <c r="K2891" s="3">
        <v>42.71</v>
      </c>
      <c r="L2891" s="3">
        <v>1095.49017633117</v>
      </c>
    </row>
    <row r="2892" spans="1:12" ht="15" customHeight="1" x14ac:dyDescent="0.2">
      <c r="A2892" s="2">
        <v>41855</v>
      </c>
      <c r="B2892" s="3">
        <v>43.13</v>
      </c>
      <c r="C2892" s="1">
        <v>824772</v>
      </c>
      <c r="D2892" s="3">
        <v>0.24000000000000199</v>
      </c>
      <c r="E2892" s="3">
        <v>0.55957099557006895</v>
      </c>
      <c r="F2892" s="3">
        <v>0.94427722415766302</v>
      </c>
      <c r="G2892" s="3">
        <v>44.428739999999998</v>
      </c>
      <c r="H2892" s="3">
        <v>1138.0914269643799</v>
      </c>
      <c r="I2892" s="3">
        <v>42.8</v>
      </c>
      <c r="J2892" s="3">
        <v>43.22</v>
      </c>
      <c r="K2892" s="3">
        <v>42.54</v>
      </c>
      <c r="L2892" s="3">
        <v>1101.8995642229299</v>
      </c>
    </row>
    <row r="2893" spans="1:12" ht="15" customHeight="1" x14ac:dyDescent="0.2">
      <c r="A2893" s="2">
        <v>41852</v>
      </c>
      <c r="B2893" s="3">
        <v>42.89</v>
      </c>
      <c r="C2893" s="1">
        <v>787999</v>
      </c>
      <c r="D2893" s="3">
        <v>9.9999999999980105E-3</v>
      </c>
      <c r="E2893" s="3">
        <v>2.3320895522394001E-2</v>
      </c>
      <c r="F2893" s="3">
        <v>2.3321205034054701E-2</v>
      </c>
      <c r="G2893" s="3">
        <v>44.013134000000001</v>
      </c>
      <c r="H2893" s="3">
        <v>1126.5097745116</v>
      </c>
      <c r="I2893" s="3">
        <v>42.91</v>
      </c>
      <c r="J2893" s="3">
        <v>43.04</v>
      </c>
      <c r="K2893" s="3">
        <v>42.55</v>
      </c>
      <c r="L2893" s="3">
        <v>1095.2115072924</v>
      </c>
    </row>
    <row r="2894" spans="1:12" ht="15" customHeight="1" x14ac:dyDescent="0.2">
      <c r="A2894" s="2">
        <v>41851</v>
      </c>
      <c r="B2894" s="3">
        <v>42.88</v>
      </c>
      <c r="C2894" s="1">
        <v>681571</v>
      </c>
      <c r="D2894" s="3">
        <v>-0.59999999999999398</v>
      </c>
      <c r="E2894" s="3">
        <v>-1.37994480220789</v>
      </c>
      <c r="F2894" s="3">
        <v>-1.3799451815862001</v>
      </c>
      <c r="G2894" s="3">
        <v>44.002872000000004</v>
      </c>
      <c r="H2894" s="3">
        <v>1126.22380434401</v>
      </c>
      <c r="I2894" s="3">
        <v>42.97</v>
      </c>
      <c r="J2894" s="3">
        <v>43.405000000000001</v>
      </c>
      <c r="K2894" s="3">
        <v>42.87</v>
      </c>
      <c r="L2894" s="3">
        <v>1094.9328382536301</v>
      </c>
    </row>
    <row r="2895" spans="1:12" ht="15" customHeight="1" x14ac:dyDescent="0.2">
      <c r="A2895" s="2">
        <v>41850</v>
      </c>
      <c r="B2895" s="3">
        <v>43.48</v>
      </c>
      <c r="C2895" s="1">
        <v>587811</v>
      </c>
      <c r="D2895" s="3">
        <v>-6.0000000000002197E-2</v>
      </c>
      <c r="E2895" s="3">
        <v>-0.13780431786862801</v>
      </c>
      <c r="F2895" s="3">
        <v>-0.13780837878435401</v>
      </c>
      <c r="G2895" s="3">
        <v>44.618583999999998</v>
      </c>
      <c r="H2895" s="3">
        <v>1143.3817914640399</v>
      </c>
      <c r="I2895" s="3">
        <v>43.78</v>
      </c>
      <c r="J2895" s="3">
        <v>43.84</v>
      </c>
      <c r="K2895" s="3">
        <v>43.14</v>
      </c>
      <c r="L2895" s="3">
        <v>1111.65298057994</v>
      </c>
    </row>
    <row r="2896" spans="1:12" ht="15" customHeight="1" x14ac:dyDescent="0.2">
      <c r="A2896" s="2">
        <v>41849</v>
      </c>
      <c r="B2896" s="3">
        <v>43.54</v>
      </c>
      <c r="C2896" s="1">
        <v>915032</v>
      </c>
      <c r="D2896" s="3">
        <v>0.24000000000000199</v>
      </c>
      <c r="E2896" s="3">
        <v>0.55427251732103</v>
      </c>
      <c r="F2896" s="3">
        <v>0.55427762650428403</v>
      </c>
      <c r="G2896" s="3">
        <v>44.680157000000001</v>
      </c>
      <c r="H2896" s="3">
        <v>1145.09764033647</v>
      </c>
      <c r="I2896" s="3">
        <v>43.44</v>
      </c>
      <c r="J2896" s="3">
        <v>43.8</v>
      </c>
      <c r="K2896" s="3">
        <v>43.4</v>
      </c>
      <c r="L2896" s="3">
        <v>1113.3249948125699</v>
      </c>
    </row>
    <row r="2897" spans="1:12" ht="15" customHeight="1" x14ac:dyDescent="0.2">
      <c r="A2897" s="2">
        <v>41848</v>
      </c>
      <c r="B2897" s="3">
        <v>43.3</v>
      </c>
      <c r="C2897" s="1">
        <v>737772</v>
      </c>
      <c r="D2897" s="3">
        <v>-3.0000000000001099E-2</v>
      </c>
      <c r="E2897" s="3">
        <v>-6.92360950842352E-2</v>
      </c>
      <c r="F2897" s="3">
        <v>-6.9239261195708196E-2</v>
      </c>
      <c r="G2897" s="3">
        <v>44.433869999999999</v>
      </c>
      <c r="H2897" s="3">
        <v>1138.2343841812699</v>
      </c>
      <c r="I2897" s="3">
        <v>43.43</v>
      </c>
      <c r="J2897" s="3">
        <v>43.56</v>
      </c>
      <c r="K2897" s="3">
        <v>43.215000000000003</v>
      </c>
      <c r="L2897" s="3">
        <v>1106.63693788205</v>
      </c>
    </row>
    <row r="2898" spans="1:12" ht="15" customHeight="1" x14ac:dyDescent="0.2">
      <c r="A2898" s="2">
        <v>41845</v>
      </c>
      <c r="B2898" s="3">
        <v>43.33</v>
      </c>
      <c r="C2898" s="1">
        <v>947894</v>
      </c>
      <c r="D2898" s="3">
        <v>-7.9999999999998295E-2</v>
      </c>
      <c r="E2898" s="3">
        <v>-0.18428933425477201</v>
      </c>
      <c r="F2898" s="3">
        <v>-0.18428504885317201</v>
      </c>
      <c r="G2898" s="3">
        <v>44.464657000000003</v>
      </c>
      <c r="H2898" s="3">
        <v>1139.09232255094</v>
      </c>
      <c r="I2898" s="3">
        <v>43.12</v>
      </c>
      <c r="J2898" s="3">
        <v>43.53</v>
      </c>
      <c r="K2898" s="3">
        <v>43.12</v>
      </c>
      <c r="L2898" s="3">
        <v>1107.4729449983599</v>
      </c>
    </row>
    <row r="2899" spans="1:12" ht="15" customHeight="1" x14ac:dyDescent="0.2">
      <c r="A2899" s="2">
        <v>41844</v>
      </c>
      <c r="B2899" s="3">
        <v>43.41</v>
      </c>
      <c r="C2899" s="1">
        <v>2360558</v>
      </c>
      <c r="D2899" s="3">
        <v>-0.55000000000000404</v>
      </c>
      <c r="E2899" s="3">
        <v>-1.2511373976342199</v>
      </c>
      <c r="F2899" s="3">
        <v>-1.25113849340094</v>
      </c>
      <c r="G2899" s="3">
        <v>44.546750000000003</v>
      </c>
      <c r="H2899" s="3">
        <v>1141.38000029093</v>
      </c>
      <c r="I2899" s="3">
        <v>43.47</v>
      </c>
      <c r="J2899" s="3">
        <v>43.98</v>
      </c>
      <c r="K2899" s="3">
        <v>42.71</v>
      </c>
      <c r="L2899" s="3">
        <v>1109.70229730854</v>
      </c>
    </row>
    <row r="2900" spans="1:12" ht="15" customHeight="1" x14ac:dyDescent="0.2">
      <c r="A2900" s="2">
        <v>41843</v>
      </c>
      <c r="B2900" s="3">
        <v>43.96</v>
      </c>
      <c r="C2900" s="1">
        <v>1450914</v>
      </c>
      <c r="D2900" s="3">
        <v>-0.35999999999999899</v>
      </c>
      <c r="E2900" s="3">
        <v>-0.81227436823104704</v>
      </c>
      <c r="F2900" s="3">
        <v>-0.81227416185105605</v>
      </c>
      <c r="G2900" s="3">
        <v>45.111153000000002</v>
      </c>
      <c r="H2900" s="3">
        <v>1157.1081644399201</v>
      </c>
      <c r="I2900" s="3">
        <v>44.35</v>
      </c>
      <c r="J2900" s="3">
        <v>44.52</v>
      </c>
      <c r="K2900" s="3">
        <v>43.7</v>
      </c>
      <c r="L2900" s="3">
        <v>1125.0290944409901</v>
      </c>
    </row>
    <row r="2901" spans="1:12" ht="15" customHeight="1" x14ac:dyDescent="0.2">
      <c r="A2901" s="2">
        <v>41842</v>
      </c>
      <c r="B2901" s="3">
        <v>44.32</v>
      </c>
      <c r="C2901" s="1">
        <v>767592</v>
      </c>
      <c r="D2901" s="3">
        <v>0.380000000000002</v>
      </c>
      <c r="E2901" s="3">
        <v>0.86481565771507896</v>
      </c>
      <c r="F2901" s="3">
        <v>0.86482276826229598</v>
      </c>
      <c r="G2901" s="3">
        <v>45.480580000000003</v>
      </c>
      <c r="H2901" s="3">
        <v>1167.40295113856</v>
      </c>
      <c r="I2901" s="3">
        <v>44.29</v>
      </c>
      <c r="J2901" s="3">
        <v>44.54</v>
      </c>
      <c r="K2901" s="3">
        <v>44</v>
      </c>
      <c r="L2901" s="3">
        <v>1135.06117983677</v>
      </c>
    </row>
    <row r="2902" spans="1:12" ht="15" customHeight="1" x14ac:dyDescent="0.2">
      <c r="A2902" s="2">
        <v>41841</v>
      </c>
      <c r="B2902" s="3">
        <v>43.94</v>
      </c>
      <c r="C2902" s="1">
        <v>567906</v>
      </c>
      <c r="D2902" s="3">
        <v>-0.5</v>
      </c>
      <c r="E2902" s="3">
        <v>-1.12511251125112</v>
      </c>
      <c r="F2902" s="3">
        <v>-1.12511435470615</v>
      </c>
      <c r="G2902" s="3">
        <v>45.090626</v>
      </c>
      <c r="H2902" s="3">
        <v>1156.5361405040301</v>
      </c>
      <c r="I2902" s="3">
        <v>44.18</v>
      </c>
      <c r="J2902" s="3">
        <v>44.42</v>
      </c>
      <c r="K2902" s="3">
        <v>43.85</v>
      </c>
      <c r="L2902" s="3">
        <v>1124.4717563634399</v>
      </c>
    </row>
    <row r="2903" spans="1:12" ht="15" customHeight="1" x14ac:dyDescent="0.2">
      <c r="A2903" s="2">
        <v>41838</v>
      </c>
      <c r="B2903" s="3">
        <v>44.44</v>
      </c>
      <c r="C2903" s="1">
        <v>737074</v>
      </c>
      <c r="D2903" s="3">
        <v>0.37999999999999501</v>
      </c>
      <c r="E2903" s="3">
        <v>0.86246028143439601</v>
      </c>
      <c r="F2903" s="3">
        <v>0.86245849439232602</v>
      </c>
      <c r="G2903" s="3">
        <v>45.603720000000003</v>
      </c>
      <c r="H2903" s="3">
        <v>1170.8344816819899</v>
      </c>
      <c r="I2903" s="3">
        <v>44.05</v>
      </c>
      <c r="J2903" s="3">
        <v>44.86</v>
      </c>
      <c r="K2903" s="3">
        <v>43.93</v>
      </c>
      <c r="L2903" s="3">
        <v>1138.4052083020399</v>
      </c>
    </row>
    <row r="2904" spans="1:12" ht="15" customHeight="1" x14ac:dyDescent="0.2">
      <c r="A2904" s="2">
        <v>41837</v>
      </c>
      <c r="B2904" s="3">
        <v>44.06</v>
      </c>
      <c r="C2904" s="1">
        <v>984518</v>
      </c>
      <c r="D2904" s="3">
        <v>-0.78999999999999904</v>
      </c>
      <c r="E2904" s="3">
        <v>-1.7614269788182799</v>
      </c>
      <c r="F2904" s="3">
        <v>-1.76142440445141</v>
      </c>
      <c r="G2904" s="3">
        <v>45.213769999999997</v>
      </c>
      <c r="H2904" s="3">
        <v>1159.96778251508</v>
      </c>
      <c r="I2904" s="3">
        <v>44.69</v>
      </c>
      <c r="J2904" s="3">
        <v>44.99</v>
      </c>
      <c r="K2904" s="3">
        <v>43.85</v>
      </c>
      <c r="L2904" s="3">
        <v>1127.8157848287101</v>
      </c>
    </row>
    <row r="2905" spans="1:12" ht="15" customHeight="1" x14ac:dyDescent="0.2">
      <c r="A2905" s="2">
        <v>41836</v>
      </c>
      <c r="B2905" s="3">
        <v>44.85</v>
      </c>
      <c r="C2905" s="1">
        <v>1233456</v>
      </c>
      <c r="D2905" s="3">
        <v>-3.0000000000001099E-2</v>
      </c>
      <c r="E2905" s="3">
        <v>-6.6844919786102006E-2</v>
      </c>
      <c r="F2905" s="3">
        <v>-6.6850150658204197E-2</v>
      </c>
      <c r="G2905" s="3">
        <v>46.024456000000001</v>
      </c>
      <c r="H2905" s="3">
        <v>1182.5590913516601</v>
      </c>
      <c r="I2905" s="3">
        <v>45.19</v>
      </c>
      <c r="J2905" s="3">
        <v>45.19</v>
      </c>
      <c r="K2905" s="3">
        <v>44.250100000000003</v>
      </c>
      <c r="L2905" s="3">
        <v>1149.8306388916801</v>
      </c>
    </row>
    <row r="2906" spans="1:12" ht="15" customHeight="1" x14ac:dyDescent="0.2">
      <c r="A2906" s="2">
        <v>41835</v>
      </c>
      <c r="B2906" s="3">
        <v>44.88</v>
      </c>
      <c r="C2906" s="1">
        <v>1369912</v>
      </c>
      <c r="D2906" s="3">
        <v>-1.07</v>
      </c>
      <c r="E2906" s="3">
        <v>-2.3286180631120699</v>
      </c>
      <c r="F2906" s="3">
        <v>-2.32861721573753</v>
      </c>
      <c r="G2906" s="3">
        <v>46.055244000000002</v>
      </c>
      <c r="H2906" s="3">
        <v>1183.4170575882299</v>
      </c>
      <c r="I2906" s="3">
        <v>45.72</v>
      </c>
      <c r="J2906" s="3">
        <v>45.74</v>
      </c>
      <c r="K2906" s="3">
        <v>44.77</v>
      </c>
      <c r="L2906" s="3">
        <v>1150.666646008</v>
      </c>
    </row>
    <row r="2907" spans="1:12" ht="15" customHeight="1" x14ac:dyDescent="0.2">
      <c r="A2907" s="2">
        <v>41834</v>
      </c>
      <c r="B2907" s="3">
        <v>45.95</v>
      </c>
      <c r="C2907" s="1">
        <v>985624</v>
      </c>
      <c r="D2907" s="3">
        <v>5.0000000000004201E-2</v>
      </c>
      <c r="E2907" s="3">
        <v>0.108932461873645</v>
      </c>
      <c r="F2907" s="3">
        <v>0.108929661199841</v>
      </c>
      <c r="G2907" s="3">
        <v>47.153263000000003</v>
      </c>
      <c r="H2907" s="3">
        <v>1214.01544751656</v>
      </c>
      <c r="I2907" s="3">
        <v>46.29</v>
      </c>
      <c r="J2907" s="3">
        <v>46.29</v>
      </c>
      <c r="K2907" s="3">
        <v>45.65</v>
      </c>
      <c r="L2907" s="3">
        <v>1180.4842331565801</v>
      </c>
    </row>
    <row r="2908" spans="1:12" ht="15" customHeight="1" x14ac:dyDescent="0.2">
      <c r="A2908" s="2">
        <v>41831</v>
      </c>
      <c r="B2908" s="3">
        <v>45.9</v>
      </c>
      <c r="C2908" s="1">
        <v>884378</v>
      </c>
      <c r="D2908" s="3">
        <v>-0.440000000000004</v>
      </c>
      <c r="E2908" s="3">
        <v>-0.94950366853691004</v>
      </c>
      <c r="F2908" s="3">
        <v>-0.94950989917037498</v>
      </c>
      <c r="G2908" s="3">
        <v>47.101954999999997</v>
      </c>
      <c r="H2908" s="3">
        <v>1212.5856524124199</v>
      </c>
      <c r="I2908" s="3">
        <v>45.99</v>
      </c>
      <c r="J2908" s="3">
        <v>46.25</v>
      </c>
      <c r="K2908" s="3">
        <v>45.56</v>
      </c>
      <c r="L2908" s="3">
        <v>1179.09088796272</v>
      </c>
    </row>
    <row r="2909" spans="1:12" ht="15" customHeight="1" x14ac:dyDescent="0.2">
      <c r="A2909" s="2">
        <v>41830</v>
      </c>
      <c r="B2909" s="3">
        <v>46.34</v>
      </c>
      <c r="C2909" s="1">
        <v>695953</v>
      </c>
      <c r="D2909" s="3">
        <v>-0.40999999999999598</v>
      </c>
      <c r="E2909" s="3">
        <v>-0.87700534759357296</v>
      </c>
      <c r="F2909" s="3">
        <v>-0.876998232362868</v>
      </c>
      <c r="G2909" s="3">
        <v>47.55348</v>
      </c>
      <c r="H2909" s="3">
        <v>1225.16825618557</v>
      </c>
      <c r="I2909" s="3">
        <v>46.15</v>
      </c>
      <c r="J2909" s="3">
        <v>46.55</v>
      </c>
      <c r="K2909" s="3">
        <v>46</v>
      </c>
      <c r="L2909" s="3">
        <v>1191.3523256686899</v>
      </c>
    </row>
    <row r="2910" spans="1:12" ht="15" customHeight="1" x14ac:dyDescent="0.2">
      <c r="A2910" s="2">
        <v>41829</v>
      </c>
      <c r="B2910" s="3">
        <v>46.75</v>
      </c>
      <c r="C2910" s="1">
        <v>654465</v>
      </c>
      <c r="D2910" s="3">
        <v>0.5</v>
      </c>
      <c r="E2910" s="3">
        <v>1.08108108108107</v>
      </c>
      <c r="F2910" s="3">
        <v>1.08108068246177</v>
      </c>
      <c r="G2910" s="3">
        <v>47.974212999999999</v>
      </c>
      <c r="H2910" s="3">
        <v>1236.8927822545299</v>
      </c>
      <c r="I2910" s="3">
        <v>45.44</v>
      </c>
      <c r="J2910" s="3">
        <v>46.78</v>
      </c>
      <c r="K2910" s="3">
        <v>45.44</v>
      </c>
      <c r="L2910" s="3">
        <v>1202.7777562583301</v>
      </c>
    </row>
    <row r="2911" spans="1:12" ht="15" customHeight="1" x14ac:dyDescent="0.2">
      <c r="A2911" s="2">
        <v>41828</v>
      </c>
      <c r="B2911" s="3">
        <v>46.25</v>
      </c>
      <c r="C2911" s="1">
        <v>625295</v>
      </c>
      <c r="D2911" s="3">
        <v>-0.54999999999999705</v>
      </c>
      <c r="E2911" s="3">
        <v>-1.1752136752136699</v>
      </c>
      <c r="F2911" s="3">
        <v>-1.17520851413998</v>
      </c>
      <c r="G2911" s="3">
        <v>47.461120000000001</v>
      </c>
      <c r="H2911" s="3">
        <v>1222.59446894347</v>
      </c>
      <c r="I2911" s="3">
        <v>46.73</v>
      </c>
      <c r="J2911" s="3">
        <v>46.78</v>
      </c>
      <c r="K2911" s="3">
        <v>46.14</v>
      </c>
      <c r="L2911" s="3">
        <v>1188.8443043197401</v>
      </c>
    </row>
    <row r="2912" spans="1:12" ht="15" customHeight="1" x14ac:dyDescent="0.2">
      <c r="A2912" s="2">
        <v>41827</v>
      </c>
      <c r="B2912" s="3">
        <v>46.8</v>
      </c>
      <c r="C2912" s="1">
        <v>709192</v>
      </c>
      <c r="D2912" s="3">
        <v>-7.0000000000000201E-2</v>
      </c>
      <c r="E2912" s="3">
        <v>-0.14934926392148301</v>
      </c>
      <c r="F2912" s="3">
        <v>-0.149353327225587</v>
      </c>
      <c r="G2912" s="3">
        <v>48.02552</v>
      </c>
      <c r="H2912" s="3">
        <v>1238.3225494917599</v>
      </c>
      <c r="I2912" s="3">
        <v>46.83</v>
      </c>
      <c r="J2912" s="3">
        <v>46.9</v>
      </c>
      <c r="K2912" s="3">
        <v>46.55</v>
      </c>
      <c r="L2912" s="3">
        <v>1204.17110145219</v>
      </c>
    </row>
    <row r="2913" spans="1:12" ht="15" customHeight="1" x14ac:dyDescent="0.2">
      <c r="A2913" s="2">
        <v>41823</v>
      </c>
      <c r="B2913" s="3">
        <v>46.87</v>
      </c>
      <c r="C2913" s="1">
        <v>269903</v>
      </c>
      <c r="D2913" s="3">
        <v>0.32999999999999802</v>
      </c>
      <c r="E2913" s="3">
        <v>0.70906746884400396</v>
      </c>
      <c r="F2913" s="3">
        <v>0.70906852117225105</v>
      </c>
      <c r="G2913" s="3">
        <v>48.097355</v>
      </c>
      <c r="H2913" s="3">
        <v>1240.32436853177</v>
      </c>
      <c r="I2913" s="3">
        <v>46.53</v>
      </c>
      <c r="J2913" s="3">
        <v>47.09</v>
      </c>
      <c r="K2913" s="3">
        <v>46.34</v>
      </c>
      <c r="L2913" s="3">
        <v>1206.1217847235901</v>
      </c>
    </row>
    <row r="2914" spans="1:12" ht="15" customHeight="1" x14ac:dyDescent="0.2">
      <c r="A2914" s="2">
        <v>41822</v>
      </c>
      <c r="B2914" s="3">
        <v>46.54</v>
      </c>
      <c r="C2914" s="1">
        <v>342773</v>
      </c>
      <c r="D2914" s="3">
        <v>-0.310000000000002</v>
      </c>
      <c r="E2914" s="3">
        <v>-0.66168623265742099</v>
      </c>
      <c r="F2914" s="3">
        <v>-0.66168050853937499</v>
      </c>
      <c r="G2914" s="3">
        <v>47.758713</v>
      </c>
      <c r="H2914" s="3">
        <v>1230.887464469</v>
      </c>
      <c r="I2914" s="3">
        <v>46.79</v>
      </c>
      <c r="J2914" s="3">
        <v>46.99</v>
      </c>
      <c r="K2914" s="3">
        <v>46.45</v>
      </c>
      <c r="L2914" s="3">
        <v>1196.9257064441199</v>
      </c>
    </row>
    <row r="2915" spans="1:12" ht="15" customHeight="1" x14ac:dyDescent="0.2">
      <c r="A2915" s="2">
        <v>41821</v>
      </c>
      <c r="B2915" s="3">
        <v>46.85</v>
      </c>
      <c r="C2915" s="1">
        <v>708254</v>
      </c>
      <c r="D2915" s="3">
        <v>0.42999999999999899</v>
      </c>
      <c r="E2915" s="3">
        <v>0.92632485997414804</v>
      </c>
      <c r="F2915" s="3">
        <v>0.92632039461266702</v>
      </c>
      <c r="G2915" s="3">
        <v>48.076827999999999</v>
      </c>
      <c r="H2915" s="3">
        <v>1239.75234459589</v>
      </c>
      <c r="I2915" s="3">
        <v>46.45</v>
      </c>
      <c r="J2915" s="3">
        <v>47.2</v>
      </c>
      <c r="K2915" s="3">
        <v>46.45</v>
      </c>
      <c r="L2915" s="3">
        <v>1205.5644466460501</v>
      </c>
    </row>
    <row r="2916" spans="1:12" ht="15" customHeight="1" x14ac:dyDescent="0.2">
      <c r="A2916" s="2">
        <v>41820</v>
      </c>
      <c r="B2916" s="3">
        <v>46.42</v>
      </c>
      <c r="C2916" s="1">
        <v>601658</v>
      </c>
      <c r="D2916" s="3">
        <v>-0.739999999999994</v>
      </c>
      <c r="E2916" s="3">
        <v>-1.56912637828667</v>
      </c>
      <c r="F2916" s="3">
        <v>-1.56913066342665</v>
      </c>
      <c r="G2916" s="3">
        <v>47.635570000000001</v>
      </c>
      <c r="H2916" s="3">
        <v>1227.45585032485</v>
      </c>
      <c r="I2916" s="3">
        <v>47.03</v>
      </c>
      <c r="J2916" s="3">
        <v>47.08</v>
      </c>
      <c r="K2916" s="3">
        <v>46.26</v>
      </c>
      <c r="L2916" s="3">
        <v>1193.5816779788599</v>
      </c>
    </row>
    <row r="2917" spans="1:12" ht="15" customHeight="1" x14ac:dyDescent="0.2">
      <c r="A2917" s="2">
        <v>41817</v>
      </c>
      <c r="B2917" s="3">
        <v>47.16</v>
      </c>
      <c r="C2917" s="1">
        <v>695395</v>
      </c>
      <c r="D2917" s="3">
        <v>3.9999999999999099E-2</v>
      </c>
      <c r="E2917" s="3">
        <v>8.4889643463492703E-2</v>
      </c>
      <c r="F2917" s="3">
        <v>8.4894910234756205E-2</v>
      </c>
      <c r="G2917" s="3">
        <v>48.394950000000001</v>
      </c>
      <c r="H2917" s="3">
        <v>1248.6174197911</v>
      </c>
      <c r="I2917" s="3">
        <v>46.93</v>
      </c>
      <c r="J2917" s="3">
        <v>47.27</v>
      </c>
      <c r="K2917" s="3">
        <v>46.72</v>
      </c>
      <c r="L2917" s="3">
        <v>1214.2031868479801</v>
      </c>
    </row>
    <row r="2918" spans="1:12" ht="15" customHeight="1" x14ac:dyDescent="0.2">
      <c r="A2918" s="2">
        <v>41816</v>
      </c>
      <c r="B2918" s="3">
        <v>47.12</v>
      </c>
      <c r="C2918" s="1">
        <v>745885</v>
      </c>
      <c r="D2918" s="3">
        <v>1.9999999999996E-2</v>
      </c>
      <c r="E2918" s="3">
        <v>4.2462845010615702E-2</v>
      </c>
      <c r="F2918" s="3">
        <v>4.2459271106598501E-2</v>
      </c>
      <c r="G2918" s="3">
        <v>48.353900000000003</v>
      </c>
      <c r="H2918" s="3">
        <v>1247.47348338695</v>
      </c>
      <c r="I2918" s="3">
        <v>47.02</v>
      </c>
      <c r="J2918" s="3">
        <v>47.15</v>
      </c>
      <c r="K2918" s="3">
        <v>46.74</v>
      </c>
      <c r="L2918" s="3">
        <v>1213.0885106928899</v>
      </c>
    </row>
    <row r="2919" spans="1:12" ht="15" customHeight="1" x14ac:dyDescent="0.2">
      <c r="A2919" s="2">
        <v>41815</v>
      </c>
      <c r="B2919" s="3">
        <v>47.1</v>
      </c>
      <c r="C2919" s="1">
        <v>597493</v>
      </c>
      <c r="D2919" s="3">
        <v>0.5</v>
      </c>
      <c r="E2919" s="3">
        <v>1.0729613733905601</v>
      </c>
      <c r="F2919" s="3">
        <v>1.0729673237811701</v>
      </c>
      <c r="G2919" s="3">
        <v>48.333378000000003</v>
      </c>
      <c r="H2919" s="3">
        <v>1246.9015987855801</v>
      </c>
      <c r="I2919" s="3">
        <v>46.49</v>
      </c>
      <c r="J2919" s="3">
        <v>47.13</v>
      </c>
      <c r="K2919" s="3">
        <v>46.37</v>
      </c>
      <c r="L2919" s="3">
        <v>1212.53117261534</v>
      </c>
    </row>
    <row r="2920" spans="1:12" ht="15" customHeight="1" x14ac:dyDescent="0.2">
      <c r="A2920" s="2">
        <v>41814</v>
      </c>
      <c r="B2920" s="3">
        <v>46.6</v>
      </c>
      <c r="C2920" s="1">
        <v>892223</v>
      </c>
      <c r="D2920" s="3">
        <v>-0.100000000000001</v>
      </c>
      <c r="E2920" s="3">
        <v>-0.21413276231263501</v>
      </c>
      <c r="F2920" s="3">
        <v>-0.21414185972240499</v>
      </c>
      <c r="G2920" s="3">
        <v>47.820281999999999</v>
      </c>
      <c r="H2920" s="3">
        <v>1232.6032018738099</v>
      </c>
      <c r="I2920" s="3">
        <v>46.65</v>
      </c>
      <c r="J2920" s="3">
        <v>47.11</v>
      </c>
      <c r="K2920" s="3">
        <v>46.47</v>
      </c>
      <c r="L2920" s="3">
        <v>1198.59772067675</v>
      </c>
    </row>
    <row r="2921" spans="1:12" ht="15" customHeight="1" x14ac:dyDescent="0.2">
      <c r="A2921" s="2">
        <v>41813</v>
      </c>
      <c r="B2921" s="3">
        <v>46.7</v>
      </c>
      <c r="C2921" s="1">
        <v>628553</v>
      </c>
      <c r="D2921" s="3">
        <v>0.39</v>
      </c>
      <c r="E2921" s="3">
        <v>0.84215072338587005</v>
      </c>
      <c r="F2921" s="3">
        <v>0.84214712238326295</v>
      </c>
      <c r="G2921" s="3">
        <v>47.922905</v>
      </c>
      <c r="H2921" s="3">
        <v>1235.4629871504001</v>
      </c>
      <c r="I2921" s="3">
        <v>46.4</v>
      </c>
      <c r="J2921" s="3">
        <v>46.734999999999999</v>
      </c>
      <c r="K2921" s="3">
        <v>46.14</v>
      </c>
      <c r="L2921" s="3">
        <v>1201.38441106447</v>
      </c>
    </row>
    <row r="2922" spans="1:12" ht="15" customHeight="1" x14ac:dyDescent="0.2">
      <c r="A2922" s="2">
        <v>41810</v>
      </c>
      <c r="B2922" s="3">
        <v>46.31</v>
      </c>
      <c r="C2922" s="1">
        <v>906871</v>
      </c>
      <c r="D2922" s="3">
        <v>6.0000000000002197E-2</v>
      </c>
      <c r="E2922" s="3">
        <v>0.12972972972973201</v>
      </c>
      <c r="F2922" s="3">
        <v>0.12973566574072601</v>
      </c>
      <c r="G2922" s="3">
        <v>47.522694000000001</v>
      </c>
      <c r="H2922" s="3">
        <v>1224.3103456828101</v>
      </c>
      <c r="I2922" s="3">
        <v>46.37</v>
      </c>
      <c r="J2922" s="3">
        <v>46.4</v>
      </c>
      <c r="K2922" s="3">
        <v>45.87</v>
      </c>
      <c r="L2922" s="3">
        <v>1190.51631855237</v>
      </c>
    </row>
    <row r="2923" spans="1:12" ht="15" customHeight="1" x14ac:dyDescent="0.2">
      <c r="A2923" s="2">
        <v>41809</v>
      </c>
      <c r="B2923" s="3">
        <v>46.25</v>
      </c>
      <c r="C2923" s="1">
        <v>767778</v>
      </c>
      <c r="D2923" s="3">
        <v>0.19500000000000001</v>
      </c>
      <c r="E2923" s="3">
        <v>0.42340679622190303</v>
      </c>
      <c r="F2923" s="3">
        <v>0.42340819059465401</v>
      </c>
      <c r="G2923" s="3">
        <v>47.461120000000001</v>
      </c>
      <c r="H2923" s="3">
        <v>1222.59446894347</v>
      </c>
      <c r="I2923" s="3">
        <v>46.2</v>
      </c>
      <c r="J2923" s="3">
        <v>46.63</v>
      </c>
      <c r="K2923" s="3">
        <v>46.12</v>
      </c>
      <c r="L2923" s="3">
        <v>1188.8443043197401</v>
      </c>
    </row>
    <row r="2924" spans="1:12" ht="15" customHeight="1" x14ac:dyDescent="0.2">
      <c r="A2924" s="2">
        <v>41808</v>
      </c>
      <c r="B2924" s="3">
        <v>46.055</v>
      </c>
      <c r="C2924" s="1">
        <v>829102</v>
      </c>
      <c r="D2924" s="3">
        <v>-0.25</v>
      </c>
      <c r="E2924" s="3">
        <v>-0.53989849908216903</v>
      </c>
      <c r="F2924" s="3">
        <v>-0.53989935510158005</v>
      </c>
      <c r="G2924" s="3">
        <v>47.261012999999998</v>
      </c>
      <c r="H2924" s="3">
        <v>1217.0181064093199</v>
      </c>
      <c r="I2924" s="3">
        <v>46.3</v>
      </c>
      <c r="J2924" s="3">
        <v>46.46</v>
      </c>
      <c r="K2924" s="3">
        <v>45.6</v>
      </c>
      <c r="L2924" s="3">
        <v>1183.41025806369</v>
      </c>
    </row>
    <row r="2925" spans="1:12" ht="15" customHeight="1" x14ac:dyDescent="0.2">
      <c r="A2925" s="2">
        <v>41807</v>
      </c>
      <c r="B2925" s="3">
        <v>46.305</v>
      </c>
      <c r="C2925" s="1">
        <v>1151021</v>
      </c>
      <c r="D2925" s="3">
        <v>-0.375</v>
      </c>
      <c r="E2925" s="3">
        <v>-0.80334190231362501</v>
      </c>
      <c r="F2925" s="3">
        <v>-0.80333798877374396</v>
      </c>
      <c r="G2925" s="3">
        <v>47.517560000000003</v>
      </c>
      <c r="H2925" s="3">
        <v>1224.1672769982999</v>
      </c>
      <c r="I2925" s="3">
        <v>46.33</v>
      </c>
      <c r="J2925" s="3">
        <v>46.84</v>
      </c>
      <c r="K2925" s="3">
        <v>46.19</v>
      </c>
      <c r="L2925" s="3">
        <v>1190.3769840329801</v>
      </c>
    </row>
    <row r="2926" spans="1:12" ht="15" customHeight="1" x14ac:dyDescent="0.2">
      <c r="A2926" s="2">
        <v>41806</v>
      </c>
      <c r="B2926" s="3">
        <v>46.68</v>
      </c>
      <c r="C2926" s="1">
        <v>762811</v>
      </c>
      <c r="D2926" s="3">
        <v>4.9999999999997102E-2</v>
      </c>
      <c r="E2926" s="3">
        <v>0.10722710701265201</v>
      </c>
      <c r="F2926" s="3">
        <v>0.107224352558876</v>
      </c>
      <c r="G2926" s="3">
        <v>47.902377999999999</v>
      </c>
      <c r="H2926" s="3">
        <v>1234.8909632145101</v>
      </c>
      <c r="I2926" s="3">
        <v>46.5</v>
      </c>
      <c r="J2926" s="3">
        <v>46.8</v>
      </c>
      <c r="K2926" s="3">
        <v>46.5</v>
      </c>
      <c r="L2926" s="3">
        <v>1200.82707298693</v>
      </c>
    </row>
    <row r="2927" spans="1:12" ht="15" customHeight="1" x14ac:dyDescent="0.2">
      <c r="A2927" s="2">
        <v>41803</v>
      </c>
      <c r="B2927" s="3">
        <v>46.63</v>
      </c>
      <c r="C2927" s="1">
        <v>648597</v>
      </c>
      <c r="D2927" s="3">
        <v>0.47000000000000502</v>
      </c>
      <c r="E2927" s="3">
        <v>1.01819757365686</v>
      </c>
      <c r="F2927" s="3">
        <v>1.0181963164205901</v>
      </c>
      <c r="G2927" s="3">
        <v>47.85107</v>
      </c>
      <c r="H2927" s="3">
        <v>1233.46116811038</v>
      </c>
      <c r="I2927" s="3">
        <v>46.3</v>
      </c>
      <c r="J2927" s="3">
        <v>46.69</v>
      </c>
      <c r="K2927" s="3">
        <v>46.01</v>
      </c>
      <c r="L2927" s="3">
        <v>1199.4337277930699</v>
      </c>
    </row>
    <row r="2928" spans="1:12" ht="15" customHeight="1" x14ac:dyDescent="0.2">
      <c r="A2928" s="2">
        <v>41802</v>
      </c>
      <c r="B2928" s="3">
        <v>46.16</v>
      </c>
      <c r="C2928" s="1">
        <v>483734</v>
      </c>
      <c r="D2928" s="3">
        <v>-0.130000000000002</v>
      </c>
      <c r="E2928" s="3">
        <v>-0.28083819399439203</v>
      </c>
      <c r="F2928" s="3">
        <v>-0.28083771420364101</v>
      </c>
      <c r="G2928" s="3">
        <v>47.368763000000001</v>
      </c>
      <c r="H2928" s="3">
        <v>1220.02076530209</v>
      </c>
      <c r="I2928" s="3">
        <v>46.18</v>
      </c>
      <c r="J2928" s="3">
        <v>46.45</v>
      </c>
      <c r="K2928" s="3">
        <v>45.99</v>
      </c>
      <c r="L2928" s="3">
        <v>1186.3362829707901</v>
      </c>
    </row>
    <row r="2929" spans="1:12" ht="15" customHeight="1" x14ac:dyDescent="0.2">
      <c r="A2929" s="2">
        <v>41801</v>
      </c>
      <c r="B2929" s="3">
        <v>46.29</v>
      </c>
      <c r="C2929" s="1">
        <v>303001</v>
      </c>
      <c r="D2929" s="3">
        <v>-0.14000000000000001</v>
      </c>
      <c r="E2929" s="3">
        <v>-0.30152918371742998</v>
      </c>
      <c r="F2929" s="3">
        <v>-0.301526899561743</v>
      </c>
      <c r="G2929" s="3">
        <v>47.502167</v>
      </c>
      <c r="H2929" s="3">
        <v>1223.7383217469201</v>
      </c>
      <c r="I2929" s="3">
        <v>46.24</v>
      </c>
      <c r="J2929" s="3">
        <v>46.58</v>
      </c>
      <c r="K2929" s="3">
        <v>46.11</v>
      </c>
      <c r="L2929" s="3">
        <v>1189.95898047483</v>
      </c>
    </row>
    <row r="2930" spans="1:12" ht="15" customHeight="1" x14ac:dyDescent="0.2">
      <c r="A2930" s="2">
        <v>41800</v>
      </c>
      <c r="B2930" s="3">
        <v>46.43</v>
      </c>
      <c r="C2930" s="1">
        <v>336293</v>
      </c>
      <c r="D2930" s="3">
        <v>-0.53999999999999904</v>
      </c>
      <c r="E2930" s="3">
        <v>-1.14967000212902</v>
      </c>
      <c r="F2930" s="3">
        <v>-1.1496728193255801</v>
      </c>
      <c r="G2930" s="3">
        <v>47.645831999999999</v>
      </c>
      <c r="H2930" s="3">
        <v>1227.74182049244</v>
      </c>
      <c r="I2930" s="3">
        <v>46.83</v>
      </c>
      <c r="J2930" s="3">
        <v>46.83</v>
      </c>
      <c r="K2930" s="3">
        <v>46.3</v>
      </c>
      <c r="L2930" s="3">
        <v>1193.8603470176299</v>
      </c>
    </row>
    <row r="2931" spans="1:12" ht="15" customHeight="1" x14ac:dyDescent="0.2">
      <c r="A2931" s="2">
        <v>41799</v>
      </c>
      <c r="B2931" s="3">
        <v>46.97</v>
      </c>
      <c r="C2931" s="1">
        <v>263197</v>
      </c>
      <c r="D2931" s="3"/>
      <c r="E2931" s="3"/>
      <c r="F2931" s="3"/>
      <c r="G2931" s="3">
        <v>48.199973999999997</v>
      </c>
      <c r="H2931" s="3">
        <v>1243.18404234075</v>
      </c>
      <c r="I2931" s="3">
        <v>46.9</v>
      </c>
      <c r="J2931" s="3">
        <v>47.18</v>
      </c>
      <c r="K2931" s="3">
        <v>46.74</v>
      </c>
      <c r="L2931" s="3">
        <v>1208.9084751113101</v>
      </c>
    </row>
    <row r="2932" spans="1:12" ht="15" customHeight="1" x14ac:dyDescent="0.2">
      <c r="A2932" s="2">
        <v>41796</v>
      </c>
      <c r="B2932" s="3">
        <v>46.97</v>
      </c>
      <c r="C2932" s="1">
        <v>500615</v>
      </c>
      <c r="D2932" s="3">
        <v>0.26999999999999602</v>
      </c>
      <c r="E2932" s="3">
        <v>0.57815845824409295</v>
      </c>
      <c r="F2932" s="3">
        <v>0.57815568567889297</v>
      </c>
      <c r="G2932" s="3">
        <v>48.199973999999997</v>
      </c>
      <c r="H2932" s="3">
        <v>1243.18404234075</v>
      </c>
      <c r="I2932" s="3">
        <v>47.01</v>
      </c>
      <c r="J2932" s="3">
        <v>47.17</v>
      </c>
      <c r="K2932" s="3">
        <v>46.72</v>
      </c>
      <c r="L2932" s="3">
        <v>1208.9084751113101</v>
      </c>
    </row>
    <row r="2933" spans="1:12" ht="15" customHeight="1" x14ac:dyDescent="0.2">
      <c r="A2933" s="2">
        <v>41795</v>
      </c>
      <c r="B2933" s="3">
        <v>46.7</v>
      </c>
      <c r="C2933" s="1">
        <v>497009</v>
      </c>
      <c r="D2933" s="3">
        <v>0.80000000000000404</v>
      </c>
      <c r="E2933" s="3">
        <v>1.7429193899782101</v>
      </c>
      <c r="F2933" s="3">
        <v>1.74292128638822</v>
      </c>
      <c r="G2933" s="3">
        <v>47.922905</v>
      </c>
      <c r="H2933" s="3">
        <v>1235.4629871504001</v>
      </c>
      <c r="I2933" s="3">
        <v>45.9</v>
      </c>
      <c r="J2933" s="3">
        <v>46.71</v>
      </c>
      <c r="K2933" s="3">
        <v>45.65</v>
      </c>
      <c r="L2933" s="3">
        <v>1201.38441106447</v>
      </c>
    </row>
    <row r="2934" spans="1:12" ht="15" customHeight="1" x14ac:dyDescent="0.2">
      <c r="A2934" s="2">
        <v>41794</v>
      </c>
      <c r="B2934" s="3">
        <v>45.9</v>
      </c>
      <c r="C2934" s="1">
        <v>375144</v>
      </c>
      <c r="D2934" s="3">
        <v>0.17000000000000101</v>
      </c>
      <c r="E2934" s="3">
        <v>0.37174721189592302</v>
      </c>
      <c r="F2934" s="3">
        <v>0.37175430184859198</v>
      </c>
      <c r="G2934" s="3">
        <v>47.101954999999997</v>
      </c>
      <c r="H2934" s="3">
        <v>1212.5856524124199</v>
      </c>
      <c r="I2934" s="3">
        <v>45.6</v>
      </c>
      <c r="J2934" s="3">
        <v>45.95</v>
      </c>
      <c r="K2934" s="3">
        <v>45.45</v>
      </c>
      <c r="L2934" s="3">
        <v>1179.09088796272</v>
      </c>
    </row>
    <row r="2935" spans="1:12" ht="15" customHeight="1" x14ac:dyDescent="0.2">
      <c r="A2935" s="2">
        <v>41793</v>
      </c>
      <c r="B2935" s="3">
        <v>45.73</v>
      </c>
      <c r="C2935" s="1">
        <v>724631</v>
      </c>
      <c r="D2935" s="3"/>
      <c r="E2935" s="3"/>
      <c r="F2935" s="3"/>
      <c r="G2935" s="3">
        <v>46.927500000000002</v>
      </c>
      <c r="H2935" s="3">
        <v>1207.7241316965301</v>
      </c>
      <c r="I2935" s="3">
        <v>45.37</v>
      </c>
      <c r="J2935" s="3">
        <v>45.92</v>
      </c>
      <c r="K2935" s="3">
        <v>45.37</v>
      </c>
      <c r="L2935" s="3">
        <v>1174.3535143035999</v>
      </c>
    </row>
    <row r="2936" spans="1:12" ht="15" customHeight="1" x14ac:dyDescent="0.2">
      <c r="A2936" s="2">
        <v>41792</v>
      </c>
      <c r="B2936" s="3">
        <v>45.73</v>
      </c>
      <c r="C2936" s="1">
        <v>572908</v>
      </c>
      <c r="D2936" s="3">
        <v>-0.14000000000000001</v>
      </c>
      <c r="E2936" s="3">
        <v>-0.30521037715282001</v>
      </c>
      <c r="F2936" s="3">
        <v>-0.30521231819045003</v>
      </c>
      <c r="G2936" s="3">
        <v>46.927500000000002</v>
      </c>
      <c r="H2936" s="3">
        <v>1207.7241316965301</v>
      </c>
      <c r="I2936" s="3">
        <v>46.09</v>
      </c>
      <c r="J2936" s="3">
        <v>46.09</v>
      </c>
      <c r="K2936" s="3">
        <v>45.44</v>
      </c>
      <c r="L2936" s="3">
        <v>1174.3535143035999</v>
      </c>
    </row>
    <row r="2937" spans="1:12" ht="15" customHeight="1" x14ac:dyDescent="0.2">
      <c r="A2937" s="2">
        <v>41789</v>
      </c>
      <c r="B2937" s="3">
        <v>45.87</v>
      </c>
      <c r="C2937" s="1">
        <v>600699</v>
      </c>
      <c r="D2937" s="3">
        <v>-2.0000000000003099E-2</v>
      </c>
      <c r="E2937" s="3">
        <v>-4.3582479843107202E-2</v>
      </c>
      <c r="F2937" s="3">
        <v>-4.3580937528464501E-2</v>
      </c>
      <c r="G2937" s="3">
        <v>47.071167000000003</v>
      </c>
      <c r="H2937" s="3">
        <v>1211.7276861758501</v>
      </c>
      <c r="I2937" s="3">
        <v>46.01</v>
      </c>
      <c r="J2937" s="3">
        <v>46.01</v>
      </c>
      <c r="K2937" s="3">
        <v>45.71</v>
      </c>
      <c r="L2937" s="3">
        <v>1178.2548808464101</v>
      </c>
    </row>
    <row r="2938" spans="1:12" ht="15" customHeight="1" x14ac:dyDescent="0.2">
      <c r="A2938" s="2">
        <v>41788</v>
      </c>
      <c r="B2938" s="3">
        <v>45.89</v>
      </c>
      <c r="C2938" s="1">
        <v>509290</v>
      </c>
      <c r="D2938" s="3">
        <v>-0.46999999999999797</v>
      </c>
      <c r="E2938" s="3">
        <v>-1.0138050043140601</v>
      </c>
      <c r="F2938" s="3">
        <v>-1.0138100643208401</v>
      </c>
      <c r="G2938" s="3">
        <v>47.09169</v>
      </c>
      <c r="H2938" s="3">
        <v>1212.2995986441299</v>
      </c>
      <c r="I2938" s="3">
        <v>46.54</v>
      </c>
      <c r="J2938" s="3">
        <v>46.68</v>
      </c>
      <c r="K2938" s="3">
        <v>45.78</v>
      </c>
      <c r="L2938" s="3">
        <v>1178.81221892395</v>
      </c>
    </row>
    <row r="2939" spans="1:12" ht="15" customHeight="1" x14ac:dyDescent="0.2">
      <c r="A2939" s="2">
        <v>41787</v>
      </c>
      <c r="B2939" s="3">
        <v>46.36</v>
      </c>
      <c r="C2939" s="1">
        <v>745462</v>
      </c>
      <c r="D2939" s="3">
        <v>0.25999999999999801</v>
      </c>
      <c r="E2939" s="3">
        <v>0.56399132321041101</v>
      </c>
      <c r="F2939" s="3">
        <v>0.56399460631670895</v>
      </c>
      <c r="G2939" s="3">
        <v>47.573999999999998</v>
      </c>
      <c r="H2939" s="3">
        <v>1225.7400850531301</v>
      </c>
      <c r="I2939" s="3">
        <v>46.04</v>
      </c>
      <c r="J2939" s="3">
        <v>46.61</v>
      </c>
      <c r="K2939" s="3">
        <v>46.04</v>
      </c>
      <c r="L2939" s="3">
        <v>1191.9096637462301</v>
      </c>
    </row>
    <row r="2940" spans="1:12" ht="15" customHeight="1" x14ac:dyDescent="0.2">
      <c r="A2940" s="2">
        <v>41786</v>
      </c>
      <c r="B2940" s="3">
        <v>46.1</v>
      </c>
      <c r="C2940" s="1">
        <v>581266</v>
      </c>
      <c r="D2940" s="3">
        <v>0.57999999999999796</v>
      </c>
      <c r="E2940" s="3">
        <v>1.27416520210896</v>
      </c>
      <c r="F2940" s="3">
        <v>1.2741563699918801</v>
      </c>
      <c r="G2940" s="3">
        <v>47.307189999999999</v>
      </c>
      <c r="H2940" s="3">
        <v>1218.3049164296599</v>
      </c>
      <c r="I2940" s="3">
        <v>45.85</v>
      </c>
      <c r="J2940" s="3">
        <v>46.3</v>
      </c>
      <c r="K2940" s="3">
        <v>45.6</v>
      </c>
      <c r="L2940" s="3">
        <v>1184.66426873816</v>
      </c>
    </row>
    <row r="2941" spans="1:12" ht="15" customHeight="1" x14ac:dyDescent="0.2">
      <c r="A2941" s="2">
        <v>41782</v>
      </c>
      <c r="B2941" s="3">
        <v>45.52</v>
      </c>
      <c r="C2941" s="1">
        <v>489052</v>
      </c>
      <c r="D2941" s="3">
        <v>0.45000000000000201</v>
      </c>
      <c r="E2941" s="3">
        <v>0.99844686043932795</v>
      </c>
      <c r="F2941" s="3">
        <v>0.99845801804563306</v>
      </c>
      <c r="G2941" s="3">
        <v>46.712006000000002</v>
      </c>
      <c r="H2941" s="3">
        <v>1201.7189811124199</v>
      </c>
      <c r="I2941" s="3">
        <v>44.99</v>
      </c>
      <c r="J2941" s="3">
        <v>45.58</v>
      </c>
      <c r="K2941" s="3">
        <v>44.98</v>
      </c>
      <c r="L2941" s="3">
        <v>1168.5014644893899</v>
      </c>
    </row>
    <row r="2942" spans="1:12" ht="15" customHeight="1" x14ac:dyDescent="0.2">
      <c r="A2942" s="2">
        <v>41781</v>
      </c>
      <c r="B2942" s="3">
        <v>45.07</v>
      </c>
      <c r="C2942" s="1">
        <v>432279</v>
      </c>
      <c r="D2942" s="3">
        <v>0.619999999999997</v>
      </c>
      <c r="E2942" s="3">
        <v>1.39482564679414</v>
      </c>
      <c r="F2942" s="3">
        <v>1.3948222850874401</v>
      </c>
      <c r="G2942" s="3">
        <v>46.250216999999999</v>
      </c>
      <c r="H2942" s="3">
        <v>1188.8503514378799</v>
      </c>
      <c r="I2942" s="3">
        <v>44.52</v>
      </c>
      <c r="J2942" s="3">
        <v>45.91</v>
      </c>
      <c r="K2942" s="3">
        <v>44.47</v>
      </c>
      <c r="L2942" s="3">
        <v>1155.9613577446601</v>
      </c>
    </row>
    <row r="2943" spans="1:12" ht="15" customHeight="1" x14ac:dyDescent="0.2">
      <c r="A2943" s="2">
        <v>41780</v>
      </c>
      <c r="B2943" s="3">
        <v>44.45</v>
      </c>
      <c r="C2943" s="1">
        <v>438871</v>
      </c>
      <c r="D2943" s="3">
        <v>0.23000000000000301</v>
      </c>
      <c r="E2943" s="3">
        <v>0.52012663952962701</v>
      </c>
      <c r="F2943" s="3">
        <v>0.52011809079843796</v>
      </c>
      <c r="G2943" s="3">
        <v>45.613982999999998</v>
      </c>
      <c r="H2943" s="3">
        <v>1171.1204797164801</v>
      </c>
      <c r="I2943" s="3">
        <v>44.39</v>
      </c>
      <c r="J2943" s="3">
        <v>44.65</v>
      </c>
      <c r="K2943" s="3">
        <v>43.87</v>
      </c>
      <c r="L2943" s="3">
        <v>1138.6838773408101</v>
      </c>
    </row>
    <row r="2944" spans="1:12" ht="15" customHeight="1" x14ac:dyDescent="0.2">
      <c r="A2944" s="2">
        <v>41779</v>
      </c>
      <c r="B2944" s="3">
        <v>44.22</v>
      </c>
      <c r="C2944" s="1">
        <v>587471</v>
      </c>
      <c r="D2944" s="3">
        <v>-0.20000000000000201</v>
      </c>
      <c r="E2944" s="3">
        <v>-0.45024763619991798</v>
      </c>
      <c r="F2944" s="3">
        <v>-0.45023390747402903</v>
      </c>
      <c r="G2944" s="3">
        <v>45.377963999999999</v>
      </c>
      <c r="H2944" s="3">
        <v>1164.5433609303</v>
      </c>
      <c r="I2944" s="3">
        <v>44.4</v>
      </c>
      <c r="J2944" s="3">
        <v>44.54</v>
      </c>
      <c r="K2944" s="3">
        <v>43.81</v>
      </c>
      <c r="L2944" s="3">
        <v>1132.27448944906</v>
      </c>
    </row>
    <row r="2945" spans="1:12" ht="15" customHeight="1" x14ac:dyDescent="0.2">
      <c r="A2945" s="2">
        <v>41778</v>
      </c>
      <c r="B2945" s="3">
        <v>44.42</v>
      </c>
      <c r="C2945" s="1">
        <v>265130</v>
      </c>
      <c r="D2945" s="3"/>
      <c r="E2945" s="3"/>
      <c r="F2945" s="3"/>
      <c r="G2945" s="3">
        <v>45.583195000000003</v>
      </c>
      <c r="H2945" s="3">
        <v>1170.26251347991</v>
      </c>
      <c r="I2945" s="3">
        <v>44.27</v>
      </c>
      <c r="J2945" s="3">
        <v>44.55</v>
      </c>
      <c r="K2945" s="3">
        <v>44.09</v>
      </c>
      <c r="L2945" s="3">
        <v>1137.84787022449</v>
      </c>
    </row>
    <row r="2946" spans="1:12" ht="15" customHeight="1" x14ac:dyDescent="0.2">
      <c r="A2946" s="2">
        <v>41775</v>
      </c>
      <c r="B2946" s="3">
        <v>44.42</v>
      </c>
      <c r="C2946" s="1">
        <v>442171</v>
      </c>
      <c r="D2946" s="3">
        <v>0.149999999999998</v>
      </c>
      <c r="E2946" s="3">
        <v>0.33882990738649499</v>
      </c>
      <c r="F2946" s="3">
        <v>0.33882340614321799</v>
      </c>
      <c r="G2946" s="3">
        <v>45.583195000000003</v>
      </c>
      <c r="H2946" s="3">
        <v>1170.26251347991</v>
      </c>
      <c r="I2946" s="3">
        <v>44.18</v>
      </c>
      <c r="J2946" s="3">
        <v>44.56</v>
      </c>
      <c r="K2946" s="3">
        <v>43.7</v>
      </c>
      <c r="L2946" s="3">
        <v>1137.84787022449</v>
      </c>
    </row>
    <row r="2947" spans="1:12" ht="15" customHeight="1" x14ac:dyDescent="0.2">
      <c r="A2947" s="2">
        <v>41774</v>
      </c>
      <c r="B2947" s="3">
        <v>44.27</v>
      </c>
      <c r="C2947" s="1">
        <v>1056758</v>
      </c>
      <c r="D2947" s="3">
        <v>-0.25</v>
      </c>
      <c r="E2947" s="3">
        <v>-0.56154537286612305</v>
      </c>
      <c r="F2947" s="3">
        <v>-0.56154844376431401</v>
      </c>
      <c r="G2947" s="3">
        <v>45.429270000000002</v>
      </c>
      <c r="H2947" s="3">
        <v>1165.97310030062</v>
      </c>
      <c r="I2947" s="3">
        <v>44.24</v>
      </c>
      <c r="J2947" s="3">
        <v>44.32</v>
      </c>
      <c r="K2947" s="3">
        <v>43.58</v>
      </c>
      <c r="L2947" s="3">
        <v>1133.6678346429101</v>
      </c>
    </row>
    <row r="2948" spans="1:12" ht="15" customHeight="1" x14ac:dyDescent="0.2">
      <c r="A2948" s="2">
        <v>41773</v>
      </c>
      <c r="B2948" s="3">
        <v>44.52</v>
      </c>
      <c r="C2948" s="1">
        <v>1264855</v>
      </c>
      <c r="D2948" s="3">
        <v>-0.19999999999999499</v>
      </c>
      <c r="E2948" s="3">
        <v>-0.44722719141322398</v>
      </c>
      <c r="F2948" s="3">
        <v>-0.44722875847529298</v>
      </c>
      <c r="G2948" s="3">
        <v>45.685817999999998</v>
      </c>
      <c r="H2948" s="3">
        <v>1173.1222987565</v>
      </c>
      <c r="I2948" s="3">
        <v>44.77</v>
      </c>
      <c r="J2948" s="3">
        <v>45.03</v>
      </c>
      <c r="K2948" s="3">
        <v>44.42</v>
      </c>
      <c r="L2948" s="3">
        <v>1140.63456061221</v>
      </c>
    </row>
    <row r="2949" spans="1:12" ht="15" customHeight="1" x14ac:dyDescent="0.2">
      <c r="A2949" s="2">
        <v>41772</v>
      </c>
      <c r="B2949" s="3">
        <v>44.72</v>
      </c>
      <c r="C2949" s="1">
        <v>559539</v>
      </c>
      <c r="D2949" s="3">
        <v>-0.17000000000000101</v>
      </c>
      <c r="E2949" s="3">
        <v>-0.37870349743818199</v>
      </c>
      <c r="F2949" s="3">
        <v>-0.37869984538974</v>
      </c>
      <c r="G2949" s="3">
        <v>45.891055999999999</v>
      </c>
      <c r="H2949" s="3">
        <v>1178.84164637445</v>
      </c>
      <c r="I2949" s="3">
        <v>44.83</v>
      </c>
      <c r="J2949" s="3">
        <v>45.01</v>
      </c>
      <c r="K2949" s="3">
        <v>44.395000000000003</v>
      </c>
      <c r="L2949" s="3">
        <v>1146.20794138765</v>
      </c>
    </row>
    <row r="2950" spans="1:12" ht="15" customHeight="1" x14ac:dyDescent="0.2">
      <c r="A2950" s="2">
        <v>41771</v>
      </c>
      <c r="B2950" s="3">
        <v>44.89</v>
      </c>
      <c r="C2950" s="1">
        <v>764294</v>
      </c>
      <c r="D2950" s="3">
        <v>0.98000000000000398</v>
      </c>
      <c r="E2950" s="3">
        <v>2.23183785014804</v>
      </c>
      <c r="F2950" s="3">
        <v>2.2318341308098</v>
      </c>
      <c r="G2950" s="3">
        <v>46.065505999999999</v>
      </c>
      <c r="H2950" s="3">
        <v>1183.7030277558199</v>
      </c>
      <c r="I2950" s="3">
        <v>44.27</v>
      </c>
      <c r="J2950" s="3">
        <v>45.04</v>
      </c>
      <c r="K2950" s="3">
        <v>44.07</v>
      </c>
      <c r="L2950" s="3">
        <v>1150.94531504677</v>
      </c>
    </row>
    <row r="2951" spans="1:12" ht="15" customHeight="1" x14ac:dyDescent="0.2">
      <c r="A2951" s="2">
        <v>41768</v>
      </c>
      <c r="B2951" s="3">
        <v>43.91</v>
      </c>
      <c r="C2951" s="1">
        <v>657245</v>
      </c>
      <c r="D2951" s="3">
        <v>-0.220000000000005</v>
      </c>
      <c r="E2951" s="3">
        <v>-0.49852707908453198</v>
      </c>
      <c r="F2951" s="3">
        <v>-0.498527059569431</v>
      </c>
      <c r="G2951" s="3">
        <v>45.059845000000003</v>
      </c>
      <c r="H2951" s="3">
        <v>1155.67836933579</v>
      </c>
      <c r="I2951" s="3">
        <v>44.02</v>
      </c>
      <c r="J2951" s="3">
        <v>44.32</v>
      </c>
      <c r="K2951" s="3">
        <v>43.73</v>
      </c>
      <c r="L2951" s="3">
        <v>1123.63574924713</v>
      </c>
    </row>
    <row r="2952" spans="1:12" ht="15" customHeight="1" x14ac:dyDescent="0.2">
      <c r="A2952" s="2">
        <v>41767</v>
      </c>
      <c r="B2952" s="3">
        <v>44.13</v>
      </c>
      <c r="C2952" s="1">
        <v>477202</v>
      </c>
      <c r="D2952" s="3">
        <v>-0.26999999999999602</v>
      </c>
      <c r="E2952" s="3">
        <v>-0.60810810810809601</v>
      </c>
      <c r="F2952" s="3">
        <v>-0.60810520892374798</v>
      </c>
      <c r="G2952" s="3">
        <v>45.285606000000001</v>
      </c>
      <c r="H2952" s="3">
        <v>1161.96962942201</v>
      </c>
      <c r="I2952" s="3">
        <v>44.4</v>
      </c>
      <c r="J2952" s="3">
        <v>44.92</v>
      </c>
      <c r="K2952" s="3">
        <v>43.936</v>
      </c>
      <c r="L2952" s="3">
        <v>1129.7664681001099</v>
      </c>
    </row>
    <row r="2953" spans="1:12" ht="15" customHeight="1" x14ac:dyDescent="0.2">
      <c r="A2953" s="2">
        <v>41766</v>
      </c>
      <c r="B2953" s="3">
        <v>44.4</v>
      </c>
      <c r="C2953" s="1">
        <v>640137</v>
      </c>
      <c r="D2953" s="3">
        <v>-7.0000000000000201E-2</v>
      </c>
      <c r="E2953" s="3">
        <v>-0.157409489543514</v>
      </c>
      <c r="F2953" s="3">
        <v>-0.15741376427620399</v>
      </c>
      <c r="G2953" s="3">
        <v>45.562674999999999</v>
      </c>
      <c r="H2953" s="3">
        <v>1169.69068461235</v>
      </c>
      <c r="I2953" s="3">
        <v>44.48</v>
      </c>
      <c r="J2953" s="3">
        <v>44.81</v>
      </c>
      <c r="K2953" s="3">
        <v>43.86</v>
      </c>
      <c r="L2953" s="3">
        <v>1137.29053214695</v>
      </c>
    </row>
    <row r="2954" spans="1:12" ht="15" customHeight="1" x14ac:dyDescent="0.2">
      <c r="A2954" s="2">
        <v>41765</v>
      </c>
      <c r="B2954" s="3">
        <v>44.47</v>
      </c>
      <c r="C2954" s="1">
        <v>440281</v>
      </c>
      <c r="D2954" s="3">
        <v>-0.60999999999999899</v>
      </c>
      <c r="E2954" s="3">
        <v>-1.35314995563442</v>
      </c>
      <c r="F2954" s="3">
        <v>-1.3531484312431401</v>
      </c>
      <c r="G2954" s="3">
        <v>45.634509999999999</v>
      </c>
      <c r="H2954" s="3">
        <v>1171.6925036523701</v>
      </c>
      <c r="I2954" s="3">
        <v>44.91</v>
      </c>
      <c r="J2954" s="3">
        <v>45.2</v>
      </c>
      <c r="K2954" s="3">
        <v>44.45</v>
      </c>
      <c r="L2954" s="3">
        <v>1139.2412154183501</v>
      </c>
    </row>
    <row r="2955" spans="1:12" ht="15" customHeight="1" x14ac:dyDescent="0.2">
      <c r="A2955" s="2">
        <v>41764</v>
      </c>
      <c r="B2955" s="3">
        <v>45.08</v>
      </c>
      <c r="C2955" s="1">
        <v>622169</v>
      </c>
      <c r="D2955" s="3">
        <v>-0.28999999999999898</v>
      </c>
      <c r="E2955" s="3">
        <v>-0.63918889133788204</v>
      </c>
      <c r="F2955" s="3">
        <v>-0.330605488481583</v>
      </c>
      <c r="G2955" s="3">
        <v>46.260483000000001</v>
      </c>
      <c r="H2955" s="3">
        <v>1189.1364330730801</v>
      </c>
      <c r="I2955" s="3">
        <v>44.8</v>
      </c>
      <c r="J2955" s="3">
        <v>45.35</v>
      </c>
      <c r="K2955" s="3">
        <v>44.61</v>
      </c>
      <c r="L2955" s="3">
        <v>1156.24002678343</v>
      </c>
    </row>
    <row r="2956" spans="1:12" ht="15" customHeight="1" x14ac:dyDescent="0.2">
      <c r="A2956" s="2">
        <v>41761</v>
      </c>
      <c r="B2956" s="3">
        <v>45.37</v>
      </c>
      <c r="C2956" s="1">
        <v>646238</v>
      </c>
      <c r="D2956" s="3">
        <v>-0.220000000000005</v>
      </c>
      <c r="E2956" s="3">
        <v>-0.48256196534328599</v>
      </c>
      <c r="F2956" s="3">
        <v>-0.482561887272348</v>
      </c>
      <c r="G2956" s="3">
        <v>46.413930000000001</v>
      </c>
      <c r="H2956" s="3">
        <v>1193.41252587233</v>
      </c>
      <c r="I2956" s="3">
        <v>45.58</v>
      </c>
      <c r="J2956" s="3">
        <v>46.29</v>
      </c>
      <c r="K2956" s="3">
        <v>45.33</v>
      </c>
      <c r="L2956" s="3">
        <v>1164.3214289078201</v>
      </c>
    </row>
    <row r="2957" spans="1:12" ht="15" customHeight="1" x14ac:dyDescent="0.2">
      <c r="A2957" s="2">
        <v>41760</v>
      </c>
      <c r="B2957" s="3">
        <v>45.59</v>
      </c>
      <c r="C2957" s="1">
        <v>1002996</v>
      </c>
      <c r="D2957" s="3">
        <v>0.70000000000000195</v>
      </c>
      <c r="E2957" s="3">
        <v>1.5593673423925201</v>
      </c>
      <c r="F2957" s="3">
        <v>1.5593662819884699</v>
      </c>
      <c r="G2957" s="3">
        <v>46.638992000000002</v>
      </c>
      <c r="H2957" s="3">
        <v>1199.6843069927299</v>
      </c>
      <c r="I2957" s="3">
        <v>45.14</v>
      </c>
      <c r="J2957" s="3">
        <v>45.64</v>
      </c>
      <c r="K2957" s="3">
        <v>44.78</v>
      </c>
      <c r="L2957" s="3">
        <v>1170.4521477608</v>
      </c>
    </row>
    <row r="2958" spans="1:12" ht="15" customHeight="1" x14ac:dyDescent="0.2">
      <c r="A2958" s="2">
        <v>41759</v>
      </c>
      <c r="B2958" s="3">
        <v>44.89</v>
      </c>
      <c r="C2958" s="1">
        <v>1118745</v>
      </c>
      <c r="D2958" s="3">
        <v>9.9999999999980105E-3</v>
      </c>
      <c r="E2958" s="3">
        <v>2.2281639928700601E-2</v>
      </c>
      <c r="F2958" s="3">
        <v>2.2272723906646599E-2</v>
      </c>
      <c r="G2958" s="3">
        <v>45.922885999999998</v>
      </c>
      <c r="H2958" s="3">
        <v>1179.7286499248601</v>
      </c>
      <c r="I2958" s="3">
        <v>44.68</v>
      </c>
      <c r="J2958" s="3">
        <v>45.21</v>
      </c>
      <c r="K2958" s="3">
        <v>44.32</v>
      </c>
      <c r="L2958" s="3">
        <v>1150.94531504677</v>
      </c>
    </row>
    <row r="2959" spans="1:12" ht="15" customHeight="1" x14ac:dyDescent="0.2">
      <c r="A2959" s="2">
        <v>41758</v>
      </c>
      <c r="B2959" s="3">
        <v>44.88</v>
      </c>
      <c r="C2959" s="1">
        <v>754373</v>
      </c>
      <c r="D2959" s="3">
        <v>0.56000000000000205</v>
      </c>
      <c r="E2959" s="3">
        <v>1.2635379061371701</v>
      </c>
      <c r="F2959" s="3">
        <v>1.2635485358659599</v>
      </c>
      <c r="G2959" s="3">
        <v>45.912660000000002</v>
      </c>
      <c r="H2959" s="3">
        <v>1179.44368296581</v>
      </c>
      <c r="I2959" s="3">
        <v>44.54</v>
      </c>
      <c r="J2959" s="3">
        <v>45.05</v>
      </c>
      <c r="K2959" s="3">
        <v>44.31</v>
      </c>
      <c r="L2959" s="3">
        <v>1150.666646008</v>
      </c>
    </row>
    <row r="2960" spans="1:12" ht="15" customHeight="1" x14ac:dyDescent="0.2">
      <c r="A2960" s="2">
        <v>41757</v>
      </c>
      <c r="B2960" s="3">
        <v>44.32</v>
      </c>
      <c r="C2960" s="1">
        <v>1326677</v>
      </c>
      <c r="D2960" s="3">
        <v>-0.92999999999999905</v>
      </c>
      <c r="E2960" s="3">
        <v>-2.05524861878453</v>
      </c>
      <c r="F2960" s="3">
        <v>-2.0552515738962698</v>
      </c>
      <c r="G2960" s="3">
        <v>45.339770000000001</v>
      </c>
      <c r="H2960" s="3">
        <v>1163.4790124036101</v>
      </c>
      <c r="I2960" s="3">
        <v>45.2</v>
      </c>
      <c r="J2960" s="3">
        <v>45.57</v>
      </c>
      <c r="K2960" s="3">
        <v>43.887500000000003</v>
      </c>
      <c r="L2960" s="3">
        <v>1135.06117983677</v>
      </c>
    </row>
    <row r="2961" spans="1:12" ht="15" customHeight="1" x14ac:dyDescent="0.2">
      <c r="A2961" s="2">
        <v>41754</v>
      </c>
      <c r="B2961" s="3">
        <v>45.25</v>
      </c>
      <c r="C2961" s="1">
        <v>789621</v>
      </c>
      <c r="D2961" s="3">
        <v>-0.64999999999999802</v>
      </c>
      <c r="E2961" s="3">
        <v>-1.4161220043573</v>
      </c>
      <c r="F2961" s="3">
        <v>-1.41612403425009</v>
      </c>
      <c r="G2961" s="3">
        <v>46.291170000000001</v>
      </c>
      <c r="H2961" s="3">
        <v>1189.99158475236</v>
      </c>
      <c r="I2961" s="3">
        <v>45.71</v>
      </c>
      <c r="J2961" s="3">
        <v>46.079900000000002</v>
      </c>
      <c r="K2961" s="3">
        <v>45.1</v>
      </c>
      <c r="L2961" s="3">
        <v>1160.9774004425501</v>
      </c>
    </row>
    <row r="2962" spans="1:12" ht="15" customHeight="1" x14ac:dyDescent="0.2">
      <c r="A2962" s="2">
        <v>41753</v>
      </c>
      <c r="B2962" s="3">
        <v>45.9</v>
      </c>
      <c r="C2962" s="1">
        <v>1749999</v>
      </c>
      <c r="D2962" s="3">
        <v>-0.89999999999999802</v>
      </c>
      <c r="E2962" s="3">
        <v>-1.92307692307691</v>
      </c>
      <c r="F2962" s="3">
        <v>-1.9230761599007</v>
      </c>
      <c r="G2962" s="3">
        <v>46.956127000000002</v>
      </c>
      <c r="H2962" s="3">
        <v>1208.5218775538201</v>
      </c>
      <c r="I2962" s="3">
        <v>46.8</v>
      </c>
      <c r="J2962" s="3">
        <v>46.91</v>
      </c>
      <c r="K2962" s="3">
        <v>45.363999999999997</v>
      </c>
      <c r="L2962" s="3">
        <v>1179.09088796272</v>
      </c>
    </row>
    <row r="2963" spans="1:12" ht="15" customHeight="1" x14ac:dyDescent="0.2">
      <c r="A2963" s="2">
        <v>41752</v>
      </c>
      <c r="B2963" s="3">
        <v>46.8</v>
      </c>
      <c r="C2963" s="1">
        <v>1133928</v>
      </c>
      <c r="D2963" s="3">
        <v>-1.2</v>
      </c>
      <c r="E2963" s="3">
        <v>-2.5</v>
      </c>
      <c r="F2963" s="3">
        <v>-2.4999996945286802</v>
      </c>
      <c r="G2963" s="3">
        <v>47.876835</v>
      </c>
      <c r="H2963" s="3">
        <v>1234.17915888878</v>
      </c>
      <c r="I2963" s="3">
        <v>47.45</v>
      </c>
      <c r="J2963" s="3">
        <v>47.83</v>
      </c>
      <c r="K2963" s="3">
        <v>46.79</v>
      </c>
      <c r="L2963" s="3">
        <v>1204.17110145219</v>
      </c>
    </row>
    <row r="2964" spans="1:12" ht="15" customHeight="1" x14ac:dyDescent="0.2">
      <c r="A2964" s="2">
        <v>41751</v>
      </c>
      <c r="B2964" s="3">
        <v>48</v>
      </c>
      <c r="C2964" s="1">
        <v>737277</v>
      </c>
      <c r="D2964" s="3">
        <v>0.71</v>
      </c>
      <c r="E2964" s="3">
        <v>1.5013744977796499</v>
      </c>
      <c r="F2964" s="3">
        <v>1.50137324504824</v>
      </c>
      <c r="G2964" s="3">
        <v>49.104446000000003</v>
      </c>
      <c r="H2964" s="3">
        <v>1268.3888766243499</v>
      </c>
      <c r="I2964" s="3">
        <v>47.4</v>
      </c>
      <c r="J2964" s="3">
        <v>48.12</v>
      </c>
      <c r="K2964" s="3">
        <v>47.22</v>
      </c>
      <c r="L2964" s="3">
        <v>1237.61138610481</v>
      </c>
    </row>
    <row r="2965" spans="1:12" ht="15" customHeight="1" x14ac:dyDescent="0.2">
      <c r="A2965" s="2">
        <v>41750</v>
      </c>
      <c r="B2965" s="3">
        <v>47.29</v>
      </c>
      <c r="C2965" s="1">
        <v>630115</v>
      </c>
      <c r="D2965" s="3">
        <v>0.32</v>
      </c>
      <c r="E2965" s="3">
        <v>0.68128592718756897</v>
      </c>
      <c r="F2965" s="3">
        <v>0.68128597459680096</v>
      </c>
      <c r="G2965" s="3">
        <v>48.37811</v>
      </c>
      <c r="H2965" s="3">
        <v>1248.14814112981</v>
      </c>
      <c r="I2965" s="3">
        <v>46.82</v>
      </c>
      <c r="J2965" s="3">
        <v>47.435000000000002</v>
      </c>
      <c r="K2965" s="3">
        <v>46.72</v>
      </c>
      <c r="L2965" s="3">
        <v>1217.82588435201</v>
      </c>
    </row>
    <row r="2966" spans="1:12" ht="15" customHeight="1" x14ac:dyDescent="0.2">
      <c r="A2966" s="2">
        <v>41746</v>
      </c>
      <c r="B2966" s="3">
        <v>46.97</v>
      </c>
      <c r="C2966" s="1">
        <v>568939</v>
      </c>
      <c r="D2966" s="3">
        <v>-0.50999999999999801</v>
      </c>
      <c r="E2966" s="3">
        <v>-1.07413647851726</v>
      </c>
      <c r="F2966" s="3">
        <v>-1.07413292465198</v>
      </c>
      <c r="G2966" s="3">
        <v>48.050747000000001</v>
      </c>
      <c r="H2966" s="3">
        <v>1239.02554787587</v>
      </c>
      <c r="I2966" s="3">
        <v>47.46</v>
      </c>
      <c r="J2966" s="3">
        <v>47.85</v>
      </c>
      <c r="K2966" s="3">
        <v>46.96</v>
      </c>
      <c r="L2966" s="3">
        <v>1208.9084751113101</v>
      </c>
    </row>
    <row r="2967" spans="1:12" ht="15" customHeight="1" x14ac:dyDescent="0.2">
      <c r="A2967" s="2">
        <v>41745</v>
      </c>
      <c r="B2967" s="3">
        <v>47.48</v>
      </c>
      <c r="C2967" s="1">
        <v>405094</v>
      </c>
      <c r="D2967" s="3">
        <v>0.32</v>
      </c>
      <c r="E2967" s="3">
        <v>0.67854113655640902</v>
      </c>
      <c r="F2967" s="3">
        <v>0.67854120863670697</v>
      </c>
      <c r="G2967" s="3">
        <v>48.572479999999999</v>
      </c>
      <c r="H2967" s="3">
        <v>1253.5646312364199</v>
      </c>
      <c r="I2967" s="3">
        <v>47.37</v>
      </c>
      <c r="J2967" s="3">
        <v>47.67</v>
      </c>
      <c r="K2967" s="3">
        <v>47.06</v>
      </c>
      <c r="L2967" s="3">
        <v>1223.12059608867</v>
      </c>
    </row>
    <row r="2968" spans="1:12" ht="15" customHeight="1" x14ac:dyDescent="0.2">
      <c r="A2968" s="2">
        <v>41744</v>
      </c>
      <c r="B2968" s="3">
        <v>47.16</v>
      </c>
      <c r="C2968" s="1">
        <v>717970</v>
      </c>
      <c r="D2968" s="3">
        <v>0.209999999999993</v>
      </c>
      <c r="E2968" s="3">
        <v>0.44728434504790399</v>
      </c>
      <c r="F2968" s="3">
        <v>0.44728445812887102</v>
      </c>
      <c r="G2968" s="3">
        <v>48.245117</v>
      </c>
      <c r="H2968" s="3">
        <v>1244.4420379824701</v>
      </c>
      <c r="I2968" s="3">
        <v>47.13</v>
      </c>
      <c r="J2968" s="3">
        <v>47.49</v>
      </c>
      <c r="K2968" s="3">
        <v>46.42</v>
      </c>
      <c r="L2968" s="3">
        <v>1214.2031868479801</v>
      </c>
    </row>
    <row r="2969" spans="1:12" ht="15" customHeight="1" x14ac:dyDescent="0.2">
      <c r="A2969" s="2">
        <v>41743</v>
      </c>
      <c r="B2969" s="3">
        <v>46.95</v>
      </c>
      <c r="C2969" s="1">
        <v>650866</v>
      </c>
      <c r="D2969" s="3">
        <v>0.82</v>
      </c>
      <c r="E2969" s="3">
        <v>1.7775850856275699</v>
      </c>
      <c r="F2969" s="3">
        <v>1.7775837971217601</v>
      </c>
      <c r="G2969" s="3">
        <v>48.030284999999999</v>
      </c>
      <c r="H2969" s="3">
        <v>1238.4553352887301</v>
      </c>
      <c r="I2969" s="3">
        <v>46.66</v>
      </c>
      <c r="J2969" s="3">
        <v>47.5</v>
      </c>
      <c r="K2969" s="3">
        <v>46.36</v>
      </c>
      <c r="L2969" s="3">
        <v>1208.3511370337701</v>
      </c>
    </row>
    <row r="2970" spans="1:12" ht="15" customHeight="1" x14ac:dyDescent="0.2">
      <c r="A2970" s="2">
        <v>41740</v>
      </c>
      <c r="B2970" s="3">
        <v>46.13</v>
      </c>
      <c r="C2970" s="1">
        <v>636110</v>
      </c>
      <c r="D2970" s="3">
        <v>-0.439999999999997</v>
      </c>
      <c r="E2970" s="3">
        <v>-0.944814258106074</v>
      </c>
      <c r="F2970" s="3">
        <v>-0.94480992847838496</v>
      </c>
      <c r="G2970" s="3">
        <v>47.191417999999999</v>
      </c>
      <c r="H2970" s="3">
        <v>1215.0787092339899</v>
      </c>
      <c r="I2970" s="3">
        <v>46.19</v>
      </c>
      <c r="J2970" s="3">
        <v>46.93</v>
      </c>
      <c r="K2970" s="3">
        <v>45.89</v>
      </c>
      <c r="L2970" s="3">
        <v>1185.5002758544799</v>
      </c>
    </row>
    <row r="2971" spans="1:12" ht="15" customHeight="1" x14ac:dyDescent="0.2">
      <c r="A2971" s="2">
        <v>41739</v>
      </c>
      <c r="B2971" s="3">
        <v>46.57</v>
      </c>
      <c r="C2971" s="1">
        <v>801213</v>
      </c>
      <c r="D2971" s="3">
        <v>-1.17</v>
      </c>
      <c r="E2971" s="3">
        <v>-2.4507750314201902</v>
      </c>
      <c r="F2971" s="3">
        <v>-2.4507794194915502</v>
      </c>
      <c r="G2971" s="3">
        <v>47.641539999999999</v>
      </c>
      <c r="H2971" s="3">
        <v>1227.62221574099</v>
      </c>
      <c r="I2971" s="3">
        <v>47.66</v>
      </c>
      <c r="J2971" s="3">
        <v>47.73</v>
      </c>
      <c r="K2971" s="3">
        <v>46.56</v>
      </c>
      <c r="L2971" s="3">
        <v>1197.7617135604401</v>
      </c>
    </row>
    <row r="2972" spans="1:12" ht="15" customHeight="1" x14ac:dyDescent="0.2">
      <c r="A2972" s="2">
        <v>41738</v>
      </c>
      <c r="B2972" s="3">
        <v>47.74</v>
      </c>
      <c r="C2972" s="1">
        <v>453209</v>
      </c>
      <c r="D2972" s="3">
        <v>0.5</v>
      </c>
      <c r="E2972" s="3">
        <v>1.0584250635054999</v>
      </c>
      <c r="F2972" s="3">
        <v>1.0584258169115499</v>
      </c>
      <c r="G2972" s="3">
        <v>48.838462999999997</v>
      </c>
      <c r="H2972" s="3">
        <v>1260.97675393038</v>
      </c>
      <c r="I2972" s="3">
        <v>47.42</v>
      </c>
      <c r="J2972" s="3">
        <v>47.86</v>
      </c>
      <c r="K2972" s="3">
        <v>47.1</v>
      </c>
      <c r="L2972" s="3">
        <v>1230.3659910967399</v>
      </c>
    </row>
    <row r="2973" spans="1:12" ht="15" customHeight="1" x14ac:dyDescent="0.2">
      <c r="A2973" s="2">
        <v>41737</v>
      </c>
      <c r="B2973" s="3">
        <v>47.24</v>
      </c>
      <c r="C2973" s="1">
        <v>629133</v>
      </c>
      <c r="D2973" s="3">
        <v>0.60000000000000098</v>
      </c>
      <c r="E2973" s="3">
        <v>1.2864493996569399</v>
      </c>
      <c r="F2973" s="3">
        <v>1.28645457279596</v>
      </c>
      <c r="G2973" s="3">
        <v>48.326957999999998</v>
      </c>
      <c r="H2973" s="3">
        <v>1246.72269326269</v>
      </c>
      <c r="I2973" s="3">
        <v>46.8</v>
      </c>
      <c r="J2973" s="3">
        <v>47.41</v>
      </c>
      <c r="K2973" s="3">
        <v>46.38</v>
      </c>
      <c r="L2973" s="3">
        <v>1216.4325391581499</v>
      </c>
    </row>
    <row r="2974" spans="1:12" ht="15" customHeight="1" x14ac:dyDescent="0.2">
      <c r="A2974" s="2">
        <v>41736</v>
      </c>
      <c r="B2974" s="3">
        <v>46.64</v>
      </c>
      <c r="C2974" s="1">
        <v>732371</v>
      </c>
      <c r="D2974" s="3">
        <v>-0.49000000000000199</v>
      </c>
      <c r="E2974" s="3">
        <v>-1.0396774877996999</v>
      </c>
      <c r="F2974" s="3">
        <v>-1.0396846354788201</v>
      </c>
      <c r="G2974" s="3">
        <v>47.713149999999999</v>
      </c>
      <c r="H2974" s="3">
        <v>1229.61776472764</v>
      </c>
      <c r="I2974" s="3">
        <v>47.16</v>
      </c>
      <c r="J2974" s="3">
        <v>47.36</v>
      </c>
      <c r="K2974" s="3">
        <v>46.37</v>
      </c>
      <c r="L2974" s="3">
        <v>1199.7123968318399</v>
      </c>
    </row>
    <row r="2975" spans="1:12" ht="15" customHeight="1" x14ac:dyDescent="0.2">
      <c r="A2975" s="2">
        <v>41733</v>
      </c>
      <c r="B2975" s="3">
        <v>47.13</v>
      </c>
      <c r="C2975" s="1">
        <v>785547</v>
      </c>
      <c r="D2975" s="3">
        <v>-1.0599999999999901</v>
      </c>
      <c r="E2975" s="3">
        <v>-2.1996264785225002</v>
      </c>
      <c r="F2975" s="3">
        <v>-2.19962479018512</v>
      </c>
      <c r="G2975" s="3">
        <v>48.214427999999998</v>
      </c>
      <c r="H2975" s="3">
        <v>1243.58683056939</v>
      </c>
      <c r="I2975" s="3">
        <v>48.5</v>
      </c>
      <c r="J2975" s="3">
        <v>48.61</v>
      </c>
      <c r="K2975" s="3">
        <v>47.1</v>
      </c>
      <c r="L2975" s="3">
        <v>1213.3671797316599</v>
      </c>
    </row>
    <row r="2976" spans="1:12" ht="15" customHeight="1" x14ac:dyDescent="0.2">
      <c r="A2976" s="2">
        <v>41732</v>
      </c>
      <c r="B2976" s="3">
        <v>48.19</v>
      </c>
      <c r="C2976" s="1">
        <v>411176</v>
      </c>
      <c r="D2976" s="3">
        <v>-0.52000000000000302</v>
      </c>
      <c r="E2976" s="3">
        <v>-1.06754259905563</v>
      </c>
      <c r="F2976" s="3">
        <v>-1.0675389789202501</v>
      </c>
      <c r="G2976" s="3">
        <v>49.298817</v>
      </c>
      <c r="H2976" s="3">
        <v>1273.80539459786</v>
      </c>
      <c r="I2976" s="3">
        <v>48.71</v>
      </c>
      <c r="J2976" s="3">
        <v>49.1</v>
      </c>
      <c r="K2976" s="3">
        <v>48.16</v>
      </c>
      <c r="L2976" s="3">
        <v>1242.90609784147</v>
      </c>
    </row>
    <row r="2977" spans="1:12" ht="15" customHeight="1" x14ac:dyDescent="0.2">
      <c r="A2977" s="2">
        <v>41731</v>
      </c>
      <c r="B2977" s="3">
        <v>48.71</v>
      </c>
      <c r="C2977" s="1">
        <v>630629</v>
      </c>
      <c r="D2977" s="3">
        <v>-8.9999999999996305E-2</v>
      </c>
      <c r="E2977" s="3">
        <v>-0.18442622950819401</v>
      </c>
      <c r="F2977" s="3">
        <v>-0.184424567107044</v>
      </c>
      <c r="G2977" s="3">
        <v>49.830779999999997</v>
      </c>
      <c r="H2977" s="3">
        <v>1288.6295563850799</v>
      </c>
      <c r="I2977" s="3">
        <v>48.87</v>
      </c>
      <c r="J2977" s="3">
        <v>49.02</v>
      </c>
      <c r="K2977" s="3">
        <v>48.51</v>
      </c>
      <c r="L2977" s="3">
        <v>1257.39688785761</v>
      </c>
    </row>
    <row r="2978" spans="1:12" ht="15" customHeight="1" x14ac:dyDescent="0.2">
      <c r="A2978" s="2">
        <v>41730</v>
      </c>
      <c r="B2978" s="3">
        <v>48.8</v>
      </c>
      <c r="C2978" s="1">
        <v>860066</v>
      </c>
      <c r="D2978" s="3">
        <v>1.1699999999999899</v>
      </c>
      <c r="E2978" s="3">
        <v>2.4564350199453902</v>
      </c>
      <c r="F2978" s="3">
        <v>2.45642705292066</v>
      </c>
      <c r="G2978" s="3">
        <v>49.922849999999997</v>
      </c>
      <c r="H2978" s="3">
        <v>1291.1952622250501</v>
      </c>
      <c r="I2978" s="3">
        <v>47.82</v>
      </c>
      <c r="J2978" s="3">
        <v>48.87</v>
      </c>
      <c r="K2978" s="3">
        <v>47.67</v>
      </c>
      <c r="L2978" s="3">
        <v>1259.90490920656</v>
      </c>
    </row>
    <row r="2979" spans="1:12" ht="15" customHeight="1" x14ac:dyDescent="0.2">
      <c r="A2979" s="2">
        <v>41729</v>
      </c>
      <c r="B2979" s="3">
        <v>47.63</v>
      </c>
      <c r="C2979" s="1">
        <v>676998</v>
      </c>
      <c r="D2979" s="3">
        <v>1.07</v>
      </c>
      <c r="E2979" s="3">
        <v>2.2981099656357298</v>
      </c>
      <c r="F2979" s="3">
        <v>2.2981100688952201</v>
      </c>
      <c r="G2979" s="3">
        <v>48.725932999999998</v>
      </c>
      <c r="H2979" s="3">
        <v>1257.8408912370901</v>
      </c>
      <c r="I2979" s="3">
        <v>46.87</v>
      </c>
      <c r="J2979" s="3">
        <v>47.72</v>
      </c>
      <c r="K2979" s="3">
        <v>46.66</v>
      </c>
      <c r="L2979" s="3">
        <v>1227.3006316702499</v>
      </c>
    </row>
    <row r="2980" spans="1:12" ht="15" customHeight="1" x14ac:dyDescent="0.2">
      <c r="A2980" s="2">
        <v>41726</v>
      </c>
      <c r="B2980" s="3">
        <v>46.56</v>
      </c>
      <c r="C2980" s="1">
        <v>620952</v>
      </c>
      <c r="D2980" s="3">
        <v>-8.9999999999996305E-2</v>
      </c>
      <c r="E2980" s="3">
        <v>-0.19292604501607299</v>
      </c>
      <c r="F2980" s="3">
        <v>-0.192928477307308</v>
      </c>
      <c r="G2980" s="3">
        <v>47.631312999999999</v>
      </c>
      <c r="H2980" s="3">
        <v>1227.33722091504</v>
      </c>
      <c r="I2980" s="3">
        <v>46.65</v>
      </c>
      <c r="J2980" s="3">
        <v>47.36</v>
      </c>
      <c r="K2980" s="3">
        <v>46.51</v>
      </c>
      <c r="L2980" s="3">
        <v>1197.4830445216701</v>
      </c>
    </row>
    <row r="2981" spans="1:12" ht="15" customHeight="1" x14ac:dyDescent="0.2">
      <c r="A2981" s="2">
        <v>41725</v>
      </c>
      <c r="B2981" s="3">
        <v>46.65</v>
      </c>
      <c r="C2981" s="1">
        <v>402983</v>
      </c>
      <c r="D2981" s="3">
        <v>-0.219999999999998</v>
      </c>
      <c r="E2981" s="3">
        <v>-0.46938340089609498</v>
      </c>
      <c r="F2981" s="3">
        <v>-0.46937706675111901</v>
      </c>
      <c r="G2981" s="3">
        <v>47.723385</v>
      </c>
      <c r="H2981" s="3">
        <v>1229.90298248882</v>
      </c>
      <c r="I2981" s="3">
        <v>46.72</v>
      </c>
      <c r="J2981" s="3">
        <v>47.23</v>
      </c>
      <c r="K2981" s="3">
        <v>46.48</v>
      </c>
      <c r="L2981" s="3">
        <v>1199.9910658706101</v>
      </c>
    </row>
    <row r="2982" spans="1:12" ht="15" customHeight="1" x14ac:dyDescent="0.2">
      <c r="A2982" s="2">
        <v>41724</v>
      </c>
      <c r="B2982" s="3">
        <v>46.87</v>
      </c>
      <c r="C2982" s="1">
        <v>402845</v>
      </c>
      <c r="D2982" s="3">
        <v>-0.62000000000000399</v>
      </c>
      <c r="E2982" s="3">
        <v>-1.3055380080016901</v>
      </c>
      <c r="F2982" s="3">
        <v>-1.3055385341822101</v>
      </c>
      <c r="G2982" s="3">
        <v>47.948444000000002</v>
      </c>
      <c r="H2982" s="3">
        <v>1236.17468000852</v>
      </c>
      <c r="I2982" s="3">
        <v>47.81</v>
      </c>
      <c r="J2982" s="3">
        <v>47.9</v>
      </c>
      <c r="K2982" s="3">
        <v>46.86</v>
      </c>
      <c r="L2982" s="3">
        <v>1206.1217847235901</v>
      </c>
    </row>
    <row r="2983" spans="1:12" ht="15" customHeight="1" x14ac:dyDescent="0.2">
      <c r="A2983" s="2">
        <v>41723</v>
      </c>
      <c r="B2983" s="3">
        <v>47.49</v>
      </c>
      <c r="C2983" s="1">
        <v>455128</v>
      </c>
      <c r="D2983" s="3">
        <v>-5.9999999999995099E-2</v>
      </c>
      <c r="E2983" s="3">
        <v>-0.12618296529966999</v>
      </c>
      <c r="F2983" s="3">
        <v>-0.126181823937909</v>
      </c>
      <c r="G2983" s="3">
        <v>48.582709999999999</v>
      </c>
      <c r="H2983" s="3">
        <v>1253.8497096630799</v>
      </c>
      <c r="I2983" s="3">
        <v>47.81</v>
      </c>
      <c r="J2983" s="3">
        <v>48.07</v>
      </c>
      <c r="K2983" s="3">
        <v>47.36</v>
      </c>
      <c r="L2983" s="3">
        <v>1223.39926512745</v>
      </c>
    </row>
    <row r="2984" spans="1:12" ht="15" customHeight="1" x14ac:dyDescent="0.2">
      <c r="A2984" s="2">
        <v>41722</v>
      </c>
      <c r="B2984" s="3">
        <v>47.55</v>
      </c>
      <c r="C2984" s="1">
        <v>452329</v>
      </c>
      <c r="D2984" s="3">
        <v>-0.83000000000000496</v>
      </c>
      <c r="E2984" s="3">
        <v>-1.7155849524597</v>
      </c>
      <c r="F2984" s="3">
        <v>-1.71558955888678</v>
      </c>
      <c r="G2984" s="3">
        <v>48.644089999999998</v>
      </c>
      <c r="H2984" s="3">
        <v>1255.5601802230699</v>
      </c>
      <c r="I2984" s="3">
        <v>48.32</v>
      </c>
      <c r="J2984" s="3">
        <v>48.63</v>
      </c>
      <c r="K2984" s="3">
        <v>47.41</v>
      </c>
      <c r="L2984" s="3">
        <v>1225.0712793600801</v>
      </c>
    </row>
    <row r="2985" spans="1:12" ht="15" customHeight="1" x14ac:dyDescent="0.2">
      <c r="A2985" s="2">
        <v>41719</v>
      </c>
      <c r="B2985" s="3">
        <v>48.38</v>
      </c>
      <c r="C2985" s="1">
        <v>698568</v>
      </c>
      <c r="D2985" s="3">
        <v>-0.34999999999999398</v>
      </c>
      <c r="E2985" s="3">
        <v>-0.71824338190025205</v>
      </c>
      <c r="F2985" s="3">
        <v>-0.71824088154113197</v>
      </c>
      <c r="G2985" s="3">
        <v>49.493189999999998</v>
      </c>
      <c r="H2985" s="3">
        <v>1279.2219683051801</v>
      </c>
      <c r="I2985" s="3">
        <v>48.97</v>
      </c>
      <c r="J2985" s="3">
        <v>49.29</v>
      </c>
      <c r="K2985" s="3">
        <v>48.35</v>
      </c>
      <c r="L2985" s="3">
        <v>1248.20080957814</v>
      </c>
    </row>
    <row r="2986" spans="1:12" ht="15" customHeight="1" x14ac:dyDescent="0.2">
      <c r="A2986" s="2">
        <v>41718</v>
      </c>
      <c r="B2986" s="3">
        <v>48.73</v>
      </c>
      <c r="C2986" s="1">
        <v>521789</v>
      </c>
      <c r="D2986" s="3">
        <v>0.59999999999999398</v>
      </c>
      <c r="E2986" s="3">
        <v>1.2466237274049301</v>
      </c>
      <c r="F2986" s="3">
        <v>1.2466163959783301</v>
      </c>
      <c r="G2986" s="3">
        <v>49.851241999999999</v>
      </c>
      <c r="H2986" s="3">
        <v>1289.19976897222</v>
      </c>
      <c r="I2986" s="3">
        <v>48.14</v>
      </c>
      <c r="J2986" s="3">
        <v>48.73</v>
      </c>
      <c r="K2986" s="3">
        <v>48.01</v>
      </c>
      <c r="L2986" s="3">
        <v>1257.9542259351499</v>
      </c>
    </row>
    <row r="2987" spans="1:12" ht="15" customHeight="1" x14ac:dyDescent="0.2">
      <c r="A2987" s="2">
        <v>41717</v>
      </c>
      <c r="B2987" s="3">
        <v>48.13</v>
      </c>
      <c r="C2987" s="1">
        <v>393587</v>
      </c>
      <c r="D2987" s="3">
        <v>-0.52999999999999403</v>
      </c>
      <c r="E2987" s="3">
        <v>-1.0891903000410801</v>
      </c>
      <c r="F2987" s="3">
        <v>-1.0891864148536301</v>
      </c>
      <c r="G2987" s="3">
        <v>49.237439999999999</v>
      </c>
      <c r="H2987" s="3">
        <v>1272.09500763859</v>
      </c>
      <c r="I2987" s="3">
        <v>48.6</v>
      </c>
      <c r="J2987" s="3">
        <v>48.79</v>
      </c>
      <c r="K2987" s="3">
        <v>47.81</v>
      </c>
      <c r="L2987" s="3">
        <v>1241.2340836088399</v>
      </c>
    </row>
    <row r="2988" spans="1:12" ht="15" customHeight="1" x14ac:dyDescent="0.2">
      <c r="A2988" s="2">
        <v>41716</v>
      </c>
      <c r="B2988" s="3">
        <v>48.66</v>
      </c>
      <c r="C2988" s="1">
        <v>399237</v>
      </c>
      <c r="D2988" s="3">
        <v>5.9999999999995099E-2</v>
      </c>
      <c r="E2988" s="3">
        <v>0.123456790123444</v>
      </c>
      <c r="F2988" s="3">
        <v>0.123461706717353</v>
      </c>
      <c r="G2988" s="3">
        <v>49.779632999999997</v>
      </c>
      <c r="H2988" s="3">
        <v>1287.20424785247</v>
      </c>
      <c r="I2988" s="3">
        <v>48.72</v>
      </c>
      <c r="J2988" s="3">
        <v>48.97</v>
      </c>
      <c r="K2988" s="3">
        <v>48.52</v>
      </c>
      <c r="L2988" s="3">
        <v>1256.0035426637501</v>
      </c>
    </row>
    <row r="2989" spans="1:12" ht="15" customHeight="1" x14ac:dyDescent="0.2">
      <c r="A2989" s="2">
        <v>41715</v>
      </c>
      <c r="B2989" s="3">
        <v>48.6</v>
      </c>
      <c r="C2989" s="1">
        <v>490488</v>
      </c>
      <c r="D2989" s="3">
        <v>-0.17999999999999899</v>
      </c>
      <c r="E2989" s="3">
        <v>-0.36900369003689498</v>
      </c>
      <c r="F2989" s="3">
        <v>-0.36900036250768697</v>
      </c>
      <c r="G2989" s="3">
        <v>49.718249999999998</v>
      </c>
      <c r="H2989" s="3">
        <v>1285.49369369178</v>
      </c>
      <c r="I2989" s="3">
        <v>49</v>
      </c>
      <c r="J2989" s="3">
        <v>49.1</v>
      </c>
      <c r="K2989" s="3">
        <v>48.53</v>
      </c>
      <c r="L2989" s="3">
        <v>1254.33152843112</v>
      </c>
    </row>
    <row r="2990" spans="1:12" ht="15" customHeight="1" x14ac:dyDescent="0.2">
      <c r="A2990" s="2">
        <v>41712</v>
      </c>
      <c r="B2990" s="3">
        <v>48.78</v>
      </c>
      <c r="C2990" s="1">
        <v>939372</v>
      </c>
      <c r="D2990" s="3">
        <v>0.96999999999999797</v>
      </c>
      <c r="E2990" s="3">
        <v>2.0288642543401001</v>
      </c>
      <c r="F2990" s="3">
        <v>2.0288539318565002</v>
      </c>
      <c r="G2990" s="3">
        <v>49.902389999999997</v>
      </c>
      <c r="H2990" s="3">
        <v>1290.6251053717299</v>
      </c>
      <c r="I2990" s="3">
        <v>47.67</v>
      </c>
      <c r="J2990" s="3">
        <v>48.84</v>
      </c>
      <c r="K2990" s="3">
        <v>47.55</v>
      </c>
      <c r="L2990" s="3">
        <v>1259.34757112901</v>
      </c>
    </row>
    <row r="2991" spans="1:12" ht="15" customHeight="1" x14ac:dyDescent="0.2">
      <c r="A2991" s="2">
        <v>41711</v>
      </c>
      <c r="B2991" s="3">
        <v>47.81</v>
      </c>
      <c r="C2991" s="1">
        <v>779328</v>
      </c>
      <c r="D2991" s="3">
        <v>-1.1699999999999899</v>
      </c>
      <c r="E2991" s="3">
        <v>-2.3887300939158602</v>
      </c>
      <c r="F2991" s="3">
        <v>-2.3887263644527001</v>
      </c>
      <c r="G2991" s="3">
        <v>48.910075999999997</v>
      </c>
      <c r="H2991" s="3">
        <v>1262.97238651774</v>
      </c>
      <c r="I2991" s="3">
        <v>49.17</v>
      </c>
      <c r="J2991" s="3">
        <v>49.21</v>
      </c>
      <c r="K2991" s="3">
        <v>47.5</v>
      </c>
      <c r="L2991" s="3">
        <v>1232.31667436815</v>
      </c>
    </row>
    <row r="2992" spans="1:12" ht="15" customHeight="1" x14ac:dyDescent="0.2">
      <c r="A2992" s="2">
        <v>41710</v>
      </c>
      <c r="B2992" s="3">
        <v>48.98</v>
      </c>
      <c r="C2992" s="1">
        <v>920485</v>
      </c>
      <c r="D2992" s="3">
        <v>0.57999999999999796</v>
      </c>
      <c r="E2992" s="3">
        <v>1.1983471074380001</v>
      </c>
      <c r="F2992" s="3">
        <v>1.19834631460213</v>
      </c>
      <c r="G2992" s="3">
        <v>50.106994999999998</v>
      </c>
      <c r="H2992" s="3">
        <v>1296.3268132395201</v>
      </c>
      <c r="I2992" s="3">
        <v>48.08</v>
      </c>
      <c r="J2992" s="3">
        <v>49.13</v>
      </c>
      <c r="K2992" s="3">
        <v>48.02</v>
      </c>
      <c r="L2992" s="3">
        <v>1264.92095190445</v>
      </c>
    </row>
    <row r="2993" spans="1:12" ht="15" customHeight="1" x14ac:dyDescent="0.2">
      <c r="A2993" s="2">
        <v>41709</v>
      </c>
      <c r="B2993" s="3">
        <v>48.4</v>
      </c>
      <c r="C2993" s="1">
        <v>572432</v>
      </c>
      <c r="D2993" s="3">
        <v>-0.14000000000000001</v>
      </c>
      <c r="E2993" s="3">
        <v>-0.28842192006592798</v>
      </c>
      <c r="F2993" s="3">
        <v>-0.28841930633163299</v>
      </c>
      <c r="G2993" s="3">
        <v>49.513649999999998</v>
      </c>
      <c r="H2993" s="3">
        <v>1279.7921251585101</v>
      </c>
      <c r="I2993" s="3">
        <v>48.68</v>
      </c>
      <c r="J2993" s="3">
        <v>49.14</v>
      </c>
      <c r="K2993" s="3">
        <v>48.24</v>
      </c>
      <c r="L2993" s="3">
        <v>1248.75814765568</v>
      </c>
    </row>
    <row r="2994" spans="1:12" ht="15" customHeight="1" x14ac:dyDescent="0.2">
      <c r="A2994" s="2">
        <v>41708</v>
      </c>
      <c r="B2994" s="3">
        <v>48.54</v>
      </c>
      <c r="C2994" s="1">
        <v>528958</v>
      </c>
      <c r="D2994" s="3">
        <v>-3.9999999999999099E-2</v>
      </c>
      <c r="E2994" s="3">
        <v>-8.2338410868665293E-2</v>
      </c>
      <c r="F2994" s="3">
        <v>-8.2341686326836694E-2</v>
      </c>
      <c r="G2994" s="3">
        <v>49.656869999999998</v>
      </c>
      <c r="H2994" s="3">
        <v>1283.7832231318</v>
      </c>
      <c r="I2994" s="3">
        <v>48.65</v>
      </c>
      <c r="J2994" s="3">
        <v>48.89</v>
      </c>
      <c r="K2994" s="3">
        <v>48.31</v>
      </c>
      <c r="L2994" s="3">
        <v>1252.6595141984899</v>
      </c>
    </row>
    <row r="2995" spans="1:12" ht="15" customHeight="1" x14ac:dyDescent="0.2">
      <c r="A2995" s="2">
        <v>41705</v>
      </c>
      <c r="B2995" s="3">
        <v>48.58</v>
      </c>
      <c r="C2995" s="1">
        <v>603802</v>
      </c>
      <c r="D2995" s="3">
        <v>0.39</v>
      </c>
      <c r="E2995" s="3">
        <v>0.80929653455072903</v>
      </c>
      <c r="F2995" s="3">
        <v>0.809299338765057</v>
      </c>
      <c r="G2995" s="3">
        <v>49.697792</v>
      </c>
      <c r="H2995" s="3">
        <v>1284.9235925722601</v>
      </c>
      <c r="I2995" s="3">
        <v>48.44</v>
      </c>
      <c r="J2995" s="3">
        <v>48.61</v>
      </c>
      <c r="K2995" s="3">
        <v>47.83</v>
      </c>
      <c r="L2995" s="3">
        <v>1253.77419035358</v>
      </c>
    </row>
    <row r="2996" spans="1:12" ht="15" customHeight="1" x14ac:dyDescent="0.2">
      <c r="A2996" s="2">
        <v>41704</v>
      </c>
      <c r="B2996" s="3">
        <v>48.19</v>
      </c>
      <c r="C2996" s="1">
        <v>744829</v>
      </c>
      <c r="D2996" s="3">
        <v>0.5</v>
      </c>
      <c r="E2996" s="3">
        <v>1.04843782763681</v>
      </c>
      <c r="F2996" s="3">
        <v>1.0484427200433799</v>
      </c>
      <c r="G2996" s="3">
        <v>49.298817</v>
      </c>
      <c r="H2996" s="3">
        <v>1273.80539459786</v>
      </c>
      <c r="I2996" s="3">
        <v>47.93</v>
      </c>
      <c r="J2996" s="3">
        <v>48.42</v>
      </c>
      <c r="K2996" s="3">
        <v>47.85</v>
      </c>
      <c r="L2996" s="3">
        <v>1242.90609784147</v>
      </c>
    </row>
    <row r="2997" spans="1:12" ht="15" customHeight="1" x14ac:dyDescent="0.2">
      <c r="A2997" s="2">
        <v>41703</v>
      </c>
      <c r="B2997" s="3">
        <v>47.69</v>
      </c>
      <c r="C2997" s="1">
        <v>978813</v>
      </c>
      <c r="D2997" s="3">
        <v>-0.64</v>
      </c>
      <c r="E2997" s="3">
        <v>-1.3242292571901499</v>
      </c>
      <c r="F2997" s="3">
        <v>-1.3242374303325599</v>
      </c>
      <c r="G2997" s="3">
        <v>48.787309999999998</v>
      </c>
      <c r="H2997" s="3">
        <v>1259.55127819636</v>
      </c>
      <c r="I2997" s="3">
        <v>48.29</v>
      </c>
      <c r="J2997" s="3">
        <v>48.43</v>
      </c>
      <c r="K2997" s="3">
        <v>47.51</v>
      </c>
      <c r="L2997" s="3">
        <v>1228.97264590288</v>
      </c>
    </row>
    <row r="2998" spans="1:12" ht="15" customHeight="1" x14ac:dyDescent="0.2">
      <c r="A2998" s="2">
        <v>41702</v>
      </c>
      <c r="B2998" s="3">
        <v>48.33</v>
      </c>
      <c r="C2998" s="1">
        <v>1321235</v>
      </c>
      <c r="D2998" s="3">
        <v>1.3399999999999901</v>
      </c>
      <c r="E2998" s="3">
        <v>2.85167056820598</v>
      </c>
      <c r="F2998" s="3">
        <v>2.8516652690872402</v>
      </c>
      <c r="G2998" s="3">
        <v>49.442039999999999</v>
      </c>
      <c r="H2998" s="3">
        <v>1277.7965761718599</v>
      </c>
      <c r="I2998" s="3">
        <v>47.52</v>
      </c>
      <c r="J2998" s="3">
        <v>48.45</v>
      </c>
      <c r="K2998" s="3">
        <v>47.5</v>
      </c>
      <c r="L2998" s="3">
        <v>1246.8074643842799</v>
      </c>
    </row>
    <row r="2999" spans="1:12" ht="15" customHeight="1" x14ac:dyDescent="0.2">
      <c r="A2999" s="2">
        <v>41701</v>
      </c>
      <c r="B2999" s="3">
        <v>46.99</v>
      </c>
      <c r="C2999" s="1">
        <v>663759</v>
      </c>
      <c r="D2999" s="3">
        <v>-0.53000000000000103</v>
      </c>
      <c r="E2999" s="3">
        <v>-1.1153198653198599</v>
      </c>
      <c r="F2999" s="3">
        <v>-1.11530977055708</v>
      </c>
      <c r="G2999" s="3">
        <v>48.071210000000001</v>
      </c>
      <c r="H2999" s="3">
        <v>1239.5957883299</v>
      </c>
      <c r="I2999" s="3">
        <v>47.1</v>
      </c>
      <c r="J2999" s="3">
        <v>47.36</v>
      </c>
      <c r="K2999" s="3">
        <v>46.72</v>
      </c>
      <c r="L2999" s="3">
        <v>1209.46581318885</v>
      </c>
    </row>
    <row r="3000" spans="1:12" ht="15" customHeight="1" x14ac:dyDescent="0.2">
      <c r="A3000" s="2">
        <v>41698</v>
      </c>
      <c r="B3000" s="3">
        <v>47.52</v>
      </c>
      <c r="C3000" s="1">
        <v>834406</v>
      </c>
      <c r="D3000" s="3">
        <v>0.52000000000000302</v>
      </c>
      <c r="E3000" s="3">
        <v>1.1063829787234001</v>
      </c>
      <c r="F3000" s="3">
        <v>1.1063812653182701</v>
      </c>
      <c r="G3000" s="3">
        <v>48.613399999999999</v>
      </c>
      <c r="H3000" s="3">
        <v>1254.7049449430699</v>
      </c>
      <c r="I3000" s="3">
        <v>47.05</v>
      </c>
      <c r="J3000" s="3">
        <v>47.98</v>
      </c>
      <c r="K3000" s="3">
        <v>47.05</v>
      </c>
      <c r="L3000" s="3">
        <v>1224.2352722437599</v>
      </c>
    </row>
    <row r="3001" spans="1:12" ht="15" customHeight="1" x14ac:dyDescent="0.2">
      <c r="A3001" s="2">
        <v>41697</v>
      </c>
      <c r="B3001" s="3">
        <v>47</v>
      </c>
      <c r="C3001" s="1">
        <v>701673</v>
      </c>
      <c r="D3001" s="3">
        <v>-0.25</v>
      </c>
      <c r="E3001" s="3">
        <v>-0.52910052910053396</v>
      </c>
      <c r="F3001" s="3">
        <v>-0.52910398804730796</v>
      </c>
      <c r="G3001" s="3">
        <v>48.081435999999997</v>
      </c>
      <c r="H3001" s="3">
        <v>1239.88075528895</v>
      </c>
      <c r="I3001" s="3">
        <v>47.01</v>
      </c>
      <c r="J3001" s="3">
        <v>47.48</v>
      </c>
      <c r="K3001" s="3">
        <v>46.9</v>
      </c>
      <c r="L3001" s="3">
        <v>1209.74448222763</v>
      </c>
    </row>
    <row r="3002" spans="1:12" ht="15" customHeight="1" x14ac:dyDescent="0.2">
      <c r="A3002" s="2">
        <v>41696</v>
      </c>
      <c r="B3002" s="3">
        <v>47.25</v>
      </c>
      <c r="C3002" s="1">
        <v>756155</v>
      </c>
      <c r="D3002" s="3">
        <v>-7.0000000000000201E-2</v>
      </c>
      <c r="E3002" s="3">
        <v>-0.147928994082835</v>
      </c>
      <c r="F3002" s="3">
        <v>-0.14792764951826401</v>
      </c>
      <c r="G3002" s="3">
        <v>48.33719</v>
      </c>
      <c r="H3002" s="3">
        <v>1247.0078274231601</v>
      </c>
      <c r="I3002" s="3">
        <v>47.37</v>
      </c>
      <c r="J3002" s="3">
        <v>47.75</v>
      </c>
      <c r="K3002" s="3">
        <v>47.02</v>
      </c>
      <c r="L3002" s="3">
        <v>1216.7112081969201</v>
      </c>
    </row>
    <row r="3003" spans="1:12" ht="15" customHeight="1" x14ac:dyDescent="0.2">
      <c r="A3003" s="2">
        <v>41695</v>
      </c>
      <c r="B3003" s="3">
        <v>47.32</v>
      </c>
      <c r="C3003" s="1">
        <v>854675</v>
      </c>
      <c r="D3003" s="3">
        <v>0.70000000000000195</v>
      </c>
      <c r="E3003" s="3">
        <v>1.5015015015015001</v>
      </c>
      <c r="F3003" s="3">
        <v>1.50150893145259</v>
      </c>
      <c r="G3003" s="3">
        <v>48.408799999999999</v>
      </c>
      <c r="H3003" s="3">
        <v>1249.0033764098</v>
      </c>
      <c r="I3003" s="3">
        <v>46.73</v>
      </c>
      <c r="J3003" s="3">
        <v>47.75</v>
      </c>
      <c r="K3003" s="3">
        <v>46.73</v>
      </c>
      <c r="L3003" s="3">
        <v>1218.6618914683299</v>
      </c>
    </row>
    <row r="3004" spans="1:12" ht="15" customHeight="1" x14ac:dyDescent="0.2">
      <c r="A3004" s="2">
        <v>41694</v>
      </c>
      <c r="B3004" s="3">
        <v>46.62</v>
      </c>
      <c r="C3004" s="1">
        <v>528579</v>
      </c>
      <c r="D3004" s="3">
        <v>0.15999999999999601</v>
      </c>
      <c r="E3004" s="3">
        <v>0.34438226431336899</v>
      </c>
      <c r="F3004" s="3">
        <v>0.64571484150608405</v>
      </c>
      <c r="G3004" s="3">
        <v>47.692689999999999</v>
      </c>
      <c r="H3004" s="3">
        <v>1229.04760787431</v>
      </c>
      <c r="I3004" s="3">
        <v>46.46</v>
      </c>
      <c r="J3004" s="3">
        <v>46.94</v>
      </c>
      <c r="K3004" s="3">
        <v>46.26</v>
      </c>
      <c r="L3004" s="3">
        <v>1199.1550587542999</v>
      </c>
    </row>
    <row r="3005" spans="1:12" ht="15" customHeight="1" x14ac:dyDescent="0.2">
      <c r="A3005" s="2">
        <v>41691</v>
      </c>
      <c r="B3005" s="3">
        <v>46.46</v>
      </c>
      <c r="C3005" s="1">
        <v>605601</v>
      </c>
      <c r="D3005" s="3">
        <v>7.0000000000000201E-2</v>
      </c>
      <c r="E3005" s="3">
        <v>0.15089458935115799</v>
      </c>
      <c r="F3005" s="3">
        <v>0.15089618983792299</v>
      </c>
      <c r="G3005" s="3">
        <v>47.386707000000001</v>
      </c>
      <c r="H3005" s="3">
        <v>1220.52080902526</v>
      </c>
      <c r="I3005" s="3">
        <v>46.61</v>
      </c>
      <c r="J3005" s="3">
        <v>46.851399999999998</v>
      </c>
      <c r="K3005" s="3">
        <v>46.23</v>
      </c>
      <c r="L3005" s="3">
        <v>1194.6963541339501</v>
      </c>
    </row>
    <row r="3006" spans="1:12" ht="15" customHeight="1" x14ac:dyDescent="0.2">
      <c r="A3006" s="2">
        <v>41690</v>
      </c>
      <c r="B3006" s="3">
        <v>46.39</v>
      </c>
      <c r="C3006" s="1">
        <v>710187</v>
      </c>
      <c r="D3006" s="3">
        <v>0.25</v>
      </c>
      <c r="E3006" s="3">
        <v>0.54182921543128804</v>
      </c>
      <c r="F3006" s="3">
        <v>0.54182370092377097</v>
      </c>
      <c r="G3006" s="3">
        <v>47.315309999999997</v>
      </c>
      <c r="H3006" s="3">
        <v>1218.5311956891401</v>
      </c>
      <c r="I3006" s="3">
        <v>46.11</v>
      </c>
      <c r="J3006" s="3">
        <v>46.71</v>
      </c>
      <c r="K3006" s="3">
        <v>46.11</v>
      </c>
      <c r="L3006" s="3">
        <v>1192.74567086254</v>
      </c>
    </row>
    <row r="3007" spans="1:12" ht="15" customHeight="1" x14ac:dyDescent="0.2">
      <c r="A3007" s="2">
        <v>41689</v>
      </c>
      <c r="B3007" s="3">
        <v>46.14</v>
      </c>
      <c r="C3007" s="1">
        <v>535983</v>
      </c>
      <c r="D3007" s="3">
        <v>0.149999999999998</v>
      </c>
      <c r="E3007" s="3">
        <v>0.326157860404441</v>
      </c>
      <c r="F3007" s="3">
        <v>0.32616009100325799</v>
      </c>
      <c r="G3007" s="3">
        <v>47.060326000000003</v>
      </c>
      <c r="H3007" s="3">
        <v>1211.4255810709201</v>
      </c>
      <c r="I3007" s="3">
        <v>45.77</v>
      </c>
      <c r="J3007" s="3">
        <v>46.45</v>
      </c>
      <c r="K3007" s="3">
        <v>45.77</v>
      </c>
      <c r="L3007" s="3">
        <v>1185.7789448932499</v>
      </c>
    </row>
    <row r="3008" spans="1:12" ht="15" customHeight="1" x14ac:dyDescent="0.2">
      <c r="A3008" s="2">
        <v>41688</v>
      </c>
      <c r="B3008" s="3">
        <v>45.99</v>
      </c>
      <c r="C3008" s="1">
        <v>621740</v>
      </c>
      <c r="D3008" s="3">
        <v>0.12000000000000401</v>
      </c>
      <c r="E3008" s="3">
        <v>0.26160889470243598</v>
      </c>
      <c r="F3008" s="3">
        <v>0.26160768828602499</v>
      </c>
      <c r="G3008" s="3">
        <v>46.907333000000001</v>
      </c>
      <c r="H3008" s="3">
        <v>1207.16213984604</v>
      </c>
      <c r="I3008" s="3">
        <v>45.79</v>
      </c>
      <c r="J3008" s="3">
        <v>46.27</v>
      </c>
      <c r="K3008" s="3">
        <v>45.79</v>
      </c>
      <c r="L3008" s="3">
        <v>1181.59890931167</v>
      </c>
    </row>
    <row r="3009" spans="1:12" ht="15" customHeight="1" x14ac:dyDescent="0.2">
      <c r="A3009" s="2">
        <v>41684</v>
      </c>
      <c r="B3009" s="3">
        <v>45.87</v>
      </c>
      <c r="C3009" s="1">
        <v>876530</v>
      </c>
      <c r="D3009" s="3">
        <v>0.37999999999999501</v>
      </c>
      <c r="E3009" s="3">
        <v>0.835348428225968</v>
      </c>
      <c r="F3009" s="3">
        <v>0.83534925262989101</v>
      </c>
      <c r="G3009" s="3">
        <v>46.784939999999999</v>
      </c>
      <c r="H3009" s="3">
        <v>1203.7514258798001</v>
      </c>
      <c r="I3009" s="3">
        <v>45.3</v>
      </c>
      <c r="J3009" s="3">
        <v>45.97</v>
      </c>
      <c r="K3009" s="3">
        <v>45.01</v>
      </c>
      <c r="L3009" s="3">
        <v>1178.2548808464101</v>
      </c>
    </row>
    <row r="3010" spans="1:12" ht="15" customHeight="1" x14ac:dyDescent="0.2">
      <c r="A3010" s="2">
        <v>41683</v>
      </c>
      <c r="B3010" s="3">
        <v>45.49</v>
      </c>
      <c r="C3010" s="1">
        <v>1528663</v>
      </c>
      <c r="D3010" s="3">
        <v>0.160000000000003</v>
      </c>
      <c r="E3010" s="3">
        <v>0.35296712993604301</v>
      </c>
      <c r="F3010" s="3">
        <v>0.35296405234483902</v>
      </c>
      <c r="G3010" s="3">
        <v>46.397359999999999</v>
      </c>
      <c r="H3010" s="3">
        <v>1192.9507712750799</v>
      </c>
      <c r="I3010" s="3">
        <v>45.05</v>
      </c>
      <c r="J3010" s="3">
        <v>45.75</v>
      </c>
      <c r="K3010" s="3">
        <v>44.19</v>
      </c>
      <c r="L3010" s="3">
        <v>1167.66545737308</v>
      </c>
    </row>
    <row r="3011" spans="1:12" ht="15" customHeight="1" x14ac:dyDescent="0.2">
      <c r="A3011" s="2">
        <v>41682</v>
      </c>
      <c r="B3011" s="3">
        <v>45.33</v>
      </c>
      <c r="C3011" s="1">
        <v>1240604</v>
      </c>
      <c r="D3011" s="3">
        <v>-0.260000000000005</v>
      </c>
      <c r="E3011" s="3">
        <v>-0.57030050449661196</v>
      </c>
      <c r="F3011" s="3">
        <v>-0.57029823316904205</v>
      </c>
      <c r="G3011" s="3">
        <v>46.234169999999999</v>
      </c>
      <c r="H3011" s="3">
        <v>1188.4031712313599</v>
      </c>
      <c r="I3011" s="3">
        <v>45.58</v>
      </c>
      <c r="J3011" s="3">
        <v>46</v>
      </c>
      <c r="K3011" s="3">
        <v>45.034999999999997</v>
      </c>
      <c r="L3011" s="3">
        <v>1163.2067527527299</v>
      </c>
    </row>
    <row r="3012" spans="1:12" ht="15" customHeight="1" x14ac:dyDescent="0.2">
      <c r="A3012" s="2">
        <v>41681</v>
      </c>
      <c r="B3012" s="3">
        <v>45.59</v>
      </c>
      <c r="C3012" s="1">
        <v>888257</v>
      </c>
      <c r="D3012" s="3">
        <v>0.67000000000000104</v>
      </c>
      <c r="E3012" s="3">
        <v>1.4915405164737301</v>
      </c>
      <c r="F3012" s="3">
        <v>1.4915425815310299</v>
      </c>
      <c r="G3012" s="3">
        <v>46.499355000000001</v>
      </c>
      <c r="H3012" s="3">
        <v>1195.7930561360299</v>
      </c>
      <c r="I3012" s="3">
        <v>44.99</v>
      </c>
      <c r="J3012" s="3">
        <v>45.69</v>
      </c>
      <c r="K3012" s="3">
        <v>44.82</v>
      </c>
      <c r="L3012" s="3">
        <v>1170.4521477608</v>
      </c>
    </row>
    <row r="3013" spans="1:12" ht="15" customHeight="1" x14ac:dyDescent="0.2">
      <c r="A3013" s="2">
        <v>41680</v>
      </c>
      <c r="B3013" s="3">
        <v>44.92</v>
      </c>
      <c r="C3013" s="1">
        <v>1004747</v>
      </c>
      <c r="D3013" s="3">
        <v>0.23000000000000301</v>
      </c>
      <c r="E3013" s="3">
        <v>0.51465652271203099</v>
      </c>
      <c r="F3013" s="3">
        <v>0.51466168217737496</v>
      </c>
      <c r="G3013" s="3">
        <v>45.815989999999999</v>
      </c>
      <c r="H3013" s="3">
        <v>1176.7497893679999</v>
      </c>
      <c r="I3013" s="3">
        <v>44.7</v>
      </c>
      <c r="J3013" s="3">
        <v>45.54</v>
      </c>
      <c r="K3013" s="3">
        <v>44.64</v>
      </c>
      <c r="L3013" s="3">
        <v>1151.7813221630799</v>
      </c>
    </row>
    <row r="3014" spans="1:12" ht="15" customHeight="1" x14ac:dyDescent="0.2">
      <c r="A3014" s="2">
        <v>41677</v>
      </c>
      <c r="B3014" s="3">
        <v>44.69</v>
      </c>
      <c r="C3014" s="1">
        <v>662267</v>
      </c>
      <c r="D3014" s="3">
        <v>0.32999999999999802</v>
      </c>
      <c r="E3014" s="3">
        <v>0.74391343552748701</v>
      </c>
      <c r="F3014" s="3">
        <v>0.74390168351416897</v>
      </c>
      <c r="G3014" s="3">
        <v>45.581400000000002</v>
      </c>
      <c r="H3014" s="3">
        <v>1170.2124923874501</v>
      </c>
      <c r="I3014" s="3">
        <v>44.43</v>
      </c>
      <c r="J3014" s="3">
        <v>44.87</v>
      </c>
      <c r="K3014" s="3">
        <v>44.01</v>
      </c>
      <c r="L3014" s="3">
        <v>1145.37193427133</v>
      </c>
    </row>
    <row r="3015" spans="1:12" ht="15" customHeight="1" x14ac:dyDescent="0.2">
      <c r="A3015" s="2">
        <v>41676</v>
      </c>
      <c r="B3015" s="3">
        <v>44.36</v>
      </c>
      <c r="C3015" s="1">
        <v>689926</v>
      </c>
      <c r="D3015" s="3">
        <v>0.869999999999997</v>
      </c>
      <c r="E3015" s="3">
        <v>2.0004598758335201</v>
      </c>
      <c r="F3015" s="3">
        <v>2.0004635972459002</v>
      </c>
      <c r="G3015" s="3">
        <v>45.244822999999997</v>
      </c>
      <c r="H3015" s="3">
        <v>1160.8331334811801</v>
      </c>
      <c r="I3015" s="3">
        <v>43.52</v>
      </c>
      <c r="J3015" s="3">
        <v>44.65</v>
      </c>
      <c r="K3015" s="3">
        <v>43.36</v>
      </c>
      <c r="L3015" s="3">
        <v>1136.1758559918601</v>
      </c>
    </row>
    <row r="3016" spans="1:12" ht="15" customHeight="1" x14ac:dyDescent="0.2">
      <c r="A3016" s="2">
        <v>41675</v>
      </c>
      <c r="B3016" s="3">
        <v>43.49</v>
      </c>
      <c r="C3016" s="1">
        <v>698518</v>
      </c>
      <c r="D3016" s="3">
        <v>3.0000000000001099E-2</v>
      </c>
      <c r="E3016" s="3">
        <v>6.9028992176711698E-2</v>
      </c>
      <c r="F3016" s="3">
        <v>6.90281086844102E-2</v>
      </c>
      <c r="G3016" s="3">
        <v>44.357467999999997</v>
      </c>
      <c r="H3016" s="3">
        <v>1136.10529699124</v>
      </c>
      <c r="I3016" s="3">
        <v>43.36</v>
      </c>
      <c r="J3016" s="3">
        <v>43.74</v>
      </c>
      <c r="K3016" s="3">
        <v>42.73</v>
      </c>
      <c r="L3016" s="3">
        <v>1111.93164961871</v>
      </c>
    </row>
    <row r="3017" spans="1:12" ht="15" customHeight="1" x14ac:dyDescent="0.2">
      <c r="A3017" s="2">
        <v>41674</v>
      </c>
      <c r="B3017" s="3">
        <v>43.46</v>
      </c>
      <c r="C3017" s="1">
        <v>840258</v>
      </c>
      <c r="D3017" s="3">
        <v>0.42000000000000098</v>
      </c>
      <c r="E3017" s="3">
        <v>0.975836431226762</v>
      </c>
      <c r="F3017" s="3">
        <v>0.97584222145226096</v>
      </c>
      <c r="G3017" s="3">
        <v>44.32687</v>
      </c>
      <c r="H3017" s="3">
        <v>1135.2526254664101</v>
      </c>
      <c r="I3017" s="3">
        <v>43.38</v>
      </c>
      <c r="J3017" s="3">
        <v>43.82</v>
      </c>
      <c r="K3017" s="3">
        <v>43.180100000000003</v>
      </c>
      <c r="L3017" s="3">
        <v>1111.0956425024001</v>
      </c>
    </row>
    <row r="3018" spans="1:12" ht="15" customHeight="1" x14ac:dyDescent="0.2">
      <c r="A3018" s="2">
        <v>41673</v>
      </c>
      <c r="B3018" s="3">
        <v>43.04</v>
      </c>
      <c r="C3018" s="1">
        <v>1577393</v>
      </c>
      <c r="D3018" s="3">
        <v>-1.5</v>
      </c>
      <c r="E3018" s="3">
        <v>-3.3677593174674398</v>
      </c>
      <c r="F3018" s="3">
        <v>-3.36776677626839</v>
      </c>
      <c r="G3018" s="3">
        <v>43.898490000000002</v>
      </c>
      <c r="H3018" s="3">
        <v>1123.3150011835</v>
      </c>
      <c r="I3018" s="3">
        <v>44.51</v>
      </c>
      <c r="J3018" s="3">
        <v>44.78</v>
      </c>
      <c r="K3018" s="3">
        <v>42.87</v>
      </c>
      <c r="L3018" s="3">
        <v>1099.3915428739799</v>
      </c>
    </row>
    <row r="3019" spans="1:12" ht="15" customHeight="1" x14ac:dyDescent="0.2">
      <c r="A3019" s="2">
        <v>41670</v>
      </c>
      <c r="B3019" s="3">
        <v>44.54</v>
      </c>
      <c r="C3019" s="1">
        <v>903693</v>
      </c>
      <c r="D3019" s="3">
        <v>-6.0000000000002197E-2</v>
      </c>
      <c r="E3019" s="3">
        <v>-0.134529147982065</v>
      </c>
      <c r="F3019" s="3">
        <v>-0.13451864442436401</v>
      </c>
      <c r="G3019" s="3">
        <v>45.428412999999999</v>
      </c>
      <c r="H3019" s="3">
        <v>1165.94921836399</v>
      </c>
      <c r="I3019" s="3">
        <v>43.93</v>
      </c>
      <c r="J3019" s="3">
        <v>44.854999999999997</v>
      </c>
      <c r="K3019" s="3">
        <v>43.48</v>
      </c>
      <c r="L3019" s="3">
        <v>1141.1918986897499</v>
      </c>
    </row>
    <row r="3020" spans="1:12" ht="15" customHeight="1" x14ac:dyDescent="0.2">
      <c r="A3020" s="2">
        <v>41669</v>
      </c>
      <c r="B3020" s="3">
        <v>44.6</v>
      </c>
      <c r="C3020" s="1">
        <v>471861</v>
      </c>
      <c r="D3020" s="3">
        <v>0.53000000000000103</v>
      </c>
      <c r="E3020" s="3">
        <v>1.2026321760834899</v>
      </c>
      <c r="F3020" s="3">
        <v>1.2026264589968001</v>
      </c>
      <c r="G3020" s="3">
        <v>45.489604999999997</v>
      </c>
      <c r="H3020" s="3">
        <v>1167.6544499460499</v>
      </c>
      <c r="I3020" s="3">
        <v>44.5</v>
      </c>
      <c r="J3020" s="3">
        <v>44.88</v>
      </c>
      <c r="K3020" s="3">
        <v>44.1965</v>
      </c>
      <c r="L3020" s="3">
        <v>1142.86391292239</v>
      </c>
    </row>
    <row r="3021" spans="1:12" ht="15" customHeight="1" x14ac:dyDescent="0.2">
      <c r="A3021" s="2">
        <v>41668</v>
      </c>
      <c r="B3021" s="3">
        <v>44.07</v>
      </c>
      <c r="C3021" s="1">
        <v>712295</v>
      </c>
      <c r="D3021" s="3">
        <v>-0.82</v>
      </c>
      <c r="E3021" s="3">
        <v>-1.82668745823123</v>
      </c>
      <c r="F3021" s="3">
        <v>-1.8266895732444599</v>
      </c>
      <c r="G3021" s="3">
        <v>44.949036</v>
      </c>
      <c r="H3021" s="3">
        <v>1152.59046558406</v>
      </c>
      <c r="I3021" s="3">
        <v>44.33</v>
      </c>
      <c r="J3021" s="3">
        <v>44.905000000000001</v>
      </c>
      <c r="K3021" s="3">
        <v>44.07</v>
      </c>
      <c r="L3021" s="3">
        <v>1128.0944538674801</v>
      </c>
    </row>
    <row r="3022" spans="1:12" ht="15" customHeight="1" x14ac:dyDescent="0.2">
      <c r="A3022" s="2">
        <v>41667</v>
      </c>
      <c r="B3022" s="3">
        <v>44.89</v>
      </c>
      <c r="C3022" s="1">
        <v>536749</v>
      </c>
      <c r="D3022" s="3">
        <v>0.41000000000000297</v>
      </c>
      <c r="E3022" s="3">
        <v>0.92176258992806503</v>
      </c>
      <c r="F3022" s="3">
        <v>0.92176477929635203</v>
      </c>
      <c r="G3022" s="3">
        <v>45.785392999999999</v>
      </c>
      <c r="H3022" s="3">
        <v>1175.8971457100699</v>
      </c>
      <c r="I3022" s="3">
        <v>44.64</v>
      </c>
      <c r="J3022" s="3">
        <v>45.07</v>
      </c>
      <c r="K3022" s="3">
        <v>44.47</v>
      </c>
      <c r="L3022" s="3">
        <v>1150.94531504677</v>
      </c>
    </row>
    <row r="3023" spans="1:12" ht="15" customHeight="1" x14ac:dyDescent="0.2">
      <c r="A3023" s="2">
        <v>41666</v>
      </c>
      <c r="B3023" s="3">
        <v>44.48</v>
      </c>
      <c r="C3023" s="1">
        <v>998632</v>
      </c>
      <c r="D3023" s="3">
        <v>-0.23000000000000301</v>
      </c>
      <c r="E3023" s="3">
        <v>-0.51442630284053104</v>
      </c>
      <c r="F3023" s="3">
        <v>-0.51442922114285305</v>
      </c>
      <c r="G3023" s="3">
        <v>45.367213999999997</v>
      </c>
      <c r="H3023" s="3">
        <v>1164.2437917136101</v>
      </c>
      <c r="I3023" s="3">
        <v>45.5</v>
      </c>
      <c r="J3023" s="3">
        <v>45.5</v>
      </c>
      <c r="K3023" s="3">
        <v>44.4</v>
      </c>
      <c r="L3023" s="3">
        <v>1139.51988445712</v>
      </c>
    </row>
    <row r="3024" spans="1:12" ht="15" customHeight="1" x14ac:dyDescent="0.2">
      <c r="A3024" s="2">
        <v>41663</v>
      </c>
      <c r="B3024" s="3">
        <v>44.71</v>
      </c>
      <c r="C3024" s="1">
        <v>1007257</v>
      </c>
      <c r="D3024" s="3">
        <v>-0.68999999999999695</v>
      </c>
      <c r="E3024" s="3">
        <v>-1.51982378854624</v>
      </c>
      <c r="F3024" s="3">
        <v>-1.51982164562727</v>
      </c>
      <c r="G3024" s="3">
        <v>45.601802999999997</v>
      </c>
      <c r="H3024" s="3">
        <v>1170.78106082726</v>
      </c>
      <c r="I3024" s="3">
        <v>45.1</v>
      </c>
      <c r="J3024" s="3">
        <v>45.43</v>
      </c>
      <c r="K3024" s="3">
        <v>44.64</v>
      </c>
      <c r="L3024" s="3">
        <v>1145.92927234888</v>
      </c>
    </row>
    <row r="3025" spans="1:12" ht="15" customHeight="1" x14ac:dyDescent="0.2">
      <c r="A3025" s="2">
        <v>41662</v>
      </c>
      <c r="B3025" s="3">
        <v>45.4</v>
      </c>
      <c r="C3025" s="1">
        <v>897869</v>
      </c>
      <c r="D3025" s="3">
        <v>-1.07</v>
      </c>
      <c r="E3025" s="3">
        <v>-2.3025607919087498</v>
      </c>
      <c r="F3025" s="3">
        <v>-2.3025615932583601</v>
      </c>
      <c r="G3025" s="3">
        <v>46.305565000000001</v>
      </c>
      <c r="H3025" s="3">
        <v>1190.3927288336699</v>
      </c>
      <c r="I3025" s="3">
        <v>46.15</v>
      </c>
      <c r="J3025" s="3">
        <v>46.6</v>
      </c>
      <c r="K3025" s="3">
        <v>45.37</v>
      </c>
      <c r="L3025" s="3">
        <v>1165.15743602413</v>
      </c>
    </row>
    <row r="3026" spans="1:12" ht="15" customHeight="1" x14ac:dyDescent="0.2">
      <c r="A3026" s="2">
        <v>41661</v>
      </c>
      <c r="B3026" s="3">
        <v>46.47</v>
      </c>
      <c r="C3026" s="1">
        <v>1722477</v>
      </c>
      <c r="D3026" s="3">
        <v>1.3699999999999899</v>
      </c>
      <c r="E3026" s="3">
        <v>3.03769401330376</v>
      </c>
      <c r="F3026" s="3">
        <v>3.0376973007144801</v>
      </c>
      <c r="G3026" s="3">
        <v>47.396908000000003</v>
      </c>
      <c r="H3026" s="3">
        <v>1220.80507931171</v>
      </c>
      <c r="I3026" s="3">
        <v>45.6</v>
      </c>
      <c r="J3026" s="3">
        <v>46.56</v>
      </c>
      <c r="K3026" s="3">
        <v>45.332500000000003</v>
      </c>
      <c r="L3026" s="3">
        <v>1194.9750231727201</v>
      </c>
    </row>
    <row r="3027" spans="1:12" ht="15" customHeight="1" x14ac:dyDescent="0.2">
      <c r="A3027" s="2">
        <v>41660</v>
      </c>
      <c r="B3027" s="3">
        <v>45.1</v>
      </c>
      <c r="C3027" s="1">
        <v>1613651</v>
      </c>
      <c r="D3027" s="3">
        <v>-4.9999999999997102E-2</v>
      </c>
      <c r="E3027" s="3">
        <v>-0.110741971207084</v>
      </c>
      <c r="F3027" s="3">
        <v>-0.110747790798715</v>
      </c>
      <c r="G3027" s="3">
        <v>45.999580000000002</v>
      </c>
      <c r="H3027" s="3">
        <v>1181.8658742508101</v>
      </c>
      <c r="I3027" s="3">
        <v>45.21</v>
      </c>
      <c r="J3027" s="3">
        <v>45.5</v>
      </c>
      <c r="K3027" s="3">
        <v>44.26</v>
      </c>
      <c r="L3027" s="3">
        <v>1156.79736486098</v>
      </c>
    </row>
    <row r="3028" spans="1:12" ht="15" customHeight="1" x14ac:dyDescent="0.2">
      <c r="A3028" s="2">
        <v>41656</v>
      </c>
      <c r="B3028" s="3">
        <v>45.15</v>
      </c>
      <c r="C3028" s="1">
        <v>1935283</v>
      </c>
      <c r="D3028" s="3">
        <v>-1.8299999999999901</v>
      </c>
      <c r="E3028" s="3">
        <v>-3.8952745849297501</v>
      </c>
      <c r="F3028" s="3">
        <v>-3.8952707468818999</v>
      </c>
      <c r="G3028" s="3">
        <v>46.050579999999997</v>
      </c>
      <c r="H3028" s="3">
        <v>1183.28708634855</v>
      </c>
      <c r="I3028" s="3">
        <v>45.9</v>
      </c>
      <c r="J3028" s="3">
        <v>46.18</v>
      </c>
      <c r="K3028" s="3">
        <v>44.97</v>
      </c>
      <c r="L3028" s="3">
        <v>1158.1907100548401</v>
      </c>
    </row>
    <row r="3029" spans="1:12" ht="15" customHeight="1" x14ac:dyDescent="0.2">
      <c r="A3029" s="2">
        <v>41655</v>
      </c>
      <c r="B3029" s="3">
        <v>46.98</v>
      </c>
      <c r="C3029" s="1">
        <v>742759</v>
      </c>
      <c r="D3029" s="3">
        <v>-0.53000000000000103</v>
      </c>
      <c r="E3029" s="3">
        <v>-1.11555462007998</v>
      </c>
      <c r="F3029" s="3">
        <v>-1.11555141448255</v>
      </c>
      <c r="G3029" s="3">
        <v>47.917079999999999</v>
      </c>
      <c r="H3029" s="3">
        <v>1235.30066243531</v>
      </c>
      <c r="I3029" s="3">
        <v>47.22</v>
      </c>
      <c r="J3029" s="3">
        <v>47.89</v>
      </c>
      <c r="K3029" s="3">
        <v>46.78</v>
      </c>
      <c r="L3029" s="3">
        <v>1209.18714415008</v>
      </c>
    </row>
    <row r="3030" spans="1:12" ht="15" customHeight="1" x14ac:dyDescent="0.2">
      <c r="A3030" s="2">
        <v>41654</v>
      </c>
      <c r="B3030" s="3">
        <v>47.51</v>
      </c>
      <c r="C3030" s="1">
        <v>281841</v>
      </c>
      <c r="D3030" s="3">
        <v>3.9999999999999099E-2</v>
      </c>
      <c r="E3030" s="3">
        <v>8.4263745523482897E-2</v>
      </c>
      <c r="F3030" s="3">
        <v>8.4257847809410202E-2</v>
      </c>
      <c r="G3030" s="3">
        <v>48.457650000000001</v>
      </c>
      <c r="H3030" s="3">
        <v>1250.3646746642</v>
      </c>
      <c r="I3030" s="3">
        <v>47.51</v>
      </c>
      <c r="J3030" s="3">
        <v>48</v>
      </c>
      <c r="K3030" s="3">
        <v>47.31</v>
      </c>
      <c r="L3030" s="3">
        <v>1223.95660320499</v>
      </c>
    </row>
    <row r="3031" spans="1:12" ht="15" customHeight="1" x14ac:dyDescent="0.2">
      <c r="A3031" s="2">
        <v>41653</v>
      </c>
      <c r="B3031" s="3">
        <v>47.47</v>
      </c>
      <c r="C3031" s="1">
        <v>483974</v>
      </c>
      <c r="D3031" s="3">
        <v>0.57999999999999796</v>
      </c>
      <c r="E3031" s="3">
        <v>1.2369375133290701</v>
      </c>
      <c r="F3031" s="3">
        <v>1.2369440657570001</v>
      </c>
      <c r="G3031" s="3">
        <v>48.416854999999998</v>
      </c>
      <c r="H3031" s="3">
        <v>1249.22784432053</v>
      </c>
      <c r="I3031" s="3">
        <v>47.05</v>
      </c>
      <c r="J3031" s="3">
        <v>47.7</v>
      </c>
      <c r="K3031" s="3">
        <v>46.93</v>
      </c>
      <c r="L3031" s="3">
        <v>1222.8419270499001</v>
      </c>
    </row>
    <row r="3032" spans="1:12" ht="15" customHeight="1" x14ac:dyDescent="0.2">
      <c r="A3032" s="2">
        <v>41652</v>
      </c>
      <c r="B3032" s="3">
        <v>46.89</v>
      </c>
      <c r="C3032" s="1">
        <v>503678</v>
      </c>
      <c r="D3032" s="3">
        <v>-0.57999999999999796</v>
      </c>
      <c r="E3032" s="3">
        <v>-1.2218243100905799</v>
      </c>
      <c r="F3032" s="3">
        <v>-1.22183070337799</v>
      </c>
      <c r="G3032" s="3">
        <v>47.825282999999999</v>
      </c>
      <c r="H3032" s="3">
        <v>1232.7425642600999</v>
      </c>
      <c r="I3032" s="3">
        <v>47.43</v>
      </c>
      <c r="J3032" s="3">
        <v>47.66</v>
      </c>
      <c r="K3032" s="3">
        <v>46.69</v>
      </c>
      <c r="L3032" s="3">
        <v>1206.67912280114</v>
      </c>
    </row>
    <row r="3033" spans="1:12" ht="15" customHeight="1" x14ac:dyDescent="0.2">
      <c r="A3033" s="2">
        <v>41649</v>
      </c>
      <c r="B3033" s="3">
        <v>47.47</v>
      </c>
      <c r="C3033" s="1">
        <v>383848</v>
      </c>
      <c r="D3033" s="3">
        <v>1.9999999999996E-2</v>
      </c>
      <c r="E3033" s="3">
        <v>4.2149631190713202E-2</v>
      </c>
      <c r="F3033" s="3">
        <v>4.2145646278490802E-2</v>
      </c>
      <c r="G3033" s="3">
        <v>48.416854999999998</v>
      </c>
      <c r="H3033" s="3">
        <v>1249.22784432053</v>
      </c>
      <c r="I3033" s="3">
        <v>47.82</v>
      </c>
      <c r="J3033" s="3">
        <v>48.009900000000002</v>
      </c>
      <c r="K3033" s="3">
        <v>47.26</v>
      </c>
      <c r="L3033" s="3">
        <v>1222.8419270499001</v>
      </c>
    </row>
    <row r="3034" spans="1:12" ht="15" customHeight="1" x14ac:dyDescent="0.2">
      <c r="A3034" s="2">
        <v>41648</v>
      </c>
      <c r="B3034" s="3">
        <v>47.45</v>
      </c>
      <c r="C3034" s="1">
        <v>416028</v>
      </c>
      <c r="D3034" s="3">
        <v>0.220000000000005</v>
      </c>
      <c r="E3034" s="3">
        <v>0.465805632013571</v>
      </c>
      <c r="F3034" s="3">
        <v>0.46581352769881001</v>
      </c>
      <c r="G3034" s="3">
        <v>48.396458000000003</v>
      </c>
      <c r="H3034" s="3">
        <v>1248.6594430821499</v>
      </c>
      <c r="I3034" s="3">
        <v>47.24</v>
      </c>
      <c r="J3034" s="3">
        <v>47.62</v>
      </c>
      <c r="K3034" s="3">
        <v>47.094999999999999</v>
      </c>
      <c r="L3034" s="3">
        <v>1222.2845889723601</v>
      </c>
    </row>
    <row r="3035" spans="1:12" ht="15" customHeight="1" x14ac:dyDescent="0.2">
      <c r="A3035" s="2">
        <v>41647</v>
      </c>
      <c r="B3035" s="3">
        <v>47.23</v>
      </c>
      <c r="C3035" s="1">
        <v>821057</v>
      </c>
      <c r="D3035" s="3">
        <v>-0.310000000000002</v>
      </c>
      <c r="E3035" s="3">
        <v>-0.65208245687842203</v>
      </c>
      <c r="F3035" s="3">
        <v>-0.65208375224925497</v>
      </c>
      <c r="G3035" s="3">
        <v>48.172066000000001</v>
      </c>
      <c r="H3035" s="3">
        <v>1242.40633278734</v>
      </c>
      <c r="I3035" s="3">
        <v>47.83</v>
      </c>
      <c r="J3035" s="3">
        <v>48.009</v>
      </c>
      <c r="K3035" s="3">
        <v>47.09</v>
      </c>
      <c r="L3035" s="3">
        <v>1216.1538701193799</v>
      </c>
    </row>
    <row r="3036" spans="1:12" ht="15" customHeight="1" x14ac:dyDescent="0.2">
      <c r="A3036" s="2">
        <v>41646</v>
      </c>
      <c r="B3036" s="3">
        <v>47.54</v>
      </c>
      <c r="C3036" s="1">
        <v>296267</v>
      </c>
      <c r="D3036" s="3">
        <v>0.39</v>
      </c>
      <c r="E3036" s="3">
        <v>0.82714740190881197</v>
      </c>
      <c r="F3036" s="3">
        <v>0.82714303932922495</v>
      </c>
      <c r="G3036" s="3">
        <v>48.488250000000001</v>
      </c>
      <c r="H3036" s="3">
        <v>1251.2174019228401</v>
      </c>
      <c r="I3036" s="3">
        <v>47.26</v>
      </c>
      <c r="J3036" s="3">
        <v>47.88</v>
      </c>
      <c r="K3036" s="3">
        <v>47.26</v>
      </c>
      <c r="L3036" s="3">
        <v>1224.7926103213099</v>
      </c>
    </row>
    <row r="3037" spans="1:12" ht="15" customHeight="1" x14ac:dyDescent="0.2">
      <c r="A3037" s="2">
        <v>41645</v>
      </c>
      <c r="B3037" s="3">
        <v>47.15</v>
      </c>
      <c r="C3037" s="1">
        <v>337322</v>
      </c>
      <c r="D3037" s="3">
        <v>-0.55000000000000404</v>
      </c>
      <c r="E3037" s="3">
        <v>-1.1530398322851101</v>
      </c>
      <c r="F3037" s="3">
        <v>-1.15303877009361</v>
      </c>
      <c r="G3037" s="3">
        <v>48.090473000000003</v>
      </c>
      <c r="H3037" s="3">
        <v>1240.13258849929</v>
      </c>
      <c r="I3037" s="3">
        <v>47.73</v>
      </c>
      <c r="J3037" s="3">
        <v>47.86</v>
      </c>
      <c r="K3037" s="3">
        <v>47.12</v>
      </c>
      <c r="L3037" s="3">
        <v>1213.9245178092001</v>
      </c>
    </row>
    <row r="3038" spans="1:12" ht="15" customHeight="1" x14ac:dyDescent="0.2">
      <c r="A3038" s="2">
        <v>41642</v>
      </c>
      <c r="B3038" s="3">
        <v>47.7</v>
      </c>
      <c r="C3038" s="1">
        <v>324661</v>
      </c>
      <c r="D3038" s="3">
        <v>-7.0000000000000201E-2</v>
      </c>
      <c r="E3038" s="3">
        <v>-0.14653548252041501</v>
      </c>
      <c r="F3038" s="3">
        <v>-0.14653702452483899</v>
      </c>
      <c r="G3038" s="3">
        <v>48.651443</v>
      </c>
      <c r="H3038" s="3">
        <v>1255.76508556727</v>
      </c>
      <c r="I3038" s="3">
        <v>47.79</v>
      </c>
      <c r="J3038" s="3">
        <v>48.19</v>
      </c>
      <c r="K3038" s="3">
        <v>47.55</v>
      </c>
      <c r="L3038" s="3">
        <v>1229.25131494165</v>
      </c>
    </row>
    <row r="3039" spans="1:12" ht="15" customHeight="1" x14ac:dyDescent="0.2">
      <c r="A3039" s="2">
        <v>41641</v>
      </c>
      <c r="B3039" s="3">
        <v>47.77</v>
      </c>
      <c r="C3039" s="1">
        <v>391216</v>
      </c>
      <c r="D3039" s="3">
        <v>-0.5</v>
      </c>
      <c r="E3039" s="3">
        <v>-1.0358400662937599</v>
      </c>
      <c r="F3039" s="3">
        <v>-1.03583362395931</v>
      </c>
      <c r="G3039" s="3">
        <v>48.722839999999998</v>
      </c>
      <c r="H3039" s="3">
        <v>1257.7546989033899</v>
      </c>
      <c r="I3039" s="3">
        <v>48.3</v>
      </c>
      <c r="J3039" s="3">
        <v>48.3</v>
      </c>
      <c r="K3039" s="3">
        <v>47.53</v>
      </c>
      <c r="L3039" s="3">
        <v>1231.2019982130601</v>
      </c>
    </row>
    <row r="3040" spans="1:12" ht="15" customHeight="1" x14ac:dyDescent="0.2">
      <c r="A3040" s="2">
        <v>41639</v>
      </c>
      <c r="B3040" s="3">
        <v>48.27</v>
      </c>
      <c r="C3040" s="1">
        <v>374818</v>
      </c>
      <c r="D3040" s="3">
        <v>-0.15999999999999601</v>
      </c>
      <c r="E3040" s="3">
        <v>-0.33037373528803599</v>
      </c>
      <c r="F3040" s="3">
        <v>-0.33037895130140199</v>
      </c>
      <c r="G3040" s="3">
        <v>49.232810000000001</v>
      </c>
      <c r="H3040" s="3">
        <v>1271.96598387364</v>
      </c>
      <c r="I3040" s="3">
        <v>48.36</v>
      </c>
      <c r="J3040" s="3">
        <v>48.619900000000001</v>
      </c>
      <c r="K3040" s="3">
        <v>48.25</v>
      </c>
      <c r="L3040" s="3">
        <v>1245.13545015165</v>
      </c>
    </row>
    <row r="3041" spans="1:12" ht="15" customHeight="1" x14ac:dyDescent="0.2">
      <c r="A3041" s="2">
        <v>41638</v>
      </c>
      <c r="B3041" s="3">
        <v>48.43</v>
      </c>
      <c r="C3041" s="1">
        <v>356768</v>
      </c>
      <c r="D3041" s="3">
        <v>-0.160000000000003</v>
      </c>
      <c r="E3041" s="3">
        <v>-0.32928586128834197</v>
      </c>
      <c r="F3041" s="3">
        <v>-0.32928098728323102</v>
      </c>
      <c r="G3041" s="3">
        <v>49.396003999999998</v>
      </c>
      <c r="H3041" s="3">
        <v>1276.5136953849701</v>
      </c>
      <c r="I3041" s="3">
        <v>48.44</v>
      </c>
      <c r="J3041" s="3">
        <v>48.68</v>
      </c>
      <c r="K3041" s="3">
        <v>48.27</v>
      </c>
      <c r="L3041" s="3">
        <v>1249.5941547719999</v>
      </c>
    </row>
    <row r="3042" spans="1:12" ht="15" customHeight="1" x14ac:dyDescent="0.2">
      <c r="A3042" s="2">
        <v>41635</v>
      </c>
      <c r="B3042" s="3">
        <v>48.59</v>
      </c>
      <c r="C3042" s="1">
        <v>413881</v>
      </c>
      <c r="D3042" s="3">
        <v>-2.9999999999994E-2</v>
      </c>
      <c r="E3042" s="3">
        <v>-6.1703002879465098E-2</v>
      </c>
      <c r="F3042" s="3">
        <v>-6.1700200787295698E-2</v>
      </c>
      <c r="G3042" s="3">
        <v>49.559193</v>
      </c>
      <c r="H3042" s="3">
        <v>1281.0612675617899</v>
      </c>
      <c r="I3042" s="3">
        <v>48.8</v>
      </c>
      <c r="J3042" s="3">
        <v>48.8</v>
      </c>
      <c r="K3042" s="3">
        <v>48.43</v>
      </c>
      <c r="L3042" s="3">
        <v>1254.05285939235</v>
      </c>
    </row>
    <row r="3043" spans="1:12" ht="15" customHeight="1" x14ac:dyDescent="0.2">
      <c r="A3043" s="2">
        <v>41634</v>
      </c>
      <c r="B3043" s="3">
        <v>48.62</v>
      </c>
      <c r="C3043" s="1">
        <v>352693</v>
      </c>
      <c r="D3043" s="3">
        <v>7.0000000000000201E-2</v>
      </c>
      <c r="E3043" s="3">
        <v>0.14418125643667001</v>
      </c>
      <c r="F3043" s="3">
        <v>0.14418076644409</v>
      </c>
      <c r="G3043" s="3">
        <v>49.589790000000001</v>
      </c>
      <c r="H3043" s="3">
        <v>1281.9139112197199</v>
      </c>
      <c r="I3043" s="3">
        <v>48.79</v>
      </c>
      <c r="J3043" s="3">
        <v>48.93</v>
      </c>
      <c r="K3043" s="3">
        <v>48.56</v>
      </c>
      <c r="L3043" s="3">
        <v>1254.8888665086599</v>
      </c>
    </row>
    <row r="3044" spans="1:12" ht="15" customHeight="1" x14ac:dyDescent="0.2">
      <c r="A3044" s="2">
        <v>41632</v>
      </c>
      <c r="B3044" s="3">
        <v>48.55</v>
      </c>
      <c r="C3044" s="1">
        <v>341605</v>
      </c>
      <c r="D3044" s="3">
        <v>-0.30000000000000399</v>
      </c>
      <c r="E3044" s="3">
        <v>-0.61412487205733102</v>
      </c>
      <c r="F3044" s="3">
        <v>-0.61412906693469804</v>
      </c>
      <c r="G3044" s="3">
        <v>49.518394000000001</v>
      </c>
      <c r="H3044" s="3">
        <v>1279.9243257505</v>
      </c>
      <c r="I3044" s="3">
        <v>48.85</v>
      </c>
      <c r="J3044" s="3">
        <v>48.85</v>
      </c>
      <c r="K3044" s="3">
        <v>48.42</v>
      </c>
      <c r="L3044" s="3">
        <v>1252.9381832372601</v>
      </c>
    </row>
    <row r="3045" spans="1:12" ht="15" customHeight="1" x14ac:dyDescent="0.2">
      <c r="A3045" s="2">
        <v>41631</v>
      </c>
      <c r="B3045" s="3">
        <v>48.85</v>
      </c>
      <c r="C3045" s="1">
        <v>484535</v>
      </c>
      <c r="D3045" s="3">
        <v>0.48000000000000398</v>
      </c>
      <c r="E3045" s="3">
        <v>0.99235063055613804</v>
      </c>
      <c r="F3045" s="3">
        <v>0.99235215381918696</v>
      </c>
      <c r="G3045" s="3">
        <v>49.824379999999998</v>
      </c>
      <c r="H3045" s="3">
        <v>1288.45120820027</v>
      </c>
      <c r="I3045" s="3">
        <v>48.7</v>
      </c>
      <c r="J3045" s="3">
        <v>48.85</v>
      </c>
      <c r="K3045" s="3">
        <v>48.39</v>
      </c>
      <c r="L3045" s="3">
        <v>1261.2982544004201</v>
      </c>
    </row>
    <row r="3046" spans="1:12" ht="15" customHeight="1" x14ac:dyDescent="0.2">
      <c r="A3046" s="2">
        <v>41628</v>
      </c>
      <c r="B3046" s="3">
        <v>48.37</v>
      </c>
      <c r="C3046" s="1">
        <v>1217797</v>
      </c>
      <c r="D3046" s="3">
        <v>0.76999999999999602</v>
      </c>
      <c r="E3046" s="3">
        <v>1.6176470588235199</v>
      </c>
      <c r="F3046" s="3">
        <v>1.61764770704078</v>
      </c>
      <c r="G3046" s="3">
        <v>49.334805000000003</v>
      </c>
      <c r="H3046" s="3">
        <v>1274.80826873459</v>
      </c>
      <c r="I3046" s="3">
        <v>47.59</v>
      </c>
      <c r="J3046" s="3">
        <v>48.45</v>
      </c>
      <c r="K3046" s="3">
        <v>47.3</v>
      </c>
      <c r="L3046" s="3">
        <v>1247.92214053937</v>
      </c>
    </row>
    <row r="3047" spans="1:12" ht="15" customHeight="1" x14ac:dyDescent="0.2">
      <c r="A3047" s="2">
        <v>41627</v>
      </c>
      <c r="B3047" s="3">
        <v>47.6</v>
      </c>
      <c r="C3047" s="1">
        <v>677500</v>
      </c>
      <c r="D3047" s="3">
        <v>-0.93999999999999695</v>
      </c>
      <c r="E3047" s="3">
        <v>-1.9365471775854901</v>
      </c>
      <c r="F3047" s="3">
        <v>-1.9365520029632199</v>
      </c>
      <c r="G3047" s="3">
        <v>48.549446000000003</v>
      </c>
      <c r="H3047" s="3">
        <v>1252.9227449725099</v>
      </c>
      <c r="I3047" s="3">
        <v>48.58</v>
      </c>
      <c r="J3047" s="3">
        <v>48.6</v>
      </c>
      <c r="K3047" s="3">
        <v>47.34</v>
      </c>
      <c r="L3047" s="3">
        <v>1226.46462455394</v>
      </c>
    </row>
    <row r="3048" spans="1:12" ht="15" customHeight="1" x14ac:dyDescent="0.2">
      <c r="A3048" s="2">
        <v>41626</v>
      </c>
      <c r="B3048" s="3">
        <v>48.54</v>
      </c>
      <c r="C3048" s="1">
        <v>666682</v>
      </c>
      <c r="D3048" s="3">
        <v>0.75999999999999801</v>
      </c>
      <c r="E3048" s="3">
        <v>1.5906236919213099</v>
      </c>
      <c r="F3048" s="3">
        <v>1.5906294038401301</v>
      </c>
      <c r="G3048" s="3">
        <v>49.508198</v>
      </c>
      <c r="H3048" s="3">
        <v>1279.6401947985701</v>
      </c>
      <c r="I3048" s="3">
        <v>47.87</v>
      </c>
      <c r="J3048" s="3">
        <v>48.56</v>
      </c>
      <c r="K3048" s="3">
        <v>47.41</v>
      </c>
      <c r="L3048" s="3">
        <v>1252.6595141984899</v>
      </c>
    </row>
    <row r="3049" spans="1:12" ht="15" customHeight="1" x14ac:dyDescent="0.2">
      <c r="A3049" s="2">
        <v>41625</v>
      </c>
      <c r="B3049" s="3">
        <v>47.78</v>
      </c>
      <c r="C3049" s="1">
        <v>553345</v>
      </c>
      <c r="D3049" s="3">
        <v>-0.21</v>
      </c>
      <c r="E3049" s="3">
        <v>-0.43759116482601201</v>
      </c>
      <c r="F3049" s="3">
        <v>-0.43759578045146003</v>
      </c>
      <c r="G3049" s="3">
        <v>48.733035999999998</v>
      </c>
      <c r="H3049" s="3">
        <v>1258.0388298553301</v>
      </c>
      <c r="I3049" s="3">
        <v>48.05</v>
      </c>
      <c r="J3049" s="3">
        <v>48.21</v>
      </c>
      <c r="K3049" s="3">
        <v>47.31</v>
      </c>
      <c r="L3049" s="3">
        <v>1231.48066725183</v>
      </c>
    </row>
    <row r="3050" spans="1:12" ht="15" customHeight="1" x14ac:dyDescent="0.2">
      <c r="A3050" s="2">
        <v>41624</v>
      </c>
      <c r="B3050" s="3">
        <v>47.99</v>
      </c>
      <c r="C3050" s="1">
        <v>429003</v>
      </c>
      <c r="D3050" s="3">
        <v>0.66000000000000303</v>
      </c>
      <c r="E3050" s="3">
        <v>1.3944643989013401</v>
      </c>
      <c r="F3050" s="3">
        <v>1.3944631095169999</v>
      </c>
      <c r="G3050" s="3">
        <v>48.947226999999998</v>
      </c>
      <c r="H3050" s="3">
        <v>1264.0076698636799</v>
      </c>
      <c r="I3050" s="3">
        <v>47.43</v>
      </c>
      <c r="J3050" s="3">
        <v>48.05</v>
      </c>
      <c r="K3050" s="3">
        <v>47.41</v>
      </c>
      <c r="L3050" s="3">
        <v>1237.33271706604</v>
      </c>
    </row>
    <row r="3051" spans="1:12" ht="15" customHeight="1" x14ac:dyDescent="0.2">
      <c r="A3051" s="2">
        <v>41621</v>
      </c>
      <c r="B3051" s="3">
        <v>47.33</v>
      </c>
      <c r="C3051" s="1">
        <v>481855</v>
      </c>
      <c r="D3051" s="3">
        <v>-0.32</v>
      </c>
      <c r="E3051" s="3">
        <v>-0.67156348373557095</v>
      </c>
      <c r="F3051" s="3">
        <v>-0.67156175216091996</v>
      </c>
      <c r="G3051" s="3">
        <v>48.274062999999998</v>
      </c>
      <c r="H3051" s="3">
        <v>1245.2486733820999</v>
      </c>
      <c r="I3051" s="3">
        <v>47.66</v>
      </c>
      <c r="J3051" s="3">
        <v>47.81</v>
      </c>
      <c r="K3051" s="3">
        <v>47.27</v>
      </c>
      <c r="L3051" s="3">
        <v>1218.9405605070999</v>
      </c>
    </row>
    <row r="3052" spans="1:12" ht="15" customHeight="1" x14ac:dyDescent="0.2">
      <c r="A3052" s="2">
        <v>41620</v>
      </c>
      <c r="B3052" s="3">
        <v>47.65</v>
      </c>
      <c r="C3052" s="1">
        <v>640148</v>
      </c>
      <c r="D3052" s="3">
        <v>-0.34000000000000302</v>
      </c>
      <c r="E3052" s="3">
        <v>-0.70848093352782104</v>
      </c>
      <c r="F3052" s="3">
        <v>-0.70848140181668495</v>
      </c>
      <c r="G3052" s="3">
        <v>48.600445000000001</v>
      </c>
      <c r="H3052" s="3">
        <v>1254.3439292033499</v>
      </c>
      <c r="I3052" s="3">
        <v>48.18</v>
      </c>
      <c r="J3052" s="3">
        <v>48.18</v>
      </c>
      <c r="K3052" s="3">
        <v>47.56</v>
      </c>
      <c r="L3052" s="3">
        <v>1227.8579697478001</v>
      </c>
    </row>
    <row r="3053" spans="1:12" ht="15" customHeight="1" x14ac:dyDescent="0.2">
      <c r="A3053" s="2">
        <v>41619</v>
      </c>
      <c r="B3053" s="3">
        <v>47.99</v>
      </c>
      <c r="C3053" s="1">
        <v>562226</v>
      </c>
      <c r="D3053" s="3">
        <v>3.9999999999999099E-2</v>
      </c>
      <c r="E3053" s="3">
        <v>8.3420229405639604E-2</v>
      </c>
      <c r="F3053" s="3">
        <v>8.3418478919838807E-2</v>
      </c>
      <c r="G3053" s="3">
        <v>48.947226999999998</v>
      </c>
      <c r="H3053" s="3">
        <v>1264.0076698636799</v>
      </c>
      <c r="I3053" s="3">
        <v>47.87</v>
      </c>
      <c r="J3053" s="3">
        <v>48.14</v>
      </c>
      <c r="K3053" s="3">
        <v>47.48</v>
      </c>
      <c r="L3053" s="3">
        <v>1237.33271706604</v>
      </c>
    </row>
    <row r="3054" spans="1:12" ht="15" customHeight="1" x14ac:dyDescent="0.2">
      <c r="A3054" s="2">
        <v>41618</v>
      </c>
      <c r="B3054" s="3">
        <v>47.95</v>
      </c>
      <c r="C3054" s="1">
        <v>588607</v>
      </c>
      <c r="D3054" s="3">
        <v>-0.78999999999999904</v>
      </c>
      <c r="E3054" s="3">
        <v>-1.6208453016003199</v>
      </c>
      <c r="F3054" s="3">
        <v>-1.6208499364039199</v>
      </c>
      <c r="G3054" s="3">
        <v>48.90643</v>
      </c>
      <c r="H3054" s="3">
        <v>1262.87078378621</v>
      </c>
      <c r="I3054" s="3">
        <v>48.76</v>
      </c>
      <c r="J3054" s="3">
        <v>48.84</v>
      </c>
      <c r="K3054" s="3">
        <v>47.95</v>
      </c>
      <c r="L3054" s="3">
        <v>1236.2180409109501</v>
      </c>
    </row>
    <row r="3055" spans="1:12" ht="15" customHeight="1" x14ac:dyDescent="0.2">
      <c r="A3055" s="2">
        <v>41617</v>
      </c>
      <c r="B3055" s="3">
        <v>48.74</v>
      </c>
      <c r="C3055" s="1">
        <v>524028</v>
      </c>
      <c r="D3055" s="3">
        <v>0.25</v>
      </c>
      <c r="E3055" s="3">
        <v>0.51557022066406299</v>
      </c>
      <c r="F3055" s="3">
        <v>0.51557100792780597</v>
      </c>
      <c r="G3055" s="3">
        <v>49.71219</v>
      </c>
      <c r="H3055" s="3">
        <v>1285.32482025429</v>
      </c>
      <c r="I3055" s="3">
        <v>48.5</v>
      </c>
      <c r="J3055" s="3">
        <v>48.84</v>
      </c>
      <c r="K3055" s="3">
        <v>48.5</v>
      </c>
      <c r="L3055" s="3">
        <v>1258.2328949739299</v>
      </c>
    </row>
    <row r="3056" spans="1:12" ht="15" customHeight="1" x14ac:dyDescent="0.2">
      <c r="A3056" s="2">
        <v>41614</v>
      </c>
      <c r="B3056" s="3">
        <v>48.49</v>
      </c>
      <c r="C3056" s="1">
        <v>399294</v>
      </c>
      <c r="D3056" s="3">
        <v>0.49000000000000199</v>
      </c>
      <c r="E3056" s="3">
        <v>1.0208333333333299</v>
      </c>
      <c r="F3056" s="3">
        <v>1.0208441522576699</v>
      </c>
      <c r="G3056" s="3">
        <v>49.457203</v>
      </c>
      <c r="H3056" s="3">
        <v>1278.21912203535</v>
      </c>
      <c r="I3056" s="3">
        <v>48.51</v>
      </c>
      <c r="J3056" s="3">
        <v>49</v>
      </c>
      <c r="K3056" s="3">
        <v>48.325000000000003</v>
      </c>
      <c r="L3056" s="3">
        <v>1251.26616900463</v>
      </c>
    </row>
    <row r="3057" spans="1:12" ht="15" customHeight="1" x14ac:dyDescent="0.2">
      <c r="A3057" s="2">
        <v>41613</v>
      </c>
      <c r="B3057" s="3">
        <v>48</v>
      </c>
      <c r="C3057" s="1">
        <v>382181</v>
      </c>
      <c r="D3057" s="3">
        <v>0.17000000000000101</v>
      </c>
      <c r="E3057" s="3">
        <v>0.35542546518920698</v>
      </c>
      <c r="F3057" s="3">
        <v>0.35541131894776201</v>
      </c>
      <c r="G3057" s="3">
        <v>48.957424000000003</v>
      </c>
      <c r="H3057" s="3">
        <v>1264.29182868252</v>
      </c>
      <c r="I3057" s="3">
        <v>47.69</v>
      </c>
      <c r="J3057" s="3">
        <v>48.34</v>
      </c>
      <c r="K3057" s="3">
        <v>47.564999999999998</v>
      </c>
      <c r="L3057" s="3">
        <v>1237.61138610481</v>
      </c>
    </row>
    <row r="3058" spans="1:12" ht="15" customHeight="1" x14ac:dyDescent="0.2">
      <c r="A3058" s="2">
        <v>41612</v>
      </c>
      <c r="B3058" s="3">
        <v>47.83</v>
      </c>
      <c r="C3058" s="1">
        <v>345977</v>
      </c>
      <c r="D3058" s="3">
        <v>-3.0000000000001099E-2</v>
      </c>
      <c r="E3058" s="3">
        <v>-6.2682824905979595E-2</v>
      </c>
      <c r="F3058" s="3">
        <v>-6.2669733943720995E-2</v>
      </c>
      <c r="G3058" s="3">
        <v>48.784039999999997</v>
      </c>
      <c r="H3058" s="3">
        <v>1259.4601534206799</v>
      </c>
      <c r="I3058" s="3">
        <v>47.75</v>
      </c>
      <c r="J3058" s="3">
        <v>48.23</v>
      </c>
      <c r="K3058" s="3">
        <v>47.488300000000002</v>
      </c>
      <c r="L3058" s="3">
        <v>1232.8740124456899</v>
      </c>
    </row>
    <row r="3059" spans="1:12" ht="15" customHeight="1" x14ac:dyDescent="0.2">
      <c r="A3059" s="2">
        <v>41611</v>
      </c>
      <c r="B3059" s="3">
        <v>47.86</v>
      </c>
      <c r="C3059" s="1">
        <v>799733</v>
      </c>
      <c r="D3059" s="3">
        <v>-0.20000000000000201</v>
      </c>
      <c r="E3059" s="3">
        <v>-0.41614648356221801</v>
      </c>
      <c r="F3059" s="3">
        <v>-0.41615000078643</v>
      </c>
      <c r="G3059" s="3">
        <v>48.814632000000003</v>
      </c>
      <c r="H3059" s="3">
        <v>1260.3126577440901</v>
      </c>
      <c r="I3059" s="3">
        <v>47.97</v>
      </c>
      <c r="J3059" s="3">
        <v>48.21</v>
      </c>
      <c r="K3059" s="3">
        <v>47.58</v>
      </c>
      <c r="L3059" s="3">
        <v>1233.7100195620001</v>
      </c>
    </row>
    <row r="3060" spans="1:12" ht="15" customHeight="1" x14ac:dyDescent="0.2">
      <c r="A3060" s="2">
        <v>41610</v>
      </c>
      <c r="B3060" s="3">
        <v>48.06</v>
      </c>
      <c r="C3060" s="1">
        <v>529550</v>
      </c>
      <c r="D3060" s="3">
        <v>-0.68999999999999695</v>
      </c>
      <c r="E3060" s="3">
        <v>-1.4153846153845999</v>
      </c>
      <c r="F3060" s="3">
        <v>-1.41538262897084</v>
      </c>
      <c r="G3060" s="3">
        <v>49.018622999999998</v>
      </c>
      <c r="H3060" s="3">
        <v>1265.9972553329001</v>
      </c>
      <c r="I3060" s="3">
        <v>48.5</v>
      </c>
      <c r="J3060" s="3">
        <v>48.57</v>
      </c>
      <c r="K3060" s="3">
        <v>47.98</v>
      </c>
      <c r="L3060" s="3">
        <v>1239.2834003374401</v>
      </c>
    </row>
    <row r="3061" spans="1:12" ht="15" customHeight="1" x14ac:dyDescent="0.2">
      <c r="A3061" s="2">
        <v>41607</v>
      </c>
      <c r="B3061" s="3">
        <v>48.75</v>
      </c>
      <c r="C3061" s="1">
        <v>140491</v>
      </c>
      <c r="D3061" s="3">
        <v>-0.22999999999999601</v>
      </c>
      <c r="E3061" s="3">
        <v>-0.46957942017149501</v>
      </c>
      <c r="F3061" s="3">
        <v>-0.46958208477558799</v>
      </c>
      <c r="G3061" s="3">
        <v>49.722385000000003</v>
      </c>
      <c r="H3061" s="3">
        <v>1285.60892333931</v>
      </c>
      <c r="I3061" s="3">
        <v>49.2</v>
      </c>
      <c r="J3061" s="3">
        <v>49.29</v>
      </c>
      <c r="K3061" s="3">
        <v>48.57</v>
      </c>
      <c r="L3061" s="3">
        <v>1258.5115640127001</v>
      </c>
    </row>
    <row r="3062" spans="1:12" ht="15" customHeight="1" x14ac:dyDescent="0.2">
      <c r="A3062" s="2">
        <v>41605</v>
      </c>
      <c r="B3062" s="3">
        <v>48.98</v>
      </c>
      <c r="C3062" s="1">
        <v>293800</v>
      </c>
      <c r="D3062" s="3">
        <v>0.239999999999994</v>
      </c>
      <c r="E3062" s="3">
        <v>0.49240869922033598</v>
      </c>
      <c r="F3062" s="3">
        <v>0.49240236650205299</v>
      </c>
      <c r="G3062" s="3">
        <v>49.956974000000002</v>
      </c>
      <c r="H3062" s="3">
        <v>1292.1461924529599</v>
      </c>
      <c r="I3062" s="3">
        <v>48.89</v>
      </c>
      <c r="J3062" s="3">
        <v>49.1</v>
      </c>
      <c r="K3062" s="3">
        <v>48.6</v>
      </c>
      <c r="L3062" s="3">
        <v>1264.92095190445</v>
      </c>
    </row>
    <row r="3063" spans="1:12" ht="15" customHeight="1" x14ac:dyDescent="0.2">
      <c r="A3063" s="2">
        <v>41604</v>
      </c>
      <c r="B3063" s="3">
        <v>48.74</v>
      </c>
      <c r="C3063" s="1">
        <v>379148</v>
      </c>
      <c r="D3063" s="3">
        <v>-0.42999999999999899</v>
      </c>
      <c r="E3063" s="3">
        <v>-0.87451698189953098</v>
      </c>
      <c r="F3063" s="3">
        <v>-0.87450319795750997</v>
      </c>
      <c r="G3063" s="3">
        <v>49.71219</v>
      </c>
      <c r="H3063" s="3">
        <v>1285.32482025429</v>
      </c>
      <c r="I3063" s="3">
        <v>49.3</v>
      </c>
      <c r="J3063" s="3">
        <v>49.3</v>
      </c>
      <c r="K3063" s="3">
        <v>48.5</v>
      </c>
      <c r="L3063" s="3">
        <v>1258.2328949739299</v>
      </c>
    </row>
    <row r="3064" spans="1:12" ht="15" customHeight="1" x14ac:dyDescent="0.2">
      <c r="A3064" s="2">
        <v>41603</v>
      </c>
      <c r="B3064" s="3">
        <v>49.17</v>
      </c>
      <c r="C3064" s="1">
        <v>480406</v>
      </c>
      <c r="D3064" s="3">
        <v>-0.26999999999999602</v>
      </c>
      <c r="E3064" s="3">
        <v>-0.54611650485436503</v>
      </c>
      <c r="F3064" s="3">
        <v>-0.54611945663823802</v>
      </c>
      <c r="G3064" s="3">
        <v>50.150759999999998</v>
      </c>
      <c r="H3064" s="3">
        <v>1297.5464082876999</v>
      </c>
      <c r="I3064" s="3">
        <v>49.55</v>
      </c>
      <c r="J3064" s="3">
        <v>49.727499999999999</v>
      </c>
      <c r="K3064" s="3">
        <v>49.11</v>
      </c>
      <c r="L3064" s="3">
        <v>1270.21566364111</v>
      </c>
    </row>
    <row r="3065" spans="1:12" ht="15" customHeight="1" x14ac:dyDescent="0.2">
      <c r="A3065" s="2">
        <v>41600</v>
      </c>
      <c r="B3065" s="3">
        <v>49.44</v>
      </c>
      <c r="C3065" s="1">
        <v>509521</v>
      </c>
      <c r="D3065" s="3">
        <v>9.9999999999980105E-3</v>
      </c>
      <c r="E3065" s="3">
        <v>2.0230629172557298E-2</v>
      </c>
      <c r="F3065" s="3">
        <v>2.0225742051871401E-2</v>
      </c>
      <c r="G3065" s="3">
        <v>50.426147</v>
      </c>
      <c r="H3065" s="3">
        <v>1305.2205913457301</v>
      </c>
      <c r="I3065" s="3">
        <v>49.49</v>
      </c>
      <c r="J3065" s="3">
        <v>49.74</v>
      </c>
      <c r="K3065" s="3">
        <v>49.28</v>
      </c>
      <c r="L3065" s="3">
        <v>1277.7397276879501</v>
      </c>
    </row>
    <row r="3066" spans="1:12" ht="15" customHeight="1" x14ac:dyDescent="0.2">
      <c r="A3066" s="2">
        <v>41599</v>
      </c>
      <c r="B3066" s="3">
        <v>49.43</v>
      </c>
      <c r="C3066" s="1">
        <v>695213</v>
      </c>
      <c r="D3066" s="3">
        <v>1.38</v>
      </c>
      <c r="E3066" s="3">
        <v>2.87200832466181</v>
      </c>
      <c r="F3066" s="3">
        <v>2.8720103889080502</v>
      </c>
      <c r="G3066" s="3">
        <v>50.415950000000002</v>
      </c>
      <c r="H3066" s="3">
        <v>1304.93643252689</v>
      </c>
      <c r="I3066" s="3">
        <v>48.4</v>
      </c>
      <c r="J3066" s="3">
        <v>49.48</v>
      </c>
      <c r="K3066" s="3">
        <v>48.35</v>
      </c>
      <c r="L3066" s="3">
        <v>1277.4610586491799</v>
      </c>
    </row>
    <row r="3067" spans="1:12" ht="15" customHeight="1" x14ac:dyDescent="0.2">
      <c r="A3067" s="2">
        <v>41598</v>
      </c>
      <c r="B3067" s="3">
        <v>48.05</v>
      </c>
      <c r="C3067" s="1">
        <v>449969</v>
      </c>
      <c r="D3067" s="3">
        <v>0.219999999999998</v>
      </c>
      <c r="E3067" s="3">
        <v>0.459962366715438</v>
      </c>
      <c r="F3067" s="3">
        <v>0.45995165632040003</v>
      </c>
      <c r="G3067" s="3">
        <v>49.008423000000001</v>
      </c>
      <c r="H3067" s="3">
        <v>1265.71301291335</v>
      </c>
      <c r="I3067" s="3">
        <v>47.81</v>
      </c>
      <c r="J3067" s="3">
        <v>48.48</v>
      </c>
      <c r="K3067" s="3">
        <v>47.81</v>
      </c>
      <c r="L3067" s="3">
        <v>1239.0047312986701</v>
      </c>
    </row>
    <row r="3068" spans="1:12" ht="15" customHeight="1" x14ac:dyDescent="0.2">
      <c r="A3068" s="2">
        <v>41597</v>
      </c>
      <c r="B3068" s="3">
        <v>47.83</v>
      </c>
      <c r="C3068" s="1">
        <v>437025</v>
      </c>
      <c r="D3068" s="3">
        <v>1.9999999999996E-2</v>
      </c>
      <c r="E3068" s="3">
        <v>4.1832252666806902E-2</v>
      </c>
      <c r="F3068" s="3">
        <v>4.1838551914441503E-2</v>
      </c>
      <c r="G3068" s="3">
        <v>48.784039999999997</v>
      </c>
      <c r="H3068" s="3">
        <v>1259.4601534206799</v>
      </c>
      <c r="I3068" s="3">
        <v>47.89</v>
      </c>
      <c r="J3068" s="3">
        <v>48.06</v>
      </c>
      <c r="K3068" s="3">
        <v>47.497</v>
      </c>
      <c r="L3068" s="3">
        <v>1232.8740124456899</v>
      </c>
    </row>
    <row r="3069" spans="1:12" ht="15" customHeight="1" x14ac:dyDescent="0.2">
      <c r="A3069" s="2">
        <v>41596</v>
      </c>
      <c r="B3069" s="3">
        <v>47.81</v>
      </c>
      <c r="C3069" s="1">
        <v>628353</v>
      </c>
      <c r="D3069" s="3">
        <v>-3.0000000000001099E-2</v>
      </c>
      <c r="E3069" s="3">
        <v>-6.27090301003385E-2</v>
      </c>
      <c r="F3069" s="3">
        <v>-6.2706178301596902E-2</v>
      </c>
      <c r="G3069" s="3">
        <v>48.763638</v>
      </c>
      <c r="H3069" s="3">
        <v>1258.8916128477699</v>
      </c>
      <c r="I3069" s="3">
        <v>47.79</v>
      </c>
      <c r="J3069" s="3">
        <v>48.19</v>
      </c>
      <c r="K3069" s="3">
        <v>47.73</v>
      </c>
      <c r="L3069" s="3">
        <v>1232.31667436815</v>
      </c>
    </row>
    <row r="3070" spans="1:12" ht="15" customHeight="1" x14ac:dyDescent="0.2">
      <c r="A3070" s="2">
        <v>41593</v>
      </c>
      <c r="B3070" s="3">
        <v>47.84</v>
      </c>
      <c r="C3070" s="1">
        <v>874435</v>
      </c>
      <c r="D3070" s="3">
        <v>-6.9999999999993096E-2</v>
      </c>
      <c r="E3070" s="3">
        <v>-0.14610728449173599</v>
      </c>
      <c r="F3070" s="3">
        <v>-0.14610473660117099</v>
      </c>
      <c r="G3070" s="3">
        <v>48.794235</v>
      </c>
      <c r="H3070" s="3">
        <v>1259.7442565057099</v>
      </c>
      <c r="I3070" s="3">
        <v>47.85</v>
      </c>
      <c r="J3070" s="3">
        <v>48.02</v>
      </c>
      <c r="K3070" s="3">
        <v>47.655000000000001</v>
      </c>
      <c r="L3070" s="3">
        <v>1233.1526814844599</v>
      </c>
    </row>
    <row r="3071" spans="1:12" ht="15" customHeight="1" x14ac:dyDescent="0.2">
      <c r="A3071" s="2">
        <v>41592</v>
      </c>
      <c r="B3071" s="3">
        <v>47.91</v>
      </c>
      <c r="C3071" s="1">
        <v>736796</v>
      </c>
      <c r="D3071" s="3">
        <v>-0.67000000000000104</v>
      </c>
      <c r="E3071" s="3">
        <v>-1.3791683820502301</v>
      </c>
      <c r="F3071" s="3">
        <v>-1.3791722439744201</v>
      </c>
      <c r="G3071" s="3">
        <v>48.865630000000003</v>
      </c>
      <c r="H3071" s="3">
        <v>1261.7338141080199</v>
      </c>
      <c r="I3071" s="3">
        <v>48.7</v>
      </c>
      <c r="J3071" s="3">
        <v>48.7</v>
      </c>
      <c r="K3071" s="3">
        <v>47.85</v>
      </c>
      <c r="L3071" s="3">
        <v>1235.10336475586</v>
      </c>
    </row>
    <row r="3072" spans="1:12" ht="15" customHeight="1" x14ac:dyDescent="0.2">
      <c r="A3072" s="2">
        <v>41591</v>
      </c>
      <c r="B3072" s="3">
        <v>48.58</v>
      </c>
      <c r="C3072" s="1">
        <v>464731</v>
      </c>
      <c r="D3072" s="3">
        <v>0.369999999999997</v>
      </c>
      <c r="E3072" s="3">
        <v>0.76747562746317599</v>
      </c>
      <c r="F3072" s="3">
        <v>0.76748758074018897</v>
      </c>
      <c r="G3072" s="3">
        <v>49.548996000000002</v>
      </c>
      <c r="H3072" s="3">
        <v>1280.7771087429501</v>
      </c>
      <c r="I3072" s="3">
        <v>48.16</v>
      </c>
      <c r="J3072" s="3">
        <v>48.61</v>
      </c>
      <c r="K3072" s="3">
        <v>47.97</v>
      </c>
      <c r="L3072" s="3">
        <v>1253.77419035358</v>
      </c>
    </row>
    <row r="3073" spans="1:12" ht="15" customHeight="1" x14ac:dyDescent="0.2">
      <c r="A3073" s="2">
        <v>41590</v>
      </c>
      <c r="B3073" s="3">
        <v>48.21</v>
      </c>
      <c r="C3073" s="1">
        <v>414420</v>
      </c>
      <c r="D3073" s="3">
        <v>-7.9999999999998295E-2</v>
      </c>
      <c r="E3073" s="3">
        <v>-0.165665769310408</v>
      </c>
      <c r="F3073" s="3">
        <v>-0.16567853483341299</v>
      </c>
      <c r="G3073" s="3">
        <v>49.171610000000001</v>
      </c>
      <c r="H3073" s="3">
        <v>1270.2605293563599</v>
      </c>
      <c r="I3073" s="3">
        <v>48.27</v>
      </c>
      <c r="J3073" s="3">
        <v>48.48</v>
      </c>
      <c r="K3073" s="3">
        <v>47.93</v>
      </c>
      <c r="L3073" s="3">
        <v>1243.46343591902</v>
      </c>
    </row>
    <row r="3074" spans="1:12" ht="15" customHeight="1" x14ac:dyDescent="0.2">
      <c r="A3074" s="2">
        <v>41589</v>
      </c>
      <c r="B3074" s="3">
        <v>48.29</v>
      </c>
      <c r="C3074" s="1">
        <v>218991</v>
      </c>
      <c r="D3074" s="3">
        <v>0.130000000000002</v>
      </c>
      <c r="E3074" s="3">
        <v>0.26993355481728099</v>
      </c>
      <c r="F3074" s="3">
        <v>0.26993757020599102</v>
      </c>
      <c r="G3074" s="3">
        <v>49.253211999999998</v>
      </c>
      <c r="H3074" s="3">
        <v>1272.53452444654</v>
      </c>
      <c r="I3074" s="3">
        <v>48</v>
      </c>
      <c r="J3074" s="3">
        <v>48.5</v>
      </c>
      <c r="K3074" s="3">
        <v>48</v>
      </c>
      <c r="L3074" s="3">
        <v>1245.69278822919</v>
      </c>
    </row>
    <row r="3075" spans="1:12" ht="15" customHeight="1" x14ac:dyDescent="0.2">
      <c r="A3075" s="2">
        <v>41586</v>
      </c>
      <c r="B3075" s="3">
        <v>48.16</v>
      </c>
      <c r="C3075" s="1">
        <v>458457</v>
      </c>
      <c r="D3075" s="3">
        <v>0.76999999999999602</v>
      </c>
      <c r="E3075" s="3">
        <v>1.62481536189069</v>
      </c>
      <c r="F3075" s="3">
        <v>1.6248117833647699</v>
      </c>
      <c r="G3075" s="3">
        <v>49.120617000000003</v>
      </c>
      <c r="H3075" s="3">
        <v>1268.8395123269499</v>
      </c>
      <c r="I3075" s="3">
        <v>47.43</v>
      </c>
      <c r="J3075" s="3">
        <v>48.25</v>
      </c>
      <c r="K3075" s="3">
        <v>47.43</v>
      </c>
      <c r="L3075" s="3">
        <v>1242.0700907251601</v>
      </c>
    </row>
    <row r="3076" spans="1:12" ht="15" customHeight="1" x14ac:dyDescent="0.2">
      <c r="A3076" s="2">
        <v>41585</v>
      </c>
      <c r="B3076" s="3">
        <v>47.39</v>
      </c>
      <c r="C3076" s="1">
        <v>705575</v>
      </c>
      <c r="D3076" s="3">
        <v>-1.1399999999999999</v>
      </c>
      <c r="E3076" s="3">
        <v>-2.3490624356068399</v>
      </c>
      <c r="F3076" s="3">
        <v>-2.3490586901930599</v>
      </c>
      <c r="G3076" s="3">
        <v>48.335259999999998</v>
      </c>
      <c r="H3076" s="3">
        <v>1246.9540442986699</v>
      </c>
      <c r="I3076" s="3">
        <v>48.41</v>
      </c>
      <c r="J3076" s="3">
        <v>49.14</v>
      </c>
      <c r="K3076" s="3">
        <v>47.33</v>
      </c>
      <c r="L3076" s="3">
        <v>1220.61257473973</v>
      </c>
    </row>
    <row r="3077" spans="1:12" ht="15" customHeight="1" x14ac:dyDescent="0.2">
      <c r="A3077" s="2">
        <v>41584</v>
      </c>
      <c r="B3077" s="3">
        <v>48.53</v>
      </c>
      <c r="C3077" s="1">
        <v>490595</v>
      </c>
      <c r="D3077" s="3">
        <v>-0.39999999999999802</v>
      </c>
      <c r="E3077" s="3">
        <v>-0.81749437972613503</v>
      </c>
      <c r="F3077" s="3">
        <v>-0.81749329614340105</v>
      </c>
      <c r="G3077" s="3">
        <v>49.497996999999998</v>
      </c>
      <c r="H3077" s="3">
        <v>1279.3559245121201</v>
      </c>
      <c r="I3077" s="3">
        <v>49.18</v>
      </c>
      <c r="J3077" s="3">
        <v>49.18</v>
      </c>
      <c r="K3077" s="3">
        <v>48.454999999999998</v>
      </c>
      <c r="L3077" s="3">
        <v>1252.3808451597199</v>
      </c>
    </row>
    <row r="3078" spans="1:12" ht="15" customHeight="1" x14ac:dyDescent="0.2">
      <c r="A3078" s="2">
        <v>41583</v>
      </c>
      <c r="B3078" s="3">
        <v>48.93</v>
      </c>
      <c r="C3078" s="1">
        <v>981369</v>
      </c>
      <c r="D3078" s="3">
        <v>1.53</v>
      </c>
      <c r="E3078" s="3">
        <v>3.2278481012658098</v>
      </c>
      <c r="F3078" s="3">
        <v>3.22784186974329</v>
      </c>
      <c r="G3078" s="3">
        <v>49.905974999999998</v>
      </c>
      <c r="H3078" s="3">
        <v>1290.7250082221201</v>
      </c>
      <c r="I3078" s="3">
        <v>47.15</v>
      </c>
      <c r="J3078" s="3">
        <v>49.06</v>
      </c>
      <c r="K3078" s="3">
        <v>47.15</v>
      </c>
      <c r="L3078" s="3">
        <v>1263.5276067105899</v>
      </c>
    </row>
    <row r="3079" spans="1:12" ht="15" customHeight="1" x14ac:dyDescent="0.2">
      <c r="A3079" s="2">
        <v>41582</v>
      </c>
      <c r="B3079" s="3">
        <v>47.4</v>
      </c>
      <c r="C3079" s="1">
        <v>539104</v>
      </c>
      <c r="D3079" s="3"/>
      <c r="E3079" s="3"/>
      <c r="F3079" s="3">
        <v>0.29535450943083402</v>
      </c>
      <c r="G3079" s="3">
        <v>48.345460000000003</v>
      </c>
      <c r="H3079" s="3">
        <v>1247.23828671822</v>
      </c>
      <c r="I3079" s="3">
        <v>47.39</v>
      </c>
      <c r="J3079" s="3">
        <v>47.56</v>
      </c>
      <c r="K3079" s="3">
        <v>47.110100000000003</v>
      </c>
      <c r="L3079" s="3">
        <v>1220.8912437785</v>
      </c>
    </row>
    <row r="3080" spans="1:12" ht="15" customHeight="1" x14ac:dyDescent="0.2">
      <c r="A3080" s="2">
        <v>41579</v>
      </c>
      <c r="B3080" s="3">
        <v>47.4</v>
      </c>
      <c r="C3080" s="1">
        <v>452690</v>
      </c>
      <c r="D3080" s="3">
        <v>0.149999999999998</v>
      </c>
      <c r="E3080" s="3">
        <v>0.317460317460316</v>
      </c>
      <c r="F3080" s="3">
        <v>0.31745734440085099</v>
      </c>
      <c r="G3080" s="3">
        <v>48.203090000000003</v>
      </c>
      <c r="H3080" s="3">
        <v>1243.2708756132299</v>
      </c>
      <c r="I3080" s="3">
        <v>47.19</v>
      </c>
      <c r="J3080" s="3">
        <v>47.475000000000001</v>
      </c>
      <c r="K3080" s="3">
        <v>47.01</v>
      </c>
      <c r="L3080" s="3">
        <v>1220.8912437785</v>
      </c>
    </row>
    <row r="3081" spans="1:12" ht="15" customHeight="1" x14ac:dyDescent="0.2">
      <c r="A3081" s="2">
        <v>41578</v>
      </c>
      <c r="B3081" s="3">
        <v>47.25</v>
      </c>
      <c r="C3081" s="1">
        <v>559714</v>
      </c>
      <c r="D3081" s="3">
        <v>0.17000000000000101</v>
      </c>
      <c r="E3081" s="3">
        <v>0.36108751062022798</v>
      </c>
      <c r="F3081" s="3">
        <v>0.36108691170644303</v>
      </c>
      <c r="G3081" s="3">
        <v>48.050550000000001</v>
      </c>
      <c r="H3081" s="3">
        <v>1239.0200580958001</v>
      </c>
      <c r="I3081" s="3">
        <v>46.96</v>
      </c>
      <c r="J3081" s="3">
        <v>47.5</v>
      </c>
      <c r="K3081" s="3">
        <v>46.88</v>
      </c>
      <c r="L3081" s="3">
        <v>1216.7112081969201</v>
      </c>
    </row>
    <row r="3082" spans="1:12" ht="15" customHeight="1" x14ac:dyDescent="0.2">
      <c r="A3082" s="2">
        <v>41577</v>
      </c>
      <c r="B3082" s="3">
        <v>47.08</v>
      </c>
      <c r="C3082" s="1">
        <v>705391</v>
      </c>
      <c r="D3082" s="3">
        <v>-0.42000000000000098</v>
      </c>
      <c r="E3082" s="3">
        <v>-0.884210526315798</v>
      </c>
      <c r="F3082" s="3">
        <v>-0.88420436543519199</v>
      </c>
      <c r="G3082" s="3">
        <v>47.877670000000002</v>
      </c>
      <c r="H3082" s="3">
        <v>1234.2024277535099</v>
      </c>
      <c r="I3082" s="3">
        <v>47.75</v>
      </c>
      <c r="J3082" s="3">
        <v>47.98</v>
      </c>
      <c r="K3082" s="3">
        <v>47</v>
      </c>
      <c r="L3082" s="3">
        <v>1211.9738345378</v>
      </c>
    </row>
    <row r="3083" spans="1:12" ht="15" customHeight="1" x14ac:dyDescent="0.2">
      <c r="A3083" s="2">
        <v>41576</v>
      </c>
      <c r="B3083" s="3">
        <v>47.5</v>
      </c>
      <c r="C3083" s="1">
        <v>860097</v>
      </c>
      <c r="D3083" s="3">
        <v>0.35999999999999899</v>
      </c>
      <c r="E3083" s="3">
        <v>0.76368264743318304</v>
      </c>
      <c r="F3083" s="3">
        <v>0.76368389177483498</v>
      </c>
      <c r="G3083" s="3">
        <v>48.304783</v>
      </c>
      <c r="H3083" s="3">
        <v>1246.10474466921</v>
      </c>
      <c r="I3083" s="3">
        <v>47</v>
      </c>
      <c r="J3083" s="3">
        <v>47.94</v>
      </c>
      <c r="K3083" s="3">
        <v>47</v>
      </c>
      <c r="L3083" s="3">
        <v>1223.67793416622</v>
      </c>
    </row>
    <row r="3084" spans="1:12" ht="15" customHeight="1" x14ac:dyDescent="0.2">
      <c r="A3084" s="2">
        <v>41575</v>
      </c>
      <c r="B3084" s="3">
        <v>47.14</v>
      </c>
      <c r="C3084" s="1">
        <v>1016275</v>
      </c>
      <c r="D3084" s="3">
        <v>0.35999999999999899</v>
      </c>
      <c r="E3084" s="3">
        <v>0.76955964087217499</v>
      </c>
      <c r="F3084" s="3">
        <v>0.76956302266712995</v>
      </c>
      <c r="G3084" s="3">
        <v>47.938682999999997</v>
      </c>
      <c r="H3084" s="3">
        <v>1235.9026711597701</v>
      </c>
      <c r="I3084" s="3">
        <v>46.67</v>
      </c>
      <c r="J3084" s="3">
        <v>47.14</v>
      </c>
      <c r="K3084" s="3">
        <v>46.39</v>
      </c>
      <c r="L3084" s="3">
        <v>1213.6458487704299</v>
      </c>
    </row>
    <row r="3085" spans="1:12" ht="15" customHeight="1" x14ac:dyDescent="0.2">
      <c r="A3085" s="2">
        <v>41572</v>
      </c>
      <c r="B3085" s="3">
        <v>46.78</v>
      </c>
      <c r="C3085" s="1">
        <v>1642546</v>
      </c>
      <c r="D3085" s="3">
        <v>1.46</v>
      </c>
      <c r="E3085" s="3">
        <v>3.2215357458075902</v>
      </c>
      <c r="F3085" s="3">
        <v>3.22152584683379</v>
      </c>
      <c r="G3085" s="3">
        <v>47.572581999999997</v>
      </c>
      <c r="H3085" s="3">
        <v>1225.70056978343</v>
      </c>
      <c r="I3085" s="3">
        <v>45.55</v>
      </c>
      <c r="J3085" s="3">
        <v>46.814</v>
      </c>
      <c r="K3085" s="3">
        <v>45.36</v>
      </c>
      <c r="L3085" s="3">
        <v>1203.61376337465</v>
      </c>
    </row>
    <row r="3086" spans="1:12" ht="15" customHeight="1" x14ac:dyDescent="0.2">
      <c r="A3086" s="2">
        <v>41571</v>
      </c>
      <c r="B3086" s="3">
        <v>45.32</v>
      </c>
      <c r="C3086" s="1">
        <v>2943686</v>
      </c>
      <c r="D3086" s="3">
        <v>2.50999999999999</v>
      </c>
      <c r="E3086" s="3">
        <v>5.8631160943704597</v>
      </c>
      <c r="F3086" s="3">
        <v>5.8631147433288699</v>
      </c>
      <c r="G3086" s="3">
        <v>46.087850000000003</v>
      </c>
      <c r="H3086" s="3">
        <v>1184.3256858560501</v>
      </c>
      <c r="I3086" s="3">
        <v>44.75</v>
      </c>
      <c r="J3086" s="3">
        <v>45.55</v>
      </c>
      <c r="K3086" s="3">
        <v>44.26</v>
      </c>
      <c r="L3086" s="3">
        <v>1162.9280837139599</v>
      </c>
    </row>
    <row r="3087" spans="1:12" ht="15" customHeight="1" x14ac:dyDescent="0.2">
      <c r="A3087" s="2">
        <v>41570</v>
      </c>
      <c r="B3087" s="3">
        <v>42.81</v>
      </c>
      <c r="C3087" s="1">
        <v>2116962</v>
      </c>
      <c r="D3087" s="3">
        <v>-0.67999999999999905</v>
      </c>
      <c r="E3087" s="3">
        <v>-1.5635778339848101</v>
      </c>
      <c r="F3087" s="3">
        <v>-1.56357750592427</v>
      </c>
      <c r="G3087" s="3">
        <v>43.535324000000003</v>
      </c>
      <c r="H3087" s="3">
        <v>1113.19468917004</v>
      </c>
      <c r="I3087" s="3">
        <v>43</v>
      </c>
      <c r="J3087" s="3">
        <v>43.44</v>
      </c>
      <c r="K3087" s="3">
        <v>42.4</v>
      </c>
      <c r="L3087" s="3">
        <v>1092.98215498223</v>
      </c>
    </row>
    <row r="3088" spans="1:12" ht="15" customHeight="1" x14ac:dyDescent="0.2">
      <c r="A3088" s="2">
        <v>41569</v>
      </c>
      <c r="B3088" s="3">
        <v>43.49</v>
      </c>
      <c r="C3088" s="1">
        <v>1096752</v>
      </c>
      <c r="D3088" s="3">
        <v>1.00000000000051E-2</v>
      </c>
      <c r="E3088" s="3">
        <v>2.29990800368007E-2</v>
      </c>
      <c r="F3088" s="3">
        <v>2.3011683150264601E-2</v>
      </c>
      <c r="G3088" s="3">
        <v>44.226844999999997</v>
      </c>
      <c r="H3088" s="3">
        <v>1132.4652384061001</v>
      </c>
      <c r="I3088" s="3">
        <v>43.51</v>
      </c>
      <c r="J3088" s="3">
        <v>43.95</v>
      </c>
      <c r="K3088" s="3">
        <v>43.37</v>
      </c>
      <c r="L3088" s="3">
        <v>1111.93164961871</v>
      </c>
    </row>
    <row r="3089" spans="1:12" ht="15" customHeight="1" x14ac:dyDescent="0.2">
      <c r="A3089" s="2">
        <v>41568</v>
      </c>
      <c r="B3089" s="3">
        <v>43.48</v>
      </c>
      <c r="C3089" s="1">
        <v>900836</v>
      </c>
      <c r="D3089" s="3">
        <v>-0.27000000000000302</v>
      </c>
      <c r="E3089" s="3">
        <v>-0.61714285714285999</v>
      </c>
      <c r="F3089" s="3">
        <v>-0.61715505857893305</v>
      </c>
      <c r="G3089" s="3">
        <v>44.216670000000001</v>
      </c>
      <c r="H3089" s="3">
        <v>1132.18169265914</v>
      </c>
      <c r="I3089" s="3">
        <v>43.66</v>
      </c>
      <c r="J3089" s="3">
        <v>43.76</v>
      </c>
      <c r="K3089" s="3">
        <v>43.19</v>
      </c>
      <c r="L3089" s="3">
        <v>1111.65298057994</v>
      </c>
    </row>
    <row r="3090" spans="1:12" ht="15" customHeight="1" x14ac:dyDescent="0.2">
      <c r="A3090" s="2">
        <v>41565</v>
      </c>
      <c r="B3090" s="3">
        <v>43.75</v>
      </c>
      <c r="C3090" s="1">
        <v>630857</v>
      </c>
      <c r="D3090" s="3">
        <v>0.34000000000000302</v>
      </c>
      <c r="E3090" s="3">
        <v>0.783229670582819</v>
      </c>
      <c r="F3090" s="3">
        <v>0.78323978091983104</v>
      </c>
      <c r="G3090" s="3">
        <v>44.491250000000001</v>
      </c>
      <c r="H3090" s="3">
        <v>1139.83338712574</v>
      </c>
      <c r="I3090" s="3">
        <v>43.71</v>
      </c>
      <c r="J3090" s="3">
        <v>43.95</v>
      </c>
      <c r="K3090" s="3">
        <v>43.37</v>
      </c>
      <c r="L3090" s="3">
        <v>1119.1770446267799</v>
      </c>
    </row>
    <row r="3091" spans="1:12" ht="15" customHeight="1" x14ac:dyDescent="0.2">
      <c r="A3091" s="2">
        <v>41564</v>
      </c>
      <c r="B3091" s="3">
        <v>43.41</v>
      </c>
      <c r="C3091" s="1">
        <v>887601</v>
      </c>
      <c r="D3091" s="3">
        <v>0.53999999999999904</v>
      </c>
      <c r="E3091" s="3">
        <v>1.25962211336598</v>
      </c>
      <c r="F3091" s="3">
        <v>1.25962190951092</v>
      </c>
      <c r="G3091" s="3">
        <v>44.145485000000001</v>
      </c>
      <c r="H3091" s="3">
        <v>1130.1979871066501</v>
      </c>
      <c r="I3091" s="3">
        <v>42.84</v>
      </c>
      <c r="J3091" s="3">
        <v>43.57</v>
      </c>
      <c r="K3091" s="3">
        <v>42.57</v>
      </c>
      <c r="L3091" s="3">
        <v>1109.70229730854</v>
      </c>
    </row>
    <row r="3092" spans="1:12" ht="15" customHeight="1" x14ac:dyDescent="0.2">
      <c r="A3092" s="2">
        <v>41563</v>
      </c>
      <c r="B3092" s="3">
        <v>42.87</v>
      </c>
      <c r="C3092" s="1">
        <v>596779</v>
      </c>
      <c r="D3092" s="3">
        <v>0.109999999999999</v>
      </c>
      <c r="E3092" s="3">
        <v>0.25724976613656902</v>
      </c>
      <c r="F3092" s="3">
        <v>0.257245839055109</v>
      </c>
      <c r="G3092" s="3">
        <v>43.596336000000001</v>
      </c>
      <c r="H3092" s="3">
        <v>1114.8949047094</v>
      </c>
      <c r="I3092" s="3">
        <v>43</v>
      </c>
      <c r="J3092" s="3">
        <v>43.28</v>
      </c>
      <c r="K3092" s="3">
        <v>42.85</v>
      </c>
      <c r="L3092" s="3">
        <v>1094.6541692148601</v>
      </c>
    </row>
    <row r="3093" spans="1:12" ht="15" customHeight="1" x14ac:dyDescent="0.2">
      <c r="A3093" s="2">
        <v>41562</v>
      </c>
      <c r="B3093" s="3">
        <v>42.76</v>
      </c>
      <c r="C3093" s="1">
        <v>737511</v>
      </c>
      <c r="D3093" s="3">
        <v>-0.64</v>
      </c>
      <c r="E3093" s="3">
        <v>-1.4746543778801799</v>
      </c>
      <c r="F3093" s="3">
        <v>-1.4746602041176999</v>
      </c>
      <c r="G3093" s="3">
        <v>43.484473999999999</v>
      </c>
      <c r="H3093" s="3">
        <v>1111.77765710789</v>
      </c>
      <c r="I3093" s="3">
        <v>43.44</v>
      </c>
      <c r="J3093" s="3">
        <v>43.44</v>
      </c>
      <c r="K3093" s="3">
        <v>42.71</v>
      </c>
      <c r="L3093" s="3">
        <v>1091.5888097883701</v>
      </c>
    </row>
    <row r="3094" spans="1:12" ht="15" customHeight="1" x14ac:dyDescent="0.2">
      <c r="A3094" s="2">
        <v>41561</v>
      </c>
      <c r="B3094" s="3">
        <v>43.4</v>
      </c>
      <c r="C3094" s="1">
        <v>673069</v>
      </c>
      <c r="D3094" s="3">
        <v>0.28999999999999898</v>
      </c>
      <c r="E3094" s="3">
        <v>0.67269774994200804</v>
      </c>
      <c r="F3094" s="3">
        <v>0.67270135848427304</v>
      </c>
      <c r="G3094" s="3">
        <v>44.13532</v>
      </c>
      <c r="H3094" s="3">
        <v>1129.91472002874</v>
      </c>
      <c r="I3094" s="3">
        <v>43.04</v>
      </c>
      <c r="J3094" s="3">
        <v>43.59</v>
      </c>
      <c r="K3094" s="3">
        <v>42.77</v>
      </c>
      <c r="L3094" s="3">
        <v>1109.42362826977</v>
      </c>
    </row>
    <row r="3095" spans="1:12" ht="15" customHeight="1" x14ac:dyDescent="0.2">
      <c r="A3095" s="2">
        <v>41558</v>
      </c>
      <c r="B3095" s="3">
        <v>43.11</v>
      </c>
      <c r="C3095" s="1">
        <v>864359</v>
      </c>
      <c r="D3095" s="3">
        <v>-9.0000000000003397E-2</v>
      </c>
      <c r="E3095" s="3">
        <v>-0.208333333333343</v>
      </c>
      <c r="F3095" s="3">
        <v>-0.208333665286286</v>
      </c>
      <c r="G3095" s="3">
        <v>43.840404999999997</v>
      </c>
      <c r="H3095" s="3">
        <v>1121.6963520718</v>
      </c>
      <c r="I3095" s="3">
        <v>42.99</v>
      </c>
      <c r="J3095" s="3">
        <v>43.24</v>
      </c>
      <c r="K3095" s="3">
        <v>42.66</v>
      </c>
      <c r="L3095" s="3">
        <v>1101.34222614538</v>
      </c>
    </row>
    <row r="3096" spans="1:12" ht="15" customHeight="1" x14ac:dyDescent="0.2">
      <c r="A3096" s="2">
        <v>41557</v>
      </c>
      <c r="B3096" s="3">
        <v>43.2</v>
      </c>
      <c r="C3096" s="1">
        <v>646476</v>
      </c>
      <c r="D3096" s="3">
        <v>0.42999999999999899</v>
      </c>
      <c r="E3096" s="3">
        <v>1.0053776011222699</v>
      </c>
      <c r="F3096" s="3">
        <v>1.00537896114289</v>
      </c>
      <c r="G3096" s="3">
        <v>43.931930000000001</v>
      </c>
      <c r="H3096" s="3">
        <v>1124.24687044916</v>
      </c>
      <c r="I3096" s="3">
        <v>43.06</v>
      </c>
      <c r="J3096" s="3">
        <v>43.354999999999997</v>
      </c>
      <c r="K3096" s="3">
        <v>42.66</v>
      </c>
      <c r="L3096" s="3">
        <v>1103.85024749433</v>
      </c>
    </row>
    <row r="3097" spans="1:12" ht="15" customHeight="1" x14ac:dyDescent="0.2">
      <c r="A3097" s="2">
        <v>41556</v>
      </c>
      <c r="B3097" s="3">
        <v>42.77</v>
      </c>
      <c r="C3097" s="1">
        <v>1003491</v>
      </c>
      <c r="D3097" s="3">
        <v>0.17999999999999899</v>
      </c>
      <c r="E3097" s="3">
        <v>0.422634421225631</v>
      </c>
      <c r="F3097" s="3">
        <v>0.42263974041869501</v>
      </c>
      <c r="G3097" s="3">
        <v>43.494644000000001</v>
      </c>
      <c r="H3097" s="3">
        <v>1112.06106352032</v>
      </c>
      <c r="I3097" s="3">
        <v>42.55</v>
      </c>
      <c r="J3097" s="3">
        <v>43.36</v>
      </c>
      <c r="K3097" s="3">
        <v>42.03</v>
      </c>
      <c r="L3097" s="3">
        <v>1091.8674788271401</v>
      </c>
    </row>
    <row r="3098" spans="1:12" ht="15" customHeight="1" x14ac:dyDescent="0.2">
      <c r="A3098" s="2">
        <v>41555</v>
      </c>
      <c r="B3098" s="3">
        <v>42.59</v>
      </c>
      <c r="C3098" s="1">
        <v>684645</v>
      </c>
      <c r="D3098" s="3">
        <v>-0.31999999999999301</v>
      </c>
      <c r="E3098" s="3">
        <v>-0.74574691214167599</v>
      </c>
      <c r="F3098" s="3">
        <v>-0.74575218433818802</v>
      </c>
      <c r="G3098" s="3">
        <v>43.311591999999997</v>
      </c>
      <c r="H3098" s="3">
        <v>1106.95997103179</v>
      </c>
      <c r="I3098" s="3">
        <v>42.93</v>
      </c>
      <c r="J3098" s="3">
        <v>43.45</v>
      </c>
      <c r="K3098" s="3">
        <v>42.585000000000001</v>
      </c>
      <c r="L3098" s="3">
        <v>1086.85143612925</v>
      </c>
    </row>
    <row r="3099" spans="1:12" ht="15" customHeight="1" x14ac:dyDescent="0.2">
      <c r="A3099" s="2">
        <v>41554</v>
      </c>
      <c r="B3099" s="3">
        <v>42.91</v>
      </c>
      <c r="C3099" s="1">
        <v>646034</v>
      </c>
      <c r="D3099" s="3">
        <v>-0.71</v>
      </c>
      <c r="E3099" s="3">
        <v>-1.62769371847776</v>
      </c>
      <c r="F3099" s="3">
        <v>-1.62768840617232</v>
      </c>
      <c r="G3099" s="3">
        <v>43.637016000000003</v>
      </c>
      <c r="H3099" s="3">
        <v>1116.0285303591199</v>
      </c>
      <c r="I3099" s="3">
        <v>43.4</v>
      </c>
      <c r="J3099" s="3">
        <v>43.43</v>
      </c>
      <c r="K3099" s="3">
        <v>42.9</v>
      </c>
      <c r="L3099" s="3">
        <v>1095.76884536995</v>
      </c>
    </row>
    <row r="3100" spans="1:12" ht="15" customHeight="1" x14ac:dyDescent="0.2">
      <c r="A3100" s="2">
        <v>41551</v>
      </c>
      <c r="B3100" s="3">
        <v>43.62</v>
      </c>
      <c r="C3100" s="1">
        <v>428110</v>
      </c>
      <c r="D3100" s="3">
        <v>-0.100000000000001</v>
      </c>
      <c r="E3100" s="3">
        <v>-0.228728270814271</v>
      </c>
      <c r="F3100" s="3">
        <v>-0.22873438453790901</v>
      </c>
      <c r="G3100" s="3">
        <v>44.359043</v>
      </c>
      <c r="H3100" s="3">
        <v>1136.1491873648499</v>
      </c>
      <c r="I3100" s="3">
        <v>43.6</v>
      </c>
      <c r="J3100" s="3">
        <v>44.04</v>
      </c>
      <c r="K3100" s="3">
        <v>43.34</v>
      </c>
      <c r="L3100" s="3">
        <v>1115.55434712275</v>
      </c>
    </row>
    <row r="3101" spans="1:12" ht="15" customHeight="1" x14ac:dyDescent="0.2">
      <c r="A3101" s="2">
        <v>41550</v>
      </c>
      <c r="B3101" s="3">
        <v>43.72</v>
      </c>
      <c r="C3101" s="1">
        <v>729385</v>
      </c>
      <c r="D3101" s="3">
        <v>-0.71999999999999797</v>
      </c>
      <c r="E3101" s="3">
        <v>-1.6201620162016199</v>
      </c>
      <c r="F3101" s="3">
        <v>-1.6201558579863</v>
      </c>
      <c r="G3101" s="3">
        <v>44.460740000000001</v>
      </c>
      <c r="H3101" s="3">
        <v>1138.98316788845</v>
      </c>
      <c r="I3101" s="3">
        <v>44.27</v>
      </c>
      <c r="J3101" s="3">
        <v>44.46</v>
      </c>
      <c r="K3101" s="3">
        <v>43.3</v>
      </c>
      <c r="L3101" s="3">
        <v>1118.34103751046</v>
      </c>
    </row>
    <row r="3102" spans="1:12" ht="15" customHeight="1" x14ac:dyDescent="0.2">
      <c r="A3102" s="2">
        <v>41549</v>
      </c>
      <c r="B3102" s="3">
        <v>44.44</v>
      </c>
      <c r="C3102" s="1">
        <v>1076915</v>
      </c>
      <c r="D3102" s="3">
        <v>-0.15000000000000499</v>
      </c>
      <c r="E3102" s="3">
        <v>-0.33639829558198497</v>
      </c>
      <c r="F3102" s="3">
        <v>-0.336399585422819</v>
      </c>
      <c r="G3102" s="3">
        <v>45.192936000000003</v>
      </c>
      <c r="H3102" s="3">
        <v>1159.38720343971</v>
      </c>
      <c r="I3102" s="3">
        <v>43.64</v>
      </c>
      <c r="J3102" s="3">
        <v>44.65</v>
      </c>
      <c r="K3102" s="3">
        <v>43.64</v>
      </c>
      <c r="L3102" s="3">
        <v>1138.4052083020399</v>
      </c>
    </row>
    <row r="3103" spans="1:12" ht="15" customHeight="1" x14ac:dyDescent="0.2">
      <c r="A3103" s="2">
        <v>41548</v>
      </c>
      <c r="B3103" s="3">
        <v>44.59</v>
      </c>
      <c r="C3103" s="1">
        <v>820227</v>
      </c>
      <c r="D3103" s="3">
        <v>0.64</v>
      </c>
      <c r="E3103" s="3">
        <v>1.45620022753127</v>
      </c>
      <c r="F3103" s="3">
        <v>1.4561948450325199</v>
      </c>
      <c r="G3103" s="3">
        <v>45.345478</v>
      </c>
      <c r="H3103" s="3">
        <v>1163.6380766909399</v>
      </c>
      <c r="I3103" s="3">
        <v>43.96</v>
      </c>
      <c r="J3103" s="3">
        <v>44.63</v>
      </c>
      <c r="K3103" s="3">
        <v>43.83</v>
      </c>
      <c r="L3103" s="3">
        <v>1142.58524388361</v>
      </c>
    </row>
    <row r="3104" spans="1:12" ht="15" customHeight="1" x14ac:dyDescent="0.2">
      <c r="A3104" s="2">
        <v>41547</v>
      </c>
      <c r="B3104" s="3">
        <v>43.95</v>
      </c>
      <c r="C3104" s="1">
        <v>541517</v>
      </c>
      <c r="D3104" s="3">
        <v>2.0000000000003099E-2</v>
      </c>
      <c r="E3104" s="3">
        <v>4.5526974732545897E-2</v>
      </c>
      <c r="F3104" s="3">
        <v>4.5529535696986402E-2</v>
      </c>
      <c r="G3104" s="3">
        <v>44.694637</v>
      </c>
      <c r="H3104" s="3">
        <v>1145.50115310461</v>
      </c>
      <c r="I3104" s="3">
        <v>43.59</v>
      </c>
      <c r="J3104" s="3">
        <v>44.19</v>
      </c>
      <c r="K3104" s="3">
        <v>43.58</v>
      </c>
      <c r="L3104" s="3">
        <v>1124.7504254022199</v>
      </c>
    </row>
    <row r="3105" spans="1:12" ht="15" customHeight="1" x14ac:dyDescent="0.2">
      <c r="A3105" s="2">
        <v>41544</v>
      </c>
      <c r="B3105" s="3">
        <v>43.93</v>
      </c>
      <c r="C3105" s="1">
        <v>418614</v>
      </c>
      <c r="D3105" s="3">
        <v>-6.0000000000002197E-2</v>
      </c>
      <c r="E3105" s="3">
        <v>-0.13639463514435399</v>
      </c>
      <c r="F3105" s="3">
        <v>-0.13640229709336299</v>
      </c>
      <c r="G3105" s="3">
        <v>44.674297000000003</v>
      </c>
      <c r="H3105" s="3">
        <v>1144.9343402797499</v>
      </c>
      <c r="I3105" s="3">
        <v>43.71</v>
      </c>
      <c r="J3105" s="3">
        <v>44.28</v>
      </c>
      <c r="K3105" s="3">
        <v>43.71</v>
      </c>
      <c r="L3105" s="3">
        <v>1124.1930873246699</v>
      </c>
    </row>
    <row r="3106" spans="1:12" ht="15" customHeight="1" x14ac:dyDescent="0.2">
      <c r="A3106" s="2">
        <v>41543</v>
      </c>
      <c r="B3106" s="3">
        <v>43.99</v>
      </c>
      <c r="C3106" s="1">
        <v>396129</v>
      </c>
      <c r="D3106" s="3">
        <v>0.380000000000002</v>
      </c>
      <c r="E3106" s="3">
        <v>0.87135977986700897</v>
      </c>
      <c r="F3106" s="3">
        <v>0.87136366496947104</v>
      </c>
      <c r="G3106" s="3">
        <v>44.735317000000002</v>
      </c>
      <c r="H3106" s="3">
        <v>1146.63477875433</v>
      </c>
      <c r="I3106" s="3">
        <v>43.68</v>
      </c>
      <c r="J3106" s="3">
        <v>44.1</v>
      </c>
      <c r="K3106" s="3">
        <v>43.57</v>
      </c>
      <c r="L3106" s="3">
        <v>1125.8651015573</v>
      </c>
    </row>
    <row r="3107" spans="1:12" ht="15" customHeight="1" x14ac:dyDescent="0.2">
      <c r="A3107" s="2">
        <v>41542</v>
      </c>
      <c r="B3107" s="3">
        <v>43.61</v>
      </c>
      <c r="C3107" s="1">
        <v>461821</v>
      </c>
      <c r="D3107" s="3">
        <v>-0.119999999999997</v>
      </c>
      <c r="E3107" s="3">
        <v>-0.274411159387144</v>
      </c>
      <c r="F3107" s="3">
        <v>-0.27441084520195502</v>
      </c>
      <c r="G3107" s="3">
        <v>44.348877000000002</v>
      </c>
      <c r="H3107" s="3">
        <v>1135.8658924200399</v>
      </c>
      <c r="I3107" s="3">
        <v>43.89</v>
      </c>
      <c r="J3107" s="3">
        <v>44.01</v>
      </c>
      <c r="K3107" s="3">
        <v>43.37</v>
      </c>
      <c r="L3107" s="3">
        <v>1115.27567808397</v>
      </c>
    </row>
    <row r="3108" spans="1:12" ht="15" customHeight="1" x14ac:dyDescent="0.2">
      <c r="A3108" s="2">
        <v>41541</v>
      </c>
      <c r="B3108" s="3">
        <v>43.73</v>
      </c>
      <c r="C3108" s="1">
        <v>357206</v>
      </c>
      <c r="D3108" s="3">
        <v>-0.12000000000000401</v>
      </c>
      <c r="E3108" s="3">
        <v>-0.27366020524516299</v>
      </c>
      <c r="F3108" s="3">
        <v>-0.27365318366538899</v>
      </c>
      <c r="G3108" s="3">
        <v>44.470910000000003</v>
      </c>
      <c r="H3108" s="3">
        <v>1139.2665743008799</v>
      </c>
      <c r="I3108" s="3">
        <v>43.78</v>
      </c>
      <c r="J3108" s="3">
        <v>44.22</v>
      </c>
      <c r="K3108" s="3">
        <v>43.51</v>
      </c>
      <c r="L3108" s="3">
        <v>1118.6197065492399</v>
      </c>
    </row>
    <row r="3109" spans="1:12" ht="15" customHeight="1" x14ac:dyDescent="0.2">
      <c r="A3109" s="2">
        <v>41540</v>
      </c>
      <c r="B3109" s="3">
        <v>43.85</v>
      </c>
      <c r="C3109" s="1">
        <v>343360</v>
      </c>
      <c r="D3109" s="3">
        <v>-0.25999999999999801</v>
      </c>
      <c r="E3109" s="3">
        <v>-0.589435502153701</v>
      </c>
      <c r="F3109" s="3">
        <v>-0.58943745802527703</v>
      </c>
      <c r="G3109" s="3">
        <v>44.592939999999999</v>
      </c>
      <c r="H3109" s="3">
        <v>1142.6671725810099</v>
      </c>
      <c r="I3109" s="3">
        <v>44.17</v>
      </c>
      <c r="J3109" s="3">
        <v>44.29</v>
      </c>
      <c r="K3109" s="3">
        <v>43.5</v>
      </c>
      <c r="L3109" s="3">
        <v>1121.9637350144999</v>
      </c>
    </row>
    <row r="3110" spans="1:12" ht="15" customHeight="1" x14ac:dyDescent="0.2">
      <c r="A3110" s="2">
        <v>41537</v>
      </c>
      <c r="B3110" s="3">
        <v>44.11</v>
      </c>
      <c r="C3110" s="1">
        <v>1074057</v>
      </c>
      <c r="D3110" s="3">
        <v>-0.53999999999999904</v>
      </c>
      <c r="E3110" s="3">
        <v>-1.2094064949608001</v>
      </c>
      <c r="F3110" s="3">
        <v>-1.2094128025464499</v>
      </c>
      <c r="G3110" s="3">
        <v>44.857346</v>
      </c>
      <c r="H3110" s="3">
        <v>1150.0353491675601</v>
      </c>
      <c r="I3110" s="3">
        <v>44.35</v>
      </c>
      <c r="J3110" s="3">
        <v>44.58</v>
      </c>
      <c r="K3110" s="3">
        <v>44.05</v>
      </c>
      <c r="L3110" s="3">
        <v>1129.20913002257</v>
      </c>
    </row>
    <row r="3111" spans="1:12" ht="15" customHeight="1" x14ac:dyDescent="0.2">
      <c r="A3111" s="2">
        <v>41536</v>
      </c>
      <c r="B3111" s="3">
        <v>44.65</v>
      </c>
      <c r="C3111" s="1">
        <v>485236</v>
      </c>
      <c r="D3111" s="3">
        <v>1.9999999999996E-2</v>
      </c>
      <c r="E3111" s="3">
        <v>4.4812906116953301E-2</v>
      </c>
      <c r="F3111" s="3">
        <v>4.4815425883815103E-2</v>
      </c>
      <c r="G3111" s="3">
        <v>45.406497999999999</v>
      </c>
      <c r="H3111" s="3">
        <v>1165.33851516553</v>
      </c>
      <c r="I3111" s="3">
        <v>44.6</v>
      </c>
      <c r="J3111" s="3">
        <v>44.77</v>
      </c>
      <c r="K3111" s="3">
        <v>44.29</v>
      </c>
      <c r="L3111" s="3">
        <v>1144.2572581162401</v>
      </c>
    </row>
    <row r="3112" spans="1:12" ht="15" customHeight="1" x14ac:dyDescent="0.2">
      <c r="A3112" s="2">
        <v>41535</v>
      </c>
      <c r="B3112" s="3">
        <v>44.63</v>
      </c>
      <c r="C3112" s="1">
        <v>652140</v>
      </c>
      <c r="D3112" s="3">
        <v>0.35999999999999899</v>
      </c>
      <c r="E3112" s="3">
        <v>0.813191777727584</v>
      </c>
      <c r="F3112" s="3">
        <v>0.81319308828966497</v>
      </c>
      <c r="G3112" s="3">
        <v>45.386158000000002</v>
      </c>
      <c r="H3112" s="3">
        <v>1164.7717023406601</v>
      </c>
      <c r="I3112" s="3">
        <v>44.35</v>
      </c>
      <c r="J3112" s="3">
        <v>44.69</v>
      </c>
      <c r="K3112" s="3">
        <v>43.78</v>
      </c>
      <c r="L3112" s="3">
        <v>1143.6999200386999</v>
      </c>
    </row>
    <row r="3113" spans="1:12" ht="15" customHeight="1" x14ac:dyDescent="0.2">
      <c r="A3113" s="2">
        <v>41534</v>
      </c>
      <c r="B3113" s="3">
        <v>44.27</v>
      </c>
      <c r="C3113" s="1">
        <v>473504</v>
      </c>
      <c r="D3113" s="3">
        <v>0.60000000000000098</v>
      </c>
      <c r="E3113" s="3">
        <v>1.3739409205404101</v>
      </c>
      <c r="F3113" s="3">
        <v>1.37394620882871</v>
      </c>
      <c r="G3113" s="3">
        <v>45.020057999999999</v>
      </c>
      <c r="H3113" s="3">
        <v>1154.5696288312299</v>
      </c>
      <c r="I3113" s="3">
        <v>43.54</v>
      </c>
      <c r="J3113" s="3">
        <v>44.29</v>
      </c>
      <c r="K3113" s="3">
        <v>43.35</v>
      </c>
      <c r="L3113" s="3">
        <v>1133.6678346429101</v>
      </c>
    </row>
    <row r="3114" spans="1:12" ht="15" customHeight="1" x14ac:dyDescent="0.2">
      <c r="A3114" s="2">
        <v>41533</v>
      </c>
      <c r="B3114" s="3">
        <v>43.67</v>
      </c>
      <c r="C3114" s="1">
        <v>534679</v>
      </c>
      <c r="D3114" s="3">
        <v>0.17000000000000101</v>
      </c>
      <c r="E3114" s="3">
        <v>0.390804597701155</v>
      </c>
      <c r="F3114" s="3">
        <v>0.39080398969097901</v>
      </c>
      <c r="G3114" s="3">
        <v>44.409889999999997</v>
      </c>
      <c r="H3114" s="3">
        <v>1137.5661358262901</v>
      </c>
      <c r="I3114" s="3">
        <v>44</v>
      </c>
      <c r="J3114" s="3">
        <v>44</v>
      </c>
      <c r="K3114" s="3">
        <v>43.56</v>
      </c>
      <c r="L3114" s="3">
        <v>1116.9476923166001</v>
      </c>
    </row>
    <row r="3115" spans="1:12" ht="15" customHeight="1" x14ac:dyDescent="0.2">
      <c r="A3115" s="2">
        <v>41530</v>
      </c>
      <c r="B3115" s="3">
        <v>43.5</v>
      </c>
      <c r="C3115" s="1">
        <v>498473</v>
      </c>
      <c r="D3115" s="3">
        <v>0.82999999999999796</v>
      </c>
      <c r="E3115" s="3">
        <v>1.9451605343332401</v>
      </c>
      <c r="F3115" s="3">
        <v>1.94515468526568</v>
      </c>
      <c r="G3115" s="3">
        <v>44.237009999999998</v>
      </c>
      <c r="H3115" s="3">
        <v>1132.7485054840099</v>
      </c>
      <c r="I3115" s="3">
        <v>42.87</v>
      </c>
      <c r="J3115" s="3">
        <v>43.53</v>
      </c>
      <c r="K3115" s="3">
        <v>42.54</v>
      </c>
      <c r="L3115" s="3">
        <v>1112.21031865748</v>
      </c>
    </row>
    <row r="3116" spans="1:12" ht="15" customHeight="1" x14ac:dyDescent="0.2">
      <c r="A3116" s="2">
        <v>41529</v>
      </c>
      <c r="B3116" s="3">
        <v>42.67</v>
      </c>
      <c r="C3116" s="1">
        <v>479701</v>
      </c>
      <c r="D3116" s="3">
        <v>-3.0000000000001099E-2</v>
      </c>
      <c r="E3116" s="3">
        <v>-7.0257611241220097E-2</v>
      </c>
      <c r="F3116" s="3">
        <v>-7.0261559074291602E-2</v>
      </c>
      <c r="G3116" s="3">
        <v>43.392949999999999</v>
      </c>
      <c r="H3116" s="3">
        <v>1109.2271665974299</v>
      </c>
      <c r="I3116" s="3">
        <v>42.7</v>
      </c>
      <c r="J3116" s="3">
        <v>43.12</v>
      </c>
      <c r="K3116" s="3">
        <v>42.41</v>
      </c>
      <c r="L3116" s="3">
        <v>1089.0807884394201</v>
      </c>
    </row>
    <row r="3117" spans="1:12" ht="15" customHeight="1" x14ac:dyDescent="0.2">
      <c r="A3117" s="2">
        <v>41528</v>
      </c>
      <c r="B3117" s="3">
        <v>42.7</v>
      </c>
      <c r="C3117" s="1">
        <v>508668</v>
      </c>
      <c r="D3117" s="3">
        <v>1.00000000000051E-2</v>
      </c>
      <c r="E3117" s="3">
        <v>2.3424689622863999E-2</v>
      </c>
      <c r="F3117" s="3">
        <v>2.3426006183813099E-2</v>
      </c>
      <c r="G3117" s="3">
        <v>43.423459999999999</v>
      </c>
      <c r="H3117" s="3">
        <v>1110.07738583472</v>
      </c>
      <c r="I3117" s="3">
        <v>42.65</v>
      </c>
      <c r="J3117" s="3">
        <v>42.79</v>
      </c>
      <c r="K3117" s="3">
        <v>42.37</v>
      </c>
      <c r="L3117" s="3">
        <v>1089.91679555574</v>
      </c>
    </row>
    <row r="3118" spans="1:12" ht="15" customHeight="1" x14ac:dyDescent="0.2">
      <c r="A3118" s="2">
        <v>41527</v>
      </c>
      <c r="B3118" s="3">
        <v>42.69</v>
      </c>
      <c r="C3118" s="1">
        <v>269556</v>
      </c>
      <c r="D3118" s="3">
        <v>0.32</v>
      </c>
      <c r="E3118" s="3">
        <v>0.75525135709228997</v>
      </c>
      <c r="F3118" s="3">
        <v>0.75526138868244796</v>
      </c>
      <c r="G3118" s="3">
        <v>43.413290000000003</v>
      </c>
      <c r="H3118" s="3">
        <v>1109.79397942229</v>
      </c>
      <c r="I3118" s="3">
        <v>42.61</v>
      </c>
      <c r="J3118" s="3">
        <v>42.8</v>
      </c>
      <c r="K3118" s="3">
        <v>42.46</v>
      </c>
      <c r="L3118" s="3">
        <v>1089.63812651696</v>
      </c>
    </row>
    <row r="3119" spans="1:12" ht="15" customHeight="1" x14ac:dyDescent="0.2">
      <c r="A3119" s="2">
        <v>41526</v>
      </c>
      <c r="B3119" s="3">
        <v>42.37</v>
      </c>
      <c r="C3119" s="1">
        <v>398666</v>
      </c>
      <c r="D3119" s="3">
        <v>0.55999999999999495</v>
      </c>
      <c r="E3119" s="3">
        <v>1.3393924898349401</v>
      </c>
      <c r="F3119" s="3">
        <v>1.3393831091401001</v>
      </c>
      <c r="G3119" s="3">
        <v>43.087864000000003</v>
      </c>
      <c r="H3119" s="3">
        <v>1100.72536436116</v>
      </c>
      <c r="I3119" s="3">
        <v>41.99</v>
      </c>
      <c r="J3119" s="3">
        <v>42.49</v>
      </c>
      <c r="K3119" s="3">
        <v>41.99</v>
      </c>
      <c r="L3119" s="3">
        <v>1080.7207172762701</v>
      </c>
    </row>
    <row r="3120" spans="1:12" ht="15" customHeight="1" x14ac:dyDescent="0.2">
      <c r="A3120" s="2">
        <v>41523</v>
      </c>
      <c r="B3120" s="3">
        <v>41.81</v>
      </c>
      <c r="C3120" s="1">
        <v>284749</v>
      </c>
      <c r="D3120" s="3">
        <v>-0.119999999999997</v>
      </c>
      <c r="E3120" s="3">
        <v>-0.286191271166225</v>
      </c>
      <c r="F3120" s="3">
        <v>-0.28618392740595799</v>
      </c>
      <c r="G3120" s="3">
        <v>42.518380000000001</v>
      </c>
      <c r="H3120" s="3">
        <v>1084.8556084735601</v>
      </c>
      <c r="I3120" s="3">
        <v>42.25</v>
      </c>
      <c r="J3120" s="3">
        <v>42.35</v>
      </c>
      <c r="K3120" s="3">
        <v>41.52</v>
      </c>
      <c r="L3120" s="3">
        <v>1065.11525110504</v>
      </c>
    </row>
    <row r="3121" spans="1:12" ht="15" customHeight="1" x14ac:dyDescent="0.2">
      <c r="A3121" s="2">
        <v>41522</v>
      </c>
      <c r="B3121" s="3">
        <v>41.93</v>
      </c>
      <c r="C3121" s="1">
        <v>309747</v>
      </c>
      <c r="D3121" s="3">
        <v>0.149999999999998</v>
      </c>
      <c r="E3121" s="3">
        <v>0.359023456199136</v>
      </c>
      <c r="F3121" s="3">
        <v>0.35902011562358699</v>
      </c>
      <c r="G3121" s="3">
        <v>42.640410000000003</v>
      </c>
      <c r="H3121" s="3">
        <v>1088.2562067537001</v>
      </c>
      <c r="I3121" s="3">
        <v>41.72</v>
      </c>
      <c r="J3121" s="3">
        <v>42.24</v>
      </c>
      <c r="K3121" s="3">
        <v>41.72</v>
      </c>
      <c r="L3121" s="3">
        <v>1068.4592795703099</v>
      </c>
    </row>
    <row r="3122" spans="1:12" ht="15" customHeight="1" x14ac:dyDescent="0.2">
      <c r="A3122" s="2">
        <v>41521</v>
      </c>
      <c r="B3122" s="3">
        <v>41.78</v>
      </c>
      <c r="C3122" s="1">
        <v>717011</v>
      </c>
      <c r="D3122" s="3">
        <v>-0.26999999999999602</v>
      </c>
      <c r="E3122" s="3">
        <v>-0.642092746730071</v>
      </c>
      <c r="F3122" s="3">
        <v>-0.64209145763511799</v>
      </c>
      <c r="G3122" s="3">
        <v>42.487870000000001</v>
      </c>
      <c r="H3122" s="3">
        <v>1084.00538923627</v>
      </c>
      <c r="I3122" s="3">
        <v>42.03</v>
      </c>
      <c r="J3122" s="3">
        <v>42.31</v>
      </c>
      <c r="K3122" s="3">
        <v>41.774999999999999</v>
      </c>
      <c r="L3122" s="3">
        <v>1064.2792439887301</v>
      </c>
    </row>
    <row r="3123" spans="1:12" ht="15" customHeight="1" x14ac:dyDescent="0.2">
      <c r="A3123" s="2">
        <v>41520</v>
      </c>
      <c r="B3123" s="3">
        <v>42.05</v>
      </c>
      <c r="C3123" s="1">
        <v>928014</v>
      </c>
      <c r="D3123" s="3">
        <v>0.27999999999999398</v>
      </c>
      <c r="E3123" s="3">
        <v>0.67033756284413604</v>
      </c>
      <c r="F3123" s="3">
        <v>0.67033761244135104</v>
      </c>
      <c r="G3123" s="3">
        <v>42.762444000000002</v>
      </c>
      <c r="H3123" s="3">
        <v>1091.65691650144</v>
      </c>
      <c r="I3123" s="3">
        <v>42.05</v>
      </c>
      <c r="J3123" s="3">
        <v>42.335000000000001</v>
      </c>
      <c r="K3123" s="3">
        <v>41.6098</v>
      </c>
      <c r="L3123" s="3">
        <v>1071.8033080355699</v>
      </c>
    </row>
    <row r="3124" spans="1:12" ht="15" customHeight="1" x14ac:dyDescent="0.2">
      <c r="A3124" s="2">
        <v>41516</v>
      </c>
      <c r="B3124" s="3">
        <v>41.77</v>
      </c>
      <c r="C3124" s="1">
        <v>518945</v>
      </c>
      <c r="D3124" s="3">
        <v>-1.18999999999999</v>
      </c>
      <c r="E3124" s="3">
        <v>-2.7700186219739198</v>
      </c>
      <c r="F3124" s="3">
        <v>-2.7700188212460501</v>
      </c>
      <c r="G3124" s="3">
        <v>42.477699999999999</v>
      </c>
      <c r="H3124" s="3">
        <v>1083.7219828238401</v>
      </c>
      <c r="I3124" s="3">
        <v>42.88</v>
      </c>
      <c r="J3124" s="3">
        <v>42.92</v>
      </c>
      <c r="K3124" s="3">
        <v>41.74</v>
      </c>
      <c r="L3124" s="3">
        <v>1064.0005749499601</v>
      </c>
    </row>
    <row r="3125" spans="1:12" ht="15" customHeight="1" x14ac:dyDescent="0.2">
      <c r="A3125" s="2">
        <v>41515</v>
      </c>
      <c r="B3125" s="3">
        <v>42.96</v>
      </c>
      <c r="C3125" s="1">
        <v>391595</v>
      </c>
      <c r="D3125" s="3">
        <v>0.20000000000000201</v>
      </c>
      <c r="E3125" s="3">
        <v>0.46772684752105498</v>
      </c>
      <c r="F3125" s="3">
        <v>0.46772556108187702</v>
      </c>
      <c r="G3125" s="3">
        <v>43.687862000000003</v>
      </c>
      <c r="H3125" s="3">
        <v>1117.4454509536599</v>
      </c>
      <c r="I3125" s="3">
        <v>42.57</v>
      </c>
      <c r="J3125" s="3">
        <v>43.25</v>
      </c>
      <c r="K3125" s="3">
        <v>42.57</v>
      </c>
      <c r="L3125" s="3">
        <v>1097.1621905638001</v>
      </c>
    </row>
    <row r="3126" spans="1:12" ht="15" customHeight="1" x14ac:dyDescent="0.2">
      <c r="A3126" s="2">
        <v>41514</v>
      </c>
      <c r="B3126" s="3">
        <v>42.76</v>
      </c>
      <c r="C3126" s="1">
        <v>633104</v>
      </c>
      <c r="D3126" s="3">
        <v>0.71</v>
      </c>
      <c r="E3126" s="3">
        <v>1.6884661117716899</v>
      </c>
      <c r="F3126" s="3">
        <v>1.68846757215279</v>
      </c>
      <c r="G3126" s="3">
        <v>43.484473999999999</v>
      </c>
      <c r="H3126" s="3">
        <v>1111.77765710789</v>
      </c>
      <c r="I3126" s="3">
        <v>42.29</v>
      </c>
      <c r="J3126" s="3">
        <v>43.21</v>
      </c>
      <c r="K3126" s="3">
        <v>42.01</v>
      </c>
      <c r="L3126" s="3">
        <v>1091.5888097883701</v>
      </c>
    </row>
    <row r="3127" spans="1:12" ht="15" customHeight="1" x14ac:dyDescent="0.2">
      <c r="A3127" s="2">
        <v>41513</v>
      </c>
      <c r="B3127" s="3">
        <v>42.05</v>
      </c>
      <c r="C3127" s="1">
        <v>374250</v>
      </c>
      <c r="D3127" s="3">
        <v>-1.01</v>
      </c>
      <c r="E3127" s="3">
        <v>-2.34556432884348</v>
      </c>
      <c r="F3127" s="3">
        <v>-2.3455727803613402</v>
      </c>
      <c r="G3127" s="3">
        <v>42.762444000000002</v>
      </c>
      <c r="H3127" s="3">
        <v>1091.65691650144</v>
      </c>
      <c r="I3127" s="3">
        <v>42.69</v>
      </c>
      <c r="J3127" s="3">
        <v>42.69</v>
      </c>
      <c r="K3127" s="3">
        <v>42.04</v>
      </c>
      <c r="L3127" s="3">
        <v>1071.8033080355699</v>
      </c>
    </row>
    <row r="3128" spans="1:12" ht="15" customHeight="1" x14ac:dyDescent="0.2">
      <c r="A3128" s="2">
        <v>41512</v>
      </c>
      <c r="B3128" s="3">
        <v>43.06</v>
      </c>
      <c r="C3128" s="1">
        <v>306336</v>
      </c>
      <c r="D3128" s="3">
        <v>0.14000000000000001</v>
      </c>
      <c r="E3128" s="3">
        <v>0.32618825722274802</v>
      </c>
      <c r="F3128" s="3">
        <v>0.32620204438398298</v>
      </c>
      <c r="G3128" s="3">
        <v>43.789560000000002</v>
      </c>
      <c r="H3128" s="3">
        <v>1120.2794593441599</v>
      </c>
      <c r="I3128" s="3">
        <v>42.85</v>
      </c>
      <c r="J3128" s="3">
        <v>43.33</v>
      </c>
      <c r="K3128" s="3">
        <v>42.81</v>
      </c>
      <c r="L3128" s="3">
        <v>1099.9488809515201</v>
      </c>
    </row>
    <row r="3129" spans="1:12" ht="15" customHeight="1" x14ac:dyDescent="0.2">
      <c r="A3129" s="2">
        <v>41509</v>
      </c>
      <c r="B3129" s="3">
        <v>42.92</v>
      </c>
      <c r="C3129" s="1">
        <v>393347</v>
      </c>
      <c r="D3129" s="3">
        <v>-0.62999999999999501</v>
      </c>
      <c r="E3129" s="3">
        <v>-1.44661308840412</v>
      </c>
      <c r="F3129" s="3">
        <v>-1.4466154910137099</v>
      </c>
      <c r="G3129" s="3">
        <v>43.647182000000001</v>
      </c>
      <c r="H3129" s="3">
        <v>1116.3118253039399</v>
      </c>
      <c r="I3129" s="3">
        <v>43.69</v>
      </c>
      <c r="J3129" s="3">
        <v>43.88</v>
      </c>
      <c r="K3129" s="3">
        <v>42.89</v>
      </c>
      <c r="L3129" s="3">
        <v>1096.04751440872</v>
      </c>
    </row>
    <row r="3130" spans="1:12" ht="15" customHeight="1" x14ac:dyDescent="0.2">
      <c r="A3130" s="2">
        <v>41508</v>
      </c>
      <c r="B3130" s="3">
        <v>43.55</v>
      </c>
      <c r="C3130" s="1">
        <v>364046</v>
      </c>
      <c r="D3130" s="3">
        <v>0.53999999999999904</v>
      </c>
      <c r="E3130" s="3">
        <v>1.2555219716344901</v>
      </c>
      <c r="F3130" s="3">
        <v>1.25551713802261</v>
      </c>
      <c r="G3130" s="3">
        <v>44.287857000000002</v>
      </c>
      <c r="H3130" s="3">
        <v>1134.1654539454501</v>
      </c>
      <c r="I3130" s="3">
        <v>43.26</v>
      </c>
      <c r="J3130" s="3">
        <v>43.77</v>
      </c>
      <c r="K3130" s="3">
        <v>43.12</v>
      </c>
      <c r="L3130" s="3">
        <v>1113.6036638513399</v>
      </c>
    </row>
    <row r="3131" spans="1:12" ht="15" customHeight="1" x14ac:dyDescent="0.2">
      <c r="A3131" s="2">
        <v>41507</v>
      </c>
      <c r="B3131" s="3">
        <v>43.01</v>
      </c>
      <c r="C3131" s="1">
        <v>469574</v>
      </c>
      <c r="D3131" s="3">
        <v>-0.39999999999999802</v>
      </c>
      <c r="E3131" s="3">
        <v>-0.92144667127389501</v>
      </c>
      <c r="F3131" s="3">
        <v>-0.92144190963130401</v>
      </c>
      <c r="G3131" s="3">
        <v>43.738709999999998</v>
      </c>
      <c r="H3131" s="3">
        <v>1118.86242728201</v>
      </c>
      <c r="I3131" s="3">
        <v>43.23</v>
      </c>
      <c r="J3131" s="3">
        <v>43.29</v>
      </c>
      <c r="K3131" s="3">
        <v>42.79</v>
      </c>
      <c r="L3131" s="3">
        <v>1098.55553575766</v>
      </c>
    </row>
    <row r="3132" spans="1:12" ht="15" customHeight="1" x14ac:dyDescent="0.2">
      <c r="A3132" s="2">
        <v>41506</v>
      </c>
      <c r="B3132" s="3">
        <v>43.41</v>
      </c>
      <c r="C3132" s="1">
        <v>295786</v>
      </c>
      <c r="D3132" s="3">
        <v>0.38999999999999302</v>
      </c>
      <c r="E3132" s="3">
        <v>0.906555090655492</v>
      </c>
      <c r="F3132" s="3">
        <v>0.90654892193810999</v>
      </c>
      <c r="G3132" s="3">
        <v>44.145485000000001</v>
      </c>
      <c r="H3132" s="3">
        <v>1130.1979871066501</v>
      </c>
      <c r="I3132" s="3">
        <v>43.18</v>
      </c>
      <c r="J3132" s="3">
        <v>43.66</v>
      </c>
      <c r="K3132" s="3">
        <v>42.99</v>
      </c>
      <c r="L3132" s="3">
        <v>1109.70229730854</v>
      </c>
    </row>
    <row r="3133" spans="1:12" ht="15" customHeight="1" x14ac:dyDescent="0.2">
      <c r="A3133" s="2">
        <v>41505</v>
      </c>
      <c r="B3133" s="3">
        <v>43.02</v>
      </c>
      <c r="C3133" s="1">
        <v>292278</v>
      </c>
      <c r="D3133" s="3"/>
      <c r="E3133" s="3"/>
      <c r="F3133" s="3"/>
      <c r="G3133" s="3">
        <v>43.74888</v>
      </c>
      <c r="H3133" s="3">
        <v>1119.1458336944399</v>
      </c>
      <c r="I3133" s="3">
        <v>43.1</v>
      </c>
      <c r="J3133" s="3">
        <v>43.3</v>
      </c>
      <c r="K3133" s="3">
        <v>43.02</v>
      </c>
      <c r="L3133" s="3">
        <v>1098.83420479644</v>
      </c>
    </row>
    <row r="3134" spans="1:12" ht="15" customHeight="1" x14ac:dyDescent="0.2">
      <c r="A3134" s="2">
        <v>41502</v>
      </c>
      <c r="B3134" s="3">
        <v>43.02</v>
      </c>
      <c r="C3134" s="1">
        <v>484487</v>
      </c>
      <c r="D3134" s="3">
        <v>0.160000000000003</v>
      </c>
      <c r="E3134" s="3">
        <v>0.37330844610359198</v>
      </c>
      <c r="F3134" s="3">
        <v>0.37330648689710699</v>
      </c>
      <c r="G3134" s="3">
        <v>43.74888</v>
      </c>
      <c r="H3134" s="3">
        <v>1119.1458336944399</v>
      </c>
      <c r="I3134" s="3">
        <v>42.7</v>
      </c>
      <c r="J3134" s="3">
        <v>43.26</v>
      </c>
      <c r="K3134" s="3">
        <v>42.7</v>
      </c>
      <c r="L3134" s="3">
        <v>1098.83420479644</v>
      </c>
    </row>
    <row r="3135" spans="1:12" ht="15" customHeight="1" x14ac:dyDescent="0.2">
      <c r="A3135" s="2">
        <v>41501</v>
      </c>
      <c r="B3135" s="3">
        <v>42.86</v>
      </c>
      <c r="C3135" s="1">
        <v>625424</v>
      </c>
      <c r="D3135" s="3">
        <v>-0.32</v>
      </c>
      <c r="E3135" s="3">
        <v>-0.74108383510884601</v>
      </c>
      <c r="F3135" s="3">
        <v>-0.74107997455795604</v>
      </c>
      <c r="G3135" s="3">
        <v>43.586170000000003</v>
      </c>
      <c r="H3135" s="3">
        <v>1114.61160976458</v>
      </c>
      <c r="I3135" s="3">
        <v>42.86</v>
      </c>
      <c r="J3135" s="3">
        <v>42.99</v>
      </c>
      <c r="K3135" s="3">
        <v>42.42</v>
      </c>
      <c r="L3135" s="3">
        <v>1094.3755001760901</v>
      </c>
    </row>
    <row r="3136" spans="1:12" ht="15" customHeight="1" x14ac:dyDescent="0.2">
      <c r="A3136" s="2">
        <v>41500</v>
      </c>
      <c r="B3136" s="3">
        <v>43.18</v>
      </c>
      <c r="C3136" s="1">
        <v>483981</v>
      </c>
      <c r="D3136" s="3">
        <v>-0.189999999999997</v>
      </c>
      <c r="E3136" s="3">
        <v>-0.43809084620705002</v>
      </c>
      <c r="F3136" s="3">
        <v>-0.43809280665760802</v>
      </c>
      <c r="G3136" s="3">
        <v>43.911589999999997</v>
      </c>
      <c r="H3136" s="3">
        <v>1123.6800576242899</v>
      </c>
      <c r="I3136" s="3">
        <v>43.36</v>
      </c>
      <c r="J3136" s="3">
        <v>43.45</v>
      </c>
      <c r="K3136" s="3">
        <v>43.01</v>
      </c>
      <c r="L3136" s="3">
        <v>1103.29290941678</v>
      </c>
    </row>
    <row r="3137" spans="1:12" ht="15" customHeight="1" x14ac:dyDescent="0.2">
      <c r="A3137" s="2">
        <v>41499</v>
      </c>
      <c r="B3137" s="3">
        <v>43.37</v>
      </c>
      <c r="C3137" s="1">
        <v>682312</v>
      </c>
      <c r="D3137" s="3">
        <v>-0.130000000000002</v>
      </c>
      <c r="E3137" s="3">
        <v>-0.29885057471264997</v>
      </c>
      <c r="F3137" s="3">
        <v>-0.29884479082107301</v>
      </c>
      <c r="G3137" s="3">
        <v>44.104810000000001</v>
      </c>
      <c r="H3137" s="3">
        <v>1129.06450079144</v>
      </c>
      <c r="I3137" s="3">
        <v>43.57</v>
      </c>
      <c r="J3137" s="3">
        <v>43.62</v>
      </c>
      <c r="K3137" s="3">
        <v>42.88</v>
      </c>
      <c r="L3137" s="3">
        <v>1108.5876211534501</v>
      </c>
    </row>
    <row r="3138" spans="1:12" ht="15" customHeight="1" x14ac:dyDescent="0.2">
      <c r="A3138" s="2">
        <v>41498</v>
      </c>
      <c r="B3138" s="3">
        <v>43.5</v>
      </c>
      <c r="C3138" s="1">
        <v>579434</v>
      </c>
      <c r="D3138" s="3">
        <v>-0.22999999999999601</v>
      </c>
      <c r="E3138" s="3">
        <v>-0.52595472215869399</v>
      </c>
      <c r="F3138" s="3">
        <v>-0.52596180289543604</v>
      </c>
      <c r="G3138" s="3">
        <v>44.237009999999998</v>
      </c>
      <c r="H3138" s="3">
        <v>1132.7485054840099</v>
      </c>
      <c r="I3138" s="3">
        <v>43.58</v>
      </c>
      <c r="J3138" s="3">
        <v>44.05</v>
      </c>
      <c r="K3138" s="3">
        <v>43.41</v>
      </c>
      <c r="L3138" s="3">
        <v>1112.21031865748</v>
      </c>
    </row>
    <row r="3139" spans="1:12" ht="15" customHeight="1" x14ac:dyDescent="0.2">
      <c r="A3139" s="2">
        <v>41495</v>
      </c>
      <c r="B3139" s="3">
        <v>43.73</v>
      </c>
      <c r="C3139" s="1">
        <v>561170</v>
      </c>
      <c r="D3139" s="3">
        <v>0.109999999999999</v>
      </c>
      <c r="E3139" s="3">
        <v>0.252177900045857</v>
      </c>
      <c r="F3139" s="3">
        <v>0.25218533231205997</v>
      </c>
      <c r="G3139" s="3">
        <v>44.470910000000003</v>
      </c>
      <c r="H3139" s="3">
        <v>1139.2665743008799</v>
      </c>
      <c r="I3139" s="3">
        <v>43.52</v>
      </c>
      <c r="J3139" s="3">
        <v>44.13</v>
      </c>
      <c r="K3139" s="3">
        <v>43.52</v>
      </c>
      <c r="L3139" s="3">
        <v>1118.6197065492399</v>
      </c>
    </row>
    <row r="3140" spans="1:12" ht="15" customHeight="1" x14ac:dyDescent="0.2">
      <c r="A3140" s="2">
        <v>41494</v>
      </c>
      <c r="B3140" s="3">
        <v>43.62</v>
      </c>
      <c r="C3140" s="1">
        <v>621524</v>
      </c>
      <c r="D3140" s="3">
        <v>0.66999999999999404</v>
      </c>
      <c r="E3140" s="3">
        <v>1.5599534342258301</v>
      </c>
      <c r="F3140" s="3">
        <v>1.5599519315260399</v>
      </c>
      <c r="G3140" s="3">
        <v>44.359043</v>
      </c>
      <c r="H3140" s="3">
        <v>1136.1491873648499</v>
      </c>
      <c r="I3140" s="3">
        <v>43.23</v>
      </c>
      <c r="J3140" s="3">
        <v>43.81</v>
      </c>
      <c r="K3140" s="3">
        <v>43.22</v>
      </c>
      <c r="L3140" s="3">
        <v>1115.55434712275</v>
      </c>
    </row>
    <row r="3141" spans="1:12" ht="15" customHeight="1" x14ac:dyDescent="0.2">
      <c r="A3141" s="2">
        <v>41493</v>
      </c>
      <c r="B3141" s="3">
        <v>42.95</v>
      </c>
      <c r="C3141" s="1">
        <v>713231</v>
      </c>
      <c r="D3141" s="3">
        <v>7.0000000000000201E-2</v>
      </c>
      <c r="E3141" s="3">
        <v>0.16324626865671299</v>
      </c>
      <c r="F3141" s="3">
        <v>0.16323709464480801</v>
      </c>
      <c r="G3141" s="3">
        <v>43.677692</v>
      </c>
      <c r="H3141" s="3">
        <v>1117.16204454123</v>
      </c>
      <c r="I3141" s="3">
        <v>42.71</v>
      </c>
      <c r="J3141" s="3">
        <v>43.49</v>
      </c>
      <c r="K3141" s="3">
        <v>42.71</v>
      </c>
      <c r="L3141" s="3">
        <v>1096.8835215250299</v>
      </c>
    </row>
    <row r="3142" spans="1:12" ht="15" customHeight="1" x14ac:dyDescent="0.2">
      <c r="A3142" s="2">
        <v>41492</v>
      </c>
      <c r="B3142" s="3">
        <v>42.88</v>
      </c>
      <c r="C3142" s="1">
        <v>880176</v>
      </c>
      <c r="D3142" s="3">
        <v>-1.01999999999999</v>
      </c>
      <c r="E3142" s="3">
        <v>-2.32346241457858</v>
      </c>
      <c r="F3142" s="3">
        <v>-2.3234586490080802</v>
      </c>
      <c r="G3142" s="3">
        <v>43.60651</v>
      </c>
      <c r="H3142" s="3">
        <v>1115.1784225894401</v>
      </c>
      <c r="I3142" s="3">
        <v>43.79</v>
      </c>
      <c r="J3142" s="3">
        <v>43.98</v>
      </c>
      <c r="K3142" s="3">
        <v>42.82</v>
      </c>
      <c r="L3142" s="3">
        <v>1094.9328382536301</v>
      </c>
    </row>
    <row r="3143" spans="1:12" ht="15" customHeight="1" x14ac:dyDescent="0.2">
      <c r="A3143" s="2">
        <v>41491</v>
      </c>
      <c r="B3143" s="3">
        <v>43.9</v>
      </c>
      <c r="C3143" s="1">
        <v>556356</v>
      </c>
      <c r="D3143" s="3">
        <v>0.29999999999999699</v>
      </c>
      <c r="E3143" s="3">
        <v>0.68807339449541405</v>
      </c>
      <c r="F3143" s="3">
        <v>1.00918250280319</v>
      </c>
      <c r="G3143" s="3">
        <v>44.643790000000003</v>
      </c>
      <c r="H3143" s="3">
        <v>1144.0842046431701</v>
      </c>
      <c r="I3143" s="3">
        <v>43.51</v>
      </c>
      <c r="J3143" s="3">
        <v>43.93</v>
      </c>
      <c r="K3143" s="3">
        <v>43.2</v>
      </c>
      <c r="L3143" s="3">
        <v>1123.35708020836</v>
      </c>
    </row>
    <row r="3144" spans="1:12" ht="15" customHeight="1" x14ac:dyDescent="0.2">
      <c r="A3144" s="2">
        <v>41488</v>
      </c>
      <c r="B3144" s="3">
        <v>43.6</v>
      </c>
      <c r="C3144" s="1">
        <v>689833</v>
      </c>
      <c r="D3144" s="3">
        <v>0.53000000000000103</v>
      </c>
      <c r="E3144" s="3">
        <v>1.2305549106106299</v>
      </c>
      <c r="F3144" s="3">
        <v>1.2305496342345199</v>
      </c>
      <c r="G3144" s="3">
        <v>44.197754000000003</v>
      </c>
      <c r="H3144" s="3">
        <v>1131.6545623054001</v>
      </c>
      <c r="I3144" s="3">
        <v>43.1</v>
      </c>
      <c r="J3144" s="3">
        <v>43.72</v>
      </c>
      <c r="K3144" s="3">
        <v>43.04</v>
      </c>
      <c r="L3144" s="3">
        <v>1114.9970090452</v>
      </c>
    </row>
    <row r="3145" spans="1:12" ht="15" customHeight="1" x14ac:dyDescent="0.2">
      <c r="A3145" s="2">
        <v>41487</v>
      </c>
      <c r="B3145" s="3">
        <v>43.07</v>
      </c>
      <c r="C3145" s="1">
        <v>1002860</v>
      </c>
      <c r="D3145" s="3">
        <v>0.630000000000002</v>
      </c>
      <c r="E3145" s="3">
        <v>1.48444863336476</v>
      </c>
      <c r="F3145" s="3">
        <v>1.4844549920563599</v>
      </c>
      <c r="G3145" s="3">
        <v>43.660490000000003</v>
      </c>
      <c r="H3145" s="3">
        <v>1116.68267806073</v>
      </c>
      <c r="I3145" s="3">
        <v>42.83</v>
      </c>
      <c r="J3145" s="3">
        <v>43.48</v>
      </c>
      <c r="K3145" s="3">
        <v>42.67</v>
      </c>
      <c r="L3145" s="3">
        <v>1100.2275499902901</v>
      </c>
    </row>
    <row r="3146" spans="1:12" ht="15" customHeight="1" x14ac:dyDescent="0.2">
      <c r="A3146" s="2">
        <v>41486</v>
      </c>
      <c r="B3146" s="3">
        <v>42.44</v>
      </c>
      <c r="C3146" s="1">
        <v>959378</v>
      </c>
      <c r="D3146" s="3">
        <v>0.44999999999999502</v>
      </c>
      <c r="E3146" s="3">
        <v>1.0716837342224099</v>
      </c>
      <c r="F3146" s="3">
        <v>1.07167310945424</v>
      </c>
      <c r="G3146" s="3">
        <v>43.021850000000001</v>
      </c>
      <c r="H3146" s="3">
        <v>1098.8857585686101</v>
      </c>
      <c r="I3146" s="3">
        <v>42.21</v>
      </c>
      <c r="J3146" s="3">
        <v>42.64</v>
      </c>
      <c r="K3146" s="3">
        <v>42.15</v>
      </c>
      <c r="L3146" s="3">
        <v>1082.6714005476699</v>
      </c>
    </row>
    <row r="3147" spans="1:12" ht="15" customHeight="1" x14ac:dyDescent="0.2">
      <c r="A3147" s="2">
        <v>41485</v>
      </c>
      <c r="B3147" s="3">
        <v>41.99</v>
      </c>
      <c r="C3147" s="1">
        <v>1125500</v>
      </c>
      <c r="D3147" s="3">
        <v>0.60000000000000098</v>
      </c>
      <c r="E3147" s="3">
        <v>1.4496255134090299</v>
      </c>
      <c r="F3147" s="3">
        <v>1.44963511252051</v>
      </c>
      <c r="G3147" s="3">
        <v>42.565685000000002</v>
      </c>
      <c r="H3147" s="3">
        <v>1086.1738523614699</v>
      </c>
      <c r="I3147" s="3">
        <v>41.475000000000001</v>
      </c>
      <c r="J3147" s="3">
        <v>42.1</v>
      </c>
      <c r="K3147" s="3">
        <v>41.293199999999999</v>
      </c>
      <c r="L3147" s="3">
        <v>1070.13129380294</v>
      </c>
    </row>
    <row r="3148" spans="1:12" ht="15" customHeight="1" x14ac:dyDescent="0.2">
      <c r="A3148" s="2">
        <v>41484</v>
      </c>
      <c r="B3148" s="3">
        <v>41.39</v>
      </c>
      <c r="C3148" s="1">
        <v>1316967</v>
      </c>
      <c r="D3148" s="3">
        <v>0.59000000000000297</v>
      </c>
      <c r="E3148" s="3">
        <v>1.4460784313725601</v>
      </c>
      <c r="F3148" s="3">
        <v>1.4460762902875199</v>
      </c>
      <c r="G3148" s="3">
        <v>41.957455000000003</v>
      </c>
      <c r="H3148" s="3">
        <v>1069.2243654162501</v>
      </c>
      <c r="I3148" s="3">
        <v>40.6</v>
      </c>
      <c r="J3148" s="3">
        <v>41.45</v>
      </c>
      <c r="K3148" s="3">
        <v>40.6</v>
      </c>
      <c r="L3148" s="3">
        <v>1053.41115147663</v>
      </c>
    </row>
    <row r="3149" spans="1:12" ht="15" customHeight="1" x14ac:dyDescent="0.2">
      <c r="A3149" s="2">
        <v>41481</v>
      </c>
      <c r="B3149" s="3">
        <v>40.799999999999997</v>
      </c>
      <c r="C3149" s="1">
        <v>1615969</v>
      </c>
      <c r="D3149" s="3">
        <v>-5.0000000000004201E-2</v>
      </c>
      <c r="E3149" s="3">
        <v>-0.122399020807839</v>
      </c>
      <c r="F3149" s="3">
        <v>-0.122400229721997</v>
      </c>
      <c r="G3149" s="3">
        <v>41.359366999999999</v>
      </c>
      <c r="H3149" s="3">
        <v>1052.5575046101601</v>
      </c>
      <c r="I3149" s="3">
        <v>41</v>
      </c>
      <c r="J3149" s="3">
        <v>41.11</v>
      </c>
      <c r="K3149" s="3">
        <v>40.24</v>
      </c>
      <c r="L3149" s="3">
        <v>1036.96967818909</v>
      </c>
    </row>
    <row r="3150" spans="1:12" ht="15" customHeight="1" x14ac:dyDescent="0.2">
      <c r="A3150" s="2">
        <v>41480</v>
      </c>
      <c r="B3150" s="3">
        <v>40.85</v>
      </c>
      <c r="C3150" s="1">
        <v>3131131</v>
      </c>
      <c r="D3150" s="3">
        <v>-1.0499999999999901</v>
      </c>
      <c r="E3150" s="3">
        <v>-2.5059665871121601</v>
      </c>
      <c r="F3150" s="3">
        <v>-2.5059700596476202</v>
      </c>
      <c r="G3150" s="3">
        <v>41.410052999999998</v>
      </c>
      <c r="H3150" s="3">
        <v>1053.9699665000801</v>
      </c>
      <c r="I3150" s="3">
        <v>40.36</v>
      </c>
      <c r="J3150" s="3">
        <v>40.869999999999997</v>
      </c>
      <c r="K3150" s="3">
        <v>39.86</v>
      </c>
      <c r="L3150" s="3">
        <v>1038.3630233829499</v>
      </c>
    </row>
    <row r="3151" spans="1:12" ht="15" customHeight="1" x14ac:dyDescent="0.2">
      <c r="A3151" s="2">
        <v>41479</v>
      </c>
      <c r="B3151" s="3">
        <v>41.9</v>
      </c>
      <c r="C3151" s="1">
        <v>1557960</v>
      </c>
      <c r="D3151" s="3">
        <v>-0.64</v>
      </c>
      <c r="E3151" s="3">
        <v>-1.5044663845792099</v>
      </c>
      <c r="F3151" s="3">
        <v>-1.50446086797503</v>
      </c>
      <c r="G3151" s="3">
        <v>42.474449999999997</v>
      </c>
      <c r="H3151" s="3">
        <v>1083.63141538624</v>
      </c>
      <c r="I3151" s="3">
        <v>42.54</v>
      </c>
      <c r="J3151" s="3">
        <v>43.02</v>
      </c>
      <c r="K3151" s="3">
        <v>41.512700000000002</v>
      </c>
      <c r="L3151" s="3">
        <v>1067.62327245399</v>
      </c>
    </row>
    <row r="3152" spans="1:12" ht="15" customHeight="1" x14ac:dyDescent="0.2">
      <c r="A3152" s="2">
        <v>41478</v>
      </c>
      <c r="B3152" s="3">
        <v>42.54</v>
      </c>
      <c r="C3152" s="1">
        <v>713173</v>
      </c>
      <c r="D3152" s="3">
        <v>-0.24000000000000199</v>
      </c>
      <c r="E3152" s="3">
        <v>-0.56100981767180902</v>
      </c>
      <c r="F3152" s="3">
        <v>-0.56100891858676905</v>
      </c>
      <c r="G3152" s="3">
        <v>43.123221999999998</v>
      </c>
      <c r="H3152" s="3">
        <v>1101.7106823484501</v>
      </c>
      <c r="I3152" s="3">
        <v>42.74</v>
      </c>
      <c r="J3152" s="3">
        <v>42.99</v>
      </c>
      <c r="K3152" s="3">
        <v>42.49</v>
      </c>
      <c r="L3152" s="3">
        <v>1085.4580909353899</v>
      </c>
    </row>
    <row r="3153" spans="1:12" ht="15" customHeight="1" x14ac:dyDescent="0.2">
      <c r="A3153" s="2">
        <v>41477</v>
      </c>
      <c r="B3153" s="3">
        <v>42.78</v>
      </c>
      <c r="C3153" s="1">
        <v>1015440</v>
      </c>
      <c r="D3153" s="3">
        <v>-0.50999999999999801</v>
      </c>
      <c r="E3153" s="3">
        <v>-1.1781011781011701</v>
      </c>
      <c r="F3153" s="3">
        <v>-1.1781077569757601</v>
      </c>
      <c r="G3153" s="3">
        <v>43.366512</v>
      </c>
      <c r="H3153" s="3">
        <v>1108.49042139273</v>
      </c>
      <c r="I3153" s="3">
        <v>42.91</v>
      </c>
      <c r="J3153" s="3">
        <v>43.145000000000003</v>
      </c>
      <c r="K3153" s="3">
        <v>42.6</v>
      </c>
      <c r="L3153" s="3">
        <v>1092.1461478659101</v>
      </c>
    </row>
    <row r="3154" spans="1:12" ht="15" customHeight="1" x14ac:dyDescent="0.2">
      <c r="A3154" s="2">
        <v>41474</v>
      </c>
      <c r="B3154" s="3">
        <v>43.29</v>
      </c>
      <c r="C3154" s="1">
        <v>559367</v>
      </c>
      <c r="D3154" s="3">
        <v>-0.41000000000000297</v>
      </c>
      <c r="E3154" s="3">
        <v>-0.93821510297483701</v>
      </c>
      <c r="F3154" s="3">
        <v>-0.93821038365406995</v>
      </c>
      <c r="G3154" s="3">
        <v>43.883507000000002</v>
      </c>
      <c r="H3154" s="3">
        <v>1122.8974713627099</v>
      </c>
      <c r="I3154" s="3">
        <v>43.73</v>
      </c>
      <c r="J3154" s="3">
        <v>44.01</v>
      </c>
      <c r="K3154" s="3">
        <v>43.2</v>
      </c>
      <c r="L3154" s="3">
        <v>1106.35826884328</v>
      </c>
    </row>
    <row r="3155" spans="1:12" ht="15" customHeight="1" x14ac:dyDescent="0.2">
      <c r="A3155" s="2">
        <v>41473</v>
      </c>
      <c r="B3155" s="3">
        <v>43.7</v>
      </c>
      <c r="C3155" s="1">
        <v>443397</v>
      </c>
      <c r="D3155" s="3">
        <v>0.130000000000002</v>
      </c>
      <c r="E3155" s="3">
        <v>0.29837043837503902</v>
      </c>
      <c r="F3155" s="3">
        <v>0.29837203474067903</v>
      </c>
      <c r="G3155" s="3">
        <v>44.299126000000001</v>
      </c>
      <c r="H3155" s="3">
        <v>1134.4794860852401</v>
      </c>
      <c r="I3155" s="3">
        <v>43.52</v>
      </c>
      <c r="J3155" s="3">
        <v>44.225000000000001</v>
      </c>
      <c r="K3155" s="3">
        <v>43.52</v>
      </c>
      <c r="L3155" s="3">
        <v>1117.78369943292</v>
      </c>
    </row>
    <row r="3156" spans="1:12" ht="15" customHeight="1" x14ac:dyDescent="0.2">
      <c r="A3156" s="2">
        <v>41472</v>
      </c>
      <c r="B3156" s="3">
        <v>43.57</v>
      </c>
      <c r="C3156" s="1">
        <v>580057</v>
      </c>
      <c r="D3156" s="3">
        <v>-0.52000000000000302</v>
      </c>
      <c r="E3156" s="3">
        <v>-1.17940576094353</v>
      </c>
      <c r="F3156" s="3">
        <v>-1.1794075746233801</v>
      </c>
      <c r="G3156" s="3">
        <v>44.167343000000002</v>
      </c>
      <c r="H3156" s="3">
        <v>1130.80710189159</v>
      </c>
      <c r="I3156" s="3">
        <v>44.79</v>
      </c>
      <c r="J3156" s="3">
        <v>44.79</v>
      </c>
      <c r="K3156" s="3">
        <v>43.23</v>
      </c>
      <c r="L3156" s="3">
        <v>1114.1610019288901</v>
      </c>
    </row>
    <row r="3157" spans="1:12" ht="15" customHeight="1" x14ac:dyDescent="0.2">
      <c r="A3157" s="2">
        <v>41471</v>
      </c>
      <c r="B3157" s="3">
        <v>44.09</v>
      </c>
      <c r="C3157" s="1">
        <v>572963</v>
      </c>
      <c r="D3157" s="3">
        <v>3.0000000000001099E-2</v>
      </c>
      <c r="E3157" s="3">
        <v>6.8088969586921302E-2</v>
      </c>
      <c r="F3157" s="3">
        <v>6.8086058359728696E-2</v>
      </c>
      <c r="G3157" s="3">
        <v>44.694473000000002</v>
      </c>
      <c r="H3157" s="3">
        <v>1145.4965829323701</v>
      </c>
      <c r="I3157" s="3">
        <v>44.2</v>
      </c>
      <c r="J3157" s="3">
        <v>44.41</v>
      </c>
      <c r="K3157" s="3">
        <v>43.65</v>
      </c>
      <c r="L3157" s="3">
        <v>1128.65179194502</v>
      </c>
    </row>
    <row r="3158" spans="1:12" ht="15" customHeight="1" x14ac:dyDescent="0.2">
      <c r="A3158" s="2">
        <v>41470</v>
      </c>
      <c r="B3158" s="3">
        <v>44.06</v>
      </c>
      <c r="C3158" s="1">
        <v>466751</v>
      </c>
      <c r="D3158" s="3">
        <v>0.109999999999999</v>
      </c>
      <c r="E3158" s="3">
        <v>0.25028441410694902</v>
      </c>
      <c r="F3158" s="3">
        <v>0.25028418684405102</v>
      </c>
      <c r="G3158" s="3">
        <v>44.664062999999999</v>
      </c>
      <c r="H3158" s="3">
        <v>1144.64915038547</v>
      </c>
      <c r="I3158" s="3">
        <v>44.09</v>
      </c>
      <c r="J3158" s="3">
        <v>44.2</v>
      </c>
      <c r="K3158" s="3">
        <v>43.65</v>
      </c>
      <c r="L3158" s="3">
        <v>1127.8157848287101</v>
      </c>
    </row>
    <row r="3159" spans="1:12" ht="15" customHeight="1" x14ac:dyDescent="0.2">
      <c r="A3159" s="2">
        <v>41467</v>
      </c>
      <c r="B3159" s="3">
        <v>43.95</v>
      </c>
      <c r="C3159" s="1">
        <v>326480</v>
      </c>
      <c r="D3159" s="3">
        <v>0.100000000000001</v>
      </c>
      <c r="E3159" s="3">
        <v>0.228050171037641</v>
      </c>
      <c r="F3159" s="3">
        <v>0.22805242326171499</v>
      </c>
      <c r="G3159" s="3">
        <v>44.552554999999998</v>
      </c>
      <c r="H3159" s="3">
        <v>1141.5417676679299</v>
      </c>
      <c r="I3159" s="3">
        <v>44</v>
      </c>
      <c r="J3159" s="3">
        <v>44.125</v>
      </c>
      <c r="K3159" s="3">
        <v>43.8</v>
      </c>
      <c r="L3159" s="3">
        <v>1124.7504254022199</v>
      </c>
    </row>
    <row r="3160" spans="1:12" ht="15" customHeight="1" x14ac:dyDescent="0.2">
      <c r="A3160" s="2">
        <v>41466</v>
      </c>
      <c r="B3160" s="3">
        <v>43.85</v>
      </c>
      <c r="C3160" s="1">
        <v>557190</v>
      </c>
      <c r="D3160" s="3">
        <v>7.0000000000000201E-2</v>
      </c>
      <c r="E3160" s="3">
        <v>0.159890360895387</v>
      </c>
      <c r="F3160" s="3">
        <v>0.15989329661305601</v>
      </c>
      <c r="G3160" s="3">
        <v>44.451183</v>
      </c>
      <c r="H3160" s="3">
        <v>1138.7168438880899</v>
      </c>
      <c r="I3160" s="3">
        <v>44</v>
      </c>
      <c r="J3160" s="3">
        <v>44.2684</v>
      </c>
      <c r="K3160" s="3">
        <v>43.64</v>
      </c>
      <c r="L3160" s="3">
        <v>1121.9637350144999</v>
      </c>
    </row>
    <row r="3161" spans="1:12" ht="15" customHeight="1" x14ac:dyDescent="0.2">
      <c r="A3161" s="2">
        <v>41465</v>
      </c>
      <c r="B3161" s="3">
        <v>43.78</v>
      </c>
      <c r="C3161" s="1">
        <v>375019</v>
      </c>
      <c r="D3161" s="3">
        <v>-3.9999999999999099E-2</v>
      </c>
      <c r="E3161" s="3">
        <v>-9.12825193975286E-2</v>
      </c>
      <c r="F3161" s="3">
        <v>-9.1288370870978797E-2</v>
      </c>
      <c r="G3161" s="3">
        <v>44.380222000000003</v>
      </c>
      <c r="H3161" s="3">
        <v>1136.73938052207</v>
      </c>
      <c r="I3161" s="3">
        <v>43.82</v>
      </c>
      <c r="J3161" s="3">
        <v>43.95</v>
      </c>
      <c r="K3161" s="3">
        <v>43.4</v>
      </c>
      <c r="L3161" s="3">
        <v>1120.01305174309</v>
      </c>
    </row>
    <row r="3162" spans="1:12" ht="15" customHeight="1" x14ac:dyDescent="0.2">
      <c r="A3162" s="2">
        <v>41464</v>
      </c>
      <c r="B3162" s="3">
        <v>43.82</v>
      </c>
      <c r="C3162" s="1">
        <v>469656</v>
      </c>
      <c r="D3162" s="3">
        <v>0.52000000000000302</v>
      </c>
      <c r="E3162" s="3">
        <v>1.2009237875288701</v>
      </c>
      <c r="F3162" s="3">
        <v>1.20092791571042</v>
      </c>
      <c r="G3162" s="3">
        <v>44.420772999999997</v>
      </c>
      <c r="H3162" s="3">
        <v>1137.86941134119</v>
      </c>
      <c r="I3162" s="3">
        <v>43.57</v>
      </c>
      <c r="J3162" s="3">
        <v>43.939900000000002</v>
      </c>
      <c r="K3162" s="3">
        <v>43.43</v>
      </c>
      <c r="L3162" s="3">
        <v>1121.12772789818</v>
      </c>
    </row>
    <row r="3163" spans="1:12" ht="15" customHeight="1" x14ac:dyDescent="0.2">
      <c r="A3163" s="2">
        <v>41463</v>
      </c>
      <c r="B3163" s="3">
        <v>43.3</v>
      </c>
      <c r="C3163" s="1">
        <v>434255</v>
      </c>
      <c r="D3163" s="3">
        <v>0.29999999999999699</v>
      </c>
      <c r="E3163" s="3">
        <v>0.69767441860464297</v>
      </c>
      <c r="F3163" s="3">
        <v>0.69767212447575599</v>
      </c>
      <c r="G3163" s="3">
        <v>43.893642</v>
      </c>
      <c r="H3163" s="3">
        <v>1123.1799024335101</v>
      </c>
      <c r="I3163" s="3">
        <v>43.3</v>
      </c>
      <c r="J3163" s="3">
        <v>43.454999999999998</v>
      </c>
      <c r="K3163" s="3">
        <v>43.07</v>
      </c>
      <c r="L3163" s="3">
        <v>1106.63693788205</v>
      </c>
    </row>
    <row r="3164" spans="1:12" ht="15" customHeight="1" x14ac:dyDescent="0.2">
      <c r="A3164" s="2">
        <v>41460</v>
      </c>
      <c r="B3164" s="3">
        <v>43</v>
      </c>
      <c r="C3164" s="1">
        <v>602358</v>
      </c>
      <c r="D3164" s="3">
        <v>0.60999999999999899</v>
      </c>
      <c r="E3164" s="3">
        <v>1.4390186364708599</v>
      </c>
      <c r="F3164" s="3">
        <v>1.43902312166777</v>
      </c>
      <c r="G3164" s="3">
        <v>43.589530000000003</v>
      </c>
      <c r="H3164" s="3">
        <v>1114.70524256161</v>
      </c>
      <c r="I3164" s="3">
        <v>43.01</v>
      </c>
      <c r="J3164" s="3">
        <v>43.19</v>
      </c>
      <c r="K3164" s="3">
        <v>42.74</v>
      </c>
      <c r="L3164" s="3">
        <v>1098.27686671889</v>
      </c>
    </row>
    <row r="3165" spans="1:12" ht="15" customHeight="1" x14ac:dyDescent="0.2">
      <c r="A3165" s="2">
        <v>41458</v>
      </c>
      <c r="B3165" s="3">
        <v>42.39</v>
      </c>
      <c r="C3165" s="1">
        <v>413021</v>
      </c>
      <c r="D3165" s="3">
        <v>2.0000000000003099E-2</v>
      </c>
      <c r="E3165" s="3">
        <v>4.7203209818280599E-2</v>
      </c>
      <c r="F3165" s="3">
        <v>4.7205075377942898E-2</v>
      </c>
      <c r="G3165" s="3">
        <v>42.971164999999999</v>
      </c>
      <c r="H3165" s="3">
        <v>1097.47332454559</v>
      </c>
      <c r="I3165" s="3">
        <v>42.37</v>
      </c>
      <c r="J3165" s="3">
        <v>42.5</v>
      </c>
      <c r="K3165" s="3">
        <v>42.043999999999997</v>
      </c>
      <c r="L3165" s="3">
        <v>1081.27805535381</v>
      </c>
    </row>
    <row r="3166" spans="1:12" ht="15" customHeight="1" x14ac:dyDescent="0.2">
      <c r="A3166" s="2">
        <v>41457</v>
      </c>
      <c r="B3166" s="3">
        <v>42.37</v>
      </c>
      <c r="C3166" s="1">
        <v>370106</v>
      </c>
      <c r="D3166" s="3">
        <v>3.9999999999999099E-2</v>
      </c>
      <c r="E3166" s="3">
        <v>9.44956295771293E-2</v>
      </c>
      <c r="F3166" s="3">
        <v>9.4483039253900794E-2</v>
      </c>
      <c r="G3166" s="3">
        <v>42.950890000000001</v>
      </c>
      <c r="H3166" s="3">
        <v>1096.90832306948</v>
      </c>
      <c r="I3166" s="3">
        <v>42.31</v>
      </c>
      <c r="J3166" s="3">
        <v>42.63</v>
      </c>
      <c r="K3166" s="3">
        <v>42.05</v>
      </c>
      <c r="L3166" s="3">
        <v>1080.7207172762701</v>
      </c>
    </row>
    <row r="3167" spans="1:12" ht="15" customHeight="1" x14ac:dyDescent="0.2">
      <c r="A3167" s="2">
        <v>41456</v>
      </c>
      <c r="B3167" s="3">
        <v>42.33</v>
      </c>
      <c r="C3167" s="1">
        <v>415692</v>
      </c>
      <c r="D3167" s="3">
        <v>0.439999999999997</v>
      </c>
      <c r="E3167" s="3">
        <v>1.05037001671042</v>
      </c>
      <c r="F3167" s="3">
        <v>1.0503808963338901</v>
      </c>
      <c r="G3167" s="3">
        <v>42.910347000000002</v>
      </c>
      <c r="H3167" s="3">
        <v>1095.7785151855901</v>
      </c>
      <c r="I3167" s="3">
        <v>42.2</v>
      </c>
      <c r="J3167" s="3">
        <v>42.6</v>
      </c>
      <c r="K3167" s="3">
        <v>41.95</v>
      </c>
      <c r="L3167" s="3">
        <v>1079.6060411211799</v>
      </c>
    </row>
    <row r="3168" spans="1:12" ht="15" customHeight="1" x14ac:dyDescent="0.2">
      <c r="A3168" s="2">
        <v>41453</v>
      </c>
      <c r="B3168" s="3">
        <v>41.89</v>
      </c>
      <c r="C3168" s="1">
        <v>1002005</v>
      </c>
      <c r="D3168" s="3">
        <v>0.14000000000000001</v>
      </c>
      <c r="E3168" s="3">
        <v>0.33532934131736902</v>
      </c>
      <c r="F3168" s="3">
        <v>0.33533077881471302</v>
      </c>
      <c r="G3168" s="3">
        <v>42.464309999999998</v>
      </c>
      <c r="H3168" s="3">
        <v>1083.3488449809199</v>
      </c>
      <c r="I3168" s="3">
        <v>41.86</v>
      </c>
      <c r="J3168" s="3">
        <v>42.12</v>
      </c>
      <c r="K3168" s="3">
        <v>41.49</v>
      </c>
      <c r="L3168" s="3">
        <v>1067.34460341522</v>
      </c>
    </row>
    <row r="3169" spans="1:12" ht="15" customHeight="1" x14ac:dyDescent="0.2">
      <c r="A3169" s="2">
        <v>41452</v>
      </c>
      <c r="B3169" s="3">
        <v>41.75</v>
      </c>
      <c r="C3169" s="1">
        <v>568116</v>
      </c>
      <c r="D3169" s="3">
        <v>0.47999999999999599</v>
      </c>
      <c r="E3169" s="3">
        <v>1.1630724497213301</v>
      </c>
      <c r="F3169" s="3">
        <v>1.1630705847454501</v>
      </c>
      <c r="G3169" s="3">
        <v>42.322389999999999</v>
      </c>
      <c r="H3169" s="3">
        <v>1079.3939739826701</v>
      </c>
      <c r="I3169" s="3">
        <v>41.51</v>
      </c>
      <c r="J3169" s="3">
        <v>42.119900000000001</v>
      </c>
      <c r="K3169" s="3">
        <v>40.620100000000001</v>
      </c>
      <c r="L3169" s="3">
        <v>1063.4432368724099</v>
      </c>
    </row>
    <row r="3170" spans="1:12" ht="15" customHeight="1" x14ac:dyDescent="0.2">
      <c r="A3170" s="2">
        <v>41451</v>
      </c>
      <c r="B3170" s="3">
        <v>41.27</v>
      </c>
      <c r="C3170" s="1">
        <v>491644</v>
      </c>
      <c r="D3170" s="3">
        <v>0.41000000000000297</v>
      </c>
      <c r="E3170" s="3">
        <v>1.00342633382282</v>
      </c>
      <c r="F3170" s="3">
        <v>1.0034236926484501</v>
      </c>
      <c r="G3170" s="3">
        <v>41.835810000000002</v>
      </c>
      <c r="H3170" s="3">
        <v>1065.83449589411</v>
      </c>
      <c r="I3170" s="3">
        <v>41.22</v>
      </c>
      <c r="J3170" s="3">
        <v>41.5</v>
      </c>
      <c r="K3170" s="3">
        <v>40.970100000000002</v>
      </c>
      <c r="L3170" s="3">
        <v>1050.0671230113601</v>
      </c>
    </row>
    <row r="3171" spans="1:12" ht="15" customHeight="1" x14ac:dyDescent="0.2">
      <c r="A3171" s="2">
        <v>41450</v>
      </c>
      <c r="B3171" s="3">
        <v>40.86</v>
      </c>
      <c r="C3171" s="1">
        <v>686968</v>
      </c>
      <c r="D3171" s="3">
        <v>0.219999999999998</v>
      </c>
      <c r="E3171" s="3">
        <v>0.54133858267715296</v>
      </c>
      <c r="F3171" s="3">
        <v>0.54133810246304004</v>
      </c>
      <c r="G3171" s="3">
        <v>41.420189999999998</v>
      </c>
      <c r="H3171" s="3">
        <v>1054.2524533046801</v>
      </c>
      <c r="I3171" s="3">
        <v>40.75</v>
      </c>
      <c r="J3171" s="3">
        <v>41.05</v>
      </c>
      <c r="K3171" s="3">
        <v>40.659999999999997</v>
      </c>
      <c r="L3171" s="3">
        <v>1038.6416924217201</v>
      </c>
    </row>
    <row r="3172" spans="1:12" ht="15" customHeight="1" x14ac:dyDescent="0.2">
      <c r="A3172" s="2">
        <v>41449</v>
      </c>
      <c r="B3172" s="3">
        <v>40.64</v>
      </c>
      <c r="C3172" s="1">
        <v>552450</v>
      </c>
      <c r="D3172" s="3">
        <v>-0.20000000000000201</v>
      </c>
      <c r="E3172" s="3">
        <v>-0.48971596474045498</v>
      </c>
      <c r="F3172" s="3">
        <v>-0.48972077674164199</v>
      </c>
      <c r="G3172" s="3">
        <v>41.197173999999997</v>
      </c>
      <c r="H3172" s="3">
        <v>1048.0376878695999</v>
      </c>
      <c r="I3172" s="3">
        <v>40.33</v>
      </c>
      <c r="J3172" s="3">
        <v>40.880000000000003</v>
      </c>
      <c r="K3172" s="3">
        <v>39.909999999999997</v>
      </c>
      <c r="L3172" s="3">
        <v>1032.5109735687399</v>
      </c>
    </row>
    <row r="3173" spans="1:12" ht="15" customHeight="1" x14ac:dyDescent="0.2">
      <c r="A3173" s="2">
        <v>41446</v>
      </c>
      <c r="B3173" s="3">
        <v>40.840000000000003</v>
      </c>
      <c r="C3173" s="1">
        <v>1251118</v>
      </c>
      <c r="D3173" s="3">
        <v>-1.03999999999999</v>
      </c>
      <c r="E3173" s="3">
        <v>-2.4832855778414502</v>
      </c>
      <c r="F3173" s="3">
        <v>-2.48327997148172</v>
      </c>
      <c r="G3173" s="3">
        <v>41.399918</v>
      </c>
      <c r="H3173" s="3">
        <v>1053.6875354292799</v>
      </c>
      <c r="I3173" s="3">
        <v>41.96</v>
      </c>
      <c r="J3173" s="3">
        <v>42.17</v>
      </c>
      <c r="K3173" s="3">
        <v>40.61</v>
      </c>
      <c r="L3173" s="3">
        <v>1038.0843543441799</v>
      </c>
    </row>
    <row r="3174" spans="1:12" ht="15" customHeight="1" x14ac:dyDescent="0.2">
      <c r="A3174" s="2">
        <v>41445</v>
      </c>
      <c r="B3174" s="3">
        <v>41.88</v>
      </c>
      <c r="C3174" s="1">
        <v>1099290</v>
      </c>
      <c r="D3174" s="3">
        <v>-0.19999999999999499</v>
      </c>
      <c r="E3174" s="3">
        <v>-0.47528517110264601</v>
      </c>
      <c r="F3174" s="3">
        <v>-0.47528984630346099</v>
      </c>
      <c r="G3174" s="3">
        <v>42.454174000000002</v>
      </c>
      <c r="H3174" s="3">
        <v>1083.0663860432201</v>
      </c>
      <c r="I3174" s="3">
        <v>41.93</v>
      </c>
      <c r="J3174" s="3">
        <v>42.09</v>
      </c>
      <c r="K3174" s="3">
        <v>41.44</v>
      </c>
      <c r="L3174" s="3">
        <v>1067.0659343764501</v>
      </c>
    </row>
    <row r="3175" spans="1:12" ht="15" customHeight="1" x14ac:dyDescent="0.2">
      <c r="A3175" s="2">
        <v>41444</v>
      </c>
      <c r="B3175" s="3">
        <v>42.08</v>
      </c>
      <c r="C3175" s="1">
        <v>502523</v>
      </c>
      <c r="D3175" s="3">
        <v>9.9999999999980105E-3</v>
      </c>
      <c r="E3175" s="3">
        <v>2.3769907297355099E-2</v>
      </c>
      <c r="F3175" s="3">
        <v>2.3772017488776699E-2</v>
      </c>
      <c r="G3175" s="3">
        <v>42.656917999999997</v>
      </c>
      <c r="H3175" s="3">
        <v>1088.7162336029</v>
      </c>
      <c r="I3175" s="3">
        <v>42.12</v>
      </c>
      <c r="J3175" s="3">
        <v>42.53</v>
      </c>
      <c r="K3175" s="3">
        <v>41.95</v>
      </c>
      <c r="L3175" s="3">
        <v>1072.6393151518801</v>
      </c>
    </row>
    <row r="3176" spans="1:12" ht="15" customHeight="1" x14ac:dyDescent="0.2">
      <c r="A3176" s="2">
        <v>41443</v>
      </c>
      <c r="B3176" s="3">
        <v>42.07</v>
      </c>
      <c r="C3176" s="1">
        <v>458113</v>
      </c>
      <c r="D3176" s="3">
        <v>0.41000000000000297</v>
      </c>
      <c r="E3176" s="3">
        <v>0.98415746519444602</v>
      </c>
      <c r="F3176" s="3">
        <v>0.98415482785696395</v>
      </c>
      <c r="G3176" s="3">
        <v>42.64678</v>
      </c>
      <c r="H3176" s="3">
        <v>1088.4337189313901</v>
      </c>
      <c r="I3176" s="3">
        <v>41.28</v>
      </c>
      <c r="J3176" s="3">
        <v>42.3</v>
      </c>
      <c r="K3176" s="3">
        <v>41.28</v>
      </c>
      <c r="L3176" s="3">
        <v>1072.3606461131101</v>
      </c>
    </row>
    <row r="3177" spans="1:12" ht="15" customHeight="1" x14ac:dyDescent="0.2">
      <c r="A3177" s="2">
        <v>41442</v>
      </c>
      <c r="B3177" s="3">
        <v>41.66</v>
      </c>
      <c r="C3177" s="1">
        <v>508324</v>
      </c>
      <c r="D3177" s="3">
        <v>0.19999999999999499</v>
      </c>
      <c r="E3177" s="3">
        <v>0.48239266763143701</v>
      </c>
      <c r="F3177" s="3">
        <v>0.48239743320328499</v>
      </c>
      <c r="G3177" s="3">
        <v>42.231160000000003</v>
      </c>
      <c r="H3177" s="3">
        <v>1076.85167634196</v>
      </c>
      <c r="I3177" s="3">
        <v>41.91</v>
      </c>
      <c r="J3177" s="3">
        <v>42</v>
      </c>
      <c r="K3177" s="3">
        <v>41.47</v>
      </c>
      <c r="L3177" s="3">
        <v>1060.9352155234701</v>
      </c>
    </row>
    <row r="3178" spans="1:12" ht="15" customHeight="1" x14ac:dyDescent="0.2">
      <c r="A3178" s="2">
        <v>41439</v>
      </c>
      <c r="B3178" s="3">
        <v>41.46</v>
      </c>
      <c r="C3178" s="1">
        <v>310514</v>
      </c>
      <c r="D3178" s="3">
        <v>-0.15999999999999601</v>
      </c>
      <c r="E3178" s="3">
        <v>-0.38443056222968702</v>
      </c>
      <c r="F3178" s="3">
        <v>-0.38443151213030102</v>
      </c>
      <c r="G3178" s="3">
        <v>42.028416</v>
      </c>
      <c r="H3178" s="3">
        <v>1071.20182878228</v>
      </c>
      <c r="I3178" s="3">
        <v>41.67</v>
      </c>
      <c r="J3178" s="3">
        <v>41.99</v>
      </c>
      <c r="K3178" s="3">
        <v>41.43</v>
      </c>
      <c r="L3178" s="3">
        <v>1055.3618347480301</v>
      </c>
    </row>
    <row r="3179" spans="1:12" ht="15" customHeight="1" x14ac:dyDescent="0.2">
      <c r="A3179" s="2">
        <v>41438</v>
      </c>
      <c r="B3179" s="3">
        <v>41.62</v>
      </c>
      <c r="C3179" s="1">
        <v>360256</v>
      </c>
      <c r="D3179" s="3">
        <v>0.22999999999999601</v>
      </c>
      <c r="E3179" s="3">
        <v>0.55568978014013304</v>
      </c>
      <c r="F3179" s="3">
        <v>0.555693857027317</v>
      </c>
      <c r="G3179" s="3">
        <v>42.19061</v>
      </c>
      <c r="H3179" s="3">
        <v>1075.7216733897401</v>
      </c>
      <c r="I3179" s="3">
        <v>41.51</v>
      </c>
      <c r="J3179" s="3">
        <v>41.685000000000002</v>
      </c>
      <c r="K3179" s="3">
        <v>40.94</v>
      </c>
      <c r="L3179" s="3">
        <v>1059.82053936838</v>
      </c>
    </row>
    <row r="3180" spans="1:12" ht="15" customHeight="1" x14ac:dyDescent="0.2">
      <c r="A3180" s="2">
        <v>41437</v>
      </c>
      <c r="B3180" s="3">
        <v>41.39</v>
      </c>
      <c r="C3180" s="1">
        <v>435087</v>
      </c>
      <c r="D3180" s="3">
        <v>-0.189999999999997</v>
      </c>
      <c r="E3180" s="3">
        <v>-0.456950456950455</v>
      </c>
      <c r="F3180" s="3">
        <v>-0.456957798615864</v>
      </c>
      <c r="G3180" s="3">
        <v>41.957455000000003</v>
      </c>
      <c r="H3180" s="3">
        <v>1069.2243654162501</v>
      </c>
      <c r="I3180" s="3">
        <v>41.6</v>
      </c>
      <c r="J3180" s="3">
        <v>41.685000000000002</v>
      </c>
      <c r="K3180" s="3">
        <v>41.13</v>
      </c>
      <c r="L3180" s="3">
        <v>1053.41115147663</v>
      </c>
    </row>
    <row r="3181" spans="1:12" ht="15" customHeight="1" x14ac:dyDescent="0.2">
      <c r="A3181" s="2">
        <v>41436</v>
      </c>
      <c r="B3181" s="3">
        <v>41.58</v>
      </c>
      <c r="C3181" s="1">
        <v>377844</v>
      </c>
      <c r="D3181" s="3">
        <v>-3.0000000000001099E-2</v>
      </c>
      <c r="E3181" s="3">
        <v>-7.2098053352565E-2</v>
      </c>
      <c r="F3181" s="3">
        <v>-7.2094971528646704E-2</v>
      </c>
      <c r="G3181" s="3">
        <v>42.150063000000003</v>
      </c>
      <c r="H3181" s="3">
        <v>1074.59175403823</v>
      </c>
      <c r="I3181" s="3">
        <v>41.26</v>
      </c>
      <c r="J3181" s="3">
        <v>41.84</v>
      </c>
      <c r="K3181" s="3">
        <v>40.89</v>
      </c>
      <c r="L3181" s="3">
        <v>1058.7058632132901</v>
      </c>
    </row>
    <row r="3182" spans="1:12" ht="15" customHeight="1" x14ac:dyDescent="0.2">
      <c r="A3182" s="2">
        <v>41435</v>
      </c>
      <c r="B3182" s="3">
        <v>41.61</v>
      </c>
      <c r="C3182" s="1">
        <v>358302</v>
      </c>
      <c r="D3182" s="3">
        <v>0.149999999999998</v>
      </c>
      <c r="E3182" s="3">
        <v>0.36179450072357699</v>
      </c>
      <c r="F3182" s="3">
        <v>0.36179569555987401</v>
      </c>
      <c r="G3182" s="3">
        <v>42.180472999999999</v>
      </c>
      <c r="H3182" s="3">
        <v>1075.4391865851301</v>
      </c>
      <c r="I3182" s="3">
        <v>41.69</v>
      </c>
      <c r="J3182" s="3">
        <v>42</v>
      </c>
      <c r="K3182" s="3">
        <v>41.41</v>
      </c>
      <c r="L3182" s="3">
        <v>1059.54187032961</v>
      </c>
    </row>
    <row r="3183" spans="1:12" ht="15" customHeight="1" x14ac:dyDescent="0.2">
      <c r="A3183" s="2">
        <v>41432</v>
      </c>
      <c r="B3183" s="3">
        <v>41.46</v>
      </c>
      <c r="C3183" s="1">
        <v>563258</v>
      </c>
      <c r="D3183" s="3">
        <v>0.77000000000000302</v>
      </c>
      <c r="E3183" s="3">
        <v>1.8923568444335399</v>
      </c>
      <c r="F3183" s="3">
        <v>1.8923551427880001</v>
      </c>
      <c r="G3183" s="3">
        <v>42.028416</v>
      </c>
      <c r="H3183" s="3">
        <v>1071.20182878228</v>
      </c>
      <c r="I3183" s="3">
        <v>40.869999999999997</v>
      </c>
      <c r="J3183" s="3">
        <v>41.6</v>
      </c>
      <c r="K3183" s="3">
        <v>40.582000000000001</v>
      </c>
      <c r="L3183" s="3">
        <v>1055.3618347480301</v>
      </c>
    </row>
    <row r="3184" spans="1:12" ht="15" customHeight="1" x14ac:dyDescent="0.2">
      <c r="A3184" s="2">
        <v>41431</v>
      </c>
      <c r="B3184" s="3">
        <v>40.69</v>
      </c>
      <c r="C3184" s="1">
        <v>412979</v>
      </c>
      <c r="D3184" s="3">
        <v>0.34999999999999398</v>
      </c>
      <c r="E3184" s="3">
        <v>0.86762518591967297</v>
      </c>
      <c r="F3184" s="3">
        <v>0.867621483868807</v>
      </c>
      <c r="G3184" s="3">
        <v>41.247860000000003</v>
      </c>
      <c r="H3184" s="3">
        <v>1049.4501497595199</v>
      </c>
      <c r="I3184" s="3">
        <v>40.25</v>
      </c>
      <c r="J3184" s="3">
        <v>40.770000000000003</v>
      </c>
      <c r="K3184" s="3">
        <v>40.08</v>
      </c>
      <c r="L3184" s="3">
        <v>1033.9043187626</v>
      </c>
    </row>
    <row r="3185" spans="1:12" ht="15" customHeight="1" x14ac:dyDescent="0.2">
      <c r="A3185" s="2">
        <v>41430</v>
      </c>
      <c r="B3185" s="3">
        <v>40.340000000000003</v>
      </c>
      <c r="C3185" s="1">
        <v>485678</v>
      </c>
      <c r="D3185" s="3">
        <v>-8.9999999999996305E-2</v>
      </c>
      <c r="E3185" s="3">
        <v>-0.22260697501854601</v>
      </c>
      <c r="F3185" s="3">
        <v>-0.22260234072589699</v>
      </c>
      <c r="G3185" s="3">
        <v>40.893062999999998</v>
      </c>
      <c r="H3185" s="3">
        <v>1039.5630558646101</v>
      </c>
      <c r="I3185" s="3">
        <v>40.39</v>
      </c>
      <c r="J3185" s="3">
        <v>40.5</v>
      </c>
      <c r="K3185" s="3">
        <v>40.14</v>
      </c>
      <c r="L3185" s="3">
        <v>1024.1509024055799</v>
      </c>
    </row>
    <row r="3186" spans="1:12" ht="15" customHeight="1" x14ac:dyDescent="0.2">
      <c r="A3186" s="2">
        <v>41429</v>
      </c>
      <c r="B3186" s="3">
        <v>40.43</v>
      </c>
      <c r="C3186" s="1">
        <v>701836</v>
      </c>
      <c r="D3186" s="3">
        <v>0.35000000000000098</v>
      </c>
      <c r="E3186" s="3">
        <v>0.87325349301397004</v>
      </c>
      <c r="F3186" s="3">
        <v>0.87324977532334802</v>
      </c>
      <c r="G3186" s="3">
        <v>40.984295000000003</v>
      </c>
      <c r="H3186" s="3">
        <v>1042.10540923913</v>
      </c>
      <c r="I3186" s="3">
        <v>40</v>
      </c>
      <c r="J3186" s="3">
        <v>40.76</v>
      </c>
      <c r="K3186" s="3">
        <v>40</v>
      </c>
      <c r="L3186" s="3">
        <v>1026.65892375453</v>
      </c>
    </row>
    <row r="3187" spans="1:12" ht="15" customHeight="1" x14ac:dyDescent="0.2">
      <c r="A3187" s="2">
        <v>41428</v>
      </c>
      <c r="B3187" s="3">
        <v>40.08</v>
      </c>
      <c r="C3187" s="1">
        <v>620009</v>
      </c>
      <c r="D3187" s="3">
        <v>0.15999999999999601</v>
      </c>
      <c r="E3187" s="3">
        <v>0.400801603206413</v>
      </c>
      <c r="F3187" s="3">
        <v>0.40081250787671302</v>
      </c>
      <c r="G3187" s="3">
        <v>40.629497999999998</v>
      </c>
      <c r="H3187" s="3">
        <v>1032.2183153442199</v>
      </c>
      <c r="I3187" s="3">
        <v>39.950000000000003</v>
      </c>
      <c r="J3187" s="3">
        <v>40.11</v>
      </c>
      <c r="K3187" s="3">
        <v>39.380000000000003</v>
      </c>
      <c r="L3187" s="3">
        <v>1016.90550739752</v>
      </c>
    </row>
    <row r="3188" spans="1:12" ht="15" customHeight="1" x14ac:dyDescent="0.2">
      <c r="A3188" s="2">
        <v>41425</v>
      </c>
      <c r="B3188" s="3">
        <v>39.92</v>
      </c>
      <c r="C3188" s="1">
        <v>459851</v>
      </c>
      <c r="D3188" s="3">
        <v>-0.17999999999999899</v>
      </c>
      <c r="E3188" s="3">
        <v>-0.44887780548627998</v>
      </c>
      <c r="F3188" s="3">
        <v>-0.44888322861358299</v>
      </c>
      <c r="G3188" s="3">
        <v>40.467300000000002</v>
      </c>
      <c r="H3188" s="3">
        <v>1027.6983592691499</v>
      </c>
      <c r="I3188" s="3">
        <v>39.93</v>
      </c>
      <c r="J3188" s="3">
        <v>40.549999999999997</v>
      </c>
      <c r="K3188" s="3">
        <v>39.840000000000003</v>
      </c>
      <c r="L3188" s="3">
        <v>1012.44680277717</v>
      </c>
    </row>
    <row r="3189" spans="1:12" ht="15" customHeight="1" x14ac:dyDescent="0.2">
      <c r="A3189" s="2">
        <v>41424</v>
      </c>
      <c r="B3189" s="3">
        <v>40.1</v>
      </c>
      <c r="C3189" s="1">
        <v>359143</v>
      </c>
      <c r="D3189" s="3">
        <v>-0.219999999999998</v>
      </c>
      <c r="E3189" s="3">
        <v>-0.54563492063491803</v>
      </c>
      <c r="F3189" s="3">
        <v>-0.54563688059736604</v>
      </c>
      <c r="G3189" s="3">
        <v>40.649769999999997</v>
      </c>
      <c r="H3189" s="3">
        <v>1032.7832332196199</v>
      </c>
      <c r="I3189" s="3">
        <v>40.51</v>
      </c>
      <c r="J3189" s="3">
        <v>40.64</v>
      </c>
      <c r="K3189" s="3">
        <v>40</v>
      </c>
      <c r="L3189" s="3">
        <v>1017.46284547506</v>
      </c>
    </row>
    <row r="3190" spans="1:12" ht="15" customHeight="1" x14ac:dyDescent="0.2">
      <c r="A3190" s="2">
        <v>41423</v>
      </c>
      <c r="B3190" s="3">
        <v>40.32</v>
      </c>
      <c r="C3190" s="1">
        <v>267170</v>
      </c>
      <c r="D3190" s="3">
        <v>-0.39</v>
      </c>
      <c r="E3190" s="3">
        <v>-0.95799557848195105</v>
      </c>
      <c r="F3190" s="3">
        <v>-0.95798622326719296</v>
      </c>
      <c r="G3190" s="3">
        <v>40.872787000000002</v>
      </c>
      <c r="H3190" s="3">
        <v>1038.9980265216</v>
      </c>
      <c r="I3190" s="3">
        <v>40.590000000000003</v>
      </c>
      <c r="J3190" s="3">
        <v>40.590000000000003</v>
      </c>
      <c r="K3190" s="3">
        <v>40.049999999999997</v>
      </c>
      <c r="L3190" s="3">
        <v>1023.59356432804</v>
      </c>
    </row>
    <row r="3191" spans="1:12" ht="15" customHeight="1" x14ac:dyDescent="0.2">
      <c r="A3191" s="2">
        <v>41422</v>
      </c>
      <c r="B3191" s="3">
        <v>40.71</v>
      </c>
      <c r="C3191" s="1">
        <v>469304</v>
      </c>
      <c r="D3191" s="3">
        <v>0.53000000000000103</v>
      </c>
      <c r="E3191" s="3">
        <v>1.3190642110502799</v>
      </c>
      <c r="F3191" s="3">
        <v>1.3190486724196899</v>
      </c>
      <c r="G3191" s="3">
        <v>41.268129999999999</v>
      </c>
      <c r="H3191" s="3">
        <v>1050.01501190111</v>
      </c>
      <c r="I3191" s="3">
        <v>40.6</v>
      </c>
      <c r="J3191" s="3">
        <v>40.93</v>
      </c>
      <c r="K3191" s="3">
        <v>40.32</v>
      </c>
      <c r="L3191" s="3">
        <v>1034.46165684014</v>
      </c>
    </row>
    <row r="3192" spans="1:12" ht="15" customHeight="1" x14ac:dyDescent="0.2">
      <c r="A3192" s="2">
        <v>41418</v>
      </c>
      <c r="B3192" s="3">
        <v>40.18</v>
      </c>
      <c r="C3192" s="1">
        <v>285773</v>
      </c>
      <c r="D3192" s="3">
        <v>-0.22999999999999601</v>
      </c>
      <c r="E3192" s="3">
        <v>-0.56916604800790704</v>
      </c>
      <c r="F3192" s="3">
        <v>-0.56915800744163902</v>
      </c>
      <c r="G3192" s="3">
        <v>40.730870000000003</v>
      </c>
      <c r="H3192" s="3">
        <v>1035.0432391240599</v>
      </c>
      <c r="I3192" s="3">
        <v>40.29</v>
      </c>
      <c r="J3192" s="3">
        <v>40.29</v>
      </c>
      <c r="K3192" s="3">
        <v>39.520000000000003</v>
      </c>
      <c r="L3192" s="3">
        <v>1019.69219778523</v>
      </c>
    </row>
    <row r="3193" spans="1:12" ht="15" customHeight="1" x14ac:dyDescent="0.2">
      <c r="A3193" s="2">
        <v>41417</v>
      </c>
      <c r="B3193" s="3">
        <v>40.409999999999997</v>
      </c>
      <c r="C3193" s="1">
        <v>556126</v>
      </c>
      <c r="D3193" s="3">
        <v>0.25999999999999801</v>
      </c>
      <c r="E3193" s="3">
        <v>0.647571606475705</v>
      </c>
      <c r="F3193" s="3">
        <v>0.647560248704803</v>
      </c>
      <c r="G3193" s="3">
        <v>40.964019999999998</v>
      </c>
      <c r="H3193" s="3">
        <v>1041.5404077630201</v>
      </c>
      <c r="I3193" s="3">
        <v>40</v>
      </c>
      <c r="J3193" s="3">
        <v>40.409999999999997</v>
      </c>
      <c r="K3193" s="3">
        <v>39.35</v>
      </c>
      <c r="L3193" s="3">
        <v>1026.10158567699</v>
      </c>
    </row>
    <row r="3194" spans="1:12" ht="15" customHeight="1" x14ac:dyDescent="0.2">
      <c r="A3194" s="2">
        <v>41416</v>
      </c>
      <c r="B3194" s="3">
        <v>40.15</v>
      </c>
      <c r="C3194" s="1">
        <v>566859</v>
      </c>
      <c r="D3194" s="3">
        <v>-0.56999999999999995</v>
      </c>
      <c r="E3194" s="3">
        <v>-1.3998035363457699</v>
      </c>
      <c r="F3194" s="3">
        <v>-1.39979219090334</v>
      </c>
      <c r="G3194" s="3">
        <v>40.70046</v>
      </c>
      <c r="H3194" s="3">
        <v>1034.1958065771501</v>
      </c>
      <c r="I3194" s="3">
        <v>40.81</v>
      </c>
      <c r="J3194" s="3">
        <v>41.09</v>
      </c>
      <c r="K3194" s="3">
        <v>39.950000000000003</v>
      </c>
      <c r="L3194" s="3">
        <v>1018.85619066892</v>
      </c>
    </row>
    <row r="3195" spans="1:12" ht="15" customHeight="1" x14ac:dyDescent="0.2">
      <c r="A3195" s="2">
        <v>41415</v>
      </c>
      <c r="B3195" s="3">
        <v>40.72</v>
      </c>
      <c r="C3195" s="1">
        <v>273655</v>
      </c>
      <c r="D3195" s="3">
        <v>-9.0000000000003397E-2</v>
      </c>
      <c r="E3195" s="3">
        <v>-0.220534182798337</v>
      </c>
      <c r="F3195" s="3">
        <v>-0.220541666111706</v>
      </c>
      <c r="G3195" s="3">
        <v>41.278269999999999</v>
      </c>
      <c r="H3195" s="3">
        <v>1050.2975823064301</v>
      </c>
      <c r="I3195" s="3">
        <v>40.68</v>
      </c>
      <c r="J3195" s="3">
        <v>40.9</v>
      </c>
      <c r="K3195" s="3">
        <v>40.54</v>
      </c>
      <c r="L3195" s="3">
        <v>1034.74032587891</v>
      </c>
    </row>
    <row r="3196" spans="1:12" ht="15" customHeight="1" x14ac:dyDescent="0.2">
      <c r="A3196" s="2">
        <v>41414</v>
      </c>
      <c r="B3196" s="3">
        <v>40.81</v>
      </c>
      <c r="C3196" s="1">
        <v>473092</v>
      </c>
      <c r="D3196" s="3">
        <v>6.0000000000002197E-2</v>
      </c>
      <c r="E3196" s="3">
        <v>0.14723926380368901</v>
      </c>
      <c r="F3196" s="3">
        <v>0.147249924228987</v>
      </c>
      <c r="G3196" s="3">
        <v>41.369506999999999</v>
      </c>
      <c r="H3196" s="3">
        <v>1052.8400750154699</v>
      </c>
      <c r="I3196" s="3">
        <v>40.76</v>
      </c>
      <c r="J3196" s="3">
        <v>41.107500000000002</v>
      </c>
      <c r="K3196" s="3">
        <v>40.450000000000003</v>
      </c>
      <c r="L3196" s="3">
        <v>1037.24834722786</v>
      </c>
    </row>
    <row r="3197" spans="1:12" ht="15" customHeight="1" x14ac:dyDescent="0.2">
      <c r="A3197" s="2">
        <v>41411</v>
      </c>
      <c r="B3197" s="3">
        <v>40.75</v>
      </c>
      <c r="C3197" s="1">
        <v>413932</v>
      </c>
      <c r="D3197" s="3">
        <v>0.14000000000000001</v>
      </c>
      <c r="E3197" s="3">
        <v>0.344742674218179</v>
      </c>
      <c r="F3197" s="3">
        <v>0.34473684510973801</v>
      </c>
      <c r="G3197" s="3">
        <v>41.308680000000003</v>
      </c>
      <c r="H3197" s="3">
        <v>1051.1450148533299</v>
      </c>
      <c r="I3197" s="3">
        <v>40.65</v>
      </c>
      <c r="J3197" s="3">
        <v>40.909999999999997</v>
      </c>
      <c r="K3197" s="3">
        <v>40.58</v>
      </c>
      <c r="L3197" s="3">
        <v>1035.5763329952299</v>
      </c>
    </row>
    <row r="3198" spans="1:12" ht="15" customHeight="1" x14ac:dyDescent="0.2">
      <c r="A3198" s="2">
        <v>41410</v>
      </c>
      <c r="B3198" s="3">
        <v>40.61</v>
      </c>
      <c r="C3198" s="1">
        <v>411872</v>
      </c>
      <c r="D3198" s="3">
        <v>-0.130000000000002</v>
      </c>
      <c r="E3198" s="3">
        <v>-0.31909671084929803</v>
      </c>
      <c r="F3198" s="3">
        <v>-0.319098401188255</v>
      </c>
      <c r="G3198" s="3">
        <v>41.166763000000003</v>
      </c>
      <c r="H3198" s="3">
        <v>1047.1902274557999</v>
      </c>
      <c r="I3198" s="3">
        <v>40.76</v>
      </c>
      <c r="J3198" s="3">
        <v>40.85</v>
      </c>
      <c r="K3198" s="3">
        <v>40.44</v>
      </c>
      <c r="L3198" s="3">
        <v>1031.67496645242</v>
      </c>
    </row>
    <row r="3199" spans="1:12" ht="15" customHeight="1" x14ac:dyDescent="0.2">
      <c r="A3199" s="2">
        <v>41409</v>
      </c>
      <c r="B3199" s="3">
        <v>40.74</v>
      </c>
      <c r="C3199" s="1">
        <v>300836</v>
      </c>
      <c r="D3199" s="3">
        <v>1.00000000000051E-2</v>
      </c>
      <c r="E3199" s="3">
        <v>2.4551927326310601E-2</v>
      </c>
      <c r="F3199" s="3">
        <v>2.4558952457498499E-2</v>
      </c>
      <c r="G3199" s="3">
        <v>41.298546000000002</v>
      </c>
      <c r="H3199" s="3">
        <v>1050.8626116494399</v>
      </c>
      <c r="I3199" s="3">
        <v>40.54</v>
      </c>
      <c r="J3199" s="3">
        <v>40.98</v>
      </c>
      <c r="K3199" s="3">
        <v>40.534999999999997</v>
      </c>
      <c r="L3199" s="3">
        <v>1035.2976639564599</v>
      </c>
    </row>
    <row r="3200" spans="1:12" ht="15" customHeight="1" x14ac:dyDescent="0.2">
      <c r="A3200" s="2">
        <v>41408</v>
      </c>
      <c r="B3200" s="3">
        <v>40.729999999999997</v>
      </c>
      <c r="C3200" s="1">
        <v>474517</v>
      </c>
      <c r="D3200" s="3">
        <v>0.439999999999997</v>
      </c>
      <c r="E3200" s="3">
        <v>1.0920824025812701</v>
      </c>
      <c r="F3200" s="3">
        <v>1.0920740484815701</v>
      </c>
      <c r="G3200" s="3">
        <v>41.288406000000002</v>
      </c>
      <c r="H3200" s="3">
        <v>1050.5800412441299</v>
      </c>
      <c r="I3200" s="3">
        <v>40.11</v>
      </c>
      <c r="J3200" s="3">
        <v>40.75</v>
      </c>
      <c r="K3200" s="3">
        <v>40</v>
      </c>
      <c r="L3200" s="3">
        <v>1035.0189949176799</v>
      </c>
    </row>
    <row r="3201" spans="1:12" ht="15" customHeight="1" x14ac:dyDescent="0.2">
      <c r="A3201" s="2">
        <v>41407</v>
      </c>
      <c r="B3201" s="3">
        <v>40.29</v>
      </c>
      <c r="C3201" s="1">
        <v>435121</v>
      </c>
      <c r="D3201" s="3">
        <v>-0.109999999999999</v>
      </c>
      <c r="E3201" s="3">
        <v>-0.27227722772277202</v>
      </c>
      <c r="F3201" s="3">
        <v>-0.272274541774852</v>
      </c>
      <c r="G3201" s="3">
        <v>40.842376999999999</v>
      </c>
      <c r="H3201" s="3">
        <v>1038.1505939746901</v>
      </c>
      <c r="I3201" s="3">
        <v>40.4</v>
      </c>
      <c r="J3201" s="3">
        <v>40.619999999999997</v>
      </c>
      <c r="K3201" s="3">
        <v>40.159999999999997</v>
      </c>
      <c r="L3201" s="3">
        <v>1022.75755721172</v>
      </c>
    </row>
    <row r="3202" spans="1:12" ht="15" customHeight="1" x14ac:dyDescent="0.2">
      <c r="A3202" s="2">
        <v>41404</v>
      </c>
      <c r="B3202" s="3">
        <v>40.4</v>
      </c>
      <c r="C3202" s="1">
        <v>324513</v>
      </c>
      <c r="D3202" s="3">
        <v>0.5</v>
      </c>
      <c r="E3202" s="3">
        <v>1.25313283208019</v>
      </c>
      <c r="F3202" s="3">
        <v>1.2531303287287101</v>
      </c>
      <c r="G3202" s="3">
        <v>40.953884000000002</v>
      </c>
      <c r="H3202" s="3">
        <v>1041.25794882532</v>
      </c>
      <c r="I3202" s="3">
        <v>40.04</v>
      </c>
      <c r="J3202" s="3">
        <v>40.46</v>
      </c>
      <c r="K3202" s="3">
        <v>40.020000000000003</v>
      </c>
      <c r="L3202" s="3">
        <v>1025.82291663821</v>
      </c>
    </row>
    <row r="3203" spans="1:12" ht="15" customHeight="1" x14ac:dyDescent="0.2">
      <c r="A3203" s="2">
        <v>41403</v>
      </c>
      <c r="B3203" s="3">
        <v>39.9</v>
      </c>
      <c r="C3203" s="1">
        <v>505545</v>
      </c>
      <c r="D3203" s="3">
        <v>-0.190000000000004</v>
      </c>
      <c r="E3203" s="3">
        <v>-0.47393364928911502</v>
      </c>
      <c r="F3203" s="3">
        <v>-0.47392898454571197</v>
      </c>
      <c r="G3203" s="3">
        <v>40.447029999999998</v>
      </c>
      <c r="H3203" s="3">
        <v>1027.1334971275601</v>
      </c>
      <c r="I3203" s="3">
        <v>40.14</v>
      </c>
      <c r="J3203" s="3">
        <v>40.46</v>
      </c>
      <c r="K3203" s="3">
        <v>39.835000000000001</v>
      </c>
      <c r="L3203" s="3">
        <v>1011.88946469962</v>
      </c>
    </row>
    <row r="3204" spans="1:12" ht="15" customHeight="1" x14ac:dyDescent="0.2">
      <c r="A3204" s="2">
        <v>41402</v>
      </c>
      <c r="B3204" s="3">
        <v>40.090000000000003</v>
      </c>
      <c r="C3204" s="1">
        <v>515466</v>
      </c>
      <c r="D3204" s="3">
        <v>0.25</v>
      </c>
      <c r="E3204" s="3">
        <v>0.62751004016063905</v>
      </c>
      <c r="F3204" s="3">
        <v>0.62750382506819802</v>
      </c>
      <c r="G3204" s="3">
        <v>40.639633000000003</v>
      </c>
      <c r="H3204" s="3">
        <v>1032.5007464150201</v>
      </c>
      <c r="I3204" s="3">
        <v>39.950000000000003</v>
      </c>
      <c r="J3204" s="3">
        <v>40.1</v>
      </c>
      <c r="K3204" s="3">
        <v>39.767499999999998</v>
      </c>
      <c r="L3204" s="3">
        <v>1017.18417643629</v>
      </c>
    </row>
    <row r="3205" spans="1:12" ht="15" customHeight="1" x14ac:dyDescent="0.2">
      <c r="A3205" s="2">
        <v>41401</v>
      </c>
      <c r="B3205" s="3">
        <v>39.840000000000003</v>
      </c>
      <c r="C3205" s="1">
        <v>454482</v>
      </c>
      <c r="D3205" s="3">
        <v>0.34000000000000302</v>
      </c>
      <c r="E3205" s="3">
        <v>0.86075949367090399</v>
      </c>
      <c r="F3205" s="3">
        <v>0.86076097061789003</v>
      </c>
      <c r="G3205" s="3">
        <v>40.386208000000003</v>
      </c>
      <c r="H3205" s="3">
        <v>1025.43857629994</v>
      </c>
      <c r="I3205" s="3">
        <v>39.68</v>
      </c>
      <c r="J3205" s="3">
        <v>39.93</v>
      </c>
      <c r="K3205" s="3">
        <v>39.5</v>
      </c>
      <c r="L3205" s="3">
        <v>1010.21745046699</v>
      </c>
    </row>
    <row r="3206" spans="1:12" ht="15" customHeight="1" x14ac:dyDescent="0.2">
      <c r="A3206" s="2">
        <v>41400</v>
      </c>
      <c r="B3206" s="3">
        <v>39.5</v>
      </c>
      <c r="C3206" s="1">
        <v>563701</v>
      </c>
      <c r="D3206" s="3">
        <v>-0.39</v>
      </c>
      <c r="E3206" s="3">
        <v>-0.97768864377036901</v>
      </c>
      <c r="F3206" s="3">
        <v>-0.67686450654629304</v>
      </c>
      <c r="G3206" s="3">
        <v>40.041545999999997</v>
      </c>
      <c r="H3206" s="3">
        <v>1015.8339134758201</v>
      </c>
      <c r="I3206" s="3">
        <v>39.909999999999997</v>
      </c>
      <c r="J3206" s="3">
        <v>39.909999999999997</v>
      </c>
      <c r="K3206" s="3">
        <v>39.47</v>
      </c>
      <c r="L3206" s="3">
        <v>1000.74270314875</v>
      </c>
    </row>
    <row r="3207" spans="1:12" ht="15" customHeight="1" x14ac:dyDescent="0.2">
      <c r="A3207" s="2">
        <v>41397</v>
      </c>
      <c r="B3207" s="3">
        <v>39.89</v>
      </c>
      <c r="C3207" s="1">
        <v>770141</v>
      </c>
      <c r="D3207" s="3">
        <v>0.32</v>
      </c>
      <c r="E3207" s="3">
        <v>0.80869345463734299</v>
      </c>
      <c r="F3207" s="3">
        <v>0.80869919449151295</v>
      </c>
      <c r="G3207" s="3">
        <v>40.314419999999998</v>
      </c>
      <c r="H3207" s="3">
        <v>1023.4380670044</v>
      </c>
      <c r="I3207" s="3">
        <v>39.83</v>
      </c>
      <c r="J3207" s="3">
        <v>40.21</v>
      </c>
      <c r="K3207" s="3">
        <v>39.6</v>
      </c>
      <c r="L3207" s="3">
        <v>1011.61079566085</v>
      </c>
    </row>
    <row r="3208" spans="1:12" ht="15" customHeight="1" x14ac:dyDescent="0.2">
      <c r="A3208" s="2">
        <v>41396</v>
      </c>
      <c r="B3208" s="3">
        <v>39.57</v>
      </c>
      <c r="C3208" s="1">
        <v>481488</v>
      </c>
      <c r="D3208" s="3">
        <v>0.35000000000000098</v>
      </c>
      <c r="E3208" s="3">
        <v>0.89240183579806198</v>
      </c>
      <c r="F3208" s="3">
        <v>0.89239955607460697</v>
      </c>
      <c r="G3208" s="3">
        <v>39.991013000000002</v>
      </c>
      <c r="H3208" s="3">
        <v>1014.4257152222</v>
      </c>
      <c r="I3208" s="3">
        <v>39.270000000000003</v>
      </c>
      <c r="J3208" s="3">
        <v>39.700000000000003</v>
      </c>
      <c r="K3208" s="3">
        <v>39.229999999999997</v>
      </c>
      <c r="L3208" s="3">
        <v>1002.69338642015</v>
      </c>
    </row>
    <row r="3209" spans="1:12" ht="15" customHeight="1" x14ac:dyDescent="0.2">
      <c r="A3209" s="2">
        <v>41395</v>
      </c>
      <c r="B3209" s="3">
        <v>39.22</v>
      </c>
      <c r="C3209" s="1">
        <v>835374</v>
      </c>
      <c r="D3209" s="3">
        <v>-0.60000000000000098</v>
      </c>
      <c r="E3209" s="3">
        <v>-1.5067805123053699</v>
      </c>
      <c r="F3209" s="3">
        <v>-1.5067833640938599</v>
      </c>
      <c r="G3209" s="3">
        <v>39.63729</v>
      </c>
      <c r="H3209" s="3">
        <v>1004.56855038205</v>
      </c>
      <c r="I3209" s="3">
        <v>39.97</v>
      </c>
      <c r="J3209" s="3">
        <v>39.97</v>
      </c>
      <c r="K3209" s="3">
        <v>39.07</v>
      </c>
      <c r="L3209" s="3">
        <v>992.93997006314203</v>
      </c>
    </row>
    <row r="3210" spans="1:12" ht="15" customHeight="1" x14ac:dyDescent="0.2">
      <c r="A3210" s="2">
        <v>41394</v>
      </c>
      <c r="B3210" s="3">
        <v>39.82</v>
      </c>
      <c r="C3210" s="1">
        <v>1037374</v>
      </c>
      <c r="D3210" s="3">
        <v>0.219999999999998</v>
      </c>
      <c r="E3210" s="3">
        <v>0.55555555555555303</v>
      </c>
      <c r="F3210" s="3">
        <v>0.55556624430024204</v>
      </c>
      <c r="G3210" s="3">
        <v>40.243675000000003</v>
      </c>
      <c r="H3210" s="3">
        <v>1021.46662288961</v>
      </c>
      <c r="I3210" s="3">
        <v>39.590000000000003</v>
      </c>
      <c r="J3210" s="3">
        <v>39.89</v>
      </c>
      <c r="K3210" s="3">
        <v>39.524999999999999</v>
      </c>
      <c r="L3210" s="3">
        <v>1009.66011238945</v>
      </c>
    </row>
    <row r="3211" spans="1:12" ht="15" customHeight="1" x14ac:dyDescent="0.2">
      <c r="A3211" s="2">
        <v>41393</v>
      </c>
      <c r="B3211" s="3">
        <v>39.6</v>
      </c>
      <c r="C3211" s="1">
        <v>1305654</v>
      </c>
      <c r="D3211" s="3">
        <v>-0.17000000000000101</v>
      </c>
      <c r="E3211" s="3">
        <v>-0.42745788282625402</v>
      </c>
      <c r="F3211" s="3">
        <v>-0.42746595924250103</v>
      </c>
      <c r="G3211" s="3">
        <v>40.021329999999999</v>
      </c>
      <c r="H3211" s="3">
        <v>1015.27055614704</v>
      </c>
      <c r="I3211" s="3">
        <v>39.92</v>
      </c>
      <c r="J3211" s="3">
        <v>39.92</v>
      </c>
      <c r="K3211" s="3">
        <v>39.35</v>
      </c>
      <c r="L3211" s="3">
        <v>1003.52939353647</v>
      </c>
    </row>
    <row r="3212" spans="1:12" ht="15" customHeight="1" x14ac:dyDescent="0.2">
      <c r="A3212" s="2">
        <v>41390</v>
      </c>
      <c r="B3212" s="3">
        <v>39.770000000000003</v>
      </c>
      <c r="C3212" s="1">
        <v>1109940</v>
      </c>
      <c r="D3212" s="3">
        <v>3.0000000000001099E-2</v>
      </c>
      <c r="E3212" s="3">
        <v>7.5490689481627599E-2</v>
      </c>
      <c r="F3212" s="3">
        <v>7.5480244455894394E-2</v>
      </c>
      <c r="G3212" s="3">
        <v>40.193142000000002</v>
      </c>
      <c r="H3212" s="3">
        <v>1020.05842463599</v>
      </c>
      <c r="I3212" s="3">
        <v>39.57</v>
      </c>
      <c r="J3212" s="3">
        <v>40</v>
      </c>
      <c r="K3212" s="3">
        <v>39.25</v>
      </c>
      <c r="L3212" s="3">
        <v>1008.26676719559</v>
      </c>
    </row>
    <row r="3213" spans="1:12" ht="15" customHeight="1" x14ac:dyDescent="0.2">
      <c r="A3213" s="2">
        <v>41389</v>
      </c>
      <c r="B3213" s="3">
        <v>39.74</v>
      </c>
      <c r="C3213" s="1">
        <v>2891993</v>
      </c>
      <c r="D3213" s="3">
        <v>2</v>
      </c>
      <c r="E3213" s="3">
        <v>5.2994170641229301</v>
      </c>
      <c r="F3213" s="3">
        <v>5.2994262633940501</v>
      </c>
      <c r="G3213" s="3">
        <v>40.162827</v>
      </c>
      <c r="H3213" s="3">
        <v>1019.21363944495</v>
      </c>
      <c r="I3213" s="3">
        <v>39.880000000000003</v>
      </c>
      <c r="J3213" s="3">
        <v>41.02</v>
      </c>
      <c r="K3213" s="3">
        <v>39.700000000000003</v>
      </c>
      <c r="L3213" s="3">
        <v>1007.43076007927</v>
      </c>
    </row>
    <row r="3214" spans="1:12" ht="15" customHeight="1" x14ac:dyDescent="0.2">
      <c r="A3214" s="2">
        <v>41388</v>
      </c>
      <c r="B3214" s="3">
        <v>37.74</v>
      </c>
      <c r="C3214" s="1">
        <v>1501173</v>
      </c>
      <c r="D3214" s="3">
        <v>-0.28999999999999898</v>
      </c>
      <c r="E3214" s="3">
        <v>-0.76255587693925198</v>
      </c>
      <c r="F3214" s="3">
        <v>-0.76255193623830897</v>
      </c>
      <c r="G3214" s="3">
        <v>38.141544000000003</v>
      </c>
      <c r="H3214" s="3">
        <v>962.88674037536998</v>
      </c>
      <c r="I3214" s="3">
        <v>38.119999999999997</v>
      </c>
      <c r="J3214" s="3">
        <v>38.42</v>
      </c>
      <c r="K3214" s="3">
        <v>37.659999999999997</v>
      </c>
      <c r="L3214" s="3">
        <v>951.69695232490994</v>
      </c>
    </row>
    <row r="3215" spans="1:12" ht="15" customHeight="1" x14ac:dyDescent="0.2">
      <c r="A3215" s="2">
        <v>41387</v>
      </c>
      <c r="B3215" s="3">
        <v>38.03</v>
      </c>
      <c r="C3215" s="1">
        <v>1083366</v>
      </c>
      <c r="D3215" s="3">
        <v>0.189999999999997</v>
      </c>
      <c r="E3215" s="3">
        <v>0.50211416490486505</v>
      </c>
      <c r="F3215" s="3">
        <v>0.50211273514903998</v>
      </c>
      <c r="G3215" s="3">
        <v>38.434627999999996</v>
      </c>
      <c r="H3215" s="3">
        <v>971.05408403131003</v>
      </c>
      <c r="I3215" s="3">
        <v>37.83</v>
      </c>
      <c r="J3215" s="3">
        <v>38.399900000000002</v>
      </c>
      <c r="K3215" s="3">
        <v>37.72</v>
      </c>
      <c r="L3215" s="3">
        <v>959.77835444929303</v>
      </c>
    </row>
    <row r="3216" spans="1:12" ht="15" customHeight="1" x14ac:dyDescent="0.2">
      <c r="A3216" s="2">
        <v>41386</v>
      </c>
      <c r="B3216" s="3">
        <v>37.840000000000003</v>
      </c>
      <c r="C3216" s="1">
        <v>613075</v>
      </c>
      <c r="D3216" s="3">
        <v>7.0000000000000201E-2</v>
      </c>
      <c r="E3216" s="3">
        <v>0.18533227429176</v>
      </c>
      <c r="F3216" s="3">
        <v>0.18532760150251601</v>
      </c>
      <c r="G3216" s="3">
        <v>38.242607</v>
      </c>
      <c r="H3216" s="3">
        <v>965.70305328191</v>
      </c>
      <c r="I3216" s="3">
        <v>38.06</v>
      </c>
      <c r="J3216" s="3">
        <v>38.06</v>
      </c>
      <c r="K3216" s="3">
        <v>37.5</v>
      </c>
      <c r="L3216" s="3">
        <v>954.48364271262903</v>
      </c>
    </row>
    <row r="3217" spans="1:12" ht="15" customHeight="1" x14ac:dyDescent="0.2">
      <c r="A3217" s="2">
        <v>41383</v>
      </c>
      <c r="B3217" s="3">
        <v>37.770000000000003</v>
      </c>
      <c r="C3217" s="1">
        <v>626451</v>
      </c>
      <c r="D3217" s="3">
        <v>0.17999999999999899</v>
      </c>
      <c r="E3217" s="3">
        <v>0.47885075818037098</v>
      </c>
      <c r="F3217" s="3">
        <v>0.47884769524570903</v>
      </c>
      <c r="G3217" s="3">
        <v>38.171863999999999</v>
      </c>
      <c r="H3217" s="3">
        <v>963.73166490092603</v>
      </c>
      <c r="I3217" s="3">
        <v>37.58</v>
      </c>
      <c r="J3217" s="3">
        <v>38.06</v>
      </c>
      <c r="K3217" s="3">
        <v>37.58</v>
      </c>
      <c r="L3217" s="3">
        <v>952.53295944122601</v>
      </c>
    </row>
    <row r="3218" spans="1:12" ht="15" customHeight="1" x14ac:dyDescent="0.2">
      <c r="A3218" s="2">
        <v>41382</v>
      </c>
      <c r="B3218" s="3">
        <v>37.590000000000003</v>
      </c>
      <c r="C3218" s="1">
        <v>473442</v>
      </c>
      <c r="D3218" s="3">
        <v>-0.309999999999995</v>
      </c>
      <c r="E3218" s="3">
        <v>-0.81794195250658397</v>
      </c>
      <c r="F3218" s="3">
        <v>-0.81794625782406405</v>
      </c>
      <c r="G3218" s="3">
        <v>37.98995</v>
      </c>
      <c r="H3218" s="3">
        <v>958.66228494901202</v>
      </c>
      <c r="I3218" s="3">
        <v>37.979999999999997</v>
      </c>
      <c r="J3218" s="3">
        <v>37.979999999999997</v>
      </c>
      <c r="K3218" s="3">
        <v>37.42</v>
      </c>
      <c r="L3218" s="3">
        <v>947.51691674333301</v>
      </c>
    </row>
    <row r="3219" spans="1:12" ht="15" customHeight="1" x14ac:dyDescent="0.2">
      <c r="A3219" s="2">
        <v>41381</v>
      </c>
      <c r="B3219" s="3">
        <v>37.9</v>
      </c>
      <c r="C3219" s="1">
        <v>542315</v>
      </c>
      <c r="D3219" s="3">
        <v>-0.25999999999999801</v>
      </c>
      <c r="E3219" s="3">
        <v>-0.68134171907756602</v>
      </c>
      <c r="F3219" s="3">
        <v>-0.68133306909375901</v>
      </c>
      <c r="G3219" s="3">
        <v>38.303249999999998</v>
      </c>
      <c r="H3219" s="3">
        <v>967.39298593373405</v>
      </c>
      <c r="I3219" s="3">
        <v>37.97</v>
      </c>
      <c r="J3219" s="3">
        <v>38</v>
      </c>
      <c r="K3219" s="3">
        <v>37.340000000000003</v>
      </c>
      <c r="L3219" s="3">
        <v>956.15565694526003</v>
      </c>
    </row>
    <row r="3220" spans="1:12" ht="15" customHeight="1" x14ac:dyDescent="0.2">
      <c r="A3220" s="2">
        <v>41380</v>
      </c>
      <c r="B3220" s="3">
        <v>38.159999999999997</v>
      </c>
      <c r="C3220" s="1">
        <v>805008</v>
      </c>
      <c r="D3220" s="3">
        <v>0.47999999999999599</v>
      </c>
      <c r="E3220" s="3">
        <v>1.2738853503184699</v>
      </c>
      <c r="F3220" s="3">
        <v>1.2738851328799801</v>
      </c>
      <c r="G3220" s="3">
        <v>38.566012999999998</v>
      </c>
      <c r="H3220" s="3">
        <v>974.71537719721402</v>
      </c>
      <c r="I3220" s="3">
        <v>37.869999999999997</v>
      </c>
      <c r="J3220" s="3">
        <v>38.299999999999997</v>
      </c>
      <c r="K3220" s="3">
        <v>37.625</v>
      </c>
      <c r="L3220" s="3">
        <v>963.40105195332706</v>
      </c>
    </row>
    <row r="3221" spans="1:12" ht="15" customHeight="1" x14ac:dyDescent="0.2">
      <c r="A3221" s="2">
        <v>41379</v>
      </c>
      <c r="B3221" s="3">
        <v>37.68</v>
      </c>
      <c r="C3221" s="1">
        <v>785177</v>
      </c>
      <c r="D3221" s="3">
        <v>-0.67000000000000104</v>
      </c>
      <c r="E3221" s="3">
        <v>-1.7470664928291999</v>
      </c>
      <c r="F3221" s="3">
        <v>-1.74706487950344</v>
      </c>
      <c r="G3221" s="3">
        <v>38.080905999999999</v>
      </c>
      <c r="H3221" s="3">
        <v>961.19694705806501</v>
      </c>
      <c r="I3221" s="3">
        <v>38.28</v>
      </c>
      <c r="J3221" s="3">
        <v>38.380000000000003</v>
      </c>
      <c r="K3221" s="3">
        <v>37.549999999999997</v>
      </c>
      <c r="L3221" s="3">
        <v>950.02493809227894</v>
      </c>
    </row>
    <row r="3222" spans="1:12" ht="15" customHeight="1" x14ac:dyDescent="0.2">
      <c r="A3222" s="2">
        <v>41376</v>
      </c>
      <c r="B3222" s="3">
        <v>38.35</v>
      </c>
      <c r="C3222" s="1">
        <v>1014066</v>
      </c>
      <c r="D3222" s="3">
        <v>0.5</v>
      </c>
      <c r="E3222" s="3">
        <v>1.3210039630118899</v>
      </c>
      <c r="F3222" s="3">
        <v>1.32100960580259</v>
      </c>
      <c r="G3222" s="3">
        <v>38.758034000000002</v>
      </c>
      <c r="H3222" s="3">
        <v>980.06640794661496</v>
      </c>
      <c r="I3222" s="3">
        <v>37.799999999999997</v>
      </c>
      <c r="J3222" s="3">
        <v>38.42</v>
      </c>
      <c r="K3222" s="3">
        <v>37.78</v>
      </c>
      <c r="L3222" s="3">
        <v>968.69576368999196</v>
      </c>
    </row>
    <row r="3223" spans="1:12" ht="15" customHeight="1" x14ac:dyDescent="0.2">
      <c r="A3223" s="2">
        <v>41375</v>
      </c>
      <c r="B3223" s="3">
        <v>37.85</v>
      </c>
      <c r="C3223" s="1">
        <v>596725</v>
      </c>
      <c r="D3223" s="3">
        <v>-0.24000000000000199</v>
      </c>
      <c r="E3223" s="3">
        <v>-0.63008663691258504</v>
      </c>
      <c r="F3223" s="3">
        <v>-0.630087865869011</v>
      </c>
      <c r="G3223" s="3">
        <v>38.252712000000002</v>
      </c>
      <c r="H3223" s="3">
        <v>965.98464834558899</v>
      </c>
      <c r="I3223" s="3">
        <v>38.04</v>
      </c>
      <c r="J3223" s="3">
        <v>38.42</v>
      </c>
      <c r="K3223" s="3">
        <v>37.729999999999997</v>
      </c>
      <c r="L3223" s="3">
        <v>954.76231175140094</v>
      </c>
    </row>
    <row r="3224" spans="1:12" ht="15" customHeight="1" x14ac:dyDescent="0.2">
      <c r="A3224" s="2">
        <v>41374</v>
      </c>
      <c r="B3224" s="3">
        <v>38.090000000000003</v>
      </c>
      <c r="C3224" s="1">
        <v>661822</v>
      </c>
      <c r="D3224" s="3">
        <v>0.74000000000000199</v>
      </c>
      <c r="E3224" s="3">
        <v>1.9812583668005399</v>
      </c>
      <c r="F3224" s="3">
        <v>1.9812654596781301</v>
      </c>
      <c r="G3224" s="3">
        <v>38.495266000000001</v>
      </c>
      <c r="H3224" s="3">
        <v>972.743877348615</v>
      </c>
      <c r="I3224" s="3">
        <v>37.64</v>
      </c>
      <c r="J3224" s="3">
        <v>38.369999999999997</v>
      </c>
      <c r="K3224" s="3">
        <v>37.58</v>
      </c>
      <c r="L3224" s="3">
        <v>961.45036868192506</v>
      </c>
    </row>
    <row r="3225" spans="1:12" ht="15" customHeight="1" x14ac:dyDescent="0.2">
      <c r="A3225" s="2">
        <v>41373</v>
      </c>
      <c r="B3225" s="3">
        <v>37.35</v>
      </c>
      <c r="C3225" s="1">
        <v>843317</v>
      </c>
      <c r="D3225" s="3">
        <v>-0.149999999999998</v>
      </c>
      <c r="E3225" s="3">
        <v>-0.4</v>
      </c>
      <c r="F3225" s="3">
        <v>-0.40001065991467299</v>
      </c>
      <c r="G3225" s="3">
        <v>37.747390000000003</v>
      </c>
      <c r="H3225" s="3">
        <v>951.90288874456303</v>
      </c>
      <c r="I3225" s="3">
        <v>37.659999999999997</v>
      </c>
      <c r="J3225" s="3">
        <v>37.74</v>
      </c>
      <c r="K3225" s="3">
        <v>36.97</v>
      </c>
      <c r="L3225" s="3">
        <v>940.82885981280901</v>
      </c>
    </row>
    <row r="3226" spans="1:12" ht="15" customHeight="1" x14ac:dyDescent="0.2">
      <c r="A3226" s="2">
        <v>41372</v>
      </c>
      <c r="B3226" s="3">
        <v>37.5</v>
      </c>
      <c r="C3226" s="1">
        <v>697270</v>
      </c>
      <c r="D3226" s="3">
        <v>-0.17000000000000101</v>
      </c>
      <c r="E3226" s="3">
        <v>-0.45128749668171803</v>
      </c>
      <c r="F3226" s="3">
        <v>-0.45128290852435299</v>
      </c>
      <c r="G3226" s="3">
        <v>37.898989999999998</v>
      </c>
      <c r="H3226" s="3">
        <v>956.12751137234397</v>
      </c>
      <c r="I3226" s="3">
        <v>37.869999999999997</v>
      </c>
      <c r="J3226" s="3">
        <v>37.869999999999997</v>
      </c>
      <c r="K3226" s="3">
        <v>37.4</v>
      </c>
      <c r="L3226" s="3">
        <v>945.00889539438595</v>
      </c>
    </row>
    <row r="3227" spans="1:12" ht="15" customHeight="1" x14ac:dyDescent="0.2">
      <c r="A3227" s="2">
        <v>41369</v>
      </c>
      <c r="B3227" s="3">
        <v>37.67</v>
      </c>
      <c r="C3227" s="1">
        <v>456688</v>
      </c>
      <c r="D3227" s="3">
        <v>-8.9999999999996305E-2</v>
      </c>
      <c r="E3227" s="3">
        <v>-0.23834745762710799</v>
      </c>
      <c r="F3227" s="3">
        <v>-0.238348576998093</v>
      </c>
      <c r="G3227" s="3">
        <v>38.070796999999999</v>
      </c>
      <c r="H3227" s="3">
        <v>960.91524052677096</v>
      </c>
      <c r="I3227" s="3">
        <v>37.21</v>
      </c>
      <c r="J3227" s="3">
        <v>37.700000000000003</v>
      </c>
      <c r="K3227" s="3">
        <v>36.9</v>
      </c>
      <c r="L3227" s="3">
        <v>949.74626905350704</v>
      </c>
    </row>
    <row r="3228" spans="1:12" ht="15" customHeight="1" x14ac:dyDescent="0.2">
      <c r="A3228" s="2">
        <v>41368</v>
      </c>
      <c r="B3228" s="3">
        <v>37.76</v>
      </c>
      <c r="C3228" s="1">
        <v>544499</v>
      </c>
      <c r="D3228" s="3">
        <v>0.35999999999999899</v>
      </c>
      <c r="E3228" s="3">
        <v>0.96256684491977595</v>
      </c>
      <c r="F3228" s="3">
        <v>0.96255805344673795</v>
      </c>
      <c r="G3228" s="3">
        <v>38.161754999999999</v>
      </c>
      <c r="H3228" s="3">
        <v>963.44995836963199</v>
      </c>
      <c r="I3228" s="3">
        <v>37.64</v>
      </c>
      <c r="J3228" s="3">
        <v>37.92</v>
      </c>
      <c r="K3228" s="3">
        <v>37.56</v>
      </c>
      <c r="L3228" s="3">
        <v>952.25429040245399</v>
      </c>
    </row>
    <row r="3229" spans="1:12" ht="15" customHeight="1" x14ac:dyDescent="0.2">
      <c r="A3229" s="2">
        <v>41367</v>
      </c>
      <c r="B3229" s="3">
        <v>37.4</v>
      </c>
      <c r="C3229" s="1">
        <v>689636</v>
      </c>
      <c r="D3229" s="3">
        <v>-0.45000000000000201</v>
      </c>
      <c r="E3229" s="3">
        <v>-1.1889035667107</v>
      </c>
      <c r="F3229" s="3">
        <v>-1.1888934828986799</v>
      </c>
      <c r="G3229" s="3">
        <v>37.797927999999999</v>
      </c>
      <c r="H3229" s="3">
        <v>953.31122633270797</v>
      </c>
      <c r="I3229" s="3">
        <v>37.99</v>
      </c>
      <c r="J3229" s="3">
        <v>38.26</v>
      </c>
      <c r="K3229" s="3">
        <v>37.24</v>
      </c>
      <c r="L3229" s="3">
        <v>942.22220500666799</v>
      </c>
    </row>
    <row r="3230" spans="1:12" ht="15" customHeight="1" x14ac:dyDescent="0.2">
      <c r="A3230" s="2">
        <v>41366</v>
      </c>
      <c r="B3230" s="3">
        <v>37.85</v>
      </c>
      <c r="C3230" s="1">
        <v>730976</v>
      </c>
      <c r="D3230" s="3">
        <v>-0.14000000000000001</v>
      </c>
      <c r="E3230" s="3">
        <v>-0.368518031060804</v>
      </c>
      <c r="F3230" s="3">
        <v>-0.36853215903117598</v>
      </c>
      <c r="G3230" s="3">
        <v>38.252712000000002</v>
      </c>
      <c r="H3230" s="3">
        <v>965.98464834558899</v>
      </c>
      <c r="I3230" s="3">
        <v>38.18</v>
      </c>
      <c r="J3230" s="3">
        <v>38.369999999999997</v>
      </c>
      <c r="K3230" s="3">
        <v>37.5</v>
      </c>
      <c r="L3230" s="3">
        <v>954.76231175140094</v>
      </c>
    </row>
    <row r="3231" spans="1:12" ht="15" customHeight="1" x14ac:dyDescent="0.2">
      <c r="A3231" s="2">
        <v>41365</v>
      </c>
      <c r="B3231" s="3">
        <v>37.99</v>
      </c>
      <c r="C3231" s="1">
        <v>879596</v>
      </c>
      <c r="D3231" s="3">
        <v>-0.619999999999997</v>
      </c>
      <c r="E3231" s="3">
        <v>-1.6058016058016</v>
      </c>
      <c r="F3231" s="3">
        <v>-1.6057922953911701</v>
      </c>
      <c r="G3231" s="3">
        <v>38.394207000000002</v>
      </c>
      <c r="H3231" s="3">
        <v>969.92767590969095</v>
      </c>
      <c r="I3231" s="3">
        <v>38.615000000000002</v>
      </c>
      <c r="J3231" s="3">
        <v>38.68</v>
      </c>
      <c r="K3231" s="3">
        <v>37.840000000000003</v>
      </c>
      <c r="L3231" s="3">
        <v>958.66367829420597</v>
      </c>
    </row>
    <row r="3232" spans="1:12" ht="15" customHeight="1" x14ac:dyDescent="0.2">
      <c r="A3232" s="2">
        <v>41361</v>
      </c>
      <c r="B3232" s="3">
        <v>38.61</v>
      </c>
      <c r="C3232" s="1">
        <v>774528</v>
      </c>
      <c r="D3232" s="3">
        <v>0.35999999999999899</v>
      </c>
      <c r="E3232" s="3">
        <v>0.94117647058822296</v>
      </c>
      <c r="F3232" s="3">
        <v>0.94117567931475399</v>
      </c>
      <c r="G3232" s="3">
        <v>39.020800000000001</v>
      </c>
      <c r="H3232" s="3">
        <v>987.38888281080699</v>
      </c>
      <c r="I3232" s="3">
        <v>38.130000000000003</v>
      </c>
      <c r="J3232" s="3">
        <v>38.704999999999998</v>
      </c>
      <c r="K3232" s="3">
        <v>38.119999999999997</v>
      </c>
      <c r="L3232" s="3">
        <v>975.94115869806001</v>
      </c>
    </row>
    <row r="3233" spans="1:12" ht="15" customHeight="1" x14ac:dyDescent="0.2">
      <c r="A3233" s="2">
        <v>41360</v>
      </c>
      <c r="B3233" s="3">
        <v>38.25</v>
      </c>
      <c r="C3233" s="1">
        <v>873227</v>
      </c>
      <c r="D3233" s="3">
        <v>0.439999999999997</v>
      </c>
      <c r="E3233" s="3">
        <v>1.16371330335889</v>
      </c>
      <c r="F3233" s="3">
        <v>1.1637093720371099</v>
      </c>
      <c r="G3233" s="3">
        <v>38.656970000000001</v>
      </c>
      <c r="H3233" s="3">
        <v>977.25006717317103</v>
      </c>
      <c r="I3233" s="3">
        <v>37.71</v>
      </c>
      <c r="J3233" s="3">
        <v>38.305</v>
      </c>
      <c r="K3233" s="3">
        <v>37.619999999999997</v>
      </c>
      <c r="L3233" s="3">
        <v>965.90907330227401</v>
      </c>
    </row>
    <row r="3234" spans="1:12" ht="15" customHeight="1" x14ac:dyDescent="0.2">
      <c r="A3234" s="2">
        <v>41359</v>
      </c>
      <c r="B3234" s="3">
        <v>37.81</v>
      </c>
      <c r="C3234" s="1">
        <v>724280</v>
      </c>
      <c r="D3234" s="3">
        <v>0.53000000000000103</v>
      </c>
      <c r="E3234" s="3">
        <v>1.4216738197424901</v>
      </c>
      <c r="F3234" s="3">
        <v>1.42168436591505</v>
      </c>
      <c r="G3234" s="3">
        <v>38.212290000000003</v>
      </c>
      <c r="H3234" s="3">
        <v>964.85821235706499</v>
      </c>
      <c r="I3234" s="3">
        <v>37.46</v>
      </c>
      <c r="J3234" s="3">
        <v>37.862499999999997</v>
      </c>
      <c r="K3234" s="3">
        <v>37.29</v>
      </c>
      <c r="L3234" s="3">
        <v>953.64763559631297</v>
      </c>
    </row>
    <row r="3235" spans="1:12" ht="15" customHeight="1" x14ac:dyDescent="0.2">
      <c r="A3235" s="2">
        <v>41358</v>
      </c>
      <c r="B3235" s="3">
        <v>37.28</v>
      </c>
      <c r="C3235" s="1">
        <v>994982</v>
      </c>
      <c r="D3235" s="3">
        <v>0.160000000000003</v>
      </c>
      <c r="E3235" s="3">
        <v>0.43103448275862899</v>
      </c>
      <c r="F3235" s="3">
        <v>0.43103087500113701</v>
      </c>
      <c r="G3235" s="3">
        <v>37.676647000000003</v>
      </c>
      <c r="H3235" s="3">
        <v>949.93150036357895</v>
      </c>
      <c r="I3235" s="3">
        <v>37.119999999999997</v>
      </c>
      <c r="J3235" s="3">
        <v>37.47</v>
      </c>
      <c r="K3235" s="3">
        <v>37.07</v>
      </c>
      <c r="L3235" s="3">
        <v>938.87817654140599</v>
      </c>
    </row>
    <row r="3236" spans="1:12" ht="15" customHeight="1" x14ac:dyDescent="0.2">
      <c r="A3236" s="2">
        <v>41355</v>
      </c>
      <c r="B3236" s="3">
        <v>37.119999999999997</v>
      </c>
      <c r="C3236" s="1">
        <v>770885</v>
      </c>
      <c r="D3236" s="3">
        <v>0.76999999999999602</v>
      </c>
      <c r="E3236" s="3">
        <v>2.1182943603851299</v>
      </c>
      <c r="F3236" s="3">
        <v>2.11830387826903</v>
      </c>
      <c r="G3236" s="3">
        <v>37.514946000000002</v>
      </c>
      <c r="H3236" s="3">
        <v>945.42539413973498</v>
      </c>
      <c r="I3236" s="3">
        <v>36.340000000000003</v>
      </c>
      <c r="J3236" s="3">
        <v>37.25</v>
      </c>
      <c r="K3236" s="3">
        <v>36.340000000000003</v>
      </c>
      <c r="L3236" s="3">
        <v>934.41947192105602</v>
      </c>
    </row>
    <row r="3237" spans="1:12" ht="15" customHeight="1" x14ac:dyDescent="0.2">
      <c r="A3237" s="2">
        <v>41354</v>
      </c>
      <c r="B3237" s="3">
        <v>36.35</v>
      </c>
      <c r="C3237" s="1">
        <v>613023</v>
      </c>
      <c r="D3237" s="3">
        <v>9.9999999999980105E-3</v>
      </c>
      <c r="E3237" s="3">
        <v>2.7517886626293699E-2</v>
      </c>
      <c r="F3237" s="3">
        <v>2.7511360552767702E-2</v>
      </c>
      <c r="G3237" s="3">
        <v>36.736750000000001</v>
      </c>
      <c r="H3237" s="3">
        <v>923.73948101012604</v>
      </c>
      <c r="I3237" s="3">
        <v>36.159999999999997</v>
      </c>
      <c r="J3237" s="3">
        <v>36.520000000000003</v>
      </c>
      <c r="K3237" s="3">
        <v>36.08</v>
      </c>
      <c r="L3237" s="3">
        <v>912.96195593562504</v>
      </c>
    </row>
    <row r="3238" spans="1:12" ht="15" customHeight="1" x14ac:dyDescent="0.2">
      <c r="A3238" s="2">
        <v>41353</v>
      </c>
      <c r="B3238" s="3">
        <v>36.340000000000003</v>
      </c>
      <c r="C3238" s="1">
        <v>526096</v>
      </c>
      <c r="D3238" s="3">
        <v>0.39</v>
      </c>
      <c r="E3238" s="3">
        <v>1.0848400556328199</v>
      </c>
      <c r="F3238" s="3">
        <v>1.0848303860180299</v>
      </c>
      <c r="G3238" s="3">
        <v>36.726646000000002</v>
      </c>
      <c r="H3238" s="3">
        <v>923.45791381335096</v>
      </c>
      <c r="I3238" s="3">
        <v>36.17</v>
      </c>
      <c r="J3238" s="3">
        <v>36.46</v>
      </c>
      <c r="K3238" s="3">
        <v>36.03</v>
      </c>
      <c r="L3238" s="3">
        <v>912.68328689685302</v>
      </c>
    </row>
    <row r="3239" spans="1:12" ht="15" customHeight="1" x14ac:dyDescent="0.2">
      <c r="A3239" s="2">
        <v>41352</v>
      </c>
      <c r="B3239" s="3">
        <v>35.950000000000003</v>
      </c>
      <c r="C3239" s="1">
        <v>481974</v>
      </c>
      <c r="D3239" s="3">
        <v>-0.12999999999999501</v>
      </c>
      <c r="E3239" s="3">
        <v>-0.36031042128601398</v>
      </c>
      <c r="F3239" s="3">
        <v>-0.36030722126622</v>
      </c>
      <c r="G3239" s="3">
        <v>36.332500000000003</v>
      </c>
      <c r="H3239" s="3">
        <v>912.474285117774</v>
      </c>
      <c r="I3239" s="3">
        <v>36.270000000000003</v>
      </c>
      <c r="J3239" s="3">
        <v>36.35</v>
      </c>
      <c r="K3239" s="3">
        <v>35.67</v>
      </c>
      <c r="L3239" s="3">
        <v>901.81519438475198</v>
      </c>
    </row>
    <row r="3240" spans="1:12" ht="15" customHeight="1" x14ac:dyDescent="0.2">
      <c r="A3240" s="2">
        <v>41351</v>
      </c>
      <c r="B3240" s="3">
        <v>36.08</v>
      </c>
      <c r="C3240" s="1">
        <v>783066</v>
      </c>
      <c r="D3240" s="3">
        <v>-6.0000000000002197E-2</v>
      </c>
      <c r="E3240" s="3">
        <v>-0.16602102933038701</v>
      </c>
      <c r="F3240" s="3">
        <v>-0.166019977812181</v>
      </c>
      <c r="G3240" s="3">
        <v>36.463881999999998</v>
      </c>
      <c r="H3240" s="3">
        <v>916.13549468296605</v>
      </c>
      <c r="I3240" s="3">
        <v>35.81</v>
      </c>
      <c r="J3240" s="3">
        <v>36.409999999999997</v>
      </c>
      <c r="K3240" s="3">
        <v>35.81</v>
      </c>
      <c r="L3240" s="3">
        <v>905.43789188878497</v>
      </c>
    </row>
    <row r="3241" spans="1:12" ht="15" customHeight="1" x14ac:dyDescent="0.2">
      <c r="A3241" s="2">
        <v>41348</v>
      </c>
      <c r="B3241" s="3">
        <v>36.14</v>
      </c>
      <c r="C3241" s="1">
        <v>1004762</v>
      </c>
      <c r="D3241" s="3">
        <v>-9.9999999999980105E-3</v>
      </c>
      <c r="E3241" s="3">
        <v>-2.76625172890732E-2</v>
      </c>
      <c r="F3241" s="3">
        <v>-2.76723754968899E-2</v>
      </c>
      <c r="G3241" s="3">
        <v>36.524520000000003</v>
      </c>
      <c r="H3241" s="3">
        <v>917.82528800027103</v>
      </c>
      <c r="I3241" s="3">
        <v>36</v>
      </c>
      <c r="J3241" s="3">
        <v>36.24</v>
      </c>
      <c r="K3241" s="3">
        <v>35.980499999999999</v>
      </c>
      <c r="L3241" s="3">
        <v>907.10990612141597</v>
      </c>
    </row>
    <row r="3242" spans="1:12" ht="15" customHeight="1" x14ac:dyDescent="0.2">
      <c r="A3242" s="2">
        <v>41347</v>
      </c>
      <c r="B3242" s="3">
        <v>36.15</v>
      </c>
      <c r="C3242" s="1">
        <v>491467</v>
      </c>
      <c r="D3242" s="3">
        <v>0.26999999999999602</v>
      </c>
      <c r="E3242" s="3">
        <v>0.752508361203996</v>
      </c>
      <c r="F3242" s="3">
        <v>0.75252015532729599</v>
      </c>
      <c r="G3242" s="3">
        <v>36.53463</v>
      </c>
      <c r="H3242" s="3">
        <v>918.10702239846898</v>
      </c>
      <c r="I3242" s="3">
        <v>35.979999999999997</v>
      </c>
      <c r="J3242" s="3">
        <v>36.229999999999997</v>
      </c>
      <c r="K3242" s="3">
        <v>35.880000000000003</v>
      </c>
      <c r="L3242" s="3">
        <v>907.388575160188</v>
      </c>
    </row>
    <row r="3243" spans="1:12" ht="15" customHeight="1" x14ac:dyDescent="0.2">
      <c r="A3243" s="2">
        <v>41346</v>
      </c>
      <c r="B3243" s="3">
        <v>35.880000000000003</v>
      </c>
      <c r="C3243" s="1">
        <v>812447</v>
      </c>
      <c r="D3243" s="3">
        <v>0.53999999999999904</v>
      </c>
      <c r="E3243" s="3">
        <v>1.5280135823429499</v>
      </c>
      <c r="F3243" s="3">
        <v>1.52801515578155</v>
      </c>
      <c r="G3243" s="3">
        <v>36.261752999999999</v>
      </c>
      <c r="H3243" s="3">
        <v>910.50278526917498</v>
      </c>
      <c r="I3243" s="3">
        <v>35.44</v>
      </c>
      <c r="J3243" s="3">
        <v>35.9</v>
      </c>
      <c r="K3243" s="3">
        <v>35.340000000000003</v>
      </c>
      <c r="L3243" s="3">
        <v>899.86451111334895</v>
      </c>
    </row>
    <row r="3244" spans="1:12" ht="15" customHeight="1" x14ac:dyDescent="0.2">
      <c r="A3244" s="2">
        <v>41345</v>
      </c>
      <c r="B3244" s="3">
        <v>35.340000000000003</v>
      </c>
      <c r="C3244" s="1">
        <v>1028779</v>
      </c>
      <c r="D3244" s="3">
        <v>-0.16999999999999399</v>
      </c>
      <c r="E3244" s="3">
        <v>-0.47873838355391102</v>
      </c>
      <c r="F3244" s="3">
        <v>-0.47873353333809299</v>
      </c>
      <c r="G3244" s="3">
        <v>35.716006999999998</v>
      </c>
      <c r="H3244" s="3">
        <v>895.29453394581799</v>
      </c>
      <c r="I3244" s="3">
        <v>35.590000000000003</v>
      </c>
      <c r="J3244" s="3">
        <v>35.749899999999997</v>
      </c>
      <c r="K3244" s="3">
        <v>35.22</v>
      </c>
      <c r="L3244" s="3">
        <v>884.81638301966996</v>
      </c>
    </row>
    <row r="3245" spans="1:12" ht="15" customHeight="1" x14ac:dyDescent="0.2">
      <c r="A3245" s="2">
        <v>41344</v>
      </c>
      <c r="B3245" s="3">
        <v>35.51</v>
      </c>
      <c r="C3245" s="1">
        <v>723344</v>
      </c>
      <c r="D3245" s="3">
        <v>-0.100000000000001</v>
      </c>
      <c r="E3245" s="3">
        <v>-0.280819994383607</v>
      </c>
      <c r="F3245" s="3">
        <v>-0.28082563280659101</v>
      </c>
      <c r="G3245" s="3">
        <v>35.887813999999999</v>
      </c>
      <c r="H3245" s="3">
        <v>900.08226310024497</v>
      </c>
      <c r="I3245" s="3">
        <v>35.520000000000003</v>
      </c>
      <c r="J3245" s="3">
        <v>35.65</v>
      </c>
      <c r="K3245" s="3">
        <v>35.32</v>
      </c>
      <c r="L3245" s="3">
        <v>889.55375667879105</v>
      </c>
    </row>
    <row r="3246" spans="1:12" ht="15" customHeight="1" x14ac:dyDescent="0.2">
      <c r="A3246" s="2">
        <v>41341</v>
      </c>
      <c r="B3246" s="3">
        <v>35.61</v>
      </c>
      <c r="C3246" s="1">
        <v>1028558</v>
      </c>
      <c r="D3246" s="3">
        <v>-9.9999999999980105E-3</v>
      </c>
      <c r="E3246" s="3">
        <v>-2.8074115665355202E-2</v>
      </c>
      <c r="F3246" s="3">
        <v>-2.80702358691375E-2</v>
      </c>
      <c r="G3246" s="3">
        <v>35.988880000000002</v>
      </c>
      <c r="H3246" s="3">
        <v>902.89865960749603</v>
      </c>
      <c r="I3246" s="3">
        <v>35.89</v>
      </c>
      <c r="J3246" s="3">
        <v>35.89</v>
      </c>
      <c r="K3246" s="3">
        <v>35.35</v>
      </c>
      <c r="L3246" s="3">
        <v>892.340447066509</v>
      </c>
    </row>
    <row r="3247" spans="1:12" ht="15" customHeight="1" x14ac:dyDescent="0.2">
      <c r="A3247" s="2">
        <v>41340</v>
      </c>
      <c r="B3247" s="3">
        <v>35.619999999999997</v>
      </c>
      <c r="C3247" s="1">
        <v>396718</v>
      </c>
      <c r="D3247" s="3">
        <v>0.109999999999999</v>
      </c>
      <c r="E3247" s="3">
        <v>0.30977189524077298</v>
      </c>
      <c r="F3247" s="3">
        <v>0.30977367415021501</v>
      </c>
      <c r="G3247" s="3">
        <v>35.998984999999998</v>
      </c>
      <c r="H3247" s="3">
        <v>903.18025467117502</v>
      </c>
      <c r="I3247" s="3">
        <v>35.43</v>
      </c>
      <c r="J3247" s="3">
        <v>35.659999999999997</v>
      </c>
      <c r="K3247" s="3">
        <v>35.340000000000003</v>
      </c>
      <c r="L3247" s="3">
        <v>892.61911610528102</v>
      </c>
    </row>
    <row r="3248" spans="1:12" ht="15" customHeight="1" x14ac:dyDescent="0.2">
      <c r="A3248" s="2">
        <v>41339</v>
      </c>
      <c r="B3248" s="3">
        <v>35.51</v>
      </c>
      <c r="C3248" s="1">
        <v>471060</v>
      </c>
      <c r="D3248" s="3">
        <v>1.9999999999996E-2</v>
      </c>
      <c r="E3248" s="3">
        <v>5.6353902507732999E-2</v>
      </c>
      <c r="F3248" s="3">
        <v>5.6337742297674E-2</v>
      </c>
      <c r="G3248" s="3">
        <v>35.887813999999999</v>
      </c>
      <c r="H3248" s="3">
        <v>900.08226310024497</v>
      </c>
      <c r="I3248" s="3">
        <v>35.4</v>
      </c>
      <c r="J3248" s="3">
        <v>35.85</v>
      </c>
      <c r="K3248" s="3">
        <v>35.380000000000003</v>
      </c>
      <c r="L3248" s="3">
        <v>889.55375667879105</v>
      </c>
    </row>
    <row r="3249" spans="1:12" ht="15" customHeight="1" x14ac:dyDescent="0.2">
      <c r="A3249" s="2">
        <v>41338</v>
      </c>
      <c r="B3249" s="3">
        <v>35.49</v>
      </c>
      <c r="C3249" s="1">
        <v>744593</v>
      </c>
      <c r="D3249" s="3">
        <v>0.46999999999999797</v>
      </c>
      <c r="E3249" s="3">
        <v>1.3420902341519001</v>
      </c>
      <c r="F3249" s="3">
        <v>1.3420939204672599</v>
      </c>
      <c r="G3249" s="3">
        <v>35.867607</v>
      </c>
      <c r="H3249" s="3">
        <v>899.51915657359905</v>
      </c>
      <c r="I3249" s="3">
        <v>35.03</v>
      </c>
      <c r="J3249" s="3">
        <v>35.51</v>
      </c>
      <c r="K3249" s="3">
        <v>35.03</v>
      </c>
      <c r="L3249" s="3">
        <v>888.996418601247</v>
      </c>
    </row>
    <row r="3250" spans="1:12" ht="15" customHeight="1" x14ac:dyDescent="0.2">
      <c r="A3250" s="2">
        <v>41337</v>
      </c>
      <c r="B3250" s="3">
        <v>35.020000000000003</v>
      </c>
      <c r="C3250" s="1">
        <v>1029791.99999999</v>
      </c>
      <c r="D3250" s="3">
        <v>0.53000000000000103</v>
      </c>
      <c r="E3250" s="3">
        <v>1.5366772977674701</v>
      </c>
      <c r="F3250" s="3">
        <v>1.88461143194198</v>
      </c>
      <c r="G3250" s="3">
        <v>35.392605000000003</v>
      </c>
      <c r="H3250" s="3">
        <v>886.28232149812902</v>
      </c>
      <c r="I3250" s="3">
        <v>34.74</v>
      </c>
      <c r="J3250" s="3">
        <v>35.159999999999997</v>
      </c>
      <c r="K3250" s="3">
        <v>34.56</v>
      </c>
      <c r="L3250" s="3">
        <v>875.89897377897103</v>
      </c>
    </row>
    <row r="3251" spans="1:12" ht="15" customHeight="1" x14ac:dyDescent="0.2">
      <c r="A3251" s="2">
        <v>41334</v>
      </c>
      <c r="B3251" s="3">
        <v>34.49</v>
      </c>
      <c r="C3251" s="1">
        <v>979262</v>
      </c>
      <c r="D3251" s="3">
        <v>-0.15999999999999601</v>
      </c>
      <c r="E3251" s="3">
        <v>-0.46176046176045199</v>
      </c>
      <c r="F3251" s="3">
        <v>-0.461765727820584</v>
      </c>
      <c r="G3251" s="3">
        <v>34.737929999999999</v>
      </c>
      <c r="H3251" s="3">
        <v>868.03855620233298</v>
      </c>
      <c r="I3251" s="3">
        <v>34.39</v>
      </c>
      <c r="J3251" s="3">
        <v>34.57</v>
      </c>
      <c r="K3251" s="3">
        <v>33.99</v>
      </c>
      <c r="L3251" s="3">
        <v>861.12951472406303</v>
      </c>
    </row>
    <row r="3252" spans="1:12" ht="15" customHeight="1" x14ac:dyDescent="0.2">
      <c r="A3252" s="2">
        <v>41333</v>
      </c>
      <c r="B3252" s="3">
        <v>34.65</v>
      </c>
      <c r="C3252" s="1">
        <v>723268</v>
      </c>
      <c r="D3252" s="3">
        <v>-2.0000000000003099E-2</v>
      </c>
      <c r="E3252" s="3">
        <v>-5.7686760888386798E-2</v>
      </c>
      <c r="F3252" s="3">
        <v>-5.7670245784424701E-2</v>
      </c>
      <c r="G3252" s="3">
        <v>34.899082</v>
      </c>
      <c r="H3252" s="3">
        <v>872.52936349594904</v>
      </c>
      <c r="I3252" s="3">
        <v>34.53</v>
      </c>
      <c r="J3252" s="3">
        <v>35.049999999999997</v>
      </c>
      <c r="K3252" s="3">
        <v>34.49</v>
      </c>
      <c r="L3252" s="3">
        <v>865.58821934441301</v>
      </c>
    </row>
    <row r="3253" spans="1:12" ht="15" customHeight="1" x14ac:dyDescent="0.2">
      <c r="A3253" s="2">
        <v>41332</v>
      </c>
      <c r="B3253" s="3">
        <v>34.67</v>
      </c>
      <c r="C3253" s="1">
        <v>1231372</v>
      </c>
      <c r="D3253" s="3">
        <v>0.78999999999999904</v>
      </c>
      <c r="E3253" s="3">
        <v>2.3317591499409702</v>
      </c>
      <c r="F3253" s="3">
        <v>2.33174177350321</v>
      </c>
      <c r="G3253" s="3">
        <v>34.919220000000003</v>
      </c>
      <c r="H3253" s="3">
        <v>873.09054720622805</v>
      </c>
      <c r="I3253" s="3">
        <v>33.96</v>
      </c>
      <c r="J3253" s="3">
        <v>35.03</v>
      </c>
      <c r="K3253" s="3">
        <v>33.93</v>
      </c>
      <c r="L3253" s="3">
        <v>866.14555742195603</v>
      </c>
    </row>
    <row r="3254" spans="1:12" ht="15" customHeight="1" x14ac:dyDescent="0.2">
      <c r="A3254" s="2">
        <v>41331</v>
      </c>
      <c r="B3254" s="3">
        <v>33.880000000000003</v>
      </c>
      <c r="C3254" s="1">
        <v>1156819</v>
      </c>
      <c r="D3254" s="3">
        <v>-7.0000000000000201E-2</v>
      </c>
      <c r="E3254" s="3">
        <v>-0.20618556701030799</v>
      </c>
      <c r="F3254" s="3">
        <v>-0.206184994172953</v>
      </c>
      <c r="G3254" s="3">
        <v>34.123547000000002</v>
      </c>
      <c r="H3254" s="3">
        <v>850.91760419755803</v>
      </c>
      <c r="I3254" s="3">
        <v>34.19</v>
      </c>
      <c r="J3254" s="3">
        <v>34.24</v>
      </c>
      <c r="K3254" s="3">
        <v>33.799999999999997</v>
      </c>
      <c r="L3254" s="3">
        <v>844.13070335898101</v>
      </c>
    </row>
    <row r="3255" spans="1:12" ht="15" customHeight="1" x14ac:dyDescent="0.2">
      <c r="A3255" s="2">
        <v>41330</v>
      </c>
      <c r="B3255" s="3">
        <v>33.950000000000003</v>
      </c>
      <c r="C3255" s="1">
        <v>1007796</v>
      </c>
      <c r="D3255" s="3">
        <v>-0.52999999999999403</v>
      </c>
      <c r="E3255" s="3">
        <v>-1.5371229698375599</v>
      </c>
      <c r="F3255" s="3">
        <v>-1.53711187929368</v>
      </c>
      <c r="G3255" s="3">
        <v>34.194049999999997</v>
      </c>
      <c r="H3255" s="3">
        <v>852.88230452161099</v>
      </c>
      <c r="I3255" s="3">
        <v>34.64</v>
      </c>
      <c r="J3255" s="3">
        <v>34.79</v>
      </c>
      <c r="K3255" s="3">
        <v>33.94</v>
      </c>
      <c r="L3255" s="3">
        <v>846.08138663038403</v>
      </c>
    </row>
    <row r="3256" spans="1:12" ht="15" customHeight="1" x14ac:dyDescent="0.2">
      <c r="A3256" s="2">
        <v>41327</v>
      </c>
      <c r="B3256" s="3">
        <v>34.479999999999997</v>
      </c>
      <c r="C3256" s="1">
        <v>1200217</v>
      </c>
      <c r="D3256" s="3">
        <v>0.75</v>
      </c>
      <c r="E3256" s="3">
        <v>2.2235398754817601</v>
      </c>
      <c r="F3256" s="3">
        <v>2.2235359658613101</v>
      </c>
      <c r="G3256" s="3">
        <v>34.727856000000003</v>
      </c>
      <c r="H3256" s="3">
        <v>867.75782501267497</v>
      </c>
      <c r="I3256" s="3">
        <v>33.869999999999997</v>
      </c>
      <c r="J3256" s="3">
        <v>34.64</v>
      </c>
      <c r="K3256" s="3">
        <v>33.840000000000003</v>
      </c>
      <c r="L3256" s="3">
        <v>860.85084568529101</v>
      </c>
    </row>
    <row r="3257" spans="1:12" ht="15" customHeight="1" x14ac:dyDescent="0.2">
      <c r="A3257" s="2">
        <v>41326</v>
      </c>
      <c r="B3257" s="3">
        <v>33.729999999999997</v>
      </c>
      <c r="C3257" s="1">
        <v>2338260</v>
      </c>
      <c r="D3257" s="3">
        <v>0.62999999999999501</v>
      </c>
      <c r="E3257" s="3">
        <v>1.90332326283986</v>
      </c>
      <c r="F3257" s="3">
        <v>1.90332718858179</v>
      </c>
      <c r="G3257" s="3">
        <v>33.972465999999997</v>
      </c>
      <c r="H3257" s="3">
        <v>846.70744449288895</v>
      </c>
      <c r="I3257" s="3">
        <v>32.64</v>
      </c>
      <c r="J3257" s="3">
        <v>34.090000000000003</v>
      </c>
      <c r="K3257" s="3">
        <v>32.64</v>
      </c>
      <c r="L3257" s="3">
        <v>839.95066777740396</v>
      </c>
    </row>
    <row r="3258" spans="1:12" ht="15" customHeight="1" x14ac:dyDescent="0.2">
      <c r="A3258" s="2">
        <v>41325</v>
      </c>
      <c r="B3258" s="3">
        <v>33.1</v>
      </c>
      <c r="C3258" s="1">
        <v>1783384</v>
      </c>
      <c r="D3258" s="3">
        <v>-0.219999999999998</v>
      </c>
      <c r="E3258" s="3">
        <v>-0.66026410564224902</v>
      </c>
      <c r="F3258" s="3">
        <v>-0.66026278030163399</v>
      </c>
      <c r="G3258" s="3">
        <v>33.337935999999999</v>
      </c>
      <c r="H3258" s="3">
        <v>829.02505797569995</v>
      </c>
      <c r="I3258" s="3">
        <v>33.380000000000003</v>
      </c>
      <c r="J3258" s="3">
        <v>33.770000000000003</v>
      </c>
      <c r="K3258" s="3">
        <v>33.08</v>
      </c>
      <c r="L3258" s="3">
        <v>822.39451833477801</v>
      </c>
    </row>
    <row r="3259" spans="1:12" ht="15" customHeight="1" x14ac:dyDescent="0.2">
      <c r="A3259" s="2">
        <v>41324</v>
      </c>
      <c r="B3259" s="3">
        <v>33.32</v>
      </c>
      <c r="C3259" s="1">
        <v>1107418</v>
      </c>
      <c r="D3259" s="3">
        <v>0.25</v>
      </c>
      <c r="E3259" s="3">
        <v>0.755972180223762</v>
      </c>
      <c r="F3259" s="3">
        <v>0.75597188879934496</v>
      </c>
      <c r="G3259" s="3">
        <v>33.559517</v>
      </c>
      <c r="H3259" s="3">
        <v>835.19983440371004</v>
      </c>
      <c r="I3259" s="3">
        <v>33.21</v>
      </c>
      <c r="J3259" s="3">
        <v>33.537799999999997</v>
      </c>
      <c r="K3259" s="3">
        <v>33.15</v>
      </c>
      <c r="L3259" s="3">
        <v>828.52523718775899</v>
      </c>
    </row>
    <row r="3260" spans="1:12" ht="15" customHeight="1" x14ac:dyDescent="0.2">
      <c r="A3260" s="2">
        <v>41320</v>
      </c>
      <c r="B3260" s="3">
        <v>33.07</v>
      </c>
      <c r="C3260" s="1">
        <v>708374</v>
      </c>
      <c r="D3260" s="3">
        <v>-0.130000000000002</v>
      </c>
      <c r="E3260" s="3">
        <v>-0.39156626506025</v>
      </c>
      <c r="F3260" s="3">
        <v>-0.39157076169568</v>
      </c>
      <c r="G3260" s="3">
        <v>33.307720000000003</v>
      </c>
      <c r="H3260" s="3">
        <v>828.18303160814696</v>
      </c>
      <c r="I3260" s="3">
        <v>33.24</v>
      </c>
      <c r="J3260" s="3">
        <v>33.36</v>
      </c>
      <c r="K3260" s="3">
        <v>32.94</v>
      </c>
      <c r="L3260" s="3">
        <v>821.55851121846297</v>
      </c>
    </row>
    <row r="3261" spans="1:12" ht="15" customHeight="1" x14ac:dyDescent="0.2">
      <c r="A3261" s="2">
        <v>41319</v>
      </c>
      <c r="B3261" s="3">
        <v>33.200000000000003</v>
      </c>
      <c r="C3261" s="1">
        <v>707281</v>
      </c>
      <c r="D3261" s="3">
        <v>-0.309999999999995</v>
      </c>
      <c r="E3261" s="3">
        <v>-0.925096985974316</v>
      </c>
      <c r="F3261" s="3">
        <v>-0.925084027438694</v>
      </c>
      <c r="G3261" s="3">
        <v>33.438656000000002</v>
      </c>
      <c r="H3261" s="3">
        <v>831.83181253421003</v>
      </c>
      <c r="I3261" s="3">
        <v>33.5</v>
      </c>
      <c r="J3261" s="3">
        <v>33.630000000000003</v>
      </c>
      <c r="K3261" s="3">
        <v>33.17</v>
      </c>
      <c r="L3261" s="3">
        <v>825.18120872249699</v>
      </c>
    </row>
    <row r="3262" spans="1:12" ht="15" customHeight="1" x14ac:dyDescent="0.2">
      <c r="A3262" s="2">
        <v>41318</v>
      </c>
      <c r="B3262" s="3">
        <v>33.51</v>
      </c>
      <c r="C3262" s="1">
        <v>1346428</v>
      </c>
      <c r="D3262" s="3">
        <v>-0.73000000000000398</v>
      </c>
      <c r="E3262" s="3">
        <v>-2.1320093457943998</v>
      </c>
      <c r="F3262" s="3">
        <v>-2.1320279043165402</v>
      </c>
      <c r="G3262" s="3">
        <v>33.750880000000002</v>
      </c>
      <c r="H3262" s="3">
        <v>840.53252873036001</v>
      </c>
      <c r="I3262" s="3">
        <v>34.18</v>
      </c>
      <c r="J3262" s="3">
        <v>34.262</v>
      </c>
      <c r="K3262" s="3">
        <v>33.32</v>
      </c>
      <c r="L3262" s="3">
        <v>833.81994892442299</v>
      </c>
    </row>
    <row r="3263" spans="1:12" ht="15" customHeight="1" x14ac:dyDescent="0.2">
      <c r="A3263" s="2">
        <v>41317</v>
      </c>
      <c r="B3263" s="3">
        <v>34.24</v>
      </c>
      <c r="C3263" s="1">
        <v>669405</v>
      </c>
      <c r="D3263" s="3">
        <v>8.00000000000054E-2</v>
      </c>
      <c r="E3263" s="3">
        <v>0.23419203747074799</v>
      </c>
      <c r="F3263" s="3">
        <v>0.23420054598159901</v>
      </c>
      <c r="G3263" s="3">
        <v>34.486134</v>
      </c>
      <c r="H3263" s="3">
        <v>861.02178127367404</v>
      </c>
      <c r="I3263" s="3">
        <v>34.21</v>
      </c>
      <c r="J3263" s="3">
        <v>34.33</v>
      </c>
      <c r="K3263" s="3">
        <v>33.770000000000003</v>
      </c>
      <c r="L3263" s="3">
        <v>854.16278875476803</v>
      </c>
    </row>
    <row r="3264" spans="1:12" ht="15" customHeight="1" x14ac:dyDescent="0.2">
      <c r="A3264" s="2">
        <v>41316</v>
      </c>
      <c r="B3264" s="3">
        <v>34.159999999999997</v>
      </c>
      <c r="C3264" s="1">
        <v>570786</v>
      </c>
      <c r="D3264" s="3">
        <v>-0.25</v>
      </c>
      <c r="E3264" s="3">
        <v>-0.72653298459750504</v>
      </c>
      <c r="F3264" s="3">
        <v>-0.72652982836082203</v>
      </c>
      <c r="G3264" s="3">
        <v>34.405555999999997</v>
      </c>
      <c r="H3264" s="3">
        <v>858.77632189305803</v>
      </c>
      <c r="I3264" s="3">
        <v>34.380000000000003</v>
      </c>
      <c r="J3264" s="3">
        <v>34.619999999999997</v>
      </c>
      <c r="K3264" s="3">
        <v>34</v>
      </c>
      <c r="L3264" s="3">
        <v>851.93343644459299</v>
      </c>
    </row>
    <row r="3265" spans="1:12" ht="15" customHeight="1" x14ac:dyDescent="0.2">
      <c r="A3265" s="2">
        <v>41313</v>
      </c>
      <c r="B3265" s="3">
        <v>34.409999999999997</v>
      </c>
      <c r="C3265" s="1">
        <v>477549</v>
      </c>
      <c r="D3265" s="3"/>
      <c r="E3265" s="3"/>
      <c r="F3265" s="3"/>
      <c r="G3265" s="3">
        <v>34.657352000000003</v>
      </c>
      <c r="H3265" s="3">
        <v>865.793096821718</v>
      </c>
      <c r="I3265" s="3">
        <v>34.380000000000003</v>
      </c>
      <c r="J3265" s="3">
        <v>34.619999999999997</v>
      </c>
      <c r="K3265" s="3">
        <v>34.220500000000001</v>
      </c>
      <c r="L3265" s="3">
        <v>858.90016241388901</v>
      </c>
    </row>
    <row r="3266" spans="1:12" ht="15" customHeight="1" x14ac:dyDescent="0.2">
      <c r="A3266" s="2">
        <v>41312</v>
      </c>
      <c r="B3266" s="3">
        <v>34.409999999999997</v>
      </c>
      <c r="C3266" s="1">
        <v>843998</v>
      </c>
      <c r="D3266" s="3">
        <v>6.9999999999993096E-2</v>
      </c>
      <c r="E3266" s="3">
        <v>0.203843913803125</v>
      </c>
      <c r="F3266" s="3">
        <v>0.20384047694428301</v>
      </c>
      <c r="G3266" s="3">
        <v>34.657352000000003</v>
      </c>
      <c r="H3266" s="3">
        <v>865.793096821718</v>
      </c>
      <c r="I3266" s="3">
        <v>34.4</v>
      </c>
      <c r="J3266" s="3">
        <v>34.61</v>
      </c>
      <c r="K3266" s="3">
        <v>34.119999999999997</v>
      </c>
      <c r="L3266" s="3">
        <v>858.90016241388901</v>
      </c>
    </row>
    <row r="3267" spans="1:12" ht="15" customHeight="1" x14ac:dyDescent="0.2">
      <c r="A3267" s="2">
        <v>41311</v>
      </c>
      <c r="B3267" s="3">
        <v>34.340000000000003</v>
      </c>
      <c r="C3267" s="1">
        <v>737621</v>
      </c>
      <c r="D3267" s="3">
        <v>0.33000000000000501</v>
      </c>
      <c r="E3267" s="3">
        <v>0.97030285210233302</v>
      </c>
      <c r="F3267" s="3">
        <v>0.97029644005688298</v>
      </c>
      <c r="G3267" s="3">
        <v>34.586849999999998</v>
      </c>
      <c r="H3267" s="3">
        <v>863.82842436456895</v>
      </c>
      <c r="I3267" s="3">
        <v>33.9</v>
      </c>
      <c r="J3267" s="3">
        <v>34.409999999999997</v>
      </c>
      <c r="K3267" s="3">
        <v>33.9</v>
      </c>
      <c r="L3267" s="3">
        <v>856.94947914248598</v>
      </c>
    </row>
    <row r="3268" spans="1:12" ht="15" customHeight="1" x14ac:dyDescent="0.2">
      <c r="A3268" s="2">
        <v>41310</v>
      </c>
      <c r="B3268" s="3">
        <v>34.01</v>
      </c>
      <c r="C3268" s="1">
        <v>850915</v>
      </c>
      <c r="D3268" s="3">
        <v>0.46999999999999797</v>
      </c>
      <c r="E3268" s="3">
        <v>1.4013118664281301</v>
      </c>
      <c r="F3268" s="3">
        <v>1.4013161205525999</v>
      </c>
      <c r="G3268" s="3">
        <v>34.254480000000001</v>
      </c>
      <c r="H3268" s="3">
        <v>854.56630152290904</v>
      </c>
      <c r="I3268" s="3">
        <v>33.61</v>
      </c>
      <c r="J3268" s="3">
        <v>34.17</v>
      </c>
      <c r="K3268" s="3">
        <v>33.53</v>
      </c>
      <c r="L3268" s="3">
        <v>847.75340086301503</v>
      </c>
    </row>
    <row r="3269" spans="1:12" ht="15" customHeight="1" x14ac:dyDescent="0.2">
      <c r="A3269" s="2">
        <v>41309</v>
      </c>
      <c r="B3269" s="3">
        <v>33.54</v>
      </c>
      <c r="C3269" s="1">
        <v>519409</v>
      </c>
      <c r="D3269" s="3">
        <v>-0.25999999999999801</v>
      </c>
      <c r="E3269" s="3">
        <v>-0.76923076923076605</v>
      </c>
      <c r="F3269" s="3">
        <v>-0.76923370669478297</v>
      </c>
      <c r="G3269" s="3">
        <v>33.781100000000002</v>
      </c>
      <c r="H3269" s="3">
        <v>841.37466656552795</v>
      </c>
      <c r="I3269" s="3">
        <v>33.75</v>
      </c>
      <c r="J3269" s="3">
        <v>33.930199999999999</v>
      </c>
      <c r="K3269" s="3">
        <v>33.53</v>
      </c>
      <c r="L3269" s="3">
        <v>834.65595604073906</v>
      </c>
    </row>
    <row r="3270" spans="1:12" ht="15" customHeight="1" x14ac:dyDescent="0.2">
      <c r="A3270" s="2">
        <v>41306</v>
      </c>
      <c r="B3270" s="3">
        <v>33.799999999999997</v>
      </c>
      <c r="C3270" s="1">
        <v>870501</v>
      </c>
      <c r="D3270" s="3">
        <v>0.64</v>
      </c>
      <c r="E3270" s="3">
        <v>1.93003618817853</v>
      </c>
      <c r="F3270" s="3">
        <v>1.9300343100576201</v>
      </c>
      <c r="G3270" s="3">
        <v>34.042969999999997</v>
      </c>
      <c r="H3270" s="3">
        <v>848.67217268384604</v>
      </c>
      <c r="I3270" s="3">
        <v>33.25</v>
      </c>
      <c r="J3270" s="3">
        <v>34.07</v>
      </c>
      <c r="K3270" s="3">
        <v>33.25</v>
      </c>
      <c r="L3270" s="3">
        <v>841.90135104880699</v>
      </c>
    </row>
    <row r="3271" spans="1:12" ht="15" customHeight="1" x14ac:dyDescent="0.2">
      <c r="A3271" s="2">
        <v>41305</v>
      </c>
      <c r="B3271" s="3">
        <v>33.159999999999997</v>
      </c>
      <c r="C3271" s="1">
        <v>1029424</v>
      </c>
      <c r="D3271" s="3">
        <v>0.209999999999993</v>
      </c>
      <c r="E3271" s="3">
        <v>0.63732928679816003</v>
      </c>
      <c r="F3271" s="3">
        <v>0.637330557937687</v>
      </c>
      <c r="G3271" s="3">
        <v>33.39837</v>
      </c>
      <c r="H3271" s="3">
        <v>830.70916644461295</v>
      </c>
      <c r="I3271" s="3">
        <v>32.950000000000003</v>
      </c>
      <c r="J3271" s="3">
        <v>33.25</v>
      </c>
      <c r="K3271" s="3">
        <v>32.72</v>
      </c>
      <c r="L3271" s="3">
        <v>824.06653256740901</v>
      </c>
    </row>
    <row r="3272" spans="1:12" ht="15" customHeight="1" x14ac:dyDescent="0.2">
      <c r="A3272" s="2">
        <v>41304</v>
      </c>
      <c r="B3272" s="3">
        <v>32.950000000000003</v>
      </c>
      <c r="C3272" s="1">
        <v>763720</v>
      </c>
      <c r="D3272" s="3">
        <v>-0.189999999999997</v>
      </c>
      <c r="E3272" s="3">
        <v>-0.57332528666264004</v>
      </c>
      <c r="F3272" s="3">
        <v>-0.57331691983720701</v>
      </c>
      <c r="G3272" s="3">
        <v>33.186860000000003</v>
      </c>
      <c r="H3272" s="3">
        <v>824.81503760554995</v>
      </c>
      <c r="I3272" s="3">
        <v>33.1</v>
      </c>
      <c r="J3272" s="3">
        <v>33.18</v>
      </c>
      <c r="K3272" s="3">
        <v>32.75</v>
      </c>
      <c r="L3272" s="3">
        <v>818.21448275320097</v>
      </c>
    </row>
    <row r="3273" spans="1:12" ht="15" customHeight="1" x14ac:dyDescent="0.2">
      <c r="A3273" s="2">
        <v>41303</v>
      </c>
      <c r="B3273" s="3">
        <v>33.14</v>
      </c>
      <c r="C3273" s="1">
        <v>522634</v>
      </c>
      <c r="D3273" s="3">
        <v>-4.9999999999997102E-2</v>
      </c>
      <c r="E3273" s="3">
        <v>-0.15064778547754201</v>
      </c>
      <c r="F3273" s="3">
        <v>-0.150640559664805</v>
      </c>
      <c r="G3273" s="3">
        <v>33.378222999999998</v>
      </c>
      <c r="H3273" s="3">
        <v>830.14773193220003</v>
      </c>
      <c r="I3273" s="3">
        <v>33.200000000000003</v>
      </c>
      <c r="J3273" s="3">
        <v>33.270000000000003</v>
      </c>
      <c r="K3273" s="3">
        <v>33.020000000000003</v>
      </c>
      <c r="L3273" s="3">
        <v>823.50919448986599</v>
      </c>
    </row>
    <row r="3274" spans="1:12" ht="15" customHeight="1" x14ac:dyDescent="0.2">
      <c r="A3274" s="2">
        <v>41302</v>
      </c>
      <c r="B3274" s="3">
        <v>33.19</v>
      </c>
      <c r="C3274" s="1">
        <v>707714</v>
      </c>
      <c r="D3274" s="3">
        <v>-3.9999999999999099E-2</v>
      </c>
      <c r="E3274" s="3">
        <v>-0.120373156786035</v>
      </c>
      <c r="F3274" s="3">
        <v>-0.120386489272783</v>
      </c>
      <c r="G3274" s="3">
        <v>33.428579999999997</v>
      </c>
      <c r="H3274" s="3">
        <v>831.55102561074295</v>
      </c>
      <c r="I3274" s="3">
        <v>33.380000000000003</v>
      </c>
      <c r="J3274" s="3">
        <v>33.380000000000003</v>
      </c>
      <c r="K3274" s="3">
        <v>32.89</v>
      </c>
      <c r="L3274" s="3">
        <v>824.90253968372497</v>
      </c>
    </row>
    <row r="3275" spans="1:12" ht="15" customHeight="1" x14ac:dyDescent="0.2">
      <c r="A3275" s="2">
        <v>41299</v>
      </c>
      <c r="B3275" s="3">
        <v>33.229999999999997</v>
      </c>
      <c r="C3275" s="1">
        <v>1092517</v>
      </c>
      <c r="D3275" s="3">
        <v>5.9999999999995099E-2</v>
      </c>
      <c r="E3275" s="3">
        <v>0.180886343081088</v>
      </c>
      <c r="F3275" s="3">
        <v>0.18088842220706999</v>
      </c>
      <c r="G3275" s="3">
        <v>33.468871999999998</v>
      </c>
      <c r="H3275" s="3">
        <v>832.67383890176302</v>
      </c>
      <c r="I3275" s="3">
        <v>33.42</v>
      </c>
      <c r="J3275" s="3">
        <v>33.424999999999997</v>
      </c>
      <c r="K3275" s="3">
        <v>33.090000000000003</v>
      </c>
      <c r="L3275" s="3">
        <v>826.01721583881204</v>
      </c>
    </row>
    <row r="3276" spans="1:12" ht="15" customHeight="1" x14ac:dyDescent="0.2">
      <c r="A3276" s="2">
        <v>41298</v>
      </c>
      <c r="B3276" s="3">
        <v>33.17</v>
      </c>
      <c r="C3276" s="1">
        <v>820195</v>
      </c>
      <c r="D3276" s="3">
        <v>7.0000000000000201E-2</v>
      </c>
      <c r="E3276" s="3">
        <v>0.211480362537774</v>
      </c>
      <c r="F3276" s="3">
        <v>0.21148279845519799</v>
      </c>
      <c r="G3276" s="3">
        <v>33.408439999999999</v>
      </c>
      <c r="H3276" s="3">
        <v>830.98978616665704</v>
      </c>
      <c r="I3276" s="3">
        <v>33.130000000000003</v>
      </c>
      <c r="J3276" s="3">
        <v>33.4</v>
      </c>
      <c r="K3276" s="3">
        <v>33.01</v>
      </c>
      <c r="L3276" s="3">
        <v>824.34520160618104</v>
      </c>
    </row>
    <row r="3277" spans="1:12" ht="15" customHeight="1" x14ac:dyDescent="0.2">
      <c r="A3277" s="2">
        <v>41297</v>
      </c>
      <c r="B3277" s="3">
        <v>33.1</v>
      </c>
      <c r="C3277" s="1">
        <v>622974</v>
      </c>
      <c r="D3277" s="3">
        <v>-0.32999999999999802</v>
      </c>
      <c r="E3277" s="3">
        <v>-0.98713730182470305</v>
      </c>
      <c r="F3277" s="3">
        <v>-0.98714267852003601</v>
      </c>
      <c r="G3277" s="3">
        <v>33.337935999999999</v>
      </c>
      <c r="H3277" s="3">
        <v>829.02505797569995</v>
      </c>
      <c r="I3277" s="3">
        <v>33.43</v>
      </c>
      <c r="J3277" s="3">
        <v>33.43</v>
      </c>
      <c r="K3277" s="3">
        <v>33.06</v>
      </c>
      <c r="L3277" s="3">
        <v>822.39451833477801</v>
      </c>
    </row>
    <row r="3278" spans="1:12" ht="15" customHeight="1" x14ac:dyDescent="0.2">
      <c r="A3278" s="2">
        <v>41296</v>
      </c>
      <c r="B3278" s="3">
        <v>33.43</v>
      </c>
      <c r="C3278" s="1">
        <v>696475</v>
      </c>
      <c r="D3278" s="3">
        <v>3.0000000000001099E-2</v>
      </c>
      <c r="E3278" s="3">
        <v>8.9820359281444995E-2</v>
      </c>
      <c r="F3278" s="3">
        <v>8.9818414603159896E-2</v>
      </c>
      <c r="G3278" s="3">
        <v>33.670310000000001</v>
      </c>
      <c r="H3278" s="3">
        <v>838.28729228497502</v>
      </c>
      <c r="I3278" s="3">
        <v>33.15</v>
      </c>
      <c r="J3278" s="3">
        <v>33.909999999999997</v>
      </c>
      <c r="K3278" s="3">
        <v>32.76</v>
      </c>
      <c r="L3278" s="3">
        <v>831.59059661424897</v>
      </c>
    </row>
    <row r="3279" spans="1:12" ht="15" customHeight="1" x14ac:dyDescent="0.2">
      <c r="A3279" s="2">
        <v>41292</v>
      </c>
      <c r="B3279" s="3">
        <v>33.4</v>
      </c>
      <c r="C3279" s="1">
        <v>757379</v>
      </c>
      <c r="D3279" s="3">
        <v>7.9999999999998295E-2</v>
      </c>
      <c r="E3279" s="3">
        <v>0.240096038415371</v>
      </c>
      <c r="F3279" s="3">
        <v>0.240104766704485</v>
      </c>
      <c r="G3279" s="3">
        <v>33.640095000000002</v>
      </c>
      <c r="H3279" s="3">
        <v>837.44529378432605</v>
      </c>
      <c r="I3279" s="3">
        <v>33.4</v>
      </c>
      <c r="J3279" s="3">
        <v>33.555</v>
      </c>
      <c r="K3279" s="3">
        <v>33.03</v>
      </c>
      <c r="L3279" s="3">
        <v>830.75458949793301</v>
      </c>
    </row>
    <row r="3280" spans="1:12" ht="15" customHeight="1" x14ac:dyDescent="0.2">
      <c r="A3280" s="2">
        <v>41291</v>
      </c>
      <c r="B3280" s="3">
        <v>33.32</v>
      </c>
      <c r="C3280" s="1">
        <v>665694</v>
      </c>
      <c r="D3280" s="3">
        <v>0.17999999999999899</v>
      </c>
      <c r="E3280" s="3">
        <v>0.54315027157514295</v>
      </c>
      <c r="F3280" s="3">
        <v>0.54315054459310697</v>
      </c>
      <c r="G3280" s="3">
        <v>33.559517</v>
      </c>
      <c r="H3280" s="3">
        <v>835.19983440371004</v>
      </c>
      <c r="I3280" s="3">
        <v>33.270000000000003</v>
      </c>
      <c r="J3280" s="3">
        <v>33.49</v>
      </c>
      <c r="K3280" s="3">
        <v>32.96</v>
      </c>
      <c r="L3280" s="3">
        <v>828.52523718775899</v>
      </c>
    </row>
    <row r="3281" spans="1:12" ht="15" customHeight="1" x14ac:dyDescent="0.2">
      <c r="A3281" s="2">
        <v>41290</v>
      </c>
      <c r="B3281" s="3">
        <v>33.14</v>
      </c>
      <c r="C3281" s="1">
        <v>597368</v>
      </c>
      <c r="D3281" s="3">
        <v>3.9999999999999099E-2</v>
      </c>
      <c r="E3281" s="3">
        <v>0.120845921450141</v>
      </c>
      <c r="F3281" s="3">
        <v>0.12084431381713601</v>
      </c>
      <c r="G3281" s="3">
        <v>33.378222999999998</v>
      </c>
      <c r="H3281" s="3">
        <v>830.14773193220003</v>
      </c>
      <c r="I3281" s="3">
        <v>32.880000000000003</v>
      </c>
      <c r="J3281" s="3">
        <v>33.520000000000003</v>
      </c>
      <c r="K3281" s="3">
        <v>32.78</v>
      </c>
      <c r="L3281" s="3">
        <v>823.50919448986599</v>
      </c>
    </row>
    <row r="3282" spans="1:12" ht="15" customHeight="1" x14ac:dyDescent="0.2">
      <c r="A3282" s="2">
        <v>41289</v>
      </c>
      <c r="B3282" s="3">
        <v>33.1</v>
      </c>
      <c r="C3282" s="1">
        <v>935761</v>
      </c>
      <c r="D3282" s="3">
        <v>-0.26999999999999602</v>
      </c>
      <c r="E3282" s="3">
        <v>-0.80910997902305903</v>
      </c>
      <c r="F3282" s="3">
        <v>-0.80911922327601105</v>
      </c>
      <c r="G3282" s="3">
        <v>33.337935999999999</v>
      </c>
      <c r="H3282" s="3">
        <v>829.02505797569995</v>
      </c>
      <c r="I3282" s="3">
        <v>33.15</v>
      </c>
      <c r="J3282" s="3">
        <v>33.44</v>
      </c>
      <c r="K3282" s="3">
        <v>32.96</v>
      </c>
      <c r="L3282" s="3">
        <v>822.39451833477801</v>
      </c>
    </row>
    <row r="3283" spans="1:12" ht="15" customHeight="1" x14ac:dyDescent="0.2">
      <c r="A3283" s="2">
        <v>41288</v>
      </c>
      <c r="B3283" s="3">
        <v>33.369999999999997</v>
      </c>
      <c r="C3283" s="1">
        <v>888080</v>
      </c>
      <c r="D3283" s="3">
        <v>-0.30000000000000399</v>
      </c>
      <c r="E3283" s="3">
        <v>-0.89100089100090296</v>
      </c>
      <c r="F3283" s="3">
        <v>-0.89099052244966304</v>
      </c>
      <c r="G3283" s="3">
        <v>33.609879999999997</v>
      </c>
      <c r="H3283" s="3">
        <v>836.60329528367595</v>
      </c>
      <c r="I3283" s="3">
        <v>33.520000000000003</v>
      </c>
      <c r="J3283" s="3">
        <v>33.68</v>
      </c>
      <c r="K3283" s="3">
        <v>33.119999999999997</v>
      </c>
      <c r="L3283" s="3">
        <v>829.91858238161797</v>
      </c>
    </row>
    <row r="3284" spans="1:12" ht="15" customHeight="1" x14ac:dyDescent="0.2">
      <c r="A3284" s="2">
        <v>41285</v>
      </c>
      <c r="B3284" s="3">
        <v>33.67</v>
      </c>
      <c r="C3284" s="1">
        <v>565469</v>
      </c>
      <c r="D3284" s="3">
        <v>-0.119999999999997</v>
      </c>
      <c r="E3284" s="3">
        <v>-0.35513465522343202</v>
      </c>
      <c r="F3284" s="3">
        <v>-0.35514166322245799</v>
      </c>
      <c r="G3284" s="3">
        <v>33.912033000000001</v>
      </c>
      <c r="H3284" s="3">
        <v>845.02336389087895</v>
      </c>
      <c r="I3284" s="3">
        <v>33.83</v>
      </c>
      <c r="J3284" s="3">
        <v>33.8399</v>
      </c>
      <c r="K3284" s="3">
        <v>33.39</v>
      </c>
      <c r="L3284" s="3">
        <v>838.27865354477296</v>
      </c>
    </row>
    <row r="3285" spans="1:12" ht="15" customHeight="1" x14ac:dyDescent="0.2">
      <c r="A3285" s="2">
        <v>41284</v>
      </c>
      <c r="B3285" s="3">
        <v>33.79</v>
      </c>
      <c r="C3285" s="1">
        <v>453871</v>
      </c>
      <c r="D3285" s="3">
        <v>0.119999999999997</v>
      </c>
      <c r="E3285" s="3">
        <v>0.35640035640034301</v>
      </c>
      <c r="F3285" s="3">
        <v>0.356407414441961</v>
      </c>
      <c r="G3285" s="3">
        <v>34.032898000000003</v>
      </c>
      <c r="H3285" s="3">
        <v>848.39149722799505</v>
      </c>
      <c r="I3285" s="3">
        <v>33.71</v>
      </c>
      <c r="J3285" s="3">
        <v>33.9</v>
      </c>
      <c r="K3285" s="3">
        <v>33.44</v>
      </c>
      <c r="L3285" s="3">
        <v>841.62268201003496</v>
      </c>
    </row>
    <row r="3286" spans="1:12" ht="15" customHeight="1" x14ac:dyDescent="0.2">
      <c r="A3286" s="2">
        <v>41283</v>
      </c>
      <c r="B3286" s="3">
        <v>33.67</v>
      </c>
      <c r="C3286" s="1">
        <v>444338</v>
      </c>
      <c r="D3286" s="3">
        <v>9.0000000000003397E-2</v>
      </c>
      <c r="E3286" s="3">
        <v>0.26801667659321898</v>
      </c>
      <c r="F3286" s="3">
        <v>0.26800495189582801</v>
      </c>
      <c r="G3286" s="3">
        <v>33.912033000000001</v>
      </c>
      <c r="H3286" s="3">
        <v>845.02336389087895</v>
      </c>
      <c r="I3286" s="3">
        <v>33.58</v>
      </c>
      <c r="J3286" s="3">
        <v>33.79</v>
      </c>
      <c r="K3286" s="3">
        <v>33.46</v>
      </c>
      <c r="L3286" s="3">
        <v>838.27865354477296</v>
      </c>
    </row>
    <row r="3287" spans="1:12" ht="15" customHeight="1" x14ac:dyDescent="0.2">
      <c r="A3287" s="2">
        <v>41282</v>
      </c>
      <c r="B3287" s="3">
        <v>33.58</v>
      </c>
      <c r="C3287" s="1">
        <v>602678</v>
      </c>
      <c r="D3287" s="3">
        <v>-0.34000000000000302</v>
      </c>
      <c r="E3287" s="3">
        <v>-1.0023584905660401</v>
      </c>
      <c r="F3287" s="3">
        <v>-1.00234663385222</v>
      </c>
      <c r="G3287" s="3">
        <v>33.821390000000001</v>
      </c>
      <c r="H3287" s="3">
        <v>842.49742412273997</v>
      </c>
      <c r="I3287" s="3">
        <v>33.880000000000003</v>
      </c>
      <c r="J3287" s="3">
        <v>34.049999999999997</v>
      </c>
      <c r="K3287" s="3">
        <v>33.475000000000001</v>
      </c>
      <c r="L3287" s="3">
        <v>835.77063219582601</v>
      </c>
    </row>
    <row r="3288" spans="1:12" ht="15" customHeight="1" x14ac:dyDescent="0.2">
      <c r="A3288" s="2">
        <v>41281</v>
      </c>
      <c r="B3288" s="3">
        <v>33.92</v>
      </c>
      <c r="C3288" s="1">
        <v>542834</v>
      </c>
      <c r="D3288" s="3">
        <v>-0.76999999999999602</v>
      </c>
      <c r="E3288" s="3">
        <v>-2.21965984433553</v>
      </c>
      <c r="F3288" s="3">
        <v>-2.2196596875758998</v>
      </c>
      <c r="G3288" s="3">
        <v>34.163829999999997</v>
      </c>
      <c r="H3288" s="3">
        <v>852.04016668644203</v>
      </c>
      <c r="I3288" s="3">
        <v>34.43</v>
      </c>
      <c r="J3288" s="3">
        <v>34.68</v>
      </c>
      <c r="K3288" s="3">
        <v>33.76</v>
      </c>
      <c r="L3288" s="3">
        <v>845.24537951406899</v>
      </c>
    </row>
    <row r="3289" spans="1:12" ht="15" customHeight="1" x14ac:dyDescent="0.2">
      <c r="A3289" s="2">
        <v>41278</v>
      </c>
      <c r="B3289" s="3">
        <v>34.69</v>
      </c>
      <c r="C3289" s="1">
        <v>841804</v>
      </c>
      <c r="D3289" s="3">
        <v>0.88989999999999703</v>
      </c>
      <c r="E3289" s="3">
        <v>2.6328324472412601</v>
      </c>
      <c r="F3289" s="3">
        <v>2.63283262248867</v>
      </c>
      <c r="G3289" s="3">
        <v>34.939365000000002</v>
      </c>
      <c r="H3289" s="3">
        <v>873.65192598483395</v>
      </c>
      <c r="I3289" s="3">
        <v>33.97</v>
      </c>
      <c r="J3289" s="3">
        <v>34.92</v>
      </c>
      <c r="K3289" s="3">
        <v>33.840000000000003</v>
      </c>
      <c r="L3289" s="3">
        <v>866.70289549949996</v>
      </c>
    </row>
    <row r="3290" spans="1:12" ht="15" customHeight="1" x14ac:dyDescent="0.2">
      <c r="A3290" s="2">
        <v>41277</v>
      </c>
      <c r="B3290" s="3">
        <v>33.8001</v>
      </c>
      <c r="C3290" s="1">
        <v>795369</v>
      </c>
      <c r="D3290" s="3">
        <v>0.760100000000001</v>
      </c>
      <c r="E3290" s="3">
        <v>2.3005447941888599</v>
      </c>
      <c r="F3290" s="3">
        <v>2.30053284037976</v>
      </c>
      <c r="G3290" s="3">
        <v>34.043067999999998</v>
      </c>
      <c r="H3290" s="3">
        <v>848.67490364042601</v>
      </c>
      <c r="I3290" s="3">
        <v>33.19</v>
      </c>
      <c r="J3290" s="3">
        <v>33.92</v>
      </c>
      <c r="K3290" s="3">
        <v>33.003300000000003</v>
      </c>
      <c r="L3290" s="3">
        <v>841.90413773919397</v>
      </c>
    </row>
    <row r="3291" spans="1:12" ht="15" customHeight="1" x14ac:dyDescent="0.2">
      <c r="A3291" s="2">
        <v>41276</v>
      </c>
      <c r="B3291" s="3">
        <v>33.04</v>
      </c>
      <c r="C3291" s="1">
        <v>1006019</v>
      </c>
      <c r="D3291" s="3">
        <v>0.32999999999999802</v>
      </c>
      <c r="E3291" s="3">
        <v>1.0088657902781899</v>
      </c>
      <c r="F3291" s="3">
        <v>1.00887436089573</v>
      </c>
      <c r="G3291" s="3">
        <v>33.277507999999997</v>
      </c>
      <c r="H3291" s="3">
        <v>827.34111670820903</v>
      </c>
      <c r="I3291" s="3">
        <v>33.35</v>
      </c>
      <c r="J3291" s="3">
        <v>33.4</v>
      </c>
      <c r="K3291" s="3">
        <v>32.630000000000003</v>
      </c>
      <c r="L3291" s="3">
        <v>820.72250410214701</v>
      </c>
    </row>
    <row r="3292" spans="1:12" ht="15" customHeight="1" x14ac:dyDescent="0.2">
      <c r="A3292" s="2">
        <v>41274</v>
      </c>
      <c r="B3292" s="3">
        <v>32.71</v>
      </c>
      <c r="C3292" s="1">
        <v>694023</v>
      </c>
      <c r="D3292" s="3">
        <v>0.34000000000000302</v>
      </c>
      <c r="E3292" s="3">
        <v>1.0503552672227401</v>
      </c>
      <c r="F3292" s="3">
        <v>1.05035817905565</v>
      </c>
      <c r="G3292" s="3">
        <v>32.945132999999998</v>
      </c>
      <c r="H3292" s="3">
        <v>818.07885453203005</v>
      </c>
      <c r="I3292" s="3">
        <v>32.31</v>
      </c>
      <c r="J3292" s="3">
        <v>32.770000000000003</v>
      </c>
      <c r="K3292" s="3">
        <v>32.21</v>
      </c>
      <c r="L3292" s="3">
        <v>811.52642582267697</v>
      </c>
    </row>
    <row r="3293" spans="1:12" ht="15" customHeight="1" x14ac:dyDescent="0.2">
      <c r="A3293" s="2">
        <v>41271</v>
      </c>
      <c r="B3293" s="3">
        <v>32.369999999999997</v>
      </c>
      <c r="C3293" s="1">
        <v>454971</v>
      </c>
      <c r="D3293" s="3">
        <v>-0.35999999999999899</v>
      </c>
      <c r="E3293" s="3">
        <v>-1.09990834097158</v>
      </c>
      <c r="F3293" s="3">
        <v>-1.0999208864599299</v>
      </c>
      <c r="G3293" s="3">
        <v>32.602688000000001</v>
      </c>
      <c r="H3293" s="3">
        <v>808.535972633808</v>
      </c>
      <c r="I3293" s="3">
        <v>32.65</v>
      </c>
      <c r="J3293" s="3">
        <v>32.69</v>
      </c>
      <c r="K3293" s="3">
        <v>32.35</v>
      </c>
      <c r="L3293" s="3">
        <v>802.05167850443399</v>
      </c>
    </row>
    <row r="3294" spans="1:12" ht="15" customHeight="1" x14ac:dyDescent="0.2">
      <c r="A3294" s="2">
        <v>41270</v>
      </c>
      <c r="B3294" s="3">
        <v>32.729999999999997</v>
      </c>
      <c r="C3294" s="1">
        <v>576261</v>
      </c>
      <c r="D3294" s="3">
        <v>-9.0000000000003397E-2</v>
      </c>
      <c r="E3294" s="3">
        <v>-0.27422303473493198</v>
      </c>
      <c r="F3294" s="3">
        <v>-0.27421106952603103</v>
      </c>
      <c r="G3294" s="3">
        <v>32.96528</v>
      </c>
      <c r="H3294" s="3">
        <v>818.64028904444399</v>
      </c>
      <c r="I3294" s="3">
        <v>32.89</v>
      </c>
      <c r="J3294" s="3">
        <v>33.11</v>
      </c>
      <c r="K3294" s="3">
        <v>32.484999999999999</v>
      </c>
      <c r="L3294" s="3">
        <v>812.08376390021999</v>
      </c>
    </row>
    <row r="3295" spans="1:12" ht="15" customHeight="1" x14ac:dyDescent="0.2">
      <c r="A3295" s="2">
        <v>41269</v>
      </c>
      <c r="B3295" s="3">
        <v>32.82</v>
      </c>
      <c r="C3295" s="1">
        <v>414667</v>
      </c>
      <c r="D3295" s="3">
        <v>-0.149999999999998</v>
      </c>
      <c r="E3295" s="3">
        <v>-0.45495905368516598</v>
      </c>
      <c r="F3295" s="3">
        <v>-0.45497026907426102</v>
      </c>
      <c r="G3295" s="3">
        <v>33.055923</v>
      </c>
      <c r="H3295" s="3">
        <v>821.166228812584</v>
      </c>
      <c r="I3295" s="3">
        <v>32.979999999999997</v>
      </c>
      <c r="J3295" s="3">
        <v>33.130000000000003</v>
      </c>
      <c r="K3295" s="3">
        <v>32.729999999999997</v>
      </c>
      <c r="L3295" s="3">
        <v>814.59178524916695</v>
      </c>
    </row>
    <row r="3296" spans="1:12" ht="15" customHeight="1" x14ac:dyDescent="0.2">
      <c r="A3296" s="2">
        <v>41267</v>
      </c>
      <c r="B3296" s="3">
        <v>32.97</v>
      </c>
      <c r="C3296" s="1">
        <v>209767</v>
      </c>
      <c r="D3296" s="3">
        <v>0.109999999999999</v>
      </c>
      <c r="E3296" s="3">
        <v>0.33475349969567197</v>
      </c>
      <c r="F3296" s="3">
        <v>0.33475430150409202</v>
      </c>
      <c r="G3296" s="3">
        <v>33.207005000000002</v>
      </c>
      <c r="H3296" s="3">
        <v>825.37641638415596</v>
      </c>
      <c r="I3296" s="3">
        <v>32.79</v>
      </c>
      <c r="J3296" s="3">
        <v>33.01</v>
      </c>
      <c r="K3296" s="3">
        <v>32.630000000000003</v>
      </c>
      <c r="L3296" s="3">
        <v>818.77182083074399</v>
      </c>
    </row>
    <row r="3297" spans="1:12" ht="15" customHeight="1" x14ac:dyDescent="0.2">
      <c r="A3297" s="2">
        <v>41264</v>
      </c>
      <c r="B3297" s="3">
        <v>32.86</v>
      </c>
      <c r="C3297" s="1">
        <v>992762</v>
      </c>
      <c r="D3297" s="3">
        <v>-0.49000000000000199</v>
      </c>
      <c r="E3297" s="3">
        <v>-1.46926536731635</v>
      </c>
      <c r="F3297" s="3">
        <v>-1.4692555013759601</v>
      </c>
      <c r="G3297" s="3">
        <v>33.096214000000003</v>
      </c>
      <c r="H3297" s="3">
        <v>822.28901423669902</v>
      </c>
      <c r="I3297" s="3">
        <v>33.130000000000003</v>
      </c>
      <c r="J3297" s="3">
        <v>33.229999999999997</v>
      </c>
      <c r="K3297" s="3">
        <v>32.549999999999997</v>
      </c>
      <c r="L3297" s="3">
        <v>815.70646140425401</v>
      </c>
    </row>
    <row r="3298" spans="1:12" ht="15" customHeight="1" x14ac:dyDescent="0.2">
      <c r="A3298" s="2">
        <v>41263</v>
      </c>
      <c r="B3298" s="3">
        <v>33.35</v>
      </c>
      <c r="C3298" s="1">
        <v>716096</v>
      </c>
      <c r="D3298" s="3">
        <v>-0.28000000000000103</v>
      </c>
      <c r="E3298" s="3">
        <v>-0.83258994944990194</v>
      </c>
      <c r="F3298" s="3">
        <v>-0.83260238989717406</v>
      </c>
      <c r="G3298" s="3">
        <v>33.589733000000003</v>
      </c>
      <c r="H3298" s="3">
        <v>836.04186077126303</v>
      </c>
      <c r="I3298" s="3">
        <v>33.71</v>
      </c>
      <c r="J3298" s="3">
        <v>33.799999999999997</v>
      </c>
      <c r="K3298" s="3">
        <v>33.299999999999997</v>
      </c>
      <c r="L3298" s="3">
        <v>829.36124430407403</v>
      </c>
    </row>
    <row r="3299" spans="1:12" ht="15" customHeight="1" x14ac:dyDescent="0.2">
      <c r="A3299" s="2">
        <v>41262</v>
      </c>
      <c r="B3299" s="3">
        <v>33.630000000000003</v>
      </c>
      <c r="C3299" s="1">
        <v>538960</v>
      </c>
      <c r="D3299" s="3"/>
      <c r="E3299" s="3"/>
      <c r="F3299" s="3"/>
      <c r="G3299" s="3">
        <v>33.871749999999999</v>
      </c>
      <c r="H3299" s="3">
        <v>843.90080140199495</v>
      </c>
      <c r="I3299" s="3">
        <v>33.72</v>
      </c>
      <c r="J3299" s="3">
        <v>33.972499999999997</v>
      </c>
      <c r="K3299" s="3">
        <v>33.484999999999999</v>
      </c>
      <c r="L3299" s="3">
        <v>837.16397738968601</v>
      </c>
    </row>
    <row r="3300" spans="1:12" ht="15" customHeight="1" x14ac:dyDescent="0.2">
      <c r="A3300" s="2">
        <v>41261</v>
      </c>
      <c r="B3300" s="3">
        <v>33.630000000000003</v>
      </c>
      <c r="C3300" s="1">
        <v>746578</v>
      </c>
      <c r="D3300" s="3">
        <v>0.17999999999999899</v>
      </c>
      <c r="E3300" s="3">
        <v>0.53811659192823902</v>
      </c>
      <c r="F3300" s="3">
        <v>0.53812574143778902</v>
      </c>
      <c r="G3300" s="3">
        <v>33.871749999999999</v>
      </c>
      <c r="H3300" s="3">
        <v>843.90080140199495</v>
      </c>
      <c r="I3300" s="3">
        <v>33.42</v>
      </c>
      <c r="J3300" s="3">
        <v>33.85</v>
      </c>
      <c r="K3300" s="3">
        <v>33.36</v>
      </c>
      <c r="L3300" s="3">
        <v>837.16397738968601</v>
      </c>
    </row>
    <row r="3301" spans="1:12" ht="15" customHeight="1" x14ac:dyDescent="0.2">
      <c r="A3301" s="2">
        <v>41260</v>
      </c>
      <c r="B3301" s="3">
        <v>33.450000000000003</v>
      </c>
      <c r="C3301" s="1">
        <v>540112</v>
      </c>
      <c r="D3301" s="3">
        <v>0.28000000000000103</v>
      </c>
      <c r="E3301" s="3">
        <v>0.84413626771178096</v>
      </c>
      <c r="F3301" s="3">
        <v>0.84413699053291702</v>
      </c>
      <c r="G3301" s="3">
        <v>33.690452999999998</v>
      </c>
      <c r="H3301" s="3">
        <v>838.848615329773</v>
      </c>
      <c r="I3301" s="3">
        <v>33.25</v>
      </c>
      <c r="J3301" s="3">
        <v>33.589799999999997</v>
      </c>
      <c r="K3301" s="3">
        <v>33.24</v>
      </c>
      <c r="L3301" s="3">
        <v>832.14793469179199</v>
      </c>
    </row>
    <row r="3302" spans="1:12" ht="15" customHeight="1" x14ac:dyDescent="0.2">
      <c r="A3302" s="2">
        <v>41257</v>
      </c>
      <c r="B3302" s="3">
        <v>33.17</v>
      </c>
      <c r="C3302" s="1">
        <v>527125</v>
      </c>
      <c r="D3302" s="3">
        <v>-0.17999999999999899</v>
      </c>
      <c r="E3302" s="3">
        <v>-0.53973013493253597</v>
      </c>
      <c r="F3302" s="3">
        <v>-0.53972742206674895</v>
      </c>
      <c r="G3302" s="3">
        <v>33.408439999999999</v>
      </c>
      <c r="H3302" s="3">
        <v>830.98978616665704</v>
      </c>
      <c r="I3302" s="3">
        <v>33.200000000000003</v>
      </c>
      <c r="J3302" s="3">
        <v>33.369999999999997</v>
      </c>
      <c r="K3302" s="3">
        <v>33.020000000000003</v>
      </c>
      <c r="L3302" s="3">
        <v>824.34520160618104</v>
      </c>
    </row>
    <row r="3303" spans="1:12" ht="15" customHeight="1" x14ac:dyDescent="0.2">
      <c r="A3303" s="2">
        <v>41256</v>
      </c>
      <c r="B3303" s="3">
        <v>33.35</v>
      </c>
      <c r="C3303" s="1">
        <v>461705</v>
      </c>
      <c r="D3303" s="3">
        <v>0.23000000000000301</v>
      </c>
      <c r="E3303" s="3">
        <v>0.69444444444446396</v>
      </c>
      <c r="F3303" s="3">
        <v>0.69444948237127302</v>
      </c>
      <c r="G3303" s="3">
        <v>33.589733000000003</v>
      </c>
      <c r="H3303" s="3">
        <v>836.04186077126303</v>
      </c>
      <c r="I3303" s="3">
        <v>32.99</v>
      </c>
      <c r="J3303" s="3">
        <v>33.81</v>
      </c>
      <c r="K3303" s="3">
        <v>32.99</v>
      </c>
      <c r="L3303" s="3">
        <v>829.36124430407403</v>
      </c>
    </row>
    <row r="3304" spans="1:12" ht="15" customHeight="1" x14ac:dyDescent="0.2">
      <c r="A3304" s="2">
        <v>41255</v>
      </c>
      <c r="B3304" s="3">
        <v>33.119999999999997</v>
      </c>
      <c r="C3304" s="1">
        <v>384318</v>
      </c>
      <c r="D3304" s="3">
        <v>-6.0000000000002197E-2</v>
      </c>
      <c r="E3304" s="3">
        <v>-0.18083182640145001</v>
      </c>
      <c r="F3304" s="3">
        <v>-0.18084586286513099</v>
      </c>
      <c r="G3304" s="3">
        <v>33.358077999999999</v>
      </c>
      <c r="H3304" s="3">
        <v>829.58635315359402</v>
      </c>
      <c r="I3304" s="3">
        <v>33.33</v>
      </c>
      <c r="J3304" s="3">
        <v>33.534999999999997</v>
      </c>
      <c r="K3304" s="3">
        <v>33.08</v>
      </c>
      <c r="L3304" s="3">
        <v>822.95185641232194</v>
      </c>
    </row>
    <row r="3305" spans="1:12" ht="15" customHeight="1" x14ac:dyDescent="0.2">
      <c r="A3305" s="2">
        <v>41254</v>
      </c>
      <c r="B3305" s="3">
        <v>33.18</v>
      </c>
      <c r="C3305" s="1">
        <v>602788</v>
      </c>
      <c r="D3305" s="3">
        <v>3.9999999999999099E-2</v>
      </c>
      <c r="E3305" s="3">
        <v>0.120700060350031</v>
      </c>
      <c r="F3305" s="3">
        <v>0.120710440456961</v>
      </c>
      <c r="G3305" s="3">
        <v>33.418514000000002</v>
      </c>
      <c r="H3305" s="3">
        <v>831.27051735631505</v>
      </c>
      <c r="I3305" s="3">
        <v>33.42</v>
      </c>
      <c r="J3305" s="3">
        <v>33.47</v>
      </c>
      <c r="K3305" s="3">
        <v>33.07</v>
      </c>
      <c r="L3305" s="3">
        <v>824.62387064495294</v>
      </c>
    </row>
    <row r="3306" spans="1:12" ht="15" customHeight="1" x14ac:dyDescent="0.2">
      <c r="A3306" s="2">
        <v>41253</v>
      </c>
      <c r="B3306" s="3">
        <v>33.14</v>
      </c>
      <c r="C3306" s="1">
        <v>479632</v>
      </c>
      <c r="D3306" s="3">
        <v>4.9999999999997102E-2</v>
      </c>
      <c r="E3306" s="3">
        <v>0.15110305228165299</v>
      </c>
      <c r="F3306" s="3">
        <v>0.15109578273027</v>
      </c>
      <c r="G3306" s="3">
        <v>33.378222999999998</v>
      </c>
      <c r="H3306" s="3">
        <v>830.14773193220003</v>
      </c>
      <c r="I3306" s="3">
        <v>33.18</v>
      </c>
      <c r="J3306" s="3">
        <v>33.450000000000003</v>
      </c>
      <c r="K3306" s="3">
        <v>32.96</v>
      </c>
      <c r="L3306" s="3">
        <v>823.50919448986599</v>
      </c>
    </row>
    <row r="3307" spans="1:12" ht="15" customHeight="1" x14ac:dyDescent="0.2">
      <c r="A3307" s="2">
        <v>41250</v>
      </c>
      <c r="B3307" s="3">
        <v>33.090000000000003</v>
      </c>
      <c r="C3307" s="1">
        <v>436690</v>
      </c>
      <c r="D3307" s="3">
        <v>9.0000000000003397E-2</v>
      </c>
      <c r="E3307" s="3">
        <v>0.27272727272729103</v>
      </c>
      <c r="F3307" s="3">
        <v>0.272733424101057</v>
      </c>
      <c r="G3307" s="3">
        <v>33.327866</v>
      </c>
      <c r="H3307" s="3">
        <v>828.74443825365597</v>
      </c>
      <c r="I3307" s="3">
        <v>33.200000000000003</v>
      </c>
      <c r="J3307" s="3">
        <v>33.450000000000003</v>
      </c>
      <c r="K3307" s="3">
        <v>32.94</v>
      </c>
      <c r="L3307" s="3">
        <v>822.11584929600599</v>
      </c>
    </row>
    <row r="3308" spans="1:12" ht="15" customHeight="1" x14ac:dyDescent="0.2">
      <c r="A3308" s="2">
        <v>41249</v>
      </c>
      <c r="B3308" s="3">
        <v>33</v>
      </c>
      <c r="C3308" s="1">
        <v>601628</v>
      </c>
      <c r="D3308" s="3">
        <v>7.9999999999998295E-2</v>
      </c>
      <c r="E3308" s="3">
        <v>0.24301336573511101</v>
      </c>
      <c r="F3308" s="3">
        <v>0.24301012620606599</v>
      </c>
      <c r="G3308" s="3">
        <v>33.237217000000001</v>
      </c>
      <c r="H3308" s="3">
        <v>826.21833128409401</v>
      </c>
      <c r="I3308" s="3">
        <v>32.799999999999997</v>
      </c>
      <c r="J3308" s="3">
        <v>33.119399999999999</v>
      </c>
      <c r="K3308" s="3">
        <v>32.78</v>
      </c>
      <c r="L3308" s="3">
        <v>819.60782794705995</v>
      </c>
    </row>
    <row r="3309" spans="1:12" ht="15" customHeight="1" x14ac:dyDescent="0.2">
      <c r="A3309" s="2">
        <v>41248</v>
      </c>
      <c r="B3309" s="3">
        <v>32.92</v>
      </c>
      <c r="C3309" s="1">
        <v>784259</v>
      </c>
      <c r="D3309" s="3">
        <v>0.12000000000000401</v>
      </c>
      <c r="E3309" s="3">
        <v>0.36585365853660701</v>
      </c>
      <c r="F3309" s="3">
        <v>0.36586091600445603</v>
      </c>
      <c r="G3309" s="3">
        <v>33.156643000000003</v>
      </c>
      <c r="H3309" s="3">
        <v>823.97298337109396</v>
      </c>
      <c r="I3309" s="3">
        <v>32.979999999999997</v>
      </c>
      <c r="J3309" s="3">
        <v>33.08</v>
      </c>
      <c r="K3309" s="3">
        <v>32.619999999999997</v>
      </c>
      <c r="L3309" s="3">
        <v>817.37847563688501</v>
      </c>
    </row>
    <row r="3310" spans="1:12" ht="15" customHeight="1" x14ac:dyDescent="0.2">
      <c r="A3310" s="2">
        <v>41247</v>
      </c>
      <c r="B3310" s="3">
        <v>32.799999999999997</v>
      </c>
      <c r="C3310" s="1">
        <v>2746481</v>
      </c>
      <c r="D3310" s="3">
        <v>-1.26</v>
      </c>
      <c r="E3310" s="3">
        <v>-3.6993540810334902</v>
      </c>
      <c r="F3310" s="3">
        <v>-3.69936720299525</v>
      </c>
      <c r="G3310" s="3">
        <v>33.035778000000001</v>
      </c>
      <c r="H3310" s="3">
        <v>820.60485003397798</v>
      </c>
      <c r="I3310" s="3">
        <v>33.22</v>
      </c>
      <c r="J3310" s="3">
        <v>33.270000000000003</v>
      </c>
      <c r="K3310" s="3">
        <v>32.11</v>
      </c>
      <c r="L3310" s="3">
        <v>814.03444717162301</v>
      </c>
    </row>
    <row r="3311" spans="1:12" ht="15" customHeight="1" x14ac:dyDescent="0.2">
      <c r="A3311" s="2">
        <v>41246</v>
      </c>
      <c r="B3311" s="3">
        <v>34.06</v>
      </c>
      <c r="C3311" s="1">
        <v>723340</v>
      </c>
      <c r="D3311" s="3">
        <v>-0.12999999999999501</v>
      </c>
      <c r="E3311" s="3">
        <v>-0.38022813688212098</v>
      </c>
      <c r="F3311" s="3">
        <v>-0.38022089355220701</v>
      </c>
      <c r="G3311" s="3">
        <v>34.304839999999999</v>
      </c>
      <c r="H3311" s="3">
        <v>855.96967880216403</v>
      </c>
      <c r="I3311" s="3">
        <v>34.229999999999997</v>
      </c>
      <c r="J3311" s="3">
        <v>34.5</v>
      </c>
      <c r="K3311" s="3">
        <v>33.880000000000003</v>
      </c>
      <c r="L3311" s="3">
        <v>849.14674605687401</v>
      </c>
    </row>
    <row r="3312" spans="1:12" ht="15" customHeight="1" x14ac:dyDescent="0.2">
      <c r="A3312" s="2">
        <v>41243</v>
      </c>
      <c r="B3312" s="3">
        <v>34.19</v>
      </c>
      <c r="C3312" s="1">
        <v>671168</v>
      </c>
      <c r="D3312" s="3">
        <v>-0.67999999999999905</v>
      </c>
      <c r="E3312" s="3">
        <v>-1.9501003728133</v>
      </c>
      <c r="F3312" s="3">
        <v>-1.95010002659403</v>
      </c>
      <c r="G3312" s="3">
        <v>34.435772</v>
      </c>
      <c r="H3312" s="3">
        <v>859.61834826061101</v>
      </c>
      <c r="I3312" s="3">
        <v>34.869999999999997</v>
      </c>
      <c r="J3312" s="3">
        <v>34.869999999999997</v>
      </c>
      <c r="K3312" s="3">
        <v>34.14</v>
      </c>
      <c r="L3312" s="3">
        <v>852.76944356090803</v>
      </c>
    </row>
    <row r="3313" spans="1:12" ht="15" customHeight="1" x14ac:dyDescent="0.2">
      <c r="A3313" s="2">
        <v>41242</v>
      </c>
      <c r="B3313" s="3">
        <v>34.869999999999997</v>
      </c>
      <c r="C3313" s="1">
        <v>578019</v>
      </c>
      <c r="D3313" s="3">
        <v>-1.00000000000051E-2</v>
      </c>
      <c r="E3313" s="3">
        <v>-2.8669724770657899E-2</v>
      </c>
      <c r="F3313" s="3">
        <v>-2.8672900164072802E-2</v>
      </c>
      <c r="G3313" s="3">
        <v>35.120660000000001</v>
      </c>
      <c r="H3313" s="3">
        <v>878.70405632324798</v>
      </c>
      <c r="I3313" s="3">
        <v>34.96</v>
      </c>
      <c r="J3313" s="3">
        <v>35.32</v>
      </c>
      <c r="K3313" s="3">
        <v>34.51</v>
      </c>
      <c r="L3313" s="3">
        <v>871.71893819739296</v>
      </c>
    </row>
    <row r="3314" spans="1:12" ht="15" customHeight="1" x14ac:dyDescent="0.2">
      <c r="A3314" s="2">
        <v>41241</v>
      </c>
      <c r="B3314" s="3">
        <v>34.880000000000003</v>
      </c>
      <c r="C3314" s="1">
        <v>937848</v>
      </c>
      <c r="D3314" s="3">
        <v>0.130000000000002</v>
      </c>
      <c r="E3314" s="3">
        <v>0.37410071942447498</v>
      </c>
      <c r="F3314" s="3">
        <v>0.37410215910389499</v>
      </c>
      <c r="G3314" s="3">
        <v>35.130732999999999</v>
      </c>
      <c r="H3314" s="3">
        <v>878.984759646003</v>
      </c>
      <c r="I3314" s="3">
        <v>34.6</v>
      </c>
      <c r="J3314" s="3">
        <v>34.89</v>
      </c>
      <c r="K3314" s="3">
        <v>34.15</v>
      </c>
      <c r="L3314" s="3">
        <v>871.99760723616498</v>
      </c>
    </row>
    <row r="3315" spans="1:12" ht="15" customHeight="1" x14ac:dyDescent="0.2">
      <c r="A3315" s="2">
        <v>41240</v>
      </c>
      <c r="B3315" s="3">
        <v>34.75</v>
      </c>
      <c r="C3315" s="1">
        <v>668581</v>
      </c>
      <c r="D3315" s="3">
        <v>3.9999999999999099E-2</v>
      </c>
      <c r="E3315" s="3">
        <v>0.115240564678753</v>
      </c>
      <c r="F3315" s="3">
        <v>0.115241889831962</v>
      </c>
      <c r="G3315" s="3">
        <v>34.999797999999998</v>
      </c>
      <c r="H3315" s="3">
        <v>875.33600658684395</v>
      </c>
      <c r="I3315" s="3">
        <v>34.47</v>
      </c>
      <c r="J3315" s="3">
        <v>35.07</v>
      </c>
      <c r="K3315" s="3">
        <v>34.47</v>
      </c>
      <c r="L3315" s="3">
        <v>868.37490973213096</v>
      </c>
    </row>
    <row r="3316" spans="1:12" ht="15" customHeight="1" x14ac:dyDescent="0.2">
      <c r="A3316" s="2">
        <v>41239</v>
      </c>
      <c r="B3316" s="3">
        <v>34.71</v>
      </c>
      <c r="C3316" s="1">
        <v>502489</v>
      </c>
      <c r="D3316" s="3">
        <v>0.23000000000000301</v>
      </c>
      <c r="E3316" s="3">
        <v>0.66705336426915396</v>
      </c>
      <c r="F3316" s="3">
        <v>0.66705528841168804</v>
      </c>
      <c r="G3316" s="3">
        <v>34.959510000000002</v>
      </c>
      <c r="H3316" s="3">
        <v>874.21330476343996</v>
      </c>
      <c r="I3316" s="3">
        <v>34.479999999999997</v>
      </c>
      <c r="J3316" s="3">
        <v>34.72</v>
      </c>
      <c r="K3316" s="3">
        <v>34.299999999999997</v>
      </c>
      <c r="L3316" s="3">
        <v>867.260233577044</v>
      </c>
    </row>
    <row r="3317" spans="1:12" ht="15" customHeight="1" x14ac:dyDescent="0.2">
      <c r="A3317" s="2">
        <v>41236</v>
      </c>
      <c r="B3317" s="3">
        <v>34.479999999999997</v>
      </c>
      <c r="C3317" s="1">
        <v>168433</v>
      </c>
      <c r="D3317" s="3">
        <v>0.29999999999999699</v>
      </c>
      <c r="E3317" s="3">
        <v>0.87770626097132198</v>
      </c>
      <c r="F3317" s="3">
        <v>0.87770473803003801</v>
      </c>
      <c r="G3317" s="3">
        <v>34.727856000000003</v>
      </c>
      <c r="H3317" s="3">
        <v>867.75782501267497</v>
      </c>
      <c r="I3317" s="3">
        <v>34.299999999999997</v>
      </c>
      <c r="J3317" s="3">
        <v>34.659999999999997</v>
      </c>
      <c r="K3317" s="3">
        <v>34.29</v>
      </c>
      <c r="L3317" s="3">
        <v>860.85084568529101</v>
      </c>
    </row>
    <row r="3318" spans="1:12" ht="15" customHeight="1" x14ac:dyDescent="0.2">
      <c r="A3318" s="2">
        <v>41234</v>
      </c>
      <c r="B3318" s="3">
        <v>34.18</v>
      </c>
      <c r="C3318" s="1">
        <v>247060</v>
      </c>
      <c r="D3318" s="3">
        <v>0.22999999999999601</v>
      </c>
      <c r="E3318" s="3">
        <v>0.67746686303387005</v>
      </c>
      <c r="F3318" s="3">
        <v>0.67745704296509002</v>
      </c>
      <c r="G3318" s="3">
        <v>34.425699999999999</v>
      </c>
      <c r="H3318" s="3">
        <v>859.33767280476002</v>
      </c>
      <c r="I3318" s="3">
        <v>33.96</v>
      </c>
      <c r="J3318" s="3">
        <v>34.299999999999997</v>
      </c>
      <c r="K3318" s="3">
        <v>33.96</v>
      </c>
      <c r="L3318" s="3">
        <v>852.49077452213601</v>
      </c>
    </row>
    <row r="3319" spans="1:12" ht="15" customHeight="1" x14ac:dyDescent="0.2">
      <c r="A3319" s="2">
        <v>41233</v>
      </c>
      <c r="B3319" s="3">
        <v>33.950000000000003</v>
      </c>
      <c r="C3319" s="1">
        <v>386455</v>
      </c>
      <c r="D3319" s="3">
        <v>-1.9999999999996E-2</v>
      </c>
      <c r="E3319" s="3">
        <v>-5.8875478363251597E-2</v>
      </c>
      <c r="F3319" s="3">
        <v>-5.8864465299357502E-2</v>
      </c>
      <c r="G3319" s="3">
        <v>34.194049999999997</v>
      </c>
      <c r="H3319" s="3">
        <v>852.88230452161099</v>
      </c>
      <c r="I3319" s="3">
        <v>33.93</v>
      </c>
      <c r="J3319" s="3">
        <v>34.29</v>
      </c>
      <c r="K3319" s="3">
        <v>33.78</v>
      </c>
      <c r="L3319" s="3">
        <v>846.08138663038403</v>
      </c>
    </row>
    <row r="3320" spans="1:12" ht="15" customHeight="1" x14ac:dyDescent="0.2">
      <c r="A3320" s="2">
        <v>41232</v>
      </c>
      <c r="B3320" s="3">
        <v>33.97</v>
      </c>
      <c r="C3320" s="1">
        <v>536010</v>
      </c>
      <c r="D3320" s="3">
        <v>0.64999999999999802</v>
      </c>
      <c r="E3320" s="3">
        <v>1.9507803121248499</v>
      </c>
      <c r="F3320" s="3">
        <v>1.95078194957336</v>
      </c>
      <c r="G3320" s="3">
        <v>34.214190000000002</v>
      </c>
      <c r="H3320" s="3">
        <v>853.44354396569702</v>
      </c>
      <c r="I3320" s="3">
        <v>33.54</v>
      </c>
      <c r="J3320" s="3">
        <v>34.090000000000003</v>
      </c>
      <c r="K3320" s="3">
        <v>33.54</v>
      </c>
      <c r="L3320" s="3">
        <v>846.63872470792796</v>
      </c>
    </row>
    <row r="3321" spans="1:12" ht="15" customHeight="1" x14ac:dyDescent="0.2">
      <c r="A3321" s="2">
        <v>41229</v>
      </c>
      <c r="B3321" s="3">
        <v>33.32</v>
      </c>
      <c r="C3321" s="1">
        <v>566918</v>
      </c>
      <c r="D3321" s="3">
        <v>0.28000000000000103</v>
      </c>
      <c r="E3321" s="3">
        <v>0.84745762711864103</v>
      </c>
      <c r="F3321" s="3">
        <v>0.84744626911365994</v>
      </c>
      <c r="G3321" s="3">
        <v>33.559517</v>
      </c>
      <c r="H3321" s="3">
        <v>835.19983440371004</v>
      </c>
      <c r="I3321" s="3">
        <v>33.1</v>
      </c>
      <c r="J3321" s="3">
        <v>33.35</v>
      </c>
      <c r="K3321" s="3">
        <v>32.67</v>
      </c>
      <c r="L3321" s="3">
        <v>828.52523718775899</v>
      </c>
    </row>
    <row r="3322" spans="1:12" ht="15" customHeight="1" x14ac:dyDescent="0.2">
      <c r="A3322" s="2">
        <v>41228</v>
      </c>
      <c r="B3322" s="3">
        <v>33.04</v>
      </c>
      <c r="C3322" s="1">
        <v>1054189</v>
      </c>
      <c r="D3322" s="3">
        <v>0.310000000000002</v>
      </c>
      <c r="E3322" s="3">
        <v>0.94714329361442695</v>
      </c>
      <c r="F3322" s="3">
        <v>0.94714196269529705</v>
      </c>
      <c r="G3322" s="3">
        <v>33.277507999999997</v>
      </c>
      <c r="H3322" s="3">
        <v>827.34111670820903</v>
      </c>
      <c r="I3322" s="3">
        <v>32.770000000000003</v>
      </c>
      <c r="J3322" s="3">
        <v>33.399900000000002</v>
      </c>
      <c r="K3322" s="3">
        <v>32.659999999999997</v>
      </c>
      <c r="L3322" s="3">
        <v>820.72250410214701</v>
      </c>
    </row>
    <row r="3323" spans="1:12" ht="15" customHeight="1" x14ac:dyDescent="0.2">
      <c r="A3323" s="2">
        <v>41227</v>
      </c>
      <c r="B3323" s="3">
        <v>32.729999999999997</v>
      </c>
      <c r="C3323" s="1">
        <v>565030</v>
      </c>
      <c r="D3323" s="3">
        <v>-0.880000000000002</v>
      </c>
      <c r="E3323" s="3">
        <v>-2.6182683725081901</v>
      </c>
      <c r="F3323" s="3">
        <v>-2.6182629337150498</v>
      </c>
      <c r="G3323" s="3">
        <v>32.96528</v>
      </c>
      <c r="H3323" s="3">
        <v>818.64028904444399</v>
      </c>
      <c r="I3323" s="3">
        <v>33.71</v>
      </c>
      <c r="J3323" s="3">
        <v>33.869999999999997</v>
      </c>
      <c r="K3323" s="3">
        <v>32.68</v>
      </c>
      <c r="L3323" s="3">
        <v>812.08376390021999</v>
      </c>
    </row>
    <row r="3324" spans="1:12" ht="15" customHeight="1" x14ac:dyDescent="0.2">
      <c r="A3324" s="2">
        <v>41226</v>
      </c>
      <c r="B3324" s="3">
        <v>33.61</v>
      </c>
      <c r="C3324" s="1">
        <v>570256</v>
      </c>
      <c r="D3324" s="3">
        <v>0.189999999999997</v>
      </c>
      <c r="E3324" s="3">
        <v>0.56852184320765797</v>
      </c>
      <c r="F3324" s="3">
        <v>0.56852839653294096</v>
      </c>
      <c r="G3324" s="3">
        <v>33.851604000000002</v>
      </c>
      <c r="H3324" s="3">
        <v>843.33939475648504</v>
      </c>
      <c r="I3324" s="3">
        <v>33.33</v>
      </c>
      <c r="J3324" s="3">
        <v>34</v>
      </c>
      <c r="K3324" s="3">
        <v>33.234999999999999</v>
      </c>
      <c r="L3324" s="3">
        <v>836.60663931214197</v>
      </c>
    </row>
    <row r="3325" spans="1:12" ht="15" customHeight="1" x14ac:dyDescent="0.2">
      <c r="A3325" s="2">
        <v>41225</v>
      </c>
      <c r="B3325" s="3">
        <v>33.42</v>
      </c>
      <c r="C3325" s="1">
        <v>372211</v>
      </c>
      <c r="D3325" s="3">
        <v>0.160000000000003</v>
      </c>
      <c r="E3325" s="3">
        <v>0.48105832832232498</v>
      </c>
      <c r="F3325" s="3">
        <v>0.48106390013529199</v>
      </c>
      <c r="G3325" s="3">
        <v>33.660235999999998</v>
      </c>
      <c r="H3325" s="3">
        <v>838.00656109531599</v>
      </c>
      <c r="I3325" s="3">
        <v>33.35</v>
      </c>
      <c r="J3325" s="3">
        <v>33.64</v>
      </c>
      <c r="K3325" s="3">
        <v>33.270000000000003</v>
      </c>
      <c r="L3325" s="3">
        <v>831.31192757547706</v>
      </c>
    </row>
    <row r="3326" spans="1:12" ht="15" customHeight="1" x14ac:dyDescent="0.2">
      <c r="A3326" s="2">
        <v>41222</v>
      </c>
      <c r="B3326" s="3">
        <v>33.26</v>
      </c>
      <c r="C3326" s="1">
        <v>502037</v>
      </c>
      <c r="D3326" s="3">
        <v>0.14000000000000001</v>
      </c>
      <c r="E3326" s="3">
        <v>0.422705314009652</v>
      </c>
      <c r="F3326" s="3">
        <v>0.42270420975694101</v>
      </c>
      <c r="G3326" s="3">
        <v>33.499084000000003</v>
      </c>
      <c r="H3326" s="3">
        <v>833.51575380170004</v>
      </c>
      <c r="I3326" s="3">
        <v>32.94</v>
      </c>
      <c r="J3326" s="3">
        <v>33.53</v>
      </c>
      <c r="K3326" s="3">
        <v>32.94</v>
      </c>
      <c r="L3326" s="3">
        <v>826.85322295512697</v>
      </c>
    </row>
    <row r="3327" spans="1:12" ht="15" customHeight="1" x14ac:dyDescent="0.2">
      <c r="A3327" s="2">
        <v>41221</v>
      </c>
      <c r="B3327" s="3">
        <v>33.119999999999997</v>
      </c>
      <c r="C3327" s="1">
        <v>632730</v>
      </c>
      <c r="D3327" s="3">
        <v>-0.42000000000000098</v>
      </c>
      <c r="E3327" s="3">
        <v>-1.25223613595707</v>
      </c>
      <c r="F3327" s="3">
        <v>-1.2522445983109001</v>
      </c>
      <c r="G3327" s="3">
        <v>33.358077999999999</v>
      </c>
      <c r="H3327" s="3">
        <v>829.58635315359402</v>
      </c>
      <c r="I3327" s="3">
        <v>33.46</v>
      </c>
      <c r="J3327" s="3">
        <v>33.590000000000003</v>
      </c>
      <c r="K3327" s="3">
        <v>33.04</v>
      </c>
      <c r="L3327" s="3">
        <v>822.95185641232194</v>
      </c>
    </row>
    <row r="3328" spans="1:12" ht="15" customHeight="1" x14ac:dyDescent="0.2">
      <c r="A3328" s="2">
        <v>41220</v>
      </c>
      <c r="B3328" s="3">
        <v>33.54</v>
      </c>
      <c r="C3328" s="1">
        <v>804605</v>
      </c>
      <c r="D3328" s="3">
        <v>-0.75</v>
      </c>
      <c r="E3328" s="3">
        <v>-2.1872265966754099</v>
      </c>
      <c r="F3328" s="3">
        <v>-2.1872228474868098</v>
      </c>
      <c r="G3328" s="3">
        <v>33.781100000000002</v>
      </c>
      <c r="H3328" s="3">
        <v>841.37466656552795</v>
      </c>
      <c r="I3328" s="3">
        <v>34.03</v>
      </c>
      <c r="J3328" s="3">
        <v>34.06</v>
      </c>
      <c r="K3328" s="3">
        <v>33.42</v>
      </c>
      <c r="L3328" s="3">
        <v>834.65595604073906</v>
      </c>
    </row>
    <row r="3329" spans="1:12" ht="15" customHeight="1" x14ac:dyDescent="0.2">
      <c r="A3329" s="2">
        <v>41219</v>
      </c>
      <c r="B3329" s="3">
        <v>34.29</v>
      </c>
      <c r="C3329" s="1">
        <v>465502</v>
      </c>
      <c r="D3329" s="3">
        <v>0.310000000000002</v>
      </c>
      <c r="E3329" s="3">
        <v>0.91230135373749899</v>
      </c>
      <c r="F3329" s="3">
        <v>0.91230016881005405</v>
      </c>
      <c r="G3329" s="3">
        <v>34.536490000000001</v>
      </c>
      <c r="H3329" s="3">
        <v>862.42504708531396</v>
      </c>
      <c r="I3329" s="3">
        <v>34</v>
      </c>
      <c r="J3329" s="3">
        <v>34.340000000000003</v>
      </c>
      <c r="K3329" s="3">
        <v>33.950000000000003</v>
      </c>
      <c r="L3329" s="3">
        <v>855.55613394862701</v>
      </c>
    </row>
    <row r="3330" spans="1:12" ht="15" customHeight="1" x14ac:dyDescent="0.2">
      <c r="A3330" s="2">
        <v>41218</v>
      </c>
      <c r="B3330" s="3">
        <v>33.979999999999997</v>
      </c>
      <c r="C3330" s="1">
        <v>721403</v>
      </c>
      <c r="D3330" s="3">
        <v>0.32</v>
      </c>
      <c r="E3330" s="3">
        <v>0.95068330362448805</v>
      </c>
      <c r="F3330" s="3">
        <v>1.3071854022152301</v>
      </c>
      <c r="G3330" s="3">
        <v>34.224262000000003</v>
      </c>
      <c r="H3330" s="3">
        <v>853.72421942154801</v>
      </c>
      <c r="I3330" s="3">
        <v>33.53</v>
      </c>
      <c r="J3330" s="3">
        <v>34</v>
      </c>
      <c r="K3330" s="3">
        <v>33.35</v>
      </c>
      <c r="L3330" s="3">
        <v>846.91739374669999</v>
      </c>
    </row>
    <row r="3331" spans="1:12" ht="15" customHeight="1" x14ac:dyDescent="0.2">
      <c r="A3331" s="2">
        <v>41215</v>
      </c>
      <c r="B3331" s="3">
        <v>33.659999999999997</v>
      </c>
      <c r="C3331" s="1">
        <v>1111523</v>
      </c>
      <c r="D3331" s="3">
        <v>0.109999999999999</v>
      </c>
      <c r="E3331" s="3">
        <v>0.32786885245901198</v>
      </c>
      <c r="F3331" s="3">
        <v>0.327866320823133</v>
      </c>
      <c r="G3331" s="3">
        <v>33.78266</v>
      </c>
      <c r="H3331" s="3">
        <v>841.41813893557605</v>
      </c>
      <c r="I3331" s="3">
        <v>33.82</v>
      </c>
      <c r="J3331" s="3">
        <v>33.85</v>
      </c>
      <c r="K3331" s="3">
        <v>33.57</v>
      </c>
      <c r="L3331" s="3">
        <v>837.99998450600106</v>
      </c>
    </row>
    <row r="3332" spans="1:12" ht="15" customHeight="1" x14ac:dyDescent="0.2">
      <c r="A3332" s="2">
        <v>41214</v>
      </c>
      <c r="B3332" s="3">
        <v>33.549999999999997</v>
      </c>
      <c r="C3332" s="1">
        <v>813030</v>
      </c>
      <c r="D3332" s="3">
        <v>0.47999999999999599</v>
      </c>
      <c r="E3332" s="3">
        <v>1.4514665860296101</v>
      </c>
      <c r="F3332" s="3">
        <v>1.45146910969429</v>
      </c>
      <c r="G3332" s="3">
        <v>33.672260000000001</v>
      </c>
      <c r="H3332" s="3">
        <v>838.34163274753496</v>
      </c>
      <c r="I3332" s="3">
        <v>33.11</v>
      </c>
      <c r="J3332" s="3">
        <v>33.659999999999997</v>
      </c>
      <c r="K3332" s="3">
        <v>33.049999999999997</v>
      </c>
      <c r="L3332" s="3">
        <v>834.93462507951097</v>
      </c>
    </row>
    <row r="3333" spans="1:12" ht="15" customHeight="1" x14ac:dyDescent="0.2">
      <c r="A3333" s="2">
        <v>41213</v>
      </c>
      <c r="B3333" s="3">
        <v>33.07</v>
      </c>
      <c r="C3333" s="1">
        <v>650500</v>
      </c>
      <c r="D3333" s="3">
        <v>0.41000000000000297</v>
      </c>
      <c r="E3333" s="3">
        <v>1.2553582363747899</v>
      </c>
      <c r="F3333" s="3">
        <v>1.2553610900144501</v>
      </c>
      <c r="G3333" s="3">
        <v>33.190510000000003</v>
      </c>
      <c r="H3333" s="3">
        <v>824.91675180470202</v>
      </c>
      <c r="I3333" s="3">
        <v>32.619999999999997</v>
      </c>
      <c r="J3333" s="3">
        <v>33.115000000000002</v>
      </c>
      <c r="K3333" s="3">
        <v>32.619999999999997</v>
      </c>
      <c r="L3333" s="3">
        <v>821.55851121846297</v>
      </c>
    </row>
    <row r="3334" spans="1:12" ht="15" customHeight="1" x14ac:dyDescent="0.2">
      <c r="A3334" s="2">
        <v>41208</v>
      </c>
      <c r="B3334" s="3">
        <v>32.659999999999997</v>
      </c>
      <c r="C3334" s="1">
        <v>750274</v>
      </c>
      <c r="D3334" s="3">
        <v>-0.33000000000000501</v>
      </c>
      <c r="E3334" s="3">
        <v>-1.0003031221582399</v>
      </c>
      <c r="F3334" s="3">
        <v>-1.0003104781544701</v>
      </c>
      <c r="G3334" s="3">
        <v>32.779015000000001</v>
      </c>
      <c r="H3334" s="3">
        <v>813.44966019376</v>
      </c>
      <c r="I3334" s="3">
        <v>32.97</v>
      </c>
      <c r="J3334" s="3">
        <v>33.08</v>
      </c>
      <c r="K3334" s="3">
        <v>32.375</v>
      </c>
      <c r="L3334" s="3">
        <v>810.13308062881697</v>
      </c>
    </row>
    <row r="3335" spans="1:12" ht="15" customHeight="1" x14ac:dyDescent="0.2">
      <c r="A3335" s="2">
        <v>41207</v>
      </c>
      <c r="B3335" s="3">
        <v>32.99</v>
      </c>
      <c r="C3335" s="1">
        <v>1721349</v>
      </c>
      <c r="D3335" s="3">
        <v>0.23000000000000301</v>
      </c>
      <c r="E3335" s="3">
        <v>0.70207570207572101</v>
      </c>
      <c r="F3335" s="3">
        <v>0.702081365281226</v>
      </c>
      <c r="G3335" s="3">
        <v>33.110219999999998</v>
      </c>
      <c r="H3335" s="3">
        <v>822.67931809240304</v>
      </c>
      <c r="I3335" s="3">
        <v>33.99</v>
      </c>
      <c r="J3335" s="3">
        <v>34.18</v>
      </c>
      <c r="K3335" s="3">
        <v>32.840000000000003</v>
      </c>
      <c r="L3335" s="3">
        <v>819.32915890828804</v>
      </c>
    </row>
    <row r="3336" spans="1:12" ht="15" customHeight="1" x14ac:dyDescent="0.2">
      <c r="A3336" s="2">
        <v>41206</v>
      </c>
      <c r="B3336" s="3">
        <v>32.76</v>
      </c>
      <c r="C3336" s="1">
        <v>1909508</v>
      </c>
      <c r="D3336" s="3">
        <v>-0.85999999999999899</v>
      </c>
      <c r="E3336" s="3">
        <v>-2.55800118976798</v>
      </c>
      <c r="F3336" s="3">
        <v>-2.5580072333669599</v>
      </c>
      <c r="G3336" s="3">
        <v>32.879379999999998</v>
      </c>
      <c r="H3336" s="3">
        <v>816.24652200139406</v>
      </c>
      <c r="I3336" s="3">
        <v>33.79</v>
      </c>
      <c r="J3336" s="3">
        <v>34.21</v>
      </c>
      <c r="K3336" s="3">
        <v>32.64</v>
      </c>
      <c r="L3336" s="3">
        <v>812.91977101653595</v>
      </c>
    </row>
    <row r="3337" spans="1:12" ht="15" customHeight="1" x14ac:dyDescent="0.2">
      <c r="A3337" s="2">
        <v>41205</v>
      </c>
      <c r="B3337" s="3">
        <v>33.619999999999997</v>
      </c>
      <c r="C3337" s="1">
        <v>610121</v>
      </c>
      <c r="D3337" s="3">
        <v>-2.0000000000003099E-2</v>
      </c>
      <c r="E3337" s="3">
        <v>-5.9453032104650402E-2</v>
      </c>
      <c r="F3337" s="3">
        <v>-5.9456339101948599E-2</v>
      </c>
      <c r="G3337" s="3">
        <v>33.742516000000002</v>
      </c>
      <c r="H3337" s="3">
        <v>840.29944994633104</v>
      </c>
      <c r="I3337" s="3">
        <v>33.39</v>
      </c>
      <c r="J3337" s="3">
        <v>33.82</v>
      </c>
      <c r="K3337" s="3">
        <v>33.07</v>
      </c>
      <c r="L3337" s="3">
        <v>836.88530835091399</v>
      </c>
    </row>
    <row r="3338" spans="1:12" ht="15" customHeight="1" x14ac:dyDescent="0.2">
      <c r="A3338" s="2">
        <v>41204</v>
      </c>
      <c r="B3338" s="3">
        <v>33.64</v>
      </c>
      <c r="C3338" s="1">
        <v>843027</v>
      </c>
      <c r="D3338" s="3">
        <v>-8.9999999999996305E-2</v>
      </c>
      <c r="E3338" s="3">
        <v>-0.26682478505780599</v>
      </c>
      <c r="F3338" s="3">
        <v>-0.26682191079721002</v>
      </c>
      <c r="G3338" s="3">
        <v>33.762590000000003</v>
      </c>
      <c r="H3338" s="3">
        <v>840.85885017476096</v>
      </c>
      <c r="I3338" s="3">
        <v>33.69</v>
      </c>
      <c r="J3338" s="3">
        <v>33.82</v>
      </c>
      <c r="K3338" s="3">
        <v>33.380000000000003</v>
      </c>
      <c r="L3338" s="3">
        <v>837.44264642845701</v>
      </c>
    </row>
    <row r="3339" spans="1:12" ht="15" customHeight="1" x14ac:dyDescent="0.2">
      <c r="A3339" s="2">
        <v>41201</v>
      </c>
      <c r="B3339" s="3">
        <v>33.729999999999997</v>
      </c>
      <c r="C3339" s="1">
        <v>1376801</v>
      </c>
      <c r="D3339" s="3">
        <v>-1.075</v>
      </c>
      <c r="E3339" s="3">
        <v>-3.0886366901307398</v>
      </c>
      <c r="F3339" s="3">
        <v>-3.0886382006556499</v>
      </c>
      <c r="G3339" s="3">
        <v>33.852916999999998</v>
      </c>
      <c r="H3339" s="3">
        <v>843.37598400127604</v>
      </c>
      <c r="I3339" s="3">
        <v>34.49</v>
      </c>
      <c r="J3339" s="3">
        <v>34.49</v>
      </c>
      <c r="K3339" s="3">
        <v>33.67</v>
      </c>
      <c r="L3339" s="3">
        <v>839.95066777740396</v>
      </c>
    </row>
    <row r="3340" spans="1:12" ht="15" customHeight="1" x14ac:dyDescent="0.2">
      <c r="A3340" s="2">
        <v>41200</v>
      </c>
      <c r="B3340" s="3">
        <v>34.805</v>
      </c>
      <c r="C3340" s="1">
        <v>501240</v>
      </c>
      <c r="D3340" s="3">
        <v>-0.125</v>
      </c>
      <c r="E3340" s="3">
        <v>-0.35785857429143603</v>
      </c>
      <c r="F3340" s="3">
        <v>-0.35785709619883199</v>
      </c>
      <c r="G3340" s="3">
        <v>34.931835</v>
      </c>
      <c r="H3340" s="3">
        <v>873.442088198639</v>
      </c>
      <c r="I3340" s="3">
        <v>34.85</v>
      </c>
      <c r="J3340" s="3">
        <v>34.97</v>
      </c>
      <c r="K3340" s="3">
        <v>34.54</v>
      </c>
      <c r="L3340" s="3">
        <v>869.90758944537595</v>
      </c>
    </row>
    <row r="3341" spans="1:12" ht="15" customHeight="1" x14ac:dyDescent="0.2">
      <c r="A3341" s="2">
        <v>41199</v>
      </c>
      <c r="B3341" s="3">
        <v>34.93</v>
      </c>
      <c r="C3341" s="1">
        <v>671421</v>
      </c>
      <c r="D3341" s="3">
        <v>0.29999999999999699</v>
      </c>
      <c r="E3341" s="3">
        <v>0.86630089517758502</v>
      </c>
      <c r="F3341" s="3">
        <v>0.86630599235619699</v>
      </c>
      <c r="G3341" s="3">
        <v>35.057290000000002</v>
      </c>
      <c r="H3341" s="3">
        <v>876.93813062455104</v>
      </c>
      <c r="I3341" s="3">
        <v>34.64</v>
      </c>
      <c r="J3341" s="3">
        <v>35.049999999999997</v>
      </c>
      <c r="K3341" s="3">
        <v>34.54</v>
      </c>
      <c r="L3341" s="3">
        <v>873.39095243002396</v>
      </c>
    </row>
    <row r="3342" spans="1:12" ht="15" customHeight="1" x14ac:dyDescent="0.2">
      <c r="A3342" s="2">
        <v>41198</v>
      </c>
      <c r="B3342" s="3">
        <v>34.630000000000003</v>
      </c>
      <c r="C3342" s="1">
        <v>575830</v>
      </c>
      <c r="D3342" s="3">
        <v>5.0000000000004201E-2</v>
      </c>
      <c r="E3342" s="3">
        <v>0.144592249855413</v>
      </c>
      <c r="F3342" s="3">
        <v>0.14458011704423501</v>
      </c>
      <c r="G3342" s="3">
        <v>34.756194999999998</v>
      </c>
      <c r="H3342" s="3">
        <v>868.54754520165</v>
      </c>
      <c r="I3342" s="3">
        <v>34.83</v>
      </c>
      <c r="J3342" s="3">
        <v>35.088000000000001</v>
      </c>
      <c r="K3342" s="3">
        <v>34.56</v>
      </c>
      <c r="L3342" s="3">
        <v>865.03088126686896</v>
      </c>
    </row>
    <row r="3343" spans="1:12" ht="15" customHeight="1" x14ac:dyDescent="0.2">
      <c r="A3343" s="2">
        <v>41197</v>
      </c>
      <c r="B3343" s="3">
        <v>34.58</v>
      </c>
      <c r="C3343" s="1">
        <v>1109010</v>
      </c>
      <c r="D3343" s="3">
        <v>0.119999999999997</v>
      </c>
      <c r="E3343" s="3">
        <v>0.34822983168891702</v>
      </c>
      <c r="F3343" s="3">
        <v>0.34824345120763001</v>
      </c>
      <c r="G3343" s="3">
        <v>34.706017000000003</v>
      </c>
      <c r="H3343" s="3">
        <v>867.14923969890106</v>
      </c>
      <c r="I3343" s="3">
        <v>34.729999999999997</v>
      </c>
      <c r="J3343" s="3">
        <v>34.729999999999997</v>
      </c>
      <c r="K3343" s="3">
        <v>34.19</v>
      </c>
      <c r="L3343" s="3">
        <v>863.63753607300998</v>
      </c>
    </row>
    <row r="3344" spans="1:12" ht="15" customHeight="1" x14ac:dyDescent="0.2">
      <c r="A3344" s="2">
        <v>41194</v>
      </c>
      <c r="B3344" s="3">
        <v>34.46</v>
      </c>
      <c r="C3344" s="1">
        <v>417004</v>
      </c>
      <c r="D3344" s="3">
        <v>-4.9999999999997102E-2</v>
      </c>
      <c r="E3344" s="3">
        <v>-0.14488554042305599</v>
      </c>
      <c r="F3344" s="3">
        <v>-0.14488495227633599</v>
      </c>
      <c r="G3344" s="3">
        <v>34.585574999999999</v>
      </c>
      <c r="H3344" s="3">
        <v>863.79289406212501</v>
      </c>
      <c r="I3344" s="3">
        <v>34.43</v>
      </c>
      <c r="J3344" s="3">
        <v>34.74</v>
      </c>
      <c r="K3344" s="3">
        <v>34.200000000000003</v>
      </c>
      <c r="L3344" s="3">
        <v>860.29350760774798</v>
      </c>
    </row>
    <row r="3345" spans="1:12" ht="15" customHeight="1" x14ac:dyDescent="0.2">
      <c r="A3345" s="2">
        <v>41193</v>
      </c>
      <c r="B3345" s="3">
        <v>34.51</v>
      </c>
      <c r="C3345" s="1">
        <v>420565</v>
      </c>
      <c r="D3345" s="3">
        <v>3.0000000000001099E-2</v>
      </c>
      <c r="E3345" s="3">
        <v>8.7006960556856805E-2</v>
      </c>
      <c r="F3345" s="3">
        <v>8.7006028611269395E-2</v>
      </c>
      <c r="G3345" s="3">
        <v>34.635756999999998</v>
      </c>
      <c r="H3345" s="3">
        <v>865.19131103249003</v>
      </c>
      <c r="I3345" s="3">
        <v>34.61</v>
      </c>
      <c r="J3345" s="3">
        <v>34.92</v>
      </c>
      <c r="K3345" s="3">
        <v>34.33</v>
      </c>
      <c r="L3345" s="3">
        <v>861.68685280160696</v>
      </c>
    </row>
    <row r="3346" spans="1:12" ht="15" customHeight="1" x14ac:dyDescent="0.2">
      <c r="A3346" s="2">
        <v>41192</v>
      </c>
      <c r="B3346" s="3">
        <v>34.479999999999997</v>
      </c>
      <c r="C3346" s="1">
        <v>496905</v>
      </c>
      <c r="D3346" s="3">
        <v>0.27999999999999398</v>
      </c>
      <c r="E3346" s="3">
        <v>0.81871345029238496</v>
      </c>
      <c r="F3346" s="3">
        <v>0.81870656726672397</v>
      </c>
      <c r="G3346" s="3">
        <v>34.605648000000002</v>
      </c>
      <c r="H3346" s="3">
        <v>864.35226642365205</v>
      </c>
      <c r="I3346" s="3">
        <v>34.340000000000003</v>
      </c>
      <c r="J3346" s="3">
        <v>34.71</v>
      </c>
      <c r="K3346" s="3">
        <v>34.215000000000003</v>
      </c>
      <c r="L3346" s="3">
        <v>860.85084568529101</v>
      </c>
    </row>
    <row r="3347" spans="1:12" ht="15" customHeight="1" x14ac:dyDescent="0.2">
      <c r="A3347" s="2">
        <v>41191</v>
      </c>
      <c r="B3347" s="3">
        <v>34.200000000000003</v>
      </c>
      <c r="C3347" s="1">
        <v>543083</v>
      </c>
      <c r="D3347" s="3">
        <v>-0.55999999999999495</v>
      </c>
      <c r="E3347" s="3">
        <v>-1.61104718066742</v>
      </c>
      <c r="F3347" s="3">
        <v>-1.6110451355775799</v>
      </c>
      <c r="G3347" s="3">
        <v>34.324629999999999</v>
      </c>
      <c r="H3347" s="3">
        <v>856.521164829893</v>
      </c>
      <c r="I3347" s="3">
        <v>34.82</v>
      </c>
      <c r="J3347" s="3">
        <v>35</v>
      </c>
      <c r="K3347" s="3">
        <v>34.159999999999997</v>
      </c>
      <c r="L3347" s="3">
        <v>853.04811259968005</v>
      </c>
    </row>
    <row r="3348" spans="1:12" ht="15" customHeight="1" x14ac:dyDescent="0.2">
      <c r="A3348" s="2">
        <v>41190</v>
      </c>
      <c r="B3348" s="3">
        <v>34.76</v>
      </c>
      <c r="C3348" s="1">
        <v>581171</v>
      </c>
      <c r="D3348" s="3">
        <v>9.9999999999980105E-3</v>
      </c>
      <c r="E3348" s="3">
        <v>2.8776978417255301E-2</v>
      </c>
      <c r="F3348" s="3">
        <v>2.8778580776433998E-2</v>
      </c>
      <c r="G3348" s="3">
        <v>34.886670000000002</v>
      </c>
      <c r="H3348" s="3">
        <v>872.18347948502606</v>
      </c>
      <c r="I3348" s="3">
        <v>34.64</v>
      </c>
      <c r="J3348" s="3">
        <v>34.869999999999997</v>
      </c>
      <c r="K3348" s="3">
        <v>34.54</v>
      </c>
      <c r="L3348" s="3">
        <v>868.65357877090298</v>
      </c>
    </row>
    <row r="3349" spans="1:12" ht="15" customHeight="1" x14ac:dyDescent="0.2">
      <c r="A3349" s="2">
        <v>41187</v>
      </c>
      <c r="B3349" s="3">
        <v>34.75</v>
      </c>
      <c r="C3349" s="1">
        <v>1393403</v>
      </c>
      <c r="D3349" s="3">
        <v>-0.96999999999999797</v>
      </c>
      <c r="E3349" s="3">
        <v>-2.7155655095184601</v>
      </c>
      <c r="F3349" s="3">
        <v>-2.71557150217139</v>
      </c>
      <c r="G3349" s="3">
        <v>34.876632999999998</v>
      </c>
      <c r="H3349" s="3">
        <v>871.90377937081098</v>
      </c>
      <c r="I3349" s="3">
        <v>35.32</v>
      </c>
      <c r="J3349" s="3">
        <v>35.4</v>
      </c>
      <c r="K3349" s="3">
        <v>34.49</v>
      </c>
      <c r="L3349" s="3">
        <v>868.37490973213096</v>
      </c>
    </row>
    <row r="3350" spans="1:12" ht="15" customHeight="1" x14ac:dyDescent="0.2">
      <c r="A3350" s="2">
        <v>41186</v>
      </c>
      <c r="B3350" s="3">
        <v>35.72</v>
      </c>
      <c r="C3350" s="1">
        <v>727792</v>
      </c>
      <c r="D3350" s="3">
        <v>0.439999999999997</v>
      </c>
      <c r="E3350" s="3">
        <v>1.2471655328797999</v>
      </c>
      <c r="F3350" s="3">
        <v>1.24718429667853</v>
      </c>
      <c r="G3350" s="3">
        <v>35.850169999999999</v>
      </c>
      <c r="H3350" s="3">
        <v>899.03324137069205</v>
      </c>
      <c r="I3350" s="3">
        <v>35.51</v>
      </c>
      <c r="J3350" s="3">
        <v>35.774999999999999</v>
      </c>
      <c r="K3350" s="3">
        <v>35.17</v>
      </c>
      <c r="L3350" s="3">
        <v>895.40580649299898</v>
      </c>
    </row>
    <row r="3351" spans="1:12" ht="15" customHeight="1" x14ac:dyDescent="0.2">
      <c r="A3351" s="2">
        <v>41185</v>
      </c>
      <c r="B3351" s="3">
        <v>35.28</v>
      </c>
      <c r="C3351" s="1">
        <v>1043263.99999999</v>
      </c>
      <c r="D3351" s="3">
        <v>-0.21</v>
      </c>
      <c r="E3351" s="3">
        <v>-0.59171597633136397</v>
      </c>
      <c r="F3351" s="3">
        <v>-0.59172926610353505</v>
      </c>
      <c r="G3351" s="3">
        <v>35.408560000000001</v>
      </c>
      <c r="H3351" s="3">
        <v>886.72693794948896</v>
      </c>
      <c r="I3351" s="3">
        <v>35.61</v>
      </c>
      <c r="J3351" s="3">
        <v>35.97</v>
      </c>
      <c r="K3351" s="3">
        <v>35.133000000000003</v>
      </c>
      <c r="L3351" s="3">
        <v>883.14436878703896</v>
      </c>
    </row>
    <row r="3352" spans="1:12" ht="15" customHeight="1" x14ac:dyDescent="0.2">
      <c r="A3352" s="2">
        <v>41184</v>
      </c>
      <c r="B3352" s="3">
        <v>35.49</v>
      </c>
      <c r="C3352" s="1">
        <v>651233</v>
      </c>
      <c r="D3352" s="3">
        <v>-0.219999999999998</v>
      </c>
      <c r="E3352" s="3">
        <v>-0.61607392887146295</v>
      </c>
      <c r="F3352" s="3">
        <v>-0.61606919394545601</v>
      </c>
      <c r="G3352" s="3">
        <v>35.619329999999998</v>
      </c>
      <c r="H3352" s="3">
        <v>892.60044527968296</v>
      </c>
      <c r="I3352" s="3">
        <v>35.85</v>
      </c>
      <c r="J3352" s="3">
        <v>35.869999999999997</v>
      </c>
      <c r="K3352" s="3">
        <v>35.4</v>
      </c>
      <c r="L3352" s="3">
        <v>888.996418601247</v>
      </c>
    </row>
    <row r="3353" spans="1:12" ht="15" customHeight="1" x14ac:dyDescent="0.2">
      <c r="A3353" s="2">
        <v>41183</v>
      </c>
      <c r="B3353" s="3">
        <v>35.71</v>
      </c>
      <c r="C3353" s="1">
        <v>812519</v>
      </c>
      <c r="D3353" s="3">
        <v>-3.9999999999999099E-2</v>
      </c>
      <c r="E3353" s="3">
        <v>-0.111888111888114</v>
      </c>
      <c r="F3353" s="3">
        <v>-0.111888771424162</v>
      </c>
      <c r="G3353" s="3">
        <v>35.840130000000002</v>
      </c>
      <c r="H3353" s="3">
        <v>898.75345765576503</v>
      </c>
      <c r="I3353" s="3">
        <v>36.049999999999997</v>
      </c>
      <c r="J3353" s="3">
        <v>36.049999999999997</v>
      </c>
      <c r="K3353" s="3">
        <v>35.241</v>
      </c>
      <c r="L3353" s="3">
        <v>895.12713745422798</v>
      </c>
    </row>
    <row r="3354" spans="1:12" ht="15" customHeight="1" x14ac:dyDescent="0.2">
      <c r="A3354" s="2">
        <v>41180</v>
      </c>
      <c r="B3354" s="3">
        <v>35.75</v>
      </c>
      <c r="C3354" s="1">
        <v>809146</v>
      </c>
      <c r="D3354" s="3">
        <v>0.20000000000000201</v>
      </c>
      <c r="E3354" s="3">
        <v>0.56258790436005601</v>
      </c>
      <c r="F3354" s="3">
        <v>0.56259123924951004</v>
      </c>
      <c r="G3354" s="3">
        <v>35.880276000000002</v>
      </c>
      <c r="H3354" s="3">
        <v>899.872202378819</v>
      </c>
      <c r="I3354" s="3">
        <v>35.57</v>
      </c>
      <c r="J3354" s="3">
        <v>35.829900000000002</v>
      </c>
      <c r="K3354" s="3">
        <v>35.26</v>
      </c>
      <c r="L3354" s="3">
        <v>896.24181360931505</v>
      </c>
    </row>
    <row r="3355" spans="1:12" ht="15" customHeight="1" x14ac:dyDescent="0.2">
      <c r="A3355" s="2">
        <v>41179</v>
      </c>
      <c r="B3355" s="3">
        <v>35.549999999999997</v>
      </c>
      <c r="C3355" s="1">
        <v>345279</v>
      </c>
      <c r="D3355" s="3">
        <v>0.22999999999999601</v>
      </c>
      <c r="E3355" s="3">
        <v>0.65118912797281703</v>
      </c>
      <c r="F3355" s="3">
        <v>0.65118307549132304</v>
      </c>
      <c r="G3355" s="3">
        <v>35.679546000000002</v>
      </c>
      <c r="H3355" s="3">
        <v>894.27847876355202</v>
      </c>
      <c r="I3355" s="3">
        <v>35.53</v>
      </c>
      <c r="J3355" s="3">
        <v>35.75</v>
      </c>
      <c r="K3355" s="3">
        <v>35.36</v>
      </c>
      <c r="L3355" s="3">
        <v>890.668432833878</v>
      </c>
    </row>
    <row r="3356" spans="1:12" ht="15" customHeight="1" x14ac:dyDescent="0.2">
      <c r="A3356" s="2">
        <v>41178</v>
      </c>
      <c r="B3356" s="3">
        <v>35.32</v>
      </c>
      <c r="C3356" s="1">
        <v>350242</v>
      </c>
      <c r="D3356" s="3">
        <v>-6.4999999999997699E-2</v>
      </c>
      <c r="E3356" s="3">
        <v>-0.18369365550373601</v>
      </c>
      <c r="F3356" s="3">
        <v>-0.183694028714986</v>
      </c>
      <c r="G3356" s="3">
        <v>35.448709999999998</v>
      </c>
      <c r="H3356" s="3">
        <v>887.84579414015798</v>
      </c>
      <c r="I3356" s="3">
        <v>35.43</v>
      </c>
      <c r="J3356" s="3">
        <v>35.65</v>
      </c>
      <c r="K3356" s="3">
        <v>35.11</v>
      </c>
      <c r="L3356" s="3">
        <v>884.25904494212602</v>
      </c>
    </row>
    <row r="3357" spans="1:12" ht="15" customHeight="1" x14ac:dyDescent="0.2">
      <c r="A3357" s="2">
        <v>41177</v>
      </c>
      <c r="B3357" s="3">
        <v>35.384999999999998</v>
      </c>
      <c r="C3357" s="1">
        <v>550200</v>
      </c>
      <c r="D3357" s="3">
        <v>-0.42500000000000399</v>
      </c>
      <c r="E3357" s="3">
        <v>-1.18681932421113</v>
      </c>
      <c r="F3357" s="3">
        <v>-1.18683101236766</v>
      </c>
      <c r="G3357" s="3">
        <v>35.513947000000002</v>
      </c>
      <c r="H3357" s="3">
        <v>889.66374734839405</v>
      </c>
      <c r="I3357" s="3">
        <v>35.89</v>
      </c>
      <c r="J3357" s="3">
        <v>36.1</v>
      </c>
      <c r="K3357" s="3">
        <v>35.340000000000003</v>
      </c>
      <c r="L3357" s="3">
        <v>886.07039369414304</v>
      </c>
    </row>
    <row r="3358" spans="1:12" ht="15" customHeight="1" x14ac:dyDescent="0.2">
      <c r="A3358" s="2">
        <v>41176</v>
      </c>
      <c r="B3358" s="3">
        <v>35.81</v>
      </c>
      <c r="C3358" s="1">
        <v>458207</v>
      </c>
      <c r="D3358" s="3">
        <v>-9.9999999999980105E-3</v>
      </c>
      <c r="E3358" s="3">
        <v>-2.7917364600771301E-2</v>
      </c>
      <c r="F3358" s="3">
        <v>-2.7899449604773498E-2</v>
      </c>
      <c r="G3358" s="3">
        <v>35.9405</v>
      </c>
      <c r="H3358" s="3">
        <v>901.55045879791805</v>
      </c>
      <c r="I3358" s="3">
        <v>35.78</v>
      </c>
      <c r="J3358" s="3">
        <v>35.950000000000003</v>
      </c>
      <c r="K3358" s="3">
        <v>35.36</v>
      </c>
      <c r="L3358" s="3">
        <v>897.91382784194604</v>
      </c>
    </row>
    <row r="3359" spans="1:12" ht="15" customHeight="1" x14ac:dyDescent="0.2">
      <c r="A3359" s="2">
        <v>41173</v>
      </c>
      <c r="B3359" s="3">
        <v>35.82</v>
      </c>
      <c r="C3359" s="1">
        <v>1577257</v>
      </c>
      <c r="D3359" s="3">
        <v>0.25</v>
      </c>
      <c r="E3359" s="3">
        <v>0.70283947146472203</v>
      </c>
      <c r="F3359" s="3">
        <v>0.70283661282668497</v>
      </c>
      <c r="G3359" s="3">
        <v>35.950530000000001</v>
      </c>
      <c r="H3359" s="3">
        <v>901.82996384380601</v>
      </c>
      <c r="I3359" s="3">
        <v>35.979999999999997</v>
      </c>
      <c r="J3359" s="3">
        <v>36.24</v>
      </c>
      <c r="K3359" s="3">
        <v>35.65</v>
      </c>
      <c r="L3359" s="3">
        <v>898.19249688071795</v>
      </c>
    </row>
    <row r="3360" spans="1:12" ht="15" customHeight="1" x14ac:dyDescent="0.2">
      <c r="A3360" s="2">
        <v>41172</v>
      </c>
      <c r="B3360" s="3">
        <v>35.57</v>
      </c>
      <c r="C3360" s="1">
        <v>728844</v>
      </c>
      <c r="D3360" s="3">
        <v>-0.17999999999999899</v>
      </c>
      <c r="E3360" s="3">
        <v>-0.50349650349650299</v>
      </c>
      <c r="F3360" s="3">
        <v>-0.50349668436218098</v>
      </c>
      <c r="G3360" s="3">
        <v>35.699620000000003</v>
      </c>
      <c r="H3360" s="3">
        <v>894.83787899198205</v>
      </c>
      <c r="I3360" s="3">
        <v>35.659999999999997</v>
      </c>
      <c r="J3360" s="3">
        <v>35.74</v>
      </c>
      <c r="K3360" s="3">
        <v>35.299999999999997</v>
      </c>
      <c r="L3360" s="3">
        <v>891.22577091142205</v>
      </c>
    </row>
    <row r="3361" spans="1:12" ht="15" customHeight="1" x14ac:dyDescent="0.2">
      <c r="A3361" s="2">
        <v>41171</v>
      </c>
      <c r="B3361" s="3">
        <v>35.75</v>
      </c>
      <c r="C3361" s="1">
        <v>1438967</v>
      </c>
      <c r="D3361" s="3">
        <v>0.46</v>
      </c>
      <c r="E3361" s="3">
        <v>1.30348540663076</v>
      </c>
      <c r="F3361" s="3">
        <v>1.3034788894265199</v>
      </c>
      <c r="G3361" s="3">
        <v>35.880276000000002</v>
      </c>
      <c r="H3361" s="3">
        <v>899.872202378819</v>
      </c>
      <c r="I3361" s="3">
        <v>35.49</v>
      </c>
      <c r="J3361" s="3">
        <v>36.17</v>
      </c>
      <c r="K3361" s="3">
        <v>35.25</v>
      </c>
      <c r="L3361" s="3">
        <v>896.24181360931505</v>
      </c>
    </row>
    <row r="3362" spans="1:12" ht="15" customHeight="1" x14ac:dyDescent="0.2">
      <c r="A3362" s="2">
        <v>41170</v>
      </c>
      <c r="B3362" s="3">
        <v>35.29</v>
      </c>
      <c r="C3362" s="1">
        <v>588668</v>
      </c>
      <c r="D3362" s="3">
        <v>0.29999999999999699</v>
      </c>
      <c r="E3362" s="3">
        <v>0.85738782509288103</v>
      </c>
      <c r="F3362" s="3">
        <v>0.85738999475701805</v>
      </c>
      <c r="G3362" s="3">
        <v>35.418602</v>
      </c>
      <c r="H3362" s="3">
        <v>887.00677739822402</v>
      </c>
      <c r="I3362" s="3">
        <v>34.94</v>
      </c>
      <c r="J3362" s="3">
        <v>35.35</v>
      </c>
      <c r="K3362" s="3">
        <v>34.761899999999997</v>
      </c>
      <c r="L3362" s="3">
        <v>883.42303782580996</v>
      </c>
    </row>
    <row r="3363" spans="1:12" ht="15" customHeight="1" x14ac:dyDescent="0.2">
      <c r="A3363" s="2">
        <v>41169</v>
      </c>
      <c r="B3363" s="3">
        <v>34.99</v>
      </c>
      <c r="C3363" s="1">
        <v>598939</v>
      </c>
      <c r="D3363" s="3">
        <v>-5.9999999999995099E-2</v>
      </c>
      <c r="E3363" s="3">
        <v>-0.171184022824522</v>
      </c>
      <c r="F3363" s="3">
        <v>-0.171185022841291</v>
      </c>
      <c r="G3363" s="3">
        <v>35.117508000000001</v>
      </c>
      <c r="H3363" s="3">
        <v>878.616219842227</v>
      </c>
      <c r="I3363" s="3">
        <v>34.9</v>
      </c>
      <c r="J3363" s="3">
        <v>35.119999999999997</v>
      </c>
      <c r="K3363" s="3">
        <v>34.83</v>
      </c>
      <c r="L3363" s="3">
        <v>875.06296666265496</v>
      </c>
    </row>
    <row r="3364" spans="1:12" ht="15" customHeight="1" x14ac:dyDescent="0.2">
      <c r="A3364" s="2">
        <v>41166</v>
      </c>
      <c r="B3364" s="3">
        <v>35.049999999999997</v>
      </c>
      <c r="C3364" s="1">
        <v>593402</v>
      </c>
      <c r="D3364" s="3">
        <v>-4.0000000000006197E-2</v>
      </c>
      <c r="E3364" s="3">
        <v>-0.113992590481637</v>
      </c>
      <c r="F3364" s="3">
        <v>-0.113993255640398</v>
      </c>
      <c r="G3364" s="3">
        <v>35.177726999999997</v>
      </c>
      <c r="H3364" s="3">
        <v>880.29433692680698</v>
      </c>
      <c r="I3364" s="3">
        <v>35.26</v>
      </c>
      <c r="J3364" s="3">
        <v>35.340000000000003</v>
      </c>
      <c r="K3364" s="3">
        <v>34.913499999999999</v>
      </c>
      <c r="L3364" s="3">
        <v>876.73498089528596</v>
      </c>
    </row>
    <row r="3365" spans="1:12" ht="15" customHeight="1" x14ac:dyDescent="0.2">
      <c r="A3365" s="2">
        <v>41165</v>
      </c>
      <c r="B3365" s="3">
        <v>35.090000000000003</v>
      </c>
      <c r="C3365" s="1">
        <v>570182</v>
      </c>
      <c r="D3365" s="3">
        <v>0.28000000000000103</v>
      </c>
      <c r="E3365" s="3">
        <v>0.80436656133295803</v>
      </c>
      <c r="F3365" s="3">
        <v>0.80437417798111499</v>
      </c>
      <c r="G3365" s="3">
        <v>35.217872999999997</v>
      </c>
      <c r="H3365" s="3">
        <v>881.41308164986106</v>
      </c>
      <c r="I3365" s="3">
        <v>34.979999999999997</v>
      </c>
      <c r="J3365" s="3">
        <v>35.18</v>
      </c>
      <c r="K3365" s="3">
        <v>34.51</v>
      </c>
      <c r="L3365" s="3">
        <v>877.84965705037405</v>
      </c>
    </row>
    <row r="3366" spans="1:12" ht="15" customHeight="1" x14ac:dyDescent="0.2">
      <c r="A3366" s="2">
        <v>41164</v>
      </c>
      <c r="B3366" s="3">
        <v>34.81</v>
      </c>
      <c r="C3366" s="1">
        <v>614685</v>
      </c>
      <c r="D3366" s="3">
        <v>0.35000000000000098</v>
      </c>
      <c r="E3366" s="3">
        <v>1.0156703424260001</v>
      </c>
      <c r="F3366" s="3">
        <v>1.01566910482189</v>
      </c>
      <c r="G3366" s="3">
        <v>34.93685</v>
      </c>
      <c r="H3366" s="3">
        <v>873.58184072158303</v>
      </c>
      <c r="I3366" s="3">
        <v>34.56</v>
      </c>
      <c r="J3366" s="3">
        <v>34.950000000000003</v>
      </c>
      <c r="K3366" s="3">
        <v>34.56</v>
      </c>
      <c r="L3366" s="3">
        <v>870.04692396476196</v>
      </c>
    </row>
    <row r="3367" spans="1:12" ht="15" customHeight="1" x14ac:dyDescent="0.2">
      <c r="A3367" s="2">
        <v>41163</v>
      </c>
      <c r="B3367" s="3">
        <v>34.46</v>
      </c>
      <c r="C3367" s="1">
        <v>453055</v>
      </c>
      <c r="D3367" s="3">
        <v>-0.17999999999999899</v>
      </c>
      <c r="E3367" s="3">
        <v>-0.51963048498845299</v>
      </c>
      <c r="F3367" s="3">
        <v>-0.51962781124097401</v>
      </c>
      <c r="G3367" s="3">
        <v>34.585574999999999</v>
      </c>
      <c r="H3367" s="3">
        <v>863.79289406212501</v>
      </c>
      <c r="I3367" s="3">
        <v>34.72</v>
      </c>
      <c r="J3367" s="3">
        <v>34.89</v>
      </c>
      <c r="K3367" s="3">
        <v>34.44</v>
      </c>
      <c r="L3367" s="3">
        <v>860.29350760774798</v>
      </c>
    </row>
    <row r="3368" spans="1:12" ht="15" customHeight="1" x14ac:dyDescent="0.2">
      <c r="A3368" s="2">
        <v>41162</v>
      </c>
      <c r="B3368" s="3">
        <v>34.64</v>
      </c>
      <c r="C3368" s="1">
        <v>559116</v>
      </c>
      <c r="D3368" s="3">
        <v>-0.17999999999999899</v>
      </c>
      <c r="E3368" s="3">
        <v>-0.516944284893738</v>
      </c>
      <c r="F3368" s="3">
        <v>-0.51695017879703697</v>
      </c>
      <c r="G3368" s="3">
        <v>34.76623</v>
      </c>
      <c r="H3368" s="3">
        <v>868.82718958205805</v>
      </c>
      <c r="I3368" s="3">
        <v>34.89</v>
      </c>
      <c r="J3368" s="3">
        <v>34.950000000000003</v>
      </c>
      <c r="K3368" s="3">
        <v>34.549999999999997</v>
      </c>
      <c r="L3368" s="3">
        <v>865.30955030564098</v>
      </c>
    </row>
    <row r="3369" spans="1:12" ht="15" customHeight="1" x14ac:dyDescent="0.2">
      <c r="A3369" s="2">
        <v>41159</v>
      </c>
      <c r="B3369" s="3">
        <v>34.82</v>
      </c>
      <c r="C3369" s="1">
        <v>618211</v>
      </c>
      <c r="D3369" s="3">
        <v>0.28500000000000297</v>
      </c>
      <c r="E3369" s="3">
        <v>0.82524974663387096</v>
      </c>
      <c r="F3369" s="3">
        <v>0.82524808249075898</v>
      </c>
      <c r="G3369" s="3">
        <v>34.946888000000001</v>
      </c>
      <c r="H3369" s="3">
        <v>873.86156870270202</v>
      </c>
      <c r="I3369" s="3">
        <v>34.65</v>
      </c>
      <c r="J3369" s="3">
        <v>34.9</v>
      </c>
      <c r="K3369" s="3">
        <v>34.32</v>
      </c>
      <c r="L3369" s="3">
        <v>870.32559300353398</v>
      </c>
    </row>
    <row r="3370" spans="1:12" ht="15" customHeight="1" x14ac:dyDescent="0.2">
      <c r="A3370" s="2">
        <v>41158</v>
      </c>
      <c r="B3370" s="3">
        <v>34.534999999999997</v>
      </c>
      <c r="C3370" s="1">
        <v>560689</v>
      </c>
      <c r="D3370" s="3">
        <v>0.375</v>
      </c>
      <c r="E3370" s="3">
        <v>1.0977751756440199</v>
      </c>
      <c r="F3370" s="3">
        <v>1.09778535360607</v>
      </c>
      <c r="G3370" s="3">
        <v>34.660850000000003</v>
      </c>
      <c r="H3370" s="3">
        <v>865.89057525147996</v>
      </c>
      <c r="I3370" s="3">
        <v>34.31</v>
      </c>
      <c r="J3370" s="3">
        <v>34.700000000000003</v>
      </c>
      <c r="K3370" s="3">
        <v>34.22</v>
      </c>
      <c r="L3370" s="3">
        <v>862.38352539853702</v>
      </c>
    </row>
    <row r="3371" spans="1:12" ht="15" customHeight="1" x14ac:dyDescent="0.2">
      <c r="A3371" s="2">
        <v>41157</v>
      </c>
      <c r="B3371" s="3">
        <v>34.159999999999997</v>
      </c>
      <c r="C3371" s="1">
        <v>1192120</v>
      </c>
      <c r="D3371" s="3">
        <v>0.45999999999999303</v>
      </c>
      <c r="E3371" s="3">
        <v>1.3649851632047301</v>
      </c>
      <c r="F3371" s="3">
        <v>1.3649754143705499</v>
      </c>
      <c r="G3371" s="3">
        <v>34.284480000000002</v>
      </c>
      <c r="H3371" s="3">
        <v>855.402308639225</v>
      </c>
      <c r="I3371" s="3">
        <v>33.47</v>
      </c>
      <c r="J3371" s="3">
        <v>34.39</v>
      </c>
      <c r="K3371" s="3">
        <v>33.47</v>
      </c>
      <c r="L3371" s="3">
        <v>851.93343644459299</v>
      </c>
    </row>
    <row r="3372" spans="1:12" ht="15" customHeight="1" x14ac:dyDescent="0.2">
      <c r="A3372" s="2">
        <v>41156</v>
      </c>
      <c r="B3372" s="3">
        <v>33.700000000000003</v>
      </c>
      <c r="C3372" s="1">
        <v>626828</v>
      </c>
      <c r="D3372" s="3">
        <v>0.49000000000000199</v>
      </c>
      <c r="E3372" s="3">
        <v>1.4754591990364401</v>
      </c>
      <c r="F3372" s="3">
        <v>1.47546339715973</v>
      </c>
      <c r="G3372" s="3">
        <v>33.822806999999997</v>
      </c>
      <c r="H3372" s="3">
        <v>842.53691152553404</v>
      </c>
      <c r="I3372" s="3">
        <v>33.15</v>
      </c>
      <c r="J3372" s="3">
        <v>33.840000000000003</v>
      </c>
      <c r="K3372" s="3">
        <v>32.97</v>
      </c>
      <c r="L3372" s="3">
        <v>839.11466066108801</v>
      </c>
    </row>
    <row r="3373" spans="1:12" ht="15" customHeight="1" x14ac:dyDescent="0.2">
      <c r="A3373" s="2">
        <v>41152</v>
      </c>
      <c r="B3373" s="3">
        <v>33.21</v>
      </c>
      <c r="C3373" s="1">
        <v>422546</v>
      </c>
      <c r="D3373" s="3">
        <v>-0.149999999999998</v>
      </c>
      <c r="E3373" s="3">
        <v>-0.44964028776978099</v>
      </c>
      <c r="F3373" s="3">
        <v>-0.44964144001980999</v>
      </c>
      <c r="G3373" s="3">
        <v>33.331020000000002</v>
      </c>
      <c r="H3373" s="3">
        <v>828.832330468485</v>
      </c>
      <c r="I3373" s="3">
        <v>33.51</v>
      </c>
      <c r="J3373" s="3">
        <v>33.549999999999997</v>
      </c>
      <c r="K3373" s="3">
        <v>32.96</v>
      </c>
      <c r="L3373" s="3">
        <v>825.45987776126799</v>
      </c>
    </row>
    <row r="3374" spans="1:12" ht="15" customHeight="1" x14ac:dyDescent="0.2">
      <c r="A3374" s="2">
        <v>41151</v>
      </c>
      <c r="B3374" s="3">
        <v>33.36</v>
      </c>
      <c r="C3374" s="1">
        <v>421712</v>
      </c>
      <c r="D3374" s="3">
        <v>-0.109999999999999</v>
      </c>
      <c r="E3374" s="3">
        <v>-0.32865252464894201</v>
      </c>
      <c r="F3374" s="3">
        <v>-0.32865890270801201</v>
      </c>
      <c r="G3374" s="3">
        <v>33.481566999999998</v>
      </c>
      <c r="H3374" s="3">
        <v>833.02760924648305</v>
      </c>
      <c r="I3374" s="3">
        <v>33.43</v>
      </c>
      <c r="J3374" s="3">
        <v>33.57</v>
      </c>
      <c r="K3374" s="3">
        <v>33.229999999999997</v>
      </c>
      <c r="L3374" s="3">
        <v>829.63991334284594</v>
      </c>
    </row>
    <row r="3375" spans="1:12" ht="15" customHeight="1" x14ac:dyDescent="0.2">
      <c r="A3375" s="2">
        <v>41150</v>
      </c>
      <c r="B3375" s="3">
        <v>33.47</v>
      </c>
      <c r="C3375" s="1">
        <v>513591</v>
      </c>
      <c r="D3375" s="3">
        <v>0.17999999999999899</v>
      </c>
      <c r="E3375" s="3">
        <v>0.54070291378791602</v>
      </c>
      <c r="F3375" s="3">
        <v>0.54070908679073604</v>
      </c>
      <c r="G3375" s="3">
        <v>33.591970000000003</v>
      </c>
      <c r="H3375" s="3">
        <v>836.10419903523598</v>
      </c>
      <c r="I3375" s="3">
        <v>33.21</v>
      </c>
      <c r="J3375" s="3">
        <v>33.81</v>
      </c>
      <c r="K3375" s="3">
        <v>33.21</v>
      </c>
      <c r="L3375" s="3">
        <v>832.70527276933603</v>
      </c>
    </row>
    <row r="3376" spans="1:12" ht="15" customHeight="1" x14ac:dyDescent="0.2">
      <c r="A3376" s="2">
        <v>41149</v>
      </c>
      <c r="B3376" s="3">
        <v>33.29</v>
      </c>
      <c r="C3376" s="1">
        <v>431493</v>
      </c>
      <c r="D3376" s="3">
        <v>0.189999999999997</v>
      </c>
      <c r="E3376" s="3">
        <v>0.57401812688821996</v>
      </c>
      <c r="F3376" s="3">
        <v>0.57401698101964205</v>
      </c>
      <c r="G3376" s="3">
        <v>33.411312000000002</v>
      </c>
      <c r="H3376" s="3">
        <v>831.06981991459202</v>
      </c>
      <c r="I3376" s="3">
        <v>33.01</v>
      </c>
      <c r="J3376" s="3">
        <v>33.43</v>
      </c>
      <c r="K3376" s="3">
        <v>32.99</v>
      </c>
      <c r="L3376" s="3">
        <v>827.68923007144303</v>
      </c>
    </row>
    <row r="3377" spans="1:12" ht="15" customHeight="1" x14ac:dyDescent="0.2">
      <c r="A3377" s="2">
        <v>41148</v>
      </c>
      <c r="B3377" s="3">
        <v>33.1</v>
      </c>
      <c r="C3377" s="1">
        <v>374118</v>
      </c>
      <c r="D3377" s="3">
        <v>-3.9999999999999099E-2</v>
      </c>
      <c r="E3377" s="3">
        <v>-0.120700060350031</v>
      </c>
      <c r="F3377" s="3">
        <v>-0.120697765069455</v>
      </c>
      <c r="G3377" s="3">
        <v>33.220619999999997</v>
      </c>
      <c r="H3377" s="3">
        <v>825.75582428044402</v>
      </c>
      <c r="I3377" s="3">
        <v>33.32</v>
      </c>
      <c r="J3377" s="3">
        <v>33.5</v>
      </c>
      <c r="K3377" s="3">
        <v>33.06</v>
      </c>
      <c r="L3377" s="3">
        <v>822.39451833477801</v>
      </c>
    </row>
    <row r="3378" spans="1:12" ht="15" customHeight="1" x14ac:dyDescent="0.2">
      <c r="A3378" s="2">
        <v>41145</v>
      </c>
      <c r="B3378" s="3">
        <v>33.14</v>
      </c>
      <c r="C3378" s="1">
        <v>511772</v>
      </c>
      <c r="D3378" s="3">
        <v>6.0000000000002197E-2</v>
      </c>
      <c r="E3378" s="3">
        <v>0.18137847642081201</v>
      </c>
      <c r="F3378" s="3">
        <v>0.181367477346006</v>
      </c>
      <c r="G3378" s="3">
        <v>33.260764999999999</v>
      </c>
      <c r="H3378" s="3">
        <v>826.87454113659396</v>
      </c>
      <c r="I3378" s="3">
        <v>33</v>
      </c>
      <c r="J3378" s="3">
        <v>33.4</v>
      </c>
      <c r="K3378" s="3">
        <v>32.74</v>
      </c>
      <c r="L3378" s="3">
        <v>823.50919448986599</v>
      </c>
    </row>
    <row r="3379" spans="1:12" ht="15" customHeight="1" x14ac:dyDescent="0.2">
      <c r="A3379" s="2">
        <v>41144</v>
      </c>
      <c r="B3379" s="3">
        <v>33.08</v>
      </c>
      <c r="C3379" s="1">
        <v>303483</v>
      </c>
      <c r="D3379" s="3">
        <v>-0.35999999999999899</v>
      </c>
      <c r="E3379" s="3">
        <v>-1.07655502392344</v>
      </c>
      <c r="F3379" s="3">
        <v>-1.07654939267372</v>
      </c>
      <c r="G3379" s="3">
        <v>33.20055</v>
      </c>
      <c r="H3379" s="3">
        <v>825.19653551962904</v>
      </c>
      <c r="I3379" s="3">
        <v>33.520000000000003</v>
      </c>
      <c r="J3379" s="3">
        <v>33.520000000000003</v>
      </c>
      <c r="K3379" s="3">
        <v>33.01</v>
      </c>
      <c r="L3379" s="3">
        <v>821.83718025723397</v>
      </c>
    </row>
    <row r="3380" spans="1:12" ht="15" customHeight="1" x14ac:dyDescent="0.2">
      <c r="A3380" s="2">
        <v>41143</v>
      </c>
      <c r="B3380" s="3">
        <v>33.44</v>
      </c>
      <c r="C3380" s="1">
        <v>242595</v>
      </c>
      <c r="D3380" s="3">
        <v>-6.0000000000002197E-2</v>
      </c>
      <c r="E3380" s="3">
        <v>-0.17910447761194601</v>
      </c>
      <c r="F3380" s="3">
        <v>-0.17910255279284201</v>
      </c>
      <c r="G3380" s="3">
        <v>33.561860000000003</v>
      </c>
      <c r="H3380" s="3">
        <v>835.26512655949398</v>
      </c>
      <c r="I3380" s="3">
        <v>33.520000000000003</v>
      </c>
      <c r="J3380" s="3">
        <v>33.659999999999997</v>
      </c>
      <c r="K3380" s="3">
        <v>33.26</v>
      </c>
      <c r="L3380" s="3">
        <v>831.86926565302099</v>
      </c>
    </row>
    <row r="3381" spans="1:12" ht="15" customHeight="1" x14ac:dyDescent="0.2">
      <c r="A3381" s="2">
        <v>41142</v>
      </c>
      <c r="B3381" s="3">
        <v>33.5</v>
      </c>
      <c r="C3381" s="1">
        <v>368607</v>
      </c>
      <c r="D3381" s="3">
        <v>0.119999999999997</v>
      </c>
      <c r="E3381" s="3">
        <v>0.35949670461352601</v>
      </c>
      <c r="F3381" s="3">
        <v>0.35949881856529498</v>
      </c>
      <c r="G3381" s="3">
        <v>33.622078000000002</v>
      </c>
      <c r="H3381" s="3">
        <v>836.94321577717096</v>
      </c>
      <c r="I3381" s="3">
        <v>33.479999999999997</v>
      </c>
      <c r="J3381" s="3">
        <v>33.78</v>
      </c>
      <c r="K3381" s="3">
        <v>33.369999999999997</v>
      </c>
      <c r="L3381" s="3">
        <v>833.54127988565199</v>
      </c>
    </row>
    <row r="3382" spans="1:12" ht="15" customHeight="1" x14ac:dyDescent="0.2">
      <c r="A3382" s="2">
        <v>41141</v>
      </c>
      <c r="B3382" s="3">
        <v>33.380000000000003</v>
      </c>
      <c r="C3382" s="1">
        <v>582286</v>
      </c>
      <c r="D3382" s="3">
        <v>-0.28999999999999898</v>
      </c>
      <c r="E3382" s="3">
        <v>-0.86130086130086203</v>
      </c>
      <c r="F3382" s="3">
        <v>-0.86129268060129904</v>
      </c>
      <c r="G3382" s="3">
        <v>33.501640000000002</v>
      </c>
      <c r="H3382" s="3">
        <v>833.58698160800998</v>
      </c>
      <c r="I3382" s="3">
        <v>33.700000000000003</v>
      </c>
      <c r="J3382" s="3">
        <v>33.770000000000003</v>
      </c>
      <c r="K3382" s="3">
        <v>33.21</v>
      </c>
      <c r="L3382" s="3">
        <v>830.19725142038999</v>
      </c>
    </row>
    <row r="3383" spans="1:12" ht="15" customHeight="1" x14ac:dyDescent="0.2">
      <c r="A3383" s="2">
        <v>41138</v>
      </c>
      <c r="B3383" s="3">
        <v>33.67</v>
      </c>
      <c r="C3383" s="1">
        <v>512816</v>
      </c>
      <c r="D3383" s="3">
        <v>0.32500000000000201</v>
      </c>
      <c r="E3383" s="3">
        <v>0.974658869395717</v>
      </c>
      <c r="F3383" s="3">
        <v>0.97464286317232496</v>
      </c>
      <c r="G3383" s="3">
        <v>33.792693999999997</v>
      </c>
      <c r="H3383" s="3">
        <v>841.69775544907998</v>
      </c>
      <c r="I3383" s="3">
        <v>33.26</v>
      </c>
      <c r="J3383" s="3">
        <v>33.74</v>
      </c>
      <c r="K3383" s="3">
        <v>33.26</v>
      </c>
      <c r="L3383" s="3">
        <v>838.27865354477296</v>
      </c>
    </row>
    <row r="3384" spans="1:12" ht="15" customHeight="1" x14ac:dyDescent="0.2">
      <c r="A3384" s="2">
        <v>41137</v>
      </c>
      <c r="B3384" s="3">
        <v>33.344999999999999</v>
      </c>
      <c r="C3384" s="1">
        <v>467070</v>
      </c>
      <c r="D3384" s="3">
        <v>9.4999999999998794E-2</v>
      </c>
      <c r="E3384" s="3">
        <v>0.28571428571428897</v>
      </c>
      <c r="F3384" s="3">
        <v>0.28572271043809599</v>
      </c>
      <c r="G3384" s="3">
        <v>33.466515000000001</v>
      </c>
      <c r="H3384" s="3">
        <v>832.60815660932406</v>
      </c>
      <c r="I3384" s="3">
        <v>33.15</v>
      </c>
      <c r="J3384" s="3">
        <v>33.58</v>
      </c>
      <c r="K3384" s="3">
        <v>33.07</v>
      </c>
      <c r="L3384" s="3">
        <v>829.22190978468802</v>
      </c>
    </row>
    <row r="3385" spans="1:12" ht="15" customHeight="1" x14ac:dyDescent="0.2">
      <c r="A3385" s="2">
        <v>41136</v>
      </c>
      <c r="B3385" s="3">
        <v>33.25</v>
      </c>
      <c r="C3385" s="1">
        <v>619566</v>
      </c>
      <c r="D3385" s="3">
        <v>0.64</v>
      </c>
      <c r="E3385" s="3">
        <v>1.9625881631401401</v>
      </c>
      <c r="F3385" s="3">
        <v>1.9625812540354299</v>
      </c>
      <c r="G3385" s="3">
        <v>33.371166000000002</v>
      </c>
      <c r="H3385" s="3">
        <v>829.95107519153896</v>
      </c>
      <c r="I3385" s="3">
        <v>32.83</v>
      </c>
      <c r="J3385" s="3">
        <v>33.604999999999997</v>
      </c>
      <c r="K3385" s="3">
        <v>32.83</v>
      </c>
      <c r="L3385" s="3">
        <v>826.57455391635597</v>
      </c>
    </row>
    <row r="3386" spans="1:12" ht="15" customHeight="1" x14ac:dyDescent="0.2">
      <c r="A3386" s="2">
        <v>41135</v>
      </c>
      <c r="B3386" s="3">
        <v>32.61</v>
      </c>
      <c r="C3386" s="1">
        <v>392117</v>
      </c>
      <c r="D3386" s="3">
        <v>-0.17999999999999899</v>
      </c>
      <c r="E3386" s="3">
        <v>-0.54894784995425105</v>
      </c>
      <c r="F3386" s="3">
        <v>-0.54894800563921597</v>
      </c>
      <c r="G3386" s="3">
        <v>32.728836000000001</v>
      </c>
      <c r="H3386" s="3">
        <v>812.05132682410704</v>
      </c>
      <c r="I3386" s="3">
        <v>32.86</v>
      </c>
      <c r="J3386" s="3">
        <v>33.020000000000003</v>
      </c>
      <c r="K3386" s="3">
        <v>32.5</v>
      </c>
      <c r="L3386" s="3">
        <v>808.73973543495799</v>
      </c>
    </row>
    <row r="3387" spans="1:12" ht="15" customHeight="1" x14ac:dyDescent="0.2">
      <c r="A3387" s="2">
        <v>41134</v>
      </c>
      <c r="B3387" s="3">
        <v>32.79</v>
      </c>
      <c r="C3387" s="1">
        <v>390524</v>
      </c>
      <c r="D3387" s="3">
        <v>-9.0000000000003397E-2</v>
      </c>
      <c r="E3387" s="3">
        <v>-0.27372262773723799</v>
      </c>
      <c r="F3387" s="3">
        <v>-0.27372270515414399</v>
      </c>
      <c r="G3387" s="3">
        <v>32.909492</v>
      </c>
      <c r="H3387" s="3">
        <v>817.08565021094398</v>
      </c>
      <c r="I3387" s="3">
        <v>32.83</v>
      </c>
      <c r="J3387" s="3">
        <v>32.99</v>
      </c>
      <c r="K3387" s="3">
        <v>32.49</v>
      </c>
      <c r="L3387" s="3">
        <v>813.75577813285099</v>
      </c>
    </row>
    <row r="3388" spans="1:12" ht="15" customHeight="1" x14ac:dyDescent="0.2">
      <c r="A3388" s="2">
        <v>41131</v>
      </c>
      <c r="B3388" s="3">
        <v>32.880000000000003</v>
      </c>
      <c r="C3388" s="1">
        <v>427611</v>
      </c>
      <c r="D3388" s="3">
        <v>-0.149999999999998</v>
      </c>
      <c r="E3388" s="3">
        <v>-0.45413260672115802</v>
      </c>
      <c r="F3388" s="3">
        <v>-0.45412472695625</v>
      </c>
      <c r="G3388" s="3">
        <v>32.99982</v>
      </c>
      <c r="H3388" s="3">
        <v>819.60281190436206</v>
      </c>
      <c r="I3388" s="3">
        <v>33</v>
      </c>
      <c r="J3388" s="3">
        <v>33</v>
      </c>
      <c r="K3388" s="3">
        <v>32.58</v>
      </c>
      <c r="L3388" s="3">
        <v>816.26379948179795</v>
      </c>
    </row>
    <row r="3389" spans="1:12" ht="15" customHeight="1" x14ac:dyDescent="0.2">
      <c r="A3389" s="2">
        <v>41130</v>
      </c>
      <c r="B3389" s="3">
        <v>33.03</v>
      </c>
      <c r="C3389" s="1">
        <v>577530</v>
      </c>
      <c r="D3389" s="3">
        <v>-0.149999999999998</v>
      </c>
      <c r="E3389" s="3">
        <v>-0.45207956600361499</v>
      </c>
      <c r="F3389" s="3">
        <v>-0.45207773601381102</v>
      </c>
      <c r="G3389" s="3">
        <v>33.150364000000003</v>
      </c>
      <c r="H3389" s="3">
        <v>823.79800708164896</v>
      </c>
      <c r="I3389" s="3">
        <v>33.28</v>
      </c>
      <c r="J3389" s="3">
        <v>33.4</v>
      </c>
      <c r="K3389" s="3">
        <v>32.99</v>
      </c>
      <c r="L3389" s="3">
        <v>820.44383506337499</v>
      </c>
    </row>
    <row r="3390" spans="1:12" ht="15" customHeight="1" x14ac:dyDescent="0.2">
      <c r="A3390" s="2">
        <v>41129</v>
      </c>
      <c r="B3390" s="3">
        <v>33.18</v>
      </c>
      <c r="C3390" s="1">
        <v>497608</v>
      </c>
      <c r="D3390" s="3">
        <v>-4.9999999999997102E-2</v>
      </c>
      <c r="E3390" s="3">
        <v>-0.150466445982533</v>
      </c>
      <c r="F3390" s="3">
        <v>-0.150468831711148</v>
      </c>
      <c r="G3390" s="3">
        <v>33.300910000000002</v>
      </c>
      <c r="H3390" s="3">
        <v>827.993257992743</v>
      </c>
      <c r="I3390" s="3">
        <v>32.97</v>
      </c>
      <c r="J3390" s="3">
        <v>33.29</v>
      </c>
      <c r="K3390" s="3">
        <v>32.549999999999997</v>
      </c>
      <c r="L3390" s="3">
        <v>824.62387064495294</v>
      </c>
    </row>
    <row r="3391" spans="1:12" ht="15" customHeight="1" x14ac:dyDescent="0.2">
      <c r="A3391" s="2">
        <v>41128</v>
      </c>
      <c r="B3391" s="3">
        <v>33.229999999999997</v>
      </c>
      <c r="C3391" s="1">
        <v>519279</v>
      </c>
      <c r="D3391" s="3">
        <v>0.29999999999999699</v>
      </c>
      <c r="E3391" s="3">
        <v>0.91102338293349505</v>
      </c>
      <c r="F3391" s="3">
        <v>0.91102269288956195</v>
      </c>
      <c r="G3391" s="3">
        <v>33.351092999999999</v>
      </c>
      <c r="H3391" s="3">
        <v>829.39170283001204</v>
      </c>
      <c r="I3391" s="3">
        <v>33.18</v>
      </c>
      <c r="J3391" s="3">
        <v>33.6</v>
      </c>
      <c r="K3391" s="3">
        <v>33.134999999999998</v>
      </c>
      <c r="L3391" s="3">
        <v>826.01721583881204</v>
      </c>
    </row>
    <row r="3392" spans="1:12" ht="15" customHeight="1" x14ac:dyDescent="0.2">
      <c r="A3392" s="2">
        <v>41127</v>
      </c>
      <c r="B3392" s="3">
        <v>32.93</v>
      </c>
      <c r="C3392" s="1">
        <v>642602</v>
      </c>
      <c r="D3392" s="3">
        <v>-0.45000000000000201</v>
      </c>
      <c r="E3392" s="3">
        <v>-1.3481126423007901</v>
      </c>
      <c r="F3392" s="3">
        <v>-0.98861593768725298</v>
      </c>
      <c r="G3392" s="3">
        <v>33.049999999999997</v>
      </c>
      <c r="H3392" s="3">
        <v>821.00117314091904</v>
      </c>
      <c r="I3392" s="3">
        <v>33.380000000000003</v>
      </c>
      <c r="J3392" s="3">
        <v>33.744999999999997</v>
      </c>
      <c r="K3392" s="3">
        <v>32.89</v>
      </c>
      <c r="L3392" s="3">
        <v>817.65714467565704</v>
      </c>
    </row>
    <row r="3393" spans="1:12" ht="15" customHeight="1" x14ac:dyDescent="0.2">
      <c r="A3393" s="2">
        <v>41124</v>
      </c>
      <c r="B3393" s="3">
        <v>33.380000000000003</v>
      </c>
      <c r="C3393" s="1">
        <v>897037</v>
      </c>
      <c r="D3393" s="3">
        <v>0.25</v>
      </c>
      <c r="E3393" s="3">
        <v>0.75460307878056898</v>
      </c>
      <c r="F3393" s="3">
        <v>0.75460307878056898</v>
      </c>
      <c r="G3393" s="3">
        <v>33.380000000000003</v>
      </c>
      <c r="H3393" s="3">
        <v>830.19725142038999</v>
      </c>
      <c r="I3393" s="3">
        <v>33.5</v>
      </c>
      <c r="J3393" s="3">
        <v>33.71</v>
      </c>
      <c r="K3393" s="3">
        <v>33.29</v>
      </c>
      <c r="L3393" s="3">
        <v>830.19725142038999</v>
      </c>
    </row>
    <row r="3394" spans="1:12" ht="15" customHeight="1" x14ac:dyDescent="0.2">
      <c r="A3394" s="2">
        <v>41123</v>
      </c>
      <c r="B3394" s="3">
        <v>33.130000000000003</v>
      </c>
      <c r="C3394" s="1">
        <v>448944</v>
      </c>
      <c r="D3394" s="3">
        <v>0.220000000000005</v>
      </c>
      <c r="E3394" s="3">
        <v>0.66848982072320595</v>
      </c>
      <c r="F3394" s="3">
        <v>0.66848982072320595</v>
      </c>
      <c r="G3394" s="3">
        <v>33.130000000000003</v>
      </c>
      <c r="H3394" s="3">
        <v>823.23052545109397</v>
      </c>
      <c r="I3394" s="3">
        <v>32.799999999999997</v>
      </c>
      <c r="J3394" s="3">
        <v>33.29</v>
      </c>
      <c r="K3394" s="3">
        <v>32.71</v>
      </c>
      <c r="L3394" s="3">
        <v>823.23052545109397</v>
      </c>
    </row>
    <row r="3395" spans="1:12" ht="15" customHeight="1" x14ac:dyDescent="0.2">
      <c r="A3395" s="2">
        <v>41122</v>
      </c>
      <c r="B3395" s="3">
        <v>32.909999999999997</v>
      </c>
      <c r="C3395" s="1">
        <v>698382</v>
      </c>
      <c r="D3395" s="3">
        <v>-0.61000000000000598</v>
      </c>
      <c r="E3395" s="3">
        <v>-1.81980906921243</v>
      </c>
      <c r="F3395" s="3">
        <v>-1.81980906921243</v>
      </c>
      <c r="G3395" s="3">
        <v>32.909999999999997</v>
      </c>
      <c r="H3395" s="3">
        <v>817.09980659811299</v>
      </c>
      <c r="I3395" s="3">
        <v>33.79</v>
      </c>
      <c r="J3395" s="3">
        <v>33.79</v>
      </c>
      <c r="K3395" s="3">
        <v>32.880000000000003</v>
      </c>
      <c r="L3395" s="3">
        <v>817.09980659811299</v>
      </c>
    </row>
    <row r="3396" spans="1:12" ht="15" customHeight="1" x14ac:dyDescent="0.2">
      <c r="A3396" s="2">
        <v>41121</v>
      </c>
      <c r="B3396" s="3">
        <v>33.520000000000003</v>
      </c>
      <c r="C3396" s="1">
        <v>670748</v>
      </c>
      <c r="D3396" s="3">
        <v>-9.9999999999994302E-2</v>
      </c>
      <c r="E3396" s="3">
        <v>-0.29744199881021</v>
      </c>
      <c r="F3396" s="3">
        <v>-0.29744199881021</v>
      </c>
      <c r="G3396" s="3">
        <v>33.520000000000003</v>
      </c>
      <c r="H3396" s="3">
        <v>834.09861796319501</v>
      </c>
      <c r="I3396" s="3">
        <v>33.47</v>
      </c>
      <c r="J3396" s="3">
        <v>33.72</v>
      </c>
      <c r="K3396" s="3">
        <v>33.049999999999997</v>
      </c>
      <c r="L3396" s="3">
        <v>834.09861796319501</v>
      </c>
    </row>
    <row r="3397" spans="1:12" ht="15" customHeight="1" x14ac:dyDescent="0.2">
      <c r="A3397" s="2">
        <v>41120</v>
      </c>
      <c r="B3397" s="3">
        <v>33.619999999999997</v>
      </c>
      <c r="C3397" s="1">
        <v>729440</v>
      </c>
      <c r="D3397" s="3">
        <v>-0.27000000000000302</v>
      </c>
      <c r="E3397" s="3">
        <v>-0.79669519032163905</v>
      </c>
      <c r="F3397" s="3">
        <v>-0.79669519032163905</v>
      </c>
      <c r="G3397" s="3">
        <v>33.619999999999997</v>
      </c>
      <c r="H3397" s="3">
        <v>836.88530835091399</v>
      </c>
      <c r="I3397" s="3">
        <v>33.89</v>
      </c>
      <c r="J3397" s="3">
        <v>33.97</v>
      </c>
      <c r="K3397" s="3">
        <v>33.39</v>
      </c>
      <c r="L3397" s="3">
        <v>836.88530835091399</v>
      </c>
    </row>
    <row r="3398" spans="1:12" ht="15" customHeight="1" x14ac:dyDescent="0.2">
      <c r="A3398" s="2">
        <v>41117</v>
      </c>
      <c r="B3398" s="3">
        <v>33.89</v>
      </c>
      <c r="C3398" s="1">
        <v>1408677</v>
      </c>
      <c r="D3398" s="3">
        <v>0.81499999999999695</v>
      </c>
      <c r="E3398" s="3">
        <v>2.46409674981102</v>
      </c>
      <c r="F3398" s="3">
        <v>2.46409674981102</v>
      </c>
      <c r="G3398" s="3">
        <v>33.89</v>
      </c>
      <c r="H3398" s="3">
        <v>844.40937239775303</v>
      </c>
      <c r="I3398" s="3">
        <v>33.29</v>
      </c>
      <c r="J3398" s="3">
        <v>34.200000000000003</v>
      </c>
      <c r="K3398" s="3">
        <v>33.03</v>
      </c>
      <c r="L3398" s="3">
        <v>844.40937239775303</v>
      </c>
    </row>
    <row r="3399" spans="1:12" ht="15" customHeight="1" x14ac:dyDescent="0.2">
      <c r="A3399" s="2">
        <v>41116</v>
      </c>
      <c r="B3399" s="3">
        <v>33.075000000000003</v>
      </c>
      <c r="C3399" s="1">
        <v>2380945</v>
      </c>
      <c r="D3399" s="3">
        <v>2.6949999999999998</v>
      </c>
      <c r="E3399" s="3">
        <v>8.8709677419354893</v>
      </c>
      <c r="F3399" s="3">
        <v>8.8709677419354893</v>
      </c>
      <c r="G3399" s="3">
        <v>33.075000000000003</v>
      </c>
      <c r="H3399" s="3">
        <v>821.69784573784898</v>
      </c>
      <c r="I3399" s="3">
        <v>32.89</v>
      </c>
      <c r="J3399" s="3">
        <v>33.630000000000003</v>
      </c>
      <c r="K3399" s="3">
        <v>32.51</v>
      </c>
      <c r="L3399" s="3">
        <v>821.69784573784898</v>
      </c>
    </row>
    <row r="3400" spans="1:12" ht="15" customHeight="1" x14ac:dyDescent="0.2">
      <c r="A3400" s="2">
        <v>41115</v>
      </c>
      <c r="B3400" s="3">
        <v>30.38</v>
      </c>
      <c r="C3400" s="1">
        <v>890714</v>
      </c>
      <c r="D3400" s="3">
        <v>-6.0000000000002197E-2</v>
      </c>
      <c r="E3400" s="3">
        <v>-0.197109067017087</v>
      </c>
      <c r="F3400" s="3">
        <v>-0.197109067017087</v>
      </c>
      <c r="G3400" s="3">
        <v>30.38</v>
      </c>
      <c r="H3400" s="3">
        <v>746.59653978883898</v>
      </c>
      <c r="I3400" s="3">
        <v>30.73</v>
      </c>
      <c r="J3400" s="3">
        <v>30.73</v>
      </c>
      <c r="K3400" s="3">
        <v>30.113499999999998</v>
      </c>
      <c r="L3400" s="3">
        <v>746.59653978883898</v>
      </c>
    </row>
    <row r="3401" spans="1:12" ht="15" customHeight="1" x14ac:dyDescent="0.2">
      <c r="A3401" s="2">
        <v>41114</v>
      </c>
      <c r="B3401" s="3">
        <v>30.44</v>
      </c>
      <c r="C3401" s="1">
        <v>649722</v>
      </c>
      <c r="D3401" s="3">
        <v>-0.48</v>
      </c>
      <c r="E3401" s="3">
        <v>-1.5523932729624801</v>
      </c>
      <c r="F3401" s="3">
        <v>-1.5523932729624801</v>
      </c>
      <c r="G3401" s="3">
        <v>30.44</v>
      </c>
      <c r="H3401" s="3">
        <v>748.26855402146998</v>
      </c>
      <c r="I3401" s="3">
        <v>31.04</v>
      </c>
      <c r="J3401" s="3">
        <v>31.04</v>
      </c>
      <c r="K3401" s="3">
        <v>30.15</v>
      </c>
      <c r="L3401" s="3">
        <v>748.26855402146998</v>
      </c>
    </row>
    <row r="3402" spans="1:12" ht="15" customHeight="1" x14ac:dyDescent="0.2">
      <c r="A3402" s="2">
        <v>41113</v>
      </c>
      <c r="B3402" s="3">
        <v>30.92</v>
      </c>
      <c r="C3402" s="1">
        <v>874692</v>
      </c>
      <c r="D3402" s="3">
        <v>-0.94999999999999896</v>
      </c>
      <c r="E3402" s="3">
        <v>-2.9808597427047299</v>
      </c>
      <c r="F3402" s="3">
        <v>-2.9808597427047299</v>
      </c>
      <c r="G3402" s="3">
        <v>30.92</v>
      </c>
      <c r="H3402" s="3">
        <v>761.64466788251798</v>
      </c>
      <c r="I3402" s="3">
        <v>31.28</v>
      </c>
      <c r="J3402" s="3">
        <v>31.31</v>
      </c>
      <c r="K3402" s="3">
        <v>30.65</v>
      </c>
      <c r="L3402" s="3">
        <v>761.64466788251798</v>
      </c>
    </row>
    <row r="3403" spans="1:12" ht="15" customHeight="1" x14ac:dyDescent="0.2">
      <c r="A3403" s="2">
        <v>41110</v>
      </c>
      <c r="B3403" s="3">
        <v>31.87</v>
      </c>
      <c r="C3403" s="1">
        <v>1197714</v>
      </c>
      <c r="D3403" s="3">
        <v>-0.51999999999999902</v>
      </c>
      <c r="E3403" s="3">
        <v>-1.6054337758567401</v>
      </c>
      <c r="F3403" s="3">
        <v>-1.6054337758567401</v>
      </c>
      <c r="G3403" s="3">
        <v>31.87</v>
      </c>
      <c r="H3403" s="3">
        <v>788.11822656584195</v>
      </c>
      <c r="I3403" s="3">
        <v>31.9</v>
      </c>
      <c r="J3403" s="3">
        <v>31.9</v>
      </c>
      <c r="K3403" s="3">
        <v>31.08</v>
      </c>
      <c r="L3403" s="3">
        <v>788.11822656584195</v>
      </c>
    </row>
    <row r="3404" spans="1:12" ht="15" customHeight="1" x14ac:dyDescent="0.2">
      <c r="A3404" s="2">
        <v>41109</v>
      </c>
      <c r="B3404" s="3">
        <v>32.39</v>
      </c>
      <c r="C3404" s="1">
        <v>579202</v>
      </c>
      <c r="D3404" s="3">
        <v>-3.0000000000001099E-2</v>
      </c>
      <c r="E3404" s="3">
        <v>-9.2535471930910093E-2</v>
      </c>
      <c r="F3404" s="3">
        <v>-9.2535471930910093E-2</v>
      </c>
      <c r="G3404" s="3">
        <v>32.39</v>
      </c>
      <c r="H3404" s="3">
        <v>802.60901658197804</v>
      </c>
      <c r="I3404" s="3">
        <v>32.520000000000003</v>
      </c>
      <c r="J3404" s="3">
        <v>32.58</v>
      </c>
      <c r="K3404" s="3">
        <v>32.159999999999997</v>
      </c>
      <c r="L3404" s="3">
        <v>802.60901658197804</v>
      </c>
    </row>
    <row r="3405" spans="1:12" ht="15" customHeight="1" x14ac:dyDescent="0.2">
      <c r="A3405" s="2">
        <v>41108</v>
      </c>
      <c r="B3405" s="3">
        <v>32.42</v>
      </c>
      <c r="C3405" s="1">
        <v>421085</v>
      </c>
      <c r="D3405" s="3">
        <v>9.0000000000003397E-2</v>
      </c>
      <c r="E3405" s="3">
        <v>0.27837921435200902</v>
      </c>
      <c r="F3405" s="3">
        <v>0.27837921435200902</v>
      </c>
      <c r="G3405" s="3">
        <v>32.42</v>
      </c>
      <c r="H3405" s="3">
        <v>803.44502369829297</v>
      </c>
      <c r="I3405" s="3">
        <v>32.15</v>
      </c>
      <c r="J3405" s="3">
        <v>32.5</v>
      </c>
      <c r="K3405" s="3">
        <v>32.14</v>
      </c>
      <c r="L3405" s="3">
        <v>803.44502369829297</v>
      </c>
    </row>
    <row r="3406" spans="1:12" ht="15" customHeight="1" x14ac:dyDescent="0.2">
      <c r="A3406" s="2">
        <v>41107</v>
      </c>
      <c r="B3406" s="3">
        <v>32.33</v>
      </c>
      <c r="C3406" s="1">
        <v>460258</v>
      </c>
      <c r="D3406" s="3">
        <v>0.17000000000000101</v>
      </c>
      <c r="E3406" s="3">
        <v>0.52860696517413797</v>
      </c>
      <c r="F3406" s="3">
        <v>0.52860696517413797</v>
      </c>
      <c r="G3406" s="3">
        <v>32.33</v>
      </c>
      <c r="H3406" s="3">
        <v>800.93700234934704</v>
      </c>
      <c r="I3406" s="3">
        <v>32.380000000000003</v>
      </c>
      <c r="J3406" s="3">
        <v>32.64</v>
      </c>
      <c r="K3406" s="3">
        <v>32.01</v>
      </c>
      <c r="L3406" s="3">
        <v>800.93700234934704</v>
      </c>
    </row>
    <row r="3407" spans="1:12" ht="15" customHeight="1" x14ac:dyDescent="0.2">
      <c r="A3407" s="2">
        <v>41106</v>
      </c>
      <c r="B3407" s="3">
        <v>32.159999999999997</v>
      </c>
      <c r="C3407" s="1">
        <v>1444617</v>
      </c>
      <c r="D3407" s="3">
        <v>0.28999999999999498</v>
      </c>
      <c r="E3407" s="3">
        <v>0.90994665829933197</v>
      </c>
      <c r="F3407" s="3">
        <v>0.90994665829933197</v>
      </c>
      <c r="G3407" s="3">
        <v>32.159999999999997</v>
      </c>
      <c r="H3407" s="3">
        <v>796.19962869022504</v>
      </c>
      <c r="I3407" s="3">
        <v>32.340000000000003</v>
      </c>
      <c r="J3407" s="3">
        <v>32.81</v>
      </c>
      <c r="K3407" s="3">
        <v>32.06</v>
      </c>
      <c r="L3407" s="3">
        <v>796.19962869022504</v>
      </c>
    </row>
    <row r="3408" spans="1:12" ht="15" customHeight="1" x14ac:dyDescent="0.2">
      <c r="A3408" s="2">
        <v>41103</v>
      </c>
      <c r="B3408" s="3">
        <v>31.87</v>
      </c>
      <c r="C3408" s="1">
        <v>397117</v>
      </c>
      <c r="D3408" s="3">
        <v>0.42999999999999899</v>
      </c>
      <c r="E3408" s="3">
        <v>1.3676844783715001</v>
      </c>
      <c r="F3408" s="3">
        <v>1.3676844783715001</v>
      </c>
      <c r="G3408" s="3">
        <v>31.87</v>
      </c>
      <c r="H3408" s="3">
        <v>788.11822656584195</v>
      </c>
      <c r="I3408" s="3">
        <v>31.59</v>
      </c>
      <c r="J3408" s="3">
        <v>32.04</v>
      </c>
      <c r="K3408" s="3">
        <v>31.5</v>
      </c>
      <c r="L3408" s="3">
        <v>788.11822656584195</v>
      </c>
    </row>
    <row r="3409" spans="1:12" ht="15" customHeight="1" x14ac:dyDescent="0.2">
      <c r="A3409" s="2">
        <v>41102</v>
      </c>
      <c r="B3409" s="3">
        <v>31.44</v>
      </c>
      <c r="C3409" s="1">
        <v>435893</v>
      </c>
      <c r="D3409" s="3">
        <v>-0.16</v>
      </c>
      <c r="E3409" s="3">
        <v>-0.506329113924053</v>
      </c>
      <c r="F3409" s="3">
        <v>-0.506329113924053</v>
      </c>
      <c r="G3409" s="3">
        <v>31.44</v>
      </c>
      <c r="H3409" s="3">
        <v>776.13545789865304</v>
      </c>
      <c r="I3409" s="3">
        <v>31.25</v>
      </c>
      <c r="J3409" s="3">
        <v>31.68</v>
      </c>
      <c r="K3409" s="3">
        <v>31.02</v>
      </c>
      <c r="L3409" s="3">
        <v>776.13545789865304</v>
      </c>
    </row>
    <row r="3410" spans="1:12" ht="15" customHeight="1" x14ac:dyDescent="0.2">
      <c r="A3410" s="2">
        <v>41101</v>
      </c>
      <c r="B3410" s="3">
        <v>31.6</v>
      </c>
      <c r="C3410" s="1">
        <v>393456</v>
      </c>
      <c r="D3410" s="3">
        <v>5.0000000000000697E-2</v>
      </c>
      <c r="E3410" s="3">
        <v>0.158478605388268</v>
      </c>
      <c r="F3410" s="3">
        <v>0.158478605388268</v>
      </c>
      <c r="G3410" s="3">
        <v>31.6</v>
      </c>
      <c r="H3410" s="3">
        <v>780.59416251900302</v>
      </c>
      <c r="I3410" s="3">
        <v>31.65</v>
      </c>
      <c r="J3410" s="3">
        <v>31.83</v>
      </c>
      <c r="K3410" s="3">
        <v>31.31</v>
      </c>
      <c r="L3410" s="3">
        <v>780.59416251900302</v>
      </c>
    </row>
    <row r="3411" spans="1:12" ht="15" customHeight="1" x14ac:dyDescent="0.2">
      <c r="A3411" s="2">
        <v>41100</v>
      </c>
      <c r="B3411" s="3">
        <v>31.55</v>
      </c>
      <c r="C3411" s="1">
        <v>681647</v>
      </c>
      <c r="D3411" s="3"/>
      <c r="E3411" s="3"/>
      <c r="F3411" s="3"/>
      <c r="G3411" s="3">
        <v>31.55</v>
      </c>
      <c r="H3411" s="3">
        <v>779.20081732514302</v>
      </c>
      <c r="I3411" s="3">
        <v>31.78</v>
      </c>
      <c r="J3411" s="3">
        <v>32.015000000000001</v>
      </c>
      <c r="K3411" s="3">
        <v>31.38</v>
      </c>
      <c r="L3411" s="3">
        <v>779.20081732514302</v>
      </c>
    </row>
    <row r="3412" spans="1:12" ht="15" customHeight="1" x14ac:dyDescent="0.2">
      <c r="A3412" s="2">
        <v>41099</v>
      </c>
      <c r="B3412" s="3">
        <v>31.55</v>
      </c>
      <c r="C3412" s="1">
        <v>609586</v>
      </c>
      <c r="D3412" s="3">
        <v>-0.12999999999999901</v>
      </c>
      <c r="E3412" s="3">
        <v>-0.41035353535353503</v>
      </c>
      <c r="F3412" s="3">
        <v>-0.41035353535353503</v>
      </c>
      <c r="G3412" s="3">
        <v>31.55</v>
      </c>
      <c r="H3412" s="3">
        <v>779.20081732514302</v>
      </c>
      <c r="I3412" s="3">
        <v>31.5</v>
      </c>
      <c r="J3412" s="3">
        <v>31.94</v>
      </c>
      <c r="K3412" s="3">
        <v>31.37</v>
      </c>
      <c r="L3412" s="3">
        <v>779.20081732514302</v>
      </c>
    </row>
    <row r="3413" spans="1:12" ht="15" customHeight="1" x14ac:dyDescent="0.2">
      <c r="A3413" s="2">
        <v>41096</v>
      </c>
      <c r="B3413" s="3">
        <v>31.68</v>
      </c>
      <c r="C3413" s="1">
        <v>694624</v>
      </c>
      <c r="D3413" s="3">
        <v>-0.35999999999999899</v>
      </c>
      <c r="E3413" s="3">
        <v>-1.1235955056179801</v>
      </c>
      <c r="F3413" s="3">
        <v>-1.1235955056179801</v>
      </c>
      <c r="G3413" s="3">
        <v>31.68</v>
      </c>
      <c r="H3413" s="3">
        <v>782.82351482917704</v>
      </c>
      <c r="I3413" s="3">
        <v>31.68</v>
      </c>
      <c r="J3413" s="3">
        <v>31.78</v>
      </c>
      <c r="K3413" s="3">
        <v>31.4</v>
      </c>
      <c r="L3413" s="3">
        <v>782.82351482917704</v>
      </c>
    </row>
    <row r="3414" spans="1:12" ht="15" customHeight="1" x14ac:dyDescent="0.2">
      <c r="A3414" s="2">
        <v>41095</v>
      </c>
      <c r="B3414" s="3">
        <v>32.04</v>
      </c>
      <c r="C3414" s="1">
        <v>732652</v>
      </c>
      <c r="D3414" s="3">
        <v>-0.149999999999998</v>
      </c>
      <c r="E3414" s="3">
        <v>-0.46598322460390501</v>
      </c>
      <c r="F3414" s="3">
        <v>-0.46598322460390501</v>
      </c>
      <c r="G3414" s="3">
        <v>32.04</v>
      </c>
      <c r="H3414" s="3">
        <v>792.85560022496395</v>
      </c>
      <c r="I3414" s="3">
        <v>32.25</v>
      </c>
      <c r="J3414" s="3">
        <v>32.47</v>
      </c>
      <c r="K3414" s="3">
        <v>31.99</v>
      </c>
      <c r="L3414" s="3">
        <v>792.85560022496395</v>
      </c>
    </row>
    <row r="3415" spans="1:12" ht="15" customHeight="1" x14ac:dyDescent="0.2">
      <c r="A3415" s="2">
        <v>41093</v>
      </c>
      <c r="B3415" s="3">
        <v>32.19</v>
      </c>
      <c r="C3415" s="1">
        <v>334903</v>
      </c>
      <c r="D3415" s="3">
        <v>0.16999999999999399</v>
      </c>
      <c r="E3415" s="3">
        <v>0.530918176139905</v>
      </c>
      <c r="F3415" s="3">
        <v>0.530918176139905</v>
      </c>
      <c r="G3415" s="3">
        <v>32.19</v>
      </c>
      <c r="H3415" s="3">
        <v>797.03563580654099</v>
      </c>
      <c r="I3415" s="3">
        <v>32.020000000000003</v>
      </c>
      <c r="J3415" s="3">
        <v>32.4</v>
      </c>
      <c r="K3415" s="3">
        <v>31.96</v>
      </c>
      <c r="L3415" s="3">
        <v>797.03563580654099</v>
      </c>
    </row>
    <row r="3416" spans="1:12" ht="15" customHeight="1" x14ac:dyDescent="0.2">
      <c r="A3416" s="2">
        <v>41092</v>
      </c>
      <c r="B3416" s="3">
        <v>32.020000000000003</v>
      </c>
      <c r="C3416" s="1">
        <v>691021</v>
      </c>
      <c r="D3416" s="3">
        <v>6.0000000000002197E-2</v>
      </c>
      <c r="E3416" s="3">
        <v>0.18773466833541499</v>
      </c>
      <c r="F3416" s="3">
        <v>0.18773466833541499</v>
      </c>
      <c r="G3416" s="3">
        <v>32.020000000000003</v>
      </c>
      <c r="H3416" s="3">
        <v>792.29826214742002</v>
      </c>
      <c r="I3416" s="3">
        <v>32</v>
      </c>
      <c r="J3416" s="3">
        <v>32.279899999999998</v>
      </c>
      <c r="K3416" s="3">
        <v>31.65</v>
      </c>
      <c r="L3416" s="3">
        <v>792.29826214742002</v>
      </c>
    </row>
    <row r="3417" spans="1:12" ht="15" customHeight="1" x14ac:dyDescent="0.2">
      <c r="A3417" s="2">
        <v>41089</v>
      </c>
      <c r="B3417" s="3">
        <v>31.96</v>
      </c>
      <c r="C3417" s="1">
        <v>1293041</v>
      </c>
      <c r="D3417" s="3">
        <v>0.87000000000000099</v>
      </c>
      <c r="E3417" s="3">
        <v>2.7983274364747399</v>
      </c>
      <c r="F3417" s="3">
        <v>2.7983274364747399</v>
      </c>
      <c r="G3417" s="3">
        <v>31.96</v>
      </c>
      <c r="H3417" s="3">
        <v>790.62624791478902</v>
      </c>
      <c r="I3417" s="3">
        <v>31.57</v>
      </c>
      <c r="J3417" s="3">
        <v>32.03</v>
      </c>
      <c r="K3417" s="3">
        <v>31.4</v>
      </c>
      <c r="L3417" s="3">
        <v>790.62624791478902</v>
      </c>
    </row>
    <row r="3418" spans="1:12" ht="15" customHeight="1" x14ac:dyDescent="0.2">
      <c r="A3418" s="2">
        <v>41088</v>
      </c>
      <c r="B3418" s="3">
        <v>31.09</v>
      </c>
      <c r="C3418" s="1">
        <v>1764763</v>
      </c>
      <c r="D3418" s="3">
        <v>1.03</v>
      </c>
      <c r="E3418" s="3">
        <v>3.4264803725881698</v>
      </c>
      <c r="F3418" s="3">
        <v>3.4264803725881698</v>
      </c>
      <c r="G3418" s="3">
        <v>31.09</v>
      </c>
      <c r="H3418" s="3">
        <v>766.38204154163896</v>
      </c>
      <c r="I3418" s="3">
        <v>29.84</v>
      </c>
      <c r="J3418" s="3">
        <v>31.34</v>
      </c>
      <c r="K3418" s="3">
        <v>29.84</v>
      </c>
      <c r="L3418" s="3">
        <v>766.38204154163896</v>
      </c>
    </row>
    <row r="3419" spans="1:12" ht="15" customHeight="1" x14ac:dyDescent="0.2">
      <c r="A3419" s="2">
        <v>41087</v>
      </c>
      <c r="B3419" s="3">
        <v>30.06</v>
      </c>
      <c r="C3419" s="1">
        <v>1068334</v>
      </c>
      <c r="D3419" s="3">
        <v>-0.14000000000000001</v>
      </c>
      <c r="E3419" s="3">
        <v>-0.46357615894040399</v>
      </c>
      <c r="F3419" s="3">
        <v>-0.46357615894040399</v>
      </c>
      <c r="G3419" s="3">
        <v>30.06</v>
      </c>
      <c r="H3419" s="3">
        <v>737.67913054814005</v>
      </c>
      <c r="I3419" s="3">
        <v>30.32</v>
      </c>
      <c r="J3419" s="3">
        <v>30.32</v>
      </c>
      <c r="K3419" s="3">
        <v>29.79</v>
      </c>
      <c r="L3419" s="3">
        <v>737.67913054814005</v>
      </c>
    </row>
    <row r="3420" spans="1:12" ht="15" customHeight="1" x14ac:dyDescent="0.2">
      <c r="A3420" s="2">
        <v>41086</v>
      </c>
      <c r="B3420" s="3">
        <v>30.2</v>
      </c>
      <c r="C3420" s="1">
        <v>740847</v>
      </c>
      <c r="D3420" s="3">
        <v>0.13499999999999801</v>
      </c>
      <c r="E3420" s="3">
        <v>0.44902710793279699</v>
      </c>
      <c r="F3420" s="3">
        <v>0.44902710793279699</v>
      </c>
      <c r="G3420" s="3">
        <v>30.2</v>
      </c>
      <c r="H3420" s="3">
        <v>741.58049709094598</v>
      </c>
      <c r="I3420" s="3">
        <v>30.17</v>
      </c>
      <c r="J3420" s="3">
        <v>30.52</v>
      </c>
      <c r="K3420" s="3">
        <v>29.9</v>
      </c>
      <c r="L3420" s="3">
        <v>741.58049709094598</v>
      </c>
    </row>
    <row r="3421" spans="1:12" ht="15" customHeight="1" x14ac:dyDescent="0.2">
      <c r="A3421" s="2">
        <v>41085</v>
      </c>
      <c r="B3421" s="3">
        <v>30.065000000000001</v>
      </c>
      <c r="C3421" s="1">
        <v>941753</v>
      </c>
      <c r="D3421" s="3">
        <v>-0.67499999999999705</v>
      </c>
      <c r="E3421" s="3">
        <v>-2.19583604424201</v>
      </c>
      <c r="F3421" s="3">
        <v>-2.19583604424201</v>
      </c>
      <c r="G3421" s="3">
        <v>30.065000000000001</v>
      </c>
      <c r="H3421" s="3">
        <v>737.81846506752595</v>
      </c>
      <c r="I3421" s="3">
        <v>30.17</v>
      </c>
      <c r="J3421" s="3">
        <v>30.31</v>
      </c>
      <c r="K3421" s="3">
        <v>29.9</v>
      </c>
      <c r="L3421" s="3">
        <v>737.81846506752595</v>
      </c>
    </row>
    <row r="3422" spans="1:12" ht="15" customHeight="1" x14ac:dyDescent="0.2">
      <c r="A3422" s="2">
        <v>41082</v>
      </c>
      <c r="B3422" s="3">
        <v>30.74</v>
      </c>
      <c r="C3422" s="1">
        <v>694769</v>
      </c>
      <c r="D3422" s="3">
        <v>0.11499999999999801</v>
      </c>
      <c r="E3422" s="3">
        <v>0.375510204081619</v>
      </c>
      <c r="F3422" s="3">
        <v>0.375510204081619</v>
      </c>
      <c r="G3422" s="3">
        <v>30.74</v>
      </c>
      <c r="H3422" s="3">
        <v>756.62862518462498</v>
      </c>
      <c r="I3422" s="3">
        <v>30.66</v>
      </c>
      <c r="J3422" s="3">
        <v>30.93</v>
      </c>
      <c r="K3422" s="3">
        <v>30.37</v>
      </c>
      <c r="L3422" s="3">
        <v>756.62862518462498</v>
      </c>
    </row>
    <row r="3423" spans="1:12" ht="15" customHeight="1" x14ac:dyDescent="0.2">
      <c r="A3423" s="2">
        <v>41081</v>
      </c>
      <c r="B3423" s="3">
        <v>30.625</v>
      </c>
      <c r="C3423" s="1">
        <v>769567</v>
      </c>
      <c r="D3423" s="3">
        <v>-0.57499999999999896</v>
      </c>
      <c r="E3423" s="3">
        <v>-1.8429487179487101</v>
      </c>
      <c r="F3423" s="3">
        <v>-1.8429487179487101</v>
      </c>
      <c r="G3423" s="3">
        <v>30.625</v>
      </c>
      <c r="H3423" s="3">
        <v>753.42393123874899</v>
      </c>
      <c r="I3423" s="3">
        <v>31.31</v>
      </c>
      <c r="J3423" s="3">
        <v>31.31</v>
      </c>
      <c r="K3423" s="3">
        <v>30.504999999999999</v>
      </c>
      <c r="L3423" s="3">
        <v>753.42393123874899</v>
      </c>
    </row>
    <row r="3424" spans="1:12" ht="15" customHeight="1" x14ac:dyDescent="0.2">
      <c r="A3424" s="2">
        <v>41080</v>
      </c>
      <c r="B3424" s="3">
        <v>31.2</v>
      </c>
      <c r="C3424" s="1">
        <v>1167125</v>
      </c>
      <c r="D3424" s="3">
        <v>-0.53000000000000103</v>
      </c>
      <c r="E3424" s="3">
        <v>-1.67034352347935</v>
      </c>
      <c r="F3424" s="3">
        <v>-1.67034352347935</v>
      </c>
      <c r="G3424" s="3">
        <v>31.2</v>
      </c>
      <c r="H3424" s="3">
        <v>769.44740096812905</v>
      </c>
      <c r="I3424" s="3">
        <v>31.82</v>
      </c>
      <c r="J3424" s="3">
        <v>31.83</v>
      </c>
      <c r="K3424" s="3">
        <v>30.86</v>
      </c>
      <c r="L3424" s="3">
        <v>769.44740096812905</v>
      </c>
    </row>
    <row r="3425" spans="1:12" ht="15" customHeight="1" x14ac:dyDescent="0.2">
      <c r="A3425" s="2">
        <v>41079</v>
      </c>
      <c r="B3425" s="3">
        <v>31.73</v>
      </c>
      <c r="C3425" s="1">
        <v>911197</v>
      </c>
      <c r="D3425" s="3">
        <v>-0.109999999999999</v>
      </c>
      <c r="E3425" s="3">
        <v>-0.34547738693466701</v>
      </c>
      <c r="F3425" s="3">
        <v>-0.34547738693466701</v>
      </c>
      <c r="G3425" s="3">
        <v>31.73</v>
      </c>
      <c r="H3425" s="3">
        <v>784.21686002303602</v>
      </c>
      <c r="I3425" s="3">
        <v>31.92</v>
      </c>
      <c r="J3425" s="3">
        <v>31.93</v>
      </c>
      <c r="K3425" s="3">
        <v>31.52</v>
      </c>
      <c r="L3425" s="3">
        <v>784.21686002303602</v>
      </c>
    </row>
    <row r="3426" spans="1:12" ht="15" customHeight="1" x14ac:dyDescent="0.2">
      <c r="A3426" s="2">
        <v>41078</v>
      </c>
      <c r="B3426" s="3">
        <v>31.84</v>
      </c>
      <c r="C3426" s="1">
        <v>579943</v>
      </c>
      <c r="D3426" s="3">
        <v>0.16</v>
      </c>
      <c r="E3426" s="3">
        <v>0.50505050505049698</v>
      </c>
      <c r="F3426" s="3">
        <v>0.50505050505049698</v>
      </c>
      <c r="G3426" s="3">
        <v>31.84</v>
      </c>
      <c r="H3426" s="3">
        <v>787.28221944952702</v>
      </c>
      <c r="I3426" s="3">
        <v>31.43</v>
      </c>
      <c r="J3426" s="3">
        <v>31.98</v>
      </c>
      <c r="K3426" s="3">
        <v>31.19</v>
      </c>
      <c r="L3426" s="3">
        <v>787.28221944952702</v>
      </c>
    </row>
    <row r="3427" spans="1:12" ht="15" customHeight="1" x14ac:dyDescent="0.2">
      <c r="A3427" s="2">
        <v>41075</v>
      </c>
      <c r="B3427" s="3">
        <v>31.68</v>
      </c>
      <c r="C3427" s="1">
        <v>674517</v>
      </c>
      <c r="D3427" s="3">
        <v>0.37999999999999901</v>
      </c>
      <c r="E3427" s="3">
        <v>1.21405750798722</v>
      </c>
      <c r="F3427" s="3">
        <v>1.21405750798722</v>
      </c>
      <c r="G3427" s="3">
        <v>31.68</v>
      </c>
      <c r="H3427" s="3">
        <v>782.82351482917704</v>
      </c>
      <c r="I3427" s="3">
        <v>31.27</v>
      </c>
      <c r="J3427" s="3">
        <v>31.82</v>
      </c>
      <c r="K3427" s="3">
        <v>31.27</v>
      </c>
      <c r="L3427" s="3">
        <v>782.82351482917704</v>
      </c>
    </row>
    <row r="3428" spans="1:12" ht="15" customHeight="1" x14ac:dyDescent="0.2">
      <c r="A3428" s="2">
        <v>41074</v>
      </c>
      <c r="B3428" s="3">
        <v>31.3</v>
      </c>
      <c r="C3428" s="1">
        <v>632630</v>
      </c>
      <c r="D3428" s="3">
        <v>0.60999999999999899</v>
      </c>
      <c r="E3428" s="3">
        <v>1.9876181166503799</v>
      </c>
      <c r="F3428" s="3">
        <v>1.9876181166503799</v>
      </c>
      <c r="G3428" s="3">
        <v>31.3</v>
      </c>
      <c r="H3428" s="3">
        <v>772.234091355847</v>
      </c>
      <c r="I3428" s="3">
        <v>30.68</v>
      </c>
      <c r="J3428" s="3">
        <v>31.51</v>
      </c>
      <c r="K3428" s="3">
        <v>30.68</v>
      </c>
      <c r="L3428" s="3">
        <v>772.234091355847</v>
      </c>
    </row>
    <row r="3429" spans="1:12" ht="15" customHeight="1" x14ac:dyDescent="0.2">
      <c r="A3429" s="2">
        <v>41073</v>
      </c>
      <c r="B3429" s="3">
        <v>30.69</v>
      </c>
      <c r="C3429" s="1">
        <v>879002</v>
      </c>
      <c r="D3429" s="3">
        <v>-0.46999999999999797</v>
      </c>
      <c r="E3429" s="3">
        <v>-1.5083440308087199</v>
      </c>
      <c r="F3429" s="3">
        <v>-1.5083440308087199</v>
      </c>
      <c r="G3429" s="3">
        <v>30.69</v>
      </c>
      <c r="H3429" s="3">
        <v>755.23527999076498</v>
      </c>
      <c r="I3429" s="3">
        <v>31.05</v>
      </c>
      <c r="J3429" s="3">
        <v>31.2</v>
      </c>
      <c r="K3429" s="3">
        <v>30.45</v>
      </c>
      <c r="L3429" s="3">
        <v>755.23527999076498</v>
      </c>
    </row>
    <row r="3430" spans="1:12" ht="15" customHeight="1" x14ac:dyDescent="0.2">
      <c r="A3430" s="2">
        <v>41072</v>
      </c>
      <c r="B3430" s="3">
        <v>31.16</v>
      </c>
      <c r="C3430" s="1">
        <v>486392</v>
      </c>
      <c r="D3430" s="3">
        <v>0.23999999999999799</v>
      </c>
      <c r="E3430" s="3">
        <v>0.77619663648123005</v>
      </c>
      <c r="F3430" s="3">
        <v>0.77619663648123005</v>
      </c>
      <c r="G3430" s="3">
        <v>31.16</v>
      </c>
      <c r="H3430" s="3">
        <v>768.33272481304198</v>
      </c>
      <c r="I3430" s="3">
        <v>31.01</v>
      </c>
      <c r="J3430" s="3">
        <v>31.39</v>
      </c>
      <c r="K3430" s="3">
        <v>30.88</v>
      </c>
      <c r="L3430" s="3">
        <v>768.33272481304198</v>
      </c>
    </row>
    <row r="3431" spans="1:12" ht="15" customHeight="1" x14ac:dyDescent="0.2">
      <c r="A3431" s="2">
        <v>41071</v>
      </c>
      <c r="B3431" s="3">
        <v>30.92</v>
      </c>
      <c r="C3431" s="1">
        <v>994303</v>
      </c>
      <c r="D3431" s="3">
        <v>-0.56999999999999595</v>
      </c>
      <c r="E3431" s="3">
        <v>-1.81009844395044</v>
      </c>
      <c r="F3431" s="3">
        <v>-1.81009844395044</v>
      </c>
      <c r="G3431" s="3">
        <v>30.92</v>
      </c>
      <c r="H3431" s="3">
        <v>761.64466788251798</v>
      </c>
      <c r="I3431" s="3">
        <v>31.91</v>
      </c>
      <c r="J3431" s="3">
        <v>32.18</v>
      </c>
      <c r="K3431" s="3">
        <v>30.85</v>
      </c>
      <c r="L3431" s="3">
        <v>761.64466788251798</v>
      </c>
    </row>
    <row r="3432" spans="1:12" ht="15" customHeight="1" x14ac:dyDescent="0.2">
      <c r="A3432" s="2">
        <v>41068</v>
      </c>
      <c r="B3432" s="3">
        <v>31.49</v>
      </c>
      <c r="C3432" s="1">
        <v>713350</v>
      </c>
      <c r="D3432" s="3">
        <v>0.48999999999999799</v>
      </c>
      <c r="E3432" s="3">
        <v>1.5806451612903201</v>
      </c>
      <c r="F3432" s="3">
        <v>1.5806451612903201</v>
      </c>
      <c r="G3432" s="3">
        <v>31.49</v>
      </c>
      <c r="H3432" s="3">
        <v>777.52880309251202</v>
      </c>
      <c r="I3432" s="3">
        <v>30.83</v>
      </c>
      <c r="J3432" s="3">
        <v>31.51</v>
      </c>
      <c r="K3432" s="3">
        <v>30.51</v>
      </c>
      <c r="L3432" s="3">
        <v>777.52880309251202</v>
      </c>
    </row>
    <row r="3433" spans="1:12" ht="15" customHeight="1" x14ac:dyDescent="0.2">
      <c r="A3433" s="2">
        <v>41067</v>
      </c>
      <c r="B3433" s="3">
        <v>31</v>
      </c>
      <c r="C3433" s="1">
        <v>892762</v>
      </c>
      <c r="D3433" s="3">
        <v>-0.17000000000000101</v>
      </c>
      <c r="E3433" s="3">
        <v>-0.54539621430863505</v>
      </c>
      <c r="F3433" s="3">
        <v>-0.54539621430863505</v>
      </c>
      <c r="G3433" s="3">
        <v>31</v>
      </c>
      <c r="H3433" s="3">
        <v>763.87402019269302</v>
      </c>
      <c r="I3433" s="3">
        <v>31.45</v>
      </c>
      <c r="J3433" s="3">
        <v>31.75</v>
      </c>
      <c r="K3433" s="3">
        <v>30.98</v>
      </c>
      <c r="L3433" s="3">
        <v>763.87402019269302</v>
      </c>
    </row>
    <row r="3434" spans="1:12" ht="15" customHeight="1" x14ac:dyDescent="0.2">
      <c r="A3434" s="2">
        <v>41066</v>
      </c>
      <c r="B3434" s="3">
        <v>31.17</v>
      </c>
      <c r="C3434" s="1">
        <v>1206915</v>
      </c>
      <c r="D3434" s="3">
        <v>0.74000000000000199</v>
      </c>
      <c r="E3434" s="3">
        <v>2.4318107131120699</v>
      </c>
      <c r="F3434" s="3">
        <v>2.4318107131120699</v>
      </c>
      <c r="G3434" s="3">
        <v>31.17</v>
      </c>
      <c r="H3434" s="3">
        <v>768.611393851814</v>
      </c>
      <c r="I3434" s="3">
        <v>30.89</v>
      </c>
      <c r="J3434" s="3">
        <v>31.36</v>
      </c>
      <c r="K3434" s="3">
        <v>30.67</v>
      </c>
      <c r="L3434" s="3">
        <v>768.611393851814</v>
      </c>
    </row>
    <row r="3435" spans="1:12" ht="15" customHeight="1" x14ac:dyDescent="0.2">
      <c r="A3435" s="2">
        <v>41065</v>
      </c>
      <c r="B3435" s="3">
        <v>30.43</v>
      </c>
      <c r="C3435" s="1">
        <v>916481</v>
      </c>
      <c r="D3435" s="3">
        <v>0.14000000000000001</v>
      </c>
      <c r="E3435" s="3">
        <v>0.46219874546054002</v>
      </c>
      <c r="F3435" s="3">
        <v>0.46219874546054002</v>
      </c>
      <c r="G3435" s="3">
        <v>30.43</v>
      </c>
      <c r="H3435" s="3">
        <v>747.98988498269796</v>
      </c>
      <c r="I3435" s="3">
        <v>30.08</v>
      </c>
      <c r="J3435" s="3">
        <v>30.66</v>
      </c>
      <c r="K3435" s="3">
        <v>29.9</v>
      </c>
      <c r="L3435" s="3">
        <v>747.98988498269796</v>
      </c>
    </row>
    <row r="3436" spans="1:12" ht="15" customHeight="1" x14ac:dyDescent="0.2">
      <c r="A3436" s="2">
        <v>41064</v>
      </c>
      <c r="B3436" s="3">
        <v>30.29</v>
      </c>
      <c r="C3436" s="1">
        <v>2140514</v>
      </c>
      <c r="D3436" s="3">
        <v>-1.06</v>
      </c>
      <c r="E3436" s="3">
        <v>-3.3811802232854902</v>
      </c>
      <c r="F3436" s="3">
        <v>-3.3811802232854902</v>
      </c>
      <c r="G3436" s="3">
        <v>30.29</v>
      </c>
      <c r="H3436" s="3">
        <v>744.08851843989203</v>
      </c>
      <c r="I3436" s="3">
        <v>30.63</v>
      </c>
      <c r="J3436" s="3">
        <v>31.09</v>
      </c>
      <c r="K3436" s="3">
        <v>29.44</v>
      </c>
      <c r="L3436" s="3">
        <v>744.08851843989203</v>
      </c>
    </row>
    <row r="3437" spans="1:12" ht="15" customHeight="1" x14ac:dyDescent="0.2">
      <c r="A3437" s="2">
        <v>41061</v>
      </c>
      <c r="B3437" s="3">
        <v>31.35</v>
      </c>
      <c r="C3437" s="1">
        <v>751324</v>
      </c>
      <c r="D3437" s="3">
        <v>-1.0899999999999901</v>
      </c>
      <c r="E3437" s="3">
        <v>-3.3600493218248899</v>
      </c>
      <c r="F3437" s="3">
        <v>-3.3600493218248899</v>
      </c>
      <c r="G3437" s="3">
        <v>31.35</v>
      </c>
      <c r="H3437" s="3">
        <v>773.627436549707</v>
      </c>
      <c r="I3437" s="3">
        <v>31.78</v>
      </c>
      <c r="J3437" s="3">
        <v>32</v>
      </c>
      <c r="K3437" s="3">
        <v>31.1</v>
      </c>
      <c r="L3437" s="3">
        <v>773.627436549707</v>
      </c>
    </row>
    <row r="3438" spans="1:12" ht="15" customHeight="1" x14ac:dyDescent="0.2">
      <c r="A3438" s="2">
        <v>41060</v>
      </c>
      <c r="B3438" s="3">
        <v>32.44</v>
      </c>
      <c r="C3438" s="1">
        <v>476963</v>
      </c>
      <c r="D3438" s="3">
        <v>-1.00000000000051E-2</v>
      </c>
      <c r="E3438" s="3">
        <v>-3.08166409861532E-2</v>
      </c>
      <c r="F3438" s="3">
        <v>-3.08166409861532E-2</v>
      </c>
      <c r="G3438" s="3">
        <v>32.44</v>
      </c>
      <c r="H3438" s="3">
        <v>804.00236177583702</v>
      </c>
      <c r="I3438" s="3">
        <v>32.520000000000003</v>
      </c>
      <c r="J3438" s="3">
        <v>32.590000000000003</v>
      </c>
      <c r="K3438" s="3">
        <v>32</v>
      </c>
      <c r="L3438" s="3">
        <v>804.00236177583702</v>
      </c>
    </row>
    <row r="3439" spans="1:12" ht="15" customHeight="1" x14ac:dyDescent="0.2">
      <c r="A3439" s="2">
        <v>41059</v>
      </c>
      <c r="B3439" s="3">
        <v>32.450000000000003</v>
      </c>
      <c r="C3439" s="1">
        <v>670512</v>
      </c>
      <c r="D3439" s="3">
        <v>-0.52999999999999403</v>
      </c>
      <c r="E3439" s="3">
        <v>-1.6070345664038601</v>
      </c>
      <c r="F3439" s="3">
        <v>-1.6070345664038601</v>
      </c>
      <c r="G3439" s="3">
        <v>32.450000000000003</v>
      </c>
      <c r="H3439" s="3">
        <v>804.28103081460904</v>
      </c>
      <c r="I3439" s="3">
        <v>32.61</v>
      </c>
      <c r="J3439" s="3">
        <v>32.72</v>
      </c>
      <c r="K3439" s="3">
        <v>32.229999999999997</v>
      </c>
      <c r="L3439" s="3">
        <v>804.28103081460904</v>
      </c>
    </row>
    <row r="3440" spans="1:12" ht="15" customHeight="1" x14ac:dyDescent="0.2">
      <c r="A3440" s="2">
        <v>41058</v>
      </c>
      <c r="B3440" s="3">
        <v>32.979999999999997</v>
      </c>
      <c r="C3440" s="1">
        <v>844669</v>
      </c>
      <c r="D3440" s="3">
        <v>0.63999999999999302</v>
      </c>
      <c r="E3440" s="3">
        <v>1.97897340754482</v>
      </c>
      <c r="F3440" s="3">
        <v>1.97897340754482</v>
      </c>
      <c r="G3440" s="3">
        <v>32.979999999999997</v>
      </c>
      <c r="H3440" s="3">
        <v>819.05048986951601</v>
      </c>
      <c r="I3440" s="3">
        <v>32.47</v>
      </c>
      <c r="J3440" s="3">
        <v>33</v>
      </c>
      <c r="K3440" s="3">
        <v>32.43</v>
      </c>
      <c r="L3440" s="3">
        <v>819.05048986951601</v>
      </c>
    </row>
    <row r="3441" spans="1:12" ht="15" customHeight="1" x14ac:dyDescent="0.2">
      <c r="A3441" s="2">
        <v>41054</v>
      </c>
      <c r="B3441" s="3">
        <v>32.340000000000003</v>
      </c>
      <c r="C3441" s="1">
        <v>604411</v>
      </c>
      <c r="D3441" s="3">
        <v>-5.9999999999995099E-2</v>
      </c>
      <c r="E3441" s="3">
        <v>-0.185185185185166</v>
      </c>
      <c r="F3441" s="3">
        <v>-0.185185185185166</v>
      </c>
      <c r="G3441" s="3">
        <v>32.340000000000003</v>
      </c>
      <c r="H3441" s="3">
        <v>801.21567138811895</v>
      </c>
      <c r="I3441" s="3">
        <v>32.340000000000003</v>
      </c>
      <c r="J3441" s="3">
        <v>32.58</v>
      </c>
      <c r="K3441" s="3">
        <v>32.200000000000003</v>
      </c>
      <c r="L3441" s="3">
        <v>801.21567138811895</v>
      </c>
    </row>
    <row r="3442" spans="1:12" ht="15" customHeight="1" x14ac:dyDescent="0.2">
      <c r="A3442" s="2">
        <v>41053</v>
      </c>
      <c r="B3442" s="3">
        <v>32.4</v>
      </c>
      <c r="C3442" s="1">
        <v>1034082</v>
      </c>
      <c r="D3442" s="3">
        <v>0.42999999999999899</v>
      </c>
      <c r="E3442" s="3">
        <v>1.3450109477635299</v>
      </c>
      <c r="F3442" s="3">
        <v>1.3450109477635299</v>
      </c>
      <c r="G3442" s="3">
        <v>32.4</v>
      </c>
      <c r="H3442" s="3">
        <v>802.88768562074995</v>
      </c>
      <c r="I3442" s="3">
        <v>32.1</v>
      </c>
      <c r="J3442" s="3">
        <v>32.409999999999997</v>
      </c>
      <c r="K3442" s="3">
        <v>31.91</v>
      </c>
      <c r="L3442" s="3">
        <v>802.88768562074995</v>
      </c>
    </row>
    <row r="3443" spans="1:12" ht="15" customHeight="1" x14ac:dyDescent="0.2">
      <c r="A3443" s="2">
        <v>41052</v>
      </c>
      <c r="B3443" s="3">
        <v>31.97</v>
      </c>
      <c r="C3443" s="1">
        <v>1211241</v>
      </c>
      <c r="D3443" s="3">
        <v>0.66999999999999804</v>
      </c>
      <c r="E3443" s="3">
        <v>2.1405750798721899</v>
      </c>
      <c r="F3443" s="3">
        <v>2.1405750798721899</v>
      </c>
      <c r="G3443" s="3">
        <v>31.97</v>
      </c>
      <c r="H3443" s="3">
        <v>790.90491695356104</v>
      </c>
      <c r="I3443" s="3">
        <v>30.91</v>
      </c>
      <c r="J3443" s="3">
        <v>32.130000000000003</v>
      </c>
      <c r="K3443" s="3">
        <v>30.91</v>
      </c>
      <c r="L3443" s="3">
        <v>790.90491695356104</v>
      </c>
    </row>
    <row r="3444" spans="1:12" ht="15" customHeight="1" x14ac:dyDescent="0.2">
      <c r="A3444" s="2">
        <v>41051</v>
      </c>
      <c r="B3444" s="3">
        <v>31.3</v>
      </c>
      <c r="C3444" s="1">
        <v>765026</v>
      </c>
      <c r="D3444" s="3">
        <v>0.109999999999999</v>
      </c>
      <c r="E3444" s="3">
        <v>0.35267714010900297</v>
      </c>
      <c r="F3444" s="3">
        <v>0.35267714010900297</v>
      </c>
      <c r="G3444" s="3">
        <v>31.3</v>
      </c>
      <c r="H3444" s="3">
        <v>772.234091355847</v>
      </c>
      <c r="I3444" s="3">
        <v>31.37</v>
      </c>
      <c r="J3444" s="3">
        <v>31.6</v>
      </c>
      <c r="K3444" s="3">
        <v>31.15</v>
      </c>
      <c r="L3444" s="3">
        <v>772.234091355847</v>
      </c>
    </row>
    <row r="3445" spans="1:12" ht="15" customHeight="1" x14ac:dyDescent="0.2">
      <c r="A3445" s="2">
        <v>41050</v>
      </c>
      <c r="B3445" s="3">
        <v>31.19</v>
      </c>
      <c r="C3445" s="1">
        <v>943442</v>
      </c>
      <c r="D3445" s="3">
        <v>0.39</v>
      </c>
      <c r="E3445" s="3">
        <v>1.2662337662337499</v>
      </c>
      <c r="F3445" s="3">
        <v>1.2662337662337499</v>
      </c>
      <c r="G3445" s="3">
        <v>31.19</v>
      </c>
      <c r="H3445" s="3">
        <v>769.16873192935702</v>
      </c>
      <c r="I3445" s="3">
        <v>30.94</v>
      </c>
      <c r="J3445" s="3">
        <v>31.31</v>
      </c>
      <c r="K3445" s="3">
        <v>30.451000000000001</v>
      </c>
      <c r="L3445" s="3">
        <v>769.16873192935702</v>
      </c>
    </row>
    <row r="3446" spans="1:12" ht="15" customHeight="1" x14ac:dyDescent="0.2">
      <c r="A3446" s="2">
        <v>41047</v>
      </c>
      <c r="B3446" s="3">
        <v>30.8</v>
      </c>
      <c r="C3446" s="1">
        <v>932924</v>
      </c>
      <c r="D3446" s="3">
        <v>-0.21</v>
      </c>
      <c r="E3446" s="3">
        <v>-0.67720090293453805</v>
      </c>
      <c r="F3446" s="3">
        <v>-0.67720090293453805</v>
      </c>
      <c r="G3446" s="3">
        <v>30.8</v>
      </c>
      <c r="H3446" s="3">
        <v>758.30063941725598</v>
      </c>
      <c r="I3446" s="3">
        <v>31.01</v>
      </c>
      <c r="J3446" s="3">
        <v>31.41</v>
      </c>
      <c r="K3446" s="3">
        <v>30.64</v>
      </c>
      <c r="L3446" s="3">
        <v>758.30063941725598</v>
      </c>
    </row>
    <row r="3447" spans="1:12" ht="15" customHeight="1" x14ac:dyDescent="0.2">
      <c r="A3447" s="2">
        <v>41046</v>
      </c>
      <c r="B3447" s="3">
        <v>31.01</v>
      </c>
      <c r="C3447" s="1">
        <v>799186</v>
      </c>
      <c r="D3447" s="3">
        <v>-0.69999999999999896</v>
      </c>
      <c r="E3447" s="3">
        <v>-2.20750551876379</v>
      </c>
      <c r="F3447" s="3">
        <v>-2.20750551876379</v>
      </c>
      <c r="G3447" s="3">
        <v>31.01</v>
      </c>
      <c r="H3447" s="3">
        <v>764.15268923146402</v>
      </c>
      <c r="I3447" s="3">
        <v>31.83</v>
      </c>
      <c r="J3447" s="3">
        <v>31.83</v>
      </c>
      <c r="K3447" s="3">
        <v>30.945</v>
      </c>
      <c r="L3447" s="3">
        <v>764.15268923146402</v>
      </c>
    </row>
    <row r="3448" spans="1:12" ht="15" customHeight="1" x14ac:dyDescent="0.2">
      <c r="A3448" s="2">
        <v>41045</v>
      </c>
      <c r="B3448" s="3">
        <v>31.71</v>
      </c>
      <c r="C3448" s="1">
        <v>1206073</v>
      </c>
      <c r="D3448" s="3">
        <v>3.9999999999999099E-2</v>
      </c>
      <c r="E3448" s="3">
        <v>0.126302494474273</v>
      </c>
      <c r="F3448" s="3">
        <v>0.126302494474273</v>
      </c>
      <c r="G3448" s="3">
        <v>31.71</v>
      </c>
      <c r="H3448" s="3">
        <v>783.659521945493</v>
      </c>
      <c r="I3448" s="3">
        <v>31.76</v>
      </c>
      <c r="J3448" s="3">
        <v>32.36</v>
      </c>
      <c r="K3448" s="3">
        <v>31.6</v>
      </c>
      <c r="L3448" s="3">
        <v>783.659521945493</v>
      </c>
    </row>
    <row r="3449" spans="1:12" ht="15" customHeight="1" x14ac:dyDescent="0.2">
      <c r="A3449" s="2">
        <v>41044</v>
      </c>
      <c r="B3449" s="3">
        <v>31.67</v>
      </c>
      <c r="C3449" s="1">
        <v>809848</v>
      </c>
      <c r="D3449" s="3">
        <v>-0.119999999999997</v>
      </c>
      <c r="E3449" s="3">
        <v>-0.37747719408618402</v>
      </c>
      <c r="F3449" s="3">
        <v>-0.37747719408618402</v>
      </c>
      <c r="G3449" s="3">
        <v>31.67</v>
      </c>
      <c r="H3449" s="3">
        <v>782.54484579040604</v>
      </c>
      <c r="I3449" s="3">
        <v>31.7</v>
      </c>
      <c r="J3449" s="3">
        <v>32.01</v>
      </c>
      <c r="K3449" s="3">
        <v>31.57</v>
      </c>
      <c r="L3449" s="3">
        <v>782.54484579040604</v>
      </c>
    </row>
    <row r="3450" spans="1:12" ht="15" customHeight="1" x14ac:dyDescent="0.2">
      <c r="A3450" s="2">
        <v>41043</v>
      </c>
      <c r="B3450" s="3">
        <v>31.79</v>
      </c>
      <c r="C3450" s="1">
        <v>1104413</v>
      </c>
      <c r="D3450" s="3">
        <v>-0.630000000000002</v>
      </c>
      <c r="E3450" s="3">
        <v>-1.9432449105490399</v>
      </c>
      <c r="F3450" s="3">
        <v>-1.9432449105490399</v>
      </c>
      <c r="G3450" s="3">
        <v>31.79</v>
      </c>
      <c r="H3450" s="3">
        <v>785.88887425566804</v>
      </c>
      <c r="I3450" s="3">
        <v>32.159999999999997</v>
      </c>
      <c r="J3450" s="3">
        <v>32.26</v>
      </c>
      <c r="K3450" s="3">
        <v>31.62</v>
      </c>
      <c r="L3450" s="3">
        <v>785.88887425566804</v>
      </c>
    </row>
    <row r="3451" spans="1:12" ht="15" customHeight="1" x14ac:dyDescent="0.2">
      <c r="A3451" s="2">
        <v>41040</v>
      </c>
      <c r="B3451" s="3">
        <v>32.42</v>
      </c>
      <c r="C3451" s="1">
        <v>1068339</v>
      </c>
      <c r="D3451" s="3">
        <v>1.00000000000051E-2</v>
      </c>
      <c r="E3451" s="3">
        <v>3.0854674483204999E-2</v>
      </c>
      <c r="F3451" s="3">
        <v>3.0854674483204999E-2</v>
      </c>
      <c r="G3451" s="3">
        <v>32.42</v>
      </c>
      <c r="H3451" s="3">
        <v>803.44502369829297</v>
      </c>
      <c r="I3451" s="3">
        <v>32.08</v>
      </c>
      <c r="J3451" s="3">
        <v>32.64</v>
      </c>
      <c r="K3451" s="3">
        <v>32.049999999999997</v>
      </c>
      <c r="L3451" s="3">
        <v>803.44502369829297</v>
      </c>
    </row>
    <row r="3452" spans="1:12" ht="15" customHeight="1" x14ac:dyDescent="0.2">
      <c r="A3452" s="2">
        <v>41039</v>
      </c>
      <c r="B3452" s="3">
        <v>32.409999999999997</v>
      </c>
      <c r="C3452" s="1">
        <v>1477938</v>
      </c>
      <c r="D3452" s="3">
        <v>0.38999999999999302</v>
      </c>
      <c r="E3452" s="3">
        <v>1.21798875702683</v>
      </c>
      <c r="F3452" s="3">
        <v>1.21798875702683</v>
      </c>
      <c r="G3452" s="3">
        <v>32.409999999999997</v>
      </c>
      <c r="H3452" s="3">
        <v>803.16635465952095</v>
      </c>
      <c r="I3452" s="3">
        <v>32.159999999999997</v>
      </c>
      <c r="J3452" s="3">
        <v>32.549999999999997</v>
      </c>
      <c r="K3452" s="3">
        <v>32.119999999999997</v>
      </c>
      <c r="L3452" s="3">
        <v>803.16635465952095</v>
      </c>
    </row>
    <row r="3453" spans="1:12" ht="15" customHeight="1" x14ac:dyDescent="0.2">
      <c r="A3453" s="2">
        <v>41038</v>
      </c>
      <c r="B3453" s="3">
        <v>32.020000000000003</v>
      </c>
      <c r="C3453" s="1">
        <v>1125315</v>
      </c>
      <c r="D3453" s="3">
        <v>7.0000000000003795E-2</v>
      </c>
      <c r="E3453" s="3">
        <v>0.21909233176840001</v>
      </c>
      <c r="F3453" s="3">
        <v>0.21909233176840001</v>
      </c>
      <c r="G3453" s="3">
        <v>32.020000000000003</v>
      </c>
      <c r="H3453" s="3">
        <v>792.29826214742002</v>
      </c>
      <c r="I3453" s="3">
        <v>31.76</v>
      </c>
      <c r="J3453" s="3">
        <v>32.159999999999997</v>
      </c>
      <c r="K3453" s="3">
        <v>31.51</v>
      </c>
      <c r="L3453" s="3">
        <v>792.29826214742002</v>
      </c>
    </row>
    <row r="3454" spans="1:12" ht="15" customHeight="1" x14ac:dyDescent="0.2">
      <c r="A3454" s="2">
        <v>41037</v>
      </c>
      <c r="B3454" s="3">
        <v>31.95</v>
      </c>
      <c r="C3454" s="1">
        <v>1301278</v>
      </c>
      <c r="D3454" s="3">
        <v>-0.16</v>
      </c>
      <c r="E3454" s="3">
        <v>-0.49828713796324903</v>
      </c>
      <c r="F3454" s="3">
        <v>-0.49828713796324903</v>
      </c>
      <c r="G3454" s="3">
        <v>31.95</v>
      </c>
      <c r="H3454" s="3">
        <v>790.347578876017</v>
      </c>
      <c r="I3454" s="3">
        <v>31.88</v>
      </c>
      <c r="J3454" s="3">
        <v>31.96</v>
      </c>
      <c r="K3454" s="3">
        <v>31.36</v>
      </c>
      <c r="L3454" s="3">
        <v>790.347578876017</v>
      </c>
    </row>
    <row r="3455" spans="1:12" ht="15" customHeight="1" x14ac:dyDescent="0.2">
      <c r="A3455" s="2">
        <v>41036</v>
      </c>
      <c r="B3455" s="3">
        <v>32.11</v>
      </c>
      <c r="C3455" s="1">
        <v>811561</v>
      </c>
      <c r="D3455" s="3">
        <v>0.100000000000001</v>
      </c>
      <c r="E3455" s="3">
        <v>0.31240237425804701</v>
      </c>
      <c r="F3455" s="3">
        <v>0.31240237425804701</v>
      </c>
      <c r="G3455" s="3">
        <v>32.11</v>
      </c>
      <c r="H3455" s="3">
        <v>794.80628349636595</v>
      </c>
      <c r="I3455" s="3">
        <v>32</v>
      </c>
      <c r="J3455" s="3">
        <v>32.26</v>
      </c>
      <c r="K3455" s="3">
        <v>31.72</v>
      </c>
      <c r="L3455" s="3">
        <v>794.80628349636595</v>
      </c>
    </row>
    <row r="3456" spans="1:12" ht="15" customHeight="1" x14ac:dyDescent="0.2">
      <c r="A3456" s="2">
        <v>41033</v>
      </c>
      <c r="B3456" s="3">
        <v>32.01</v>
      </c>
      <c r="C3456" s="1">
        <v>893504</v>
      </c>
      <c r="D3456" s="3">
        <v>-0.219999999999998</v>
      </c>
      <c r="E3456" s="3">
        <v>-0.68259385665528904</v>
      </c>
      <c r="F3456" s="3">
        <v>-0.68259385665528904</v>
      </c>
      <c r="G3456" s="3">
        <v>32.01</v>
      </c>
      <c r="H3456" s="3">
        <v>792.019593108648</v>
      </c>
      <c r="I3456" s="3">
        <v>32.08</v>
      </c>
      <c r="J3456" s="3">
        <v>32.21</v>
      </c>
      <c r="K3456" s="3">
        <v>31.69</v>
      </c>
      <c r="L3456" s="3">
        <v>792.019593108648</v>
      </c>
    </row>
    <row r="3457" spans="1:12" ht="15" customHeight="1" x14ac:dyDescent="0.2">
      <c r="A3457" s="2">
        <v>41032</v>
      </c>
      <c r="B3457" s="3">
        <v>32.229999999999997</v>
      </c>
      <c r="C3457" s="1">
        <v>693343</v>
      </c>
      <c r="D3457" s="3">
        <v>-0.190000000000004</v>
      </c>
      <c r="E3457" s="3">
        <v>-0.58605798889576</v>
      </c>
      <c r="F3457" s="3">
        <v>-0.58605798889576</v>
      </c>
      <c r="G3457" s="3">
        <v>32.229999999999997</v>
      </c>
      <c r="H3457" s="3">
        <v>798.15031196162795</v>
      </c>
      <c r="I3457" s="3">
        <v>32.44</v>
      </c>
      <c r="J3457" s="3">
        <v>32.64</v>
      </c>
      <c r="K3457" s="3">
        <v>32.04</v>
      </c>
      <c r="L3457" s="3">
        <v>798.15031196162795</v>
      </c>
    </row>
    <row r="3458" spans="1:12" ht="15" customHeight="1" x14ac:dyDescent="0.2">
      <c r="A3458" s="2">
        <v>41031</v>
      </c>
      <c r="B3458" s="3">
        <v>32.42</v>
      </c>
      <c r="C3458" s="1">
        <v>783293</v>
      </c>
      <c r="D3458" s="3">
        <v>-0.12999999999999501</v>
      </c>
      <c r="E3458" s="3">
        <v>-0.399385560675868</v>
      </c>
      <c r="F3458" s="3">
        <v>-0.399385560675868</v>
      </c>
      <c r="G3458" s="3">
        <v>32.42</v>
      </c>
      <c r="H3458" s="3">
        <v>803.44502369829297</v>
      </c>
      <c r="I3458" s="3">
        <v>32.24</v>
      </c>
      <c r="J3458" s="3">
        <v>32.76</v>
      </c>
      <c r="K3458" s="3">
        <v>32.24</v>
      </c>
      <c r="L3458" s="3">
        <v>803.44502369829297</v>
      </c>
    </row>
    <row r="3459" spans="1:12" ht="15" customHeight="1" x14ac:dyDescent="0.2">
      <c r="A3459" s="2">
        <v>41030</v>
      </c>
      <c r="B3459" s="3">
        <v>32.549999999999997</v>
      </c>
      <c r="C3459" s="1">
        <v>2999425</v>
      </c>
      <c r="D3459" s="3">
        <v>1.0499999999999901</v>
      </c>
      <c r="E3459" s="3">
        <v>3.3333333333333202</v>
      </c>
      <c r="F3459" s="3">
        <v>3.3333333333333202</v>
      </c>
      <c r="G3459" s="3">
        <v>32.549999999999997</v>
      </c>
      <c r="H3459" s="3">
        <v>807.06772120232699</v>
      </c>
      <c r="I3459" s="3">
        <v>32.81</v>
      </c>
      <c r="J3459" s="3">
        <v>33.299999999999997</v>
      </c>
      <c r="K3459" s="3">
        <v>31.75</v>
      </c>
      <c r="L3459" s="3">
        <v>807.06772120232699</v>
      </c>
    </row>
    <row r="3460" spans="1:12" ht="15" customHeight="1" x14ac:dyDescent="0.2">
      <c r="A3460" s="2">
        <v>41029</v>
      </c>
      <c r="B3460" s="3">
        <v>31.5</v>
      </c>
      <c r="C3460" s="1">
        <v>729853</v>
      </c>
      <c r="D3460" s="3">
        <v>-0.35000000000000098</v>
      </c>
      <c r="E3460" s="3">
        <v>-1.0989010989011001</v>
      </c>
      <c r="F3460" s="3">
        <v>-1.0989010989011001</v>
      </c>
      <c r="G3460" s="3">
        <v>31.5</v>
      </c>
      <c r="H3460" s="3">
        <v>777.80747213128404</v>
      </c>
      <c r="I3460" s="3">
        <v>31.67</v>
      </c>
      <c r="J3460" s="3">
        <v>31.8</v>
      </c>
      <c r="K3460" s="3">
        <v>31.32</v>
      </c>
      <c r="L3460" s="3">
        <v>777.80747213128404</v>
      </c>
    </row>
    <row r="3461" spans="1:12" ht="15" customHeight="1" x14ac:dyDescent="0.2">
      <c r="A3461" s="2">
        <v>41026</v>
      </c>
      <c r="B3461" s="3">
        <v>31.85</v>
      </c>
      <c r="C3461" s="1">
        <v>951422</v>
      </c>
      <c r="D3461" s="3">
        <v>0.12000000000000099</v>
      </c>
      <c r="E3461" s="3">
        <v>0.37819098644815602</v>
      </c>
      <c r="F3461" s="3">
        <v>0.37819098644815602</v>
      </c>
      <c r="G3461" s="3">
        <v>31.85</v>
      </c>
      <c r="H3461" s="3">
        <v>787.56088848829904</v>
      </c>
      <c r="I3461" s="3">
        <v>31.93</v>
      </c>
      <c r="J3461" s="3">
        <v>31.98</v>
      </c>
      <c r="K3461" s="3">
        <v>31.26</v>
      </c>
      <c r="L3461" s="3">
        <v>787.56088848829904</v>
      </c>
    </row>
    <row r="3462" spans="1:12" ht="15" customHeight="1" x14ac:dyDescent="0.2">
      <c r="A3462" s="2">
        <v>41025</v>
      </c>
      <c r="B3462" s="3">
        <v>31.73</v>
      </c>
      <c r="C3462" s="1">
        <v>1956048</v>
      </c>
      <c r="D3462" s="3">
        <v>0.71</v>
      </c>
      <c r="E3462" s="3">
        <v>2.28884590586717</v>
      </c>
      <c r="F3462" s="3">
        <v>2.28884590586717</v>
      </c>
      <c r="G3462" s="3">
        <v>31.73</v>
      </c>
      <c r="H3462" s="3">
        <v>784.21686002303602</v>
      </c>
      <c r="I3462" s="3">
        <v>31.9</v>
      </c>
      <c r="J3462" s="3">
        <v>32.369999999999997</v>
      </c>
      <c r="K3462" s="3">
        <v>30.97</v>
      </c>
      <c r="L3462" s="3">
        <v>784.21686002303602</v>
      </c>
    </row>
    <row r="3463" spans="1:12" ht="15" customHeight="1" x14ac:dyDescent="0.2">
      <c r="A3463" s="2">
        <v>41024</v>
      </c>
      <c r="B3463" s="3">
        <v>31.02</v>
      </c>
      <c r="C3463" s="1">
        <v>1788220</v>
      </c>
      <c r="D3463" s="3">
        <v>0.59999999999999698</v>
      </c>
      <c r="E3463" s="3">
        <v>1.9723865877711899</v>
      </c>
      <c r="F3463" s="3">
        <v>1.9723865877711899</v>
      </c>
      <c r="G3463" s="3">
        <v>31.02</v>
      </c>
      <c r="H3463" s="3">
        <v>764.43135827023605</v>
      </c>
      <c r="I3463" s="3">
        <v>30.65</v>
      </c>
      <c r="J3463" s="3">
        <v>31.13</v>
      </c>
      <c r="K3463" s="3">
        <v>30.65</v>
      </c>
      <c r="L3463" s="3">
        <v>764.43135827023605</v>
      </c>
    </row>
    <row r="3464" spans="1:12" ht="15" customHeight="1" x14ac:dyDescent="0.2">
      <c r="A3464" s="2">
        <v>41023</v>
      </c>
      <c r="B3464" s="3">
        <v>30.42</v>
      </c>
      <c r="C3464" s="1">
        <v>2158438</v>
      </c>
      <c r="D3464" s="3">
        <v>0.15000000000000199</v>
      </c>
      <c r="E3464" s="3">
        <v>0.49554013875123798</v>
      </c>
      <c r="F3464" s="3">
        <v>0.49554013875123798</v>
      </c>
      <c r="G3464" s="3">
        <v>30.42</v>
      </c>
      <c r="H3464" s="3">
        <v>747.71121594392605</v>
      </c>
      <c r="I3464" s="3">
        <v>30.28</v>
      </c>
      <c r="J3464" s="3">
        <v>31.08</v>
      </c>
      <c r="K3464" s="3">
        <v>30.14</v>
      </c>
      <c r="L3464" s="3">
        <v>747.71121594392605</v>
      </c>
    </row>
    <row r="3465" spans="1:12" ht="15" customHeight="1" x14ac:dyDescent="0.2">
      <c r="A3465" s="2">
        <v>41022</v>
      </c>
      <c r="B3465" s="3">
        <v>30.27</v>
      </c>
      <c r="C3465" s="1">
        <v>2560762</v>
      </c>
      <c r="D3465" s="3">
        <v>0.59999999999999698</v>
      </c>
      <c r="E3465" s="3">
        <v>2.02224469160767</v>
      </c>
      <c r="F3465" s="3">
        <v>2.02224469160767</v>
      </c>
      <c r="G3465" s="3">
        <v>30.27</v>
      </c>
      <c r="H3465" s="3">
        <v>743.53118036234798</v>
      </c>
      <c r="I3465" s="3">
        <v>29.53</v>
      </c>
      <c r="J3465" s="3">
        <v>30.45</v>
      </c>
      <c r="K3465" s="3">
        <v>29.33</v>
      </c>
      <c r="L3465" s="3">
        <v>743.53118036234798</v>
      </c>
    </row>
    <row r="3466" spans="1:12" ht="15" customHeight="1" x14ac:dyDescent="0.2">
      <c r="A3466" s="2">
        <v>41019</v>
      </c>
      <c r="B3466" s="3">
        <v>29.67</v>
      </c>
      <c r="C3466" s="1">
        <v>900732</v>
      </c>
      <c r="D3466" s="3">
        <v>0.35000000000000098</v>
      </c>
      <c r="E3466" s="3">
        <v>1.19372442019101</v>
      </c>
      <c r="F3466" s="3">
        <v>1.19372442019101</v>
      </c>
      <c r="G3466" s="3">
        <v>29.67</v>
      </c>
      <c r="H3466" s="3">
        <v>726.81103803603798</v>
      </c>
      <c r="I3466" s="3">
        <v>29.69</v>
      </c>
      <c r="J3466" s="3">
        <v>29.99</v>
      </c>
      <c r="K3466" s="3">
        <v>29.47</v>
      </c>
      <c r="L3466" s="3">
        <v>726.81103803603798</v>
      </c>
    </row>
    <row r="3467" spans="1:12" ht="15" customHeight="1" x14ac:dyDescent="0.2">
      <c r="A3467" s="2">
        <v>41018</v>
      </c>
      <c r="B3467" s="3">
        <v>29.32</v>
      </c>
      <c r="C3467" s="1">
        <v>1325823</v>
      </c>
      <c r="D3467" s="3">
        <v>-0.149999999999998</v>
      </c>
      <c r="E3467" s="3">
        <v>-0.50899219545299501</v>
      </c>
      <c r="F3467" s="3">
        <v>-0.50899219545299501</v>
      </c>
      <c r="G3467" s="3">
        <v>29.32</v>
      </c>
      <c r="H3467" s="3">
        <v>717.05762167902401</v>
      </c>
      <c r="I3467" s="3">
        <v>29.56</v>
      </c>
      <c r="J3467" s="3">
        <v>29.9099</v>
      </c>
      <c r="K3467" s="3">
        <v>29.2</v>
      </c>
      <c r="L3467" s="3">
        <v>717.05762167902401</v>
      </c>
    </row>
    <row r="3468" spans="1:12" ht="15" customHeight="1" x14ac:dyDescent="0.2">
      <c r="A3468" s="2">
        <v>41017</v>
      </c>
      <c r="B3468" s="3">
        <v>29.47</v>
      </c>
      <c r="C3468" s="1">
        <v>831043</v>
      </c>
      <c r="D3468" s="3">
        <v>2.9999999999997501E-2</v>
      </c>
      <c r="E3468" s="3">
        <v>0.10190217391303701</v>
      </c>
      <c r="F3468" s="3">
        <v>0.10190217391303701</v>
      </c>
      <c r="G3468" s="3">
        <v>29.47</v>
      </c>
      <c r="H3468" s="3">
        <v>721.23765726060196</v>
      </c>
      <c r="I3468" s="3">
        <v>29.4</v>
      </c>
      <c r="J3468" s="3">
        <v>29.62</v>
      </c>
      <c r="K3468" s="3">
        <v>29.27</v>
      </c>
      <c r="L3468" s="3">
        <v>721.23765726060196</v>
      </c>
    </row>
    <row r="3469" spans="1:12" ht="15" customHeight="1" x14ac:dyDescent="0.2">
      <c r="A3469" s="2">
        <v>41016</v>
      </c>
      <c r="B3469" s="3">
        <v>29.44</v>
      </c>
      <c r="C3469" s="1">
        <v>1207220</v>
      </c>
      <c r="D3469" s="3">
        <v>-9.9999999999980105E-3</v>
      </c>
      <c r="E3469" s="3">
        <v>-3.3955857385392599E-2</v>
      </c>
      <c r="F3469" s="3">
        <v>-3.3955857385392599E-2</v>
      </c>
      <c r="G3469" s="3">
        <v>29.44</v>
      </c>
      <c r="H3469" s="3">
        <v>720.40165014428601</v>
      </c>
      <c r="I3469" s="3">
        <v>29.66</v>
      </c>
      <c r="J3469" s="3">
        <v>29.66</v>
      </c>
      <c r="K3469" s="3">
        <v>29.13</v>
      </c>
      <c r="L3469" s="3">
        <v>720.40165014428601</v>
      </c>
    </row>
    <row r="3470" spans="1:12" ht="15" customHeight="1" x14ac:dyDescent="0.2">
      <c r="A3470" s="2">
        <v>41015</v>
      </c>
      <c r="B3470" s="3">
        <v>29.45</v>
      </c>
      <c r="C3470" s="1">
        <v>813888</v>
      </c>
      <c r="D3470" s="3">
        <v>-0.15000000000000199</v>
      </c>
      <c r="E3470" s="3">
        <v>-0.50675675675676501</v>
      </c>
      <c r="F3470" s="3">
        <v>-0.50675675675676501</v>
      </c>
      <c r="G3470" s="3">
        <v>29.45</v>
      </c>
      <c r="H3470" s="3">
        <v>720.68031918305803</v>
      </c>
      <c r="I3470" s="3">
        <v>29.85</v>
      </c>
      <c r="J3470" s="3">
        <v>29.85</v>
      </c>
      <c r="K3470" s="3">
        <v>29.13</v>
      </c>
      <c r="L3470" s="3">
        <v>720.68031918305803</v>
      </c>
    </row>
    <row r="3471" spans="1:12" ht="15" customHeight="1" x14ac:dyDescent="0.2">
      <c r="A3471" s="2">
        <v>41012</v>
      </c>
      <c r="B3471" s="3">
        <v>29.6</v>
      </c>
      <c r="C3471" s="1">
        <v>819232</v>
      </c>
      <c r="D3471" s="3">
        <v>-0.189999999999997</v>
      </c>
      <c r="E3471" s="3">
        <v>-0.63779791876468195</v>
      </c>
      <c r="F3471" s="3">
        <v>-0.63779791876468195</v>
      </c>
      <c r="G3471" s="3">
        <v>29.6</v>
      </c>
      <c r="H3471" s="3">
        <v>724.86035476463496</v>
      </c>
      <c r="I3471" s="3">
        <v>29.6</v>
      </c>
      <c r="J3471" s="3">
        <v>29.96</v>
      </c>
      <c r="K3471" s="3">
        <v>29.4</v>
      </c>
      <c r="L3471" s="3">
        <v>724.86035476463496</v>
      </c>
    </row>
    <row r="3472" spans="1:12" ht="15" customHeight="1" x14ac:dyDescent="0.2">
      <c r="A3472" s="2">
        <v>41011</v>
      </c>
      <c r="B3472" s="3">
        <v>29.79</v>
      </c>
      <c r="C3472" s="1">
        <v>858489</v>
      </c>
      <c r="D3472" s="3">
        <v>0.149999999999998</v>
      </c>
      <c r="E3472" s="3">
        <v>0.50607287449391203</v>
      </c>
      <c r="F3472" s="3">
        <v>0.50607287449391203</v>
      </c>
      <c r="G3472" s="3">
        <v>29.79</v>
      </c>
      <c r="H3472" s="3">
        <v>730.15506650129998</v>
      </c>
      <c r="I3472" s="3">
        <v>29.6</v>
      </c>
      <c r="J3472" s="3">
        <v>29.91</v>
      </c>
      <c r="K3472" s="3">
        <v>29.41</v>
      </c>
      <c r="L3472" s="3">
        <v>730.15506650129998</v>
      </c>
    </row>
    <row r="3473" spans="1:12" ht="15" customHeight="1" x14ac:dyDescent="0.2">
      <c r="A3473" s="2">
        <v>41010</v>
      </c>
      <c r="B3473" s="3">
        <v>29.64</v>
      </c>
      <c r="C3473" s="1">
        <v>1236256</v>
      </c>
      <c r="D3473" s="3">
        <v>0.83999999999999897</v>
      </c>
      <c r="E3473" s="3">
        <v>2.9166666666666501</v>
      </c>
      <c r="F3473" s="3">
        <v>2.9166666666666501</v>
      </c>
      <c r="G3473" s="3">
        <v>29.64</v>
      </c>
      <c r="H3473" s="3">
        <v>725.97503091972305</v>
      </c>
      <c r="I3473" s="3">
        <v>29.09</v>
      </c>
      <c r="J3473" s="3">
        <v>29.65</v>
      </c>
      <c r="K3473" s="3">
        <v>29.02</v>
      </c>
      <c r="L3473" s="3">
        <v>725.97503091972305</v>
      </c>
    </row>
    <row r="3474" spans="1:12" ht="15" customHeight="1" x14ac:dyDescent="0.2">
      <c r="A3474" s="2">
        <v>41009</v>
      </c>
      <c r="B3474" s="3">
        <v>28.8</v>
      </c>
      <c r="C3474" s="1">
        <v>1422802</v>
      </c>
      <c r="D3474" s="3">
        <v>-0.439999999999997</v>
      </c>
      <c r="E3474" s="3">
        <v>-1.50478796169629</v>
      </c>
      <c r="F3474" s="3">
        <v>-1.50478796169629</v>
      </c>
      <c r="G3474" s="3">
        <v>28.8</v>
      </c>
      <c r="H3474" s="3">
        <v>702.56683166288803</v>
      </c>
      <c r="I3474" s="3">
        <v>29.18</v>
      </c>
      <c r="J3474" s="3">
        <v>29.46</v>
      </c>
      <c r="K3474" s="3">
        <v>28.58</v>
      </c>
      <c r="L3474" s="3">
        <v>702.56683166288803</v>
      </c>
    </row>
    <row r="3475" spans="1:12" ht="15" customHeight="1" x14ac:dyDescent="0.2">
      <c r="A3475" s="2">
        <v>41008</v>
      </c>
      <c r="B3475" s="3">
        <v>29.24</v>
      </c>
      <c r="C3475" s="1">
        <v>916491</v>
      </c>
      <c r="D3475" s="3">
        <v>0.16</v>
      </c>
      <c r="E3475" s="3">
        <v>0.55020632737276998</v>
      </c>
      <c r="F3475" s="3">
        <v>0.55020632737276998</v>
      </c>
      <c r="G3475" s="3">
        <v>29.24</v>
      </c>
      <c r="H3475" s="3">
        <v>714.82826936884896</v>
      </c>
      <c r="I3475" s="3">
        <v>28.69</v>
      </c>
      <c r="J3475" s="3">
        <v>29.25</v>
      </c>
      <c r="K3475" s="3">
        <v>28.6</v>
      </c>
      <c r="L3475" s="3">
        <v>714.82826936884896</v>
      </c>
    </row>
    <row r="3476" spans="1:12" ht="15" customHeight="1" x14ac:dyDescent="0.2">
      <c r="A3476" s="2">
        <v>41004</v>
      </c>
      <c r="B3476" s="3">
        <v>29.08</v>
      </c>
      <c r="C3476" s="1">
        <v>1137200</v>
      </c>
      <c r="D3476" s="3">
        <v>-0.36000000000000298</v>
      </c>
      <c r="E3476" s="3">
        <v>-1.2228260869565299</v>
      </c>
      <c r="F3476" s="3">
        <v>-1.2228260869565299</v>
      </c>
      <c r="G3476" s="3">
        <v>29.08</v>
      </c>
      <c r="H3476" s="3">
        <v>710.36956474850001</v>
      </c>
      <c r="I3476" s="3">
        <v>29.24</v>
      </c>
      <c r="J3476" s="3">
        <v>29.44</v>
      </c>
      <c r="K3476" s="3">
        <v>28.98</v>
      </c>
      <c r="L3476" s="3">
        <v>710.36956474850001</v>
      </c>
    </row>
    <row r="3477" spans="1:12" ht="15" customHeight="1" x14ac:dyDescent="0.2">
      <c r="A3477" s="2">
        <v>41003</v>
      </c>
      <c r="B3477" s="3">
        <v>29.44</v>
      </c>
      <c r="C3477" s="1">
        <v>921648</v>
      </c>
      <c r="D3477" s="3">
        <v>-0.19999999999999901</v>
      </c>
      <c r="E3477" s="3">
        <v>-0.67476383265856399</v>
      </c>
      <c r="F3477" s="3">
        <v>-0.67476383265856399</v>
      </c>
      <c r="G3477" s="3">
        <v>29.44</v>
      </c>
      <c r="H3477" s="3">
        <v>720.40165014428601</v>
      </c>
      <c r="I3477" s="3">
        <v>29.48</v>
      </c>
      <c r="J3477" s="3">
        <v>29.56</v>
      </c>
      <c r="K3477" s="3">
        <v>29.17</v>
      </c>
      <c r="L3477" s="3">
        <v>720.40165014428601</v>
      </c>
    </row>
    <row r="3478" spans="1:12" ht="15" customHeight="1" x14ac:dyDescent="0.2">
      <c r="A3478" s="2">
        <v>41002</v>
      </c>
      <c r="B3478" s="3">
        <v>29.64</v>
      </c>
      <c r="C3478" s="1">
        <v>642544</v>
      </c>
      <c r="D3478" s="3">
        <v>-0.109999999999999</v>
      </c>
      <c r="E3478" s="3">
        <v>-0.36974789915966699</v>
      </c>
      <c r="F3478" s="3">
        <v>-0.36974789915966699</v>
      </c>
      <c r="G3478" s="3">
        <v>29.64</v>
      </c>
      <c r="H3478" s="3">
        <v>725.97503091972305</v>
      </c>
      <c r="I3478" s="3">
        <v>29.68</v>
      </c>
      <c r="J3478" s="3">
        <v>29.9</v>
      </c>
      <c r="K3478" s="3">
        <v>29.45</v>
      </c>
      <c r="L3478" s="3">
        <v>725.97503091972305</v>
      </c>
    </row>
    <row r="3479" spans="1:12" ht="15" customHeight="1" x14ac:dyDescent="0.2">
      <c r="A3479" s="2">
        <v>41001</v>
      </c>
      <c r="B3479" s="3">
        <v>29.75</v>
      </c>
      <c r="C3479" s="1">
        <v>1117256</v>
      </c>
      <c r="D3479" s="3">
        <v>0.35999999999999899</v>
      </c>
      <c r="E3479" s="3">
        <v>1.22490643075876</v>
      </c>
      <c r="F3479" s="3">
        <v>1.22490643075876</v>
      </c>
      <c r="G3479" s="3">
        <v>29.75</v>
      </c>
      <c r="H3479" s="3">
        <v>729.04039034621303</v>
      </c>
      <c r="I3479" s="3">
        <v>29.31</v>
      </c>
      <c r="J3479" s="3">
        <v>29.98</v>
      </c>
      <c r="K3479" s="3">
        <v>29.1</v>
      </c>
      <c r="L3479" s="3">
        <v>729.04039034621303</v>
      </c>
    </row>
    <row r="3480" spans="1:12" ht="15" customHeight="1" x14ac:dyDescent="0.2">
      <c r="A3480" s="2">
        <v>40998</v>
      </c>
      <c r="B3480" s="3">
        <v>29.39</v>
      </c>
      <c r="C3480" s="1">
        <v>1290222</v>
      </c>
      <c r="D3480" s="3">
        <v>-0.14000000000000001</v>
      </c>
      <c r="E3480" s="3">
        <v>-0.47409414155096202</v>
      </c>
      <c r="F3480" s="3">
        <v>-0.47409414155096202</v>
      </c>
      <c r="G3480" s="3">
        <v>29.39</v>
      </c>
      <c r="H3480" s="3">
        <v>719.00830495042703</v>
      </c>
      <c r="I3480" s="3">
        <v>29.8</v>
      </c>
      <c r="J3480" s="3">
        <v>29.81</v>
      </c>
      <c r="K3480" s="3">
        <v>29.38</v>
      </c>
      <c r="L3480" s="3">
        <v>719.00830495042703</v>
      </c>
    </row>
    <row r="3481" spans="1:12" ht="15" customHeight="1" x14ac:dyDescent="0.2">
      <c r="A3481" s="2">
        <v>40997</v>
      </c>
      <c r="B3481" s="3">
        <v>29.53</v>
      </c>
      <c r="C3481" s="1">
        <v>1066705</v>
      </c>
      <c r="D3481" s="3">
        <v>-0.23</v>
      </c>
      <c r="E3481" s="3">
        <v>-0.77284946236558705</v>
      </c>
      <c r="F3481" s="3">
        <v>-0.77284946236558705</v>
      </c>
      <c r="G3481" s="3">
        <v>29.53</v>
      </c>
      <c r="H3481" s="3">
        <v>722.90967149323296</v>
      </c>
      <c r="I3481" s="3">
        <v>29.56</v>
      </c>
      <c r="J3481" s="3">
        <v>29.71</v>
      </c>
      <c r="K3481" s="3">
        <v>29.32</v>
      </c>
      <c r="L3481" s="3">
        <v>722.90967149323296</v>
      </c>
    </row>
    <row r="3482" spans="1:12" ht="15" customHeight="1" x14ac:dyDescent="0.2">
      <c r="A3482" s="2">
        <v>40996</v>
      </c>
      <c r="B3482" s="3">
        <v>29.76</v>
      </c>
      <c r="C3482" s="1">
        <v>1138880</v>
      </c>
      <c r="D3482" s="3">
        <v>-0.149999999999998</v>
      </c>
      <c r="E3482" s="3">
        <v>-0.50150451354061798</v>
      </c>
      <c r="F3482" s="3">
        <v>-0.50150451354061798</v>
      </c>
      <c r="G3482" s="3">
        <v>29.76</v>
      </c>
      <c r="H3482" s="3">
        <v>729.31905938498505</v>
      </c>
      <c r="I3482" s="3">
        <v>30.01</v>
      </c>
      <c r="J3482" s="3">
        <v>30.12</v>
      </c>
      <c r="K3482" s="3">
        <v>29.55</v>
      </c>
      <c r="L3482" s="3">
        <v>729.31905938498505</v>
      </c>
    </row>
    <row r="3483" spans="1:12" ht="15" customHeight="1" x14ac:dyDescent="0.2">
      <c r="A3483" s="2">
        <v>40995</v>
      </c>
      <c r="B3483" s="3">
        <v>29.91</v>
      </c>
      <c r="C3483" s="1">
        <v>668236</v>
      </c>
      <c r="D3483" s="3">
        <v>-0.48</v>
      </c>
      <c r="E3483" s="3">
        <v>-1.5794669299111499</v>
      </c>
      <c r="F3483" s="3">
        <v>-1.5794669299111499</v>
      </c>
      <c r="G3483" s="3">
        <v>29.91</v>
      </c>
      <c r="H3483" s="3">
        <v>733.49909496656198</v>
      </c>
      <c r="I3483" s="3">
        <v>30.5</v>
      </c>
      <c r="J3483" s="3">
        <v>30.5</v>
      </c>
      <c r="K3483" s="3">
        <v>29.9</v>
      </c>
      <c r="L3483" s="3">
        <v>733.49909496656198</v>
      </c>
    </row>
    <row r="3484" spans="1:12" ht="15" customHeight="1" x14ac:dyDescent="0.2">
      <c r="A3484" s="2">
        <v>40994</v>
      </c>
      <c r="B3484" s="3">
        <v>30.39</v>
      </c>
      <c r="C3484" s="1">
        <v>1201382</v>
      </c>
      <c r="D3484" s="3">
        <v>0.55000000000000004</v>
      </c>
      <c r="E3484" s="3">
        <v>1.84316353887399</v>
      </c>
      <c r="F3484" s="3">
        <v>1.84316353887399</v>
      </c>
      <c r="G3484" s="3">
        <v>30.39</v>
      </c>
      <c r="H3484" s="3">
        <v>746.875208827611</v>
      </c>
      <c r="I3484" s="3">
        <v>30.18</v>
      </c>
      <c r="J3484" s="3">
        <v>30.49</v>
      </c>
      <c r="K3484" s="3">
        <v>30.06</v>
      </c>
      <c r="L3484" s="3">
        <v>746.875208827611</v>
      </c>
    </row>
    <row r="3485" spans="1:12" ht="15" customHeight="1" x14ac:dyDescent="0.2">
      <c r="A3485" s="2">
        <v>40991</v>
      </c>
      <c r="B3485" s="3">
        <v>29.84</v>
      </c>
      <c r="C3485" s="1">
        <v>2030226</v>
      </c>
      <c r="D3485" s="3">
        <v>-0.33999999999999903</v>
      </c>
      <c r="E3485" s="3">
        <v>-1.1265738899933699</v>
      </c>
      <c r="F3485" s="3">
        <v>-1.1265738899933699</v>
      </c>
      <c r="G3485" s="3">
        <v>29.84</v>
      </c>
      <c r="H3485" s="3">
        <v>731.54841169515896</v>
      </c>
      <c r="I3485" s="3">
        <v>29.91</v>
      </c>
      <c r="J3485" s="3">
        <v>30</v>
      </c>
      <c r="K3485" s="3">
        <v>29.26</v>
      </c>
      <c r="L3485" s="3">
        <v>731.54841169515896</v>
      </c>
    </row>
    <row r="3486" spans="1:12" ht="15" customHeight="1" x14ac:dyDescent="0.2">
      <c r="A3486" s="2">
        <v>40990</v>
      </c>
      <c r="B3486" s="3">
        <v>30.18</v>
      </c>
      <c r="C3486" s="1">
        <v>1823289</v>
      </c>
      <c r="D3486" s="3">
        <v>-0.39</v>
      </c>
      <c r="E3486" s="3">
        <v>-1.2757605495583899</v>
      </c>
      <c r="F3486" s="3">
        <v>-1.2757605495583899</v>
      </c>
      <c r="G3486" s="3">
        <v>30.18</v>
      </c>
      <c r="H3486" s="3">
        <v>741.02315901340205</v>
      </c>
      <c r="I3486" s="3">
        <v>30.5</v>
      </c>
      <c r="J3486" s="3">
        <v>30.78</v>
      </c>
      <c r="K3486" s="3">
        <v>29.91</v>
      </c>
      <c r="L3486" s="3">
        <v>741.02315901340205</v>
      </c>
    </row>
    <row r="3487" spans="1:12" ht="15" customHeight="1" x14ac:dyDescent="0.2">
      <c r="A3487" s="2">
        <v>40989</v>
      </c>
      <c r="B3487" s="3">
        <v>30.57</v>
      </c>
      <c r="C3487" s="1">
        <v>1231762</v>
      </c>
      <c r="D3487" s="3">
        <v>-0.50999999999999801</v>
      </c>
      <c r="E3487" s="3">
        <v>-1.6409266409266301</v>
      </c>
      <c r="F3487" s="3">
        <v>-1.6409266409266301</v>
      </c>
      <c r="G3487" s="3">
        <v>30.57</v>
      </c>
      <c r="H3487" s="3">
        <v>751.891251525504</v>
      </c>
      <c r="I3487" s="3">
        <v>31.06</v>
      </c>
      <c r="J3487" s="3">
        <v>31.26</v>
      </c>
      <c r="K3487" s="3">
        <v>30.5</v>
      </c>
      <c r="L3487" s="3">
        <v>751.891251525504</v>
      </c>
    </row>
    <row r="3488" spans="1:12" ht="15" customHeight="1" x14ac:dyDescent="0.2">
      <c r="A3488" s="2">
        <v>40988</v>
      </c>
      <c r="B3488" s="3">
        <v>31.08</v>
      </c>
      <c r="C3488" s="1">
        <v>885303</v>
      </c>
      <c r="D3488" s="3">
        <v>-0.20000000000000201</v>
      </c>
      <c r="E3488" s="3">
        <v>-0.63938618925831703</v>
      </c>
      <c r="F3488" s="3">
        <v>-0.63938618925831703</v>
      </c>
      <c r="G3488" s="3">
        <v>31.08</v>
      </c>
      <c r="H3488" s="3">
        <v>766.10337250286705</v>
      </c>
      <c r="I3488" s="3">
        <v>31.12</v>
      </c>
      <c r="J3488" s="3">
        <v>31.15</v>
      </c>
      <c r="K3488" s="3">
        <v>30.78</v>
      </c>
      <c r="L3488" s="3">
        <v>766.10337250286705</v>
      </c>
    </row>
    <row r="3489" spans="1:12" ht="15" customHeight="1" x14ac:dyDescent="0.2">
      <c r="A3489" s="2">
        <v>40987</v>
      </c>
      <c r="B3489" s="3">
        <v>31.28</v>
      </c>
      <c r="C3489" s="1">
        <v>764141</v>
      </c>
      <c r="D3489" s="3">
        <v>8.9999999999999802E-2</v>
      </c>
      <c r="E3489" s="3">
        <v>0.28855402372556199</v>
      </c>
      <c r="F3489" s="3">
        <v>0.28855402372556199</v>
      </c>
      <c r="G3489" s="3">
        <v>31.28</v>
      </c>
      <c r="H3489" s="3">
        <v>771.67675327830398</v>
      </c>
      <c r="I3489" s="3">
        <v>31.08</v>
      </c>
      <c r="J3489" s="3">
        <v>31.42</v>
      </c>
      <c r="K3489" s="3">
        <v>30.86</v>
      </c>
      <c r="L3489" s="3">
        <v>771.67675327830398</v>
      </c>
    </row>
    <row r="3490" spans="1:12" ht="15" customHeight="1" x14ac:dyDescent="0.2">
      <c r="A3490" s="2">
        <v>40984</v>
      </c>
      <c r="B3490" s="3">
        <v>31.19</v>
      </c>
      <c r="C3490" s="1">
        <v>990511</v>
      </c>
      <c r="D3490" s="3">
        <v>-8.9999999999999802E-2</v>
      </c>
      <c r="E3490" s="3">
        <v>-0.28772378516623798</v>
      </c>
      <c r="F3490" s="3">
        <v>-0.28772378516623798</v>
      </c>
      <c r="G3490" s="3">
        <v>31.19</v>
      </c>
      <c r="H3490" s="3">
        <v>769.16873192935702</v>
      </c>
      <c r="I3490" s="3">
        <v>31.43</v>
      </c>
      <c r="J3490" s="3">
        <v>31.43</v>
      </c>
      <c r="K3490" s="3">
        <v>30.9</v>
      </c>
      <c r="L3490" s="3">
        <v>769.16873192935702</v>
      </c>
    </row>
    <row r="3491" spans="1:12" ht="15" customHeight="1" x14ac:dyDescent="0.2">
      <c r="A3491" s="2">
        <v>40983</v>
      </c>
      <c r="B3491" s="3">
        <v>31.28</v>
      </c>
      <c r="C3491" s="1">
        <v>1085183</v>
      </c>
      <c r="D3491" s="3">
        <v>0.58999999999999897</v>
      </c>
      <c r="E3491" s="3">
        <v>1.92245030954707</v>
      </c>
      <c r="F3491" s="3">
        <v>1.92245030954707</v>
      </c>
      <c r="G3491" s="3">
        <v>31.28</v>
      </c>
      <c r="H3491" s="3">
        <v>771.67675327830398</v>
      </c>
      <c r="I3491" s="3">
        <v>30.94</v>
      </c>
      <c r="J3491" s="3">
        <v>31.58</v>
      </c>
      <c r="K3491" s="3">
        <v>30.76</v>
      </c>
      <c r="L3491" s="3">
        <v>771.67675327830398</v>
      </c>
    </row>
    <row r="3492" spans="1:12" ht="15" customHeight="1" x14ac:dyDescent="0.2">
      <c r="A3492" s="2">
        <v>40982</v>
      </c>
      <c r="B3492" s="3">
        <v>30.69</v>
      </c>
      <c r="C3492" s="1">
        <v>810377</v>
      </c>
      <c r="D3492" s="3">
        <v>-0.28999999999999898</v>
      </c>
      <c r="E3492" s="3">
        <v>-0.93608779857972102</v>
      </c>
      <c r="F3492" s="3">
        <v>-0.93608779857972102</v>
      </c>
      <c r="G3492" s="3">
        <v>30.69</v>
      </c>
      <c r="H3492" s="3">
        <v>755.23527999076498</v>
      </c>
      <c r="I3492" s="3">
        <v>30.91</v>
      </c>
      <c r="J3492" s="3">
        <v>31.1</v>
      </c>
      <c r="K3492" s="3">
        <v>30.49</v>
      </c>
      <c r="L3492" s="3">
        <v>755.23527999076498</v>
      </c>
    </row>
    <row r="3493" spans="1:12" ht="15" customHeight="1" x14ac:dyDescent="0.2">
      <c r="A3493" s="2">
        <v>40981</v>
      </c>
      <c r="B3493" s="3">
        <v>30.98</v>
      </c>
      <c r="C3493" s="1">
        <v>826065</v>
      </c>
      <c r="D3493" s="3">
        <v>0.44999999999999901</v>
      </c>
      <c r="E3493" s="3">
        <v>1.4739600393055901</v>
      </c>
      <c r="F3493" s="3">
        <v>1.4739600393055901</v>
      </c>
      <c r="G3493" s="3">
        <v>30.98</v>
      </c>
      <c r="H3493" s="3">
        <v>763.31668211514898</v>
      </c>
      <c r="I3493" s="3">
        <v>30.79</v>
      </c>
      <c r="J3493" s="3">
        <v>31</v>
      </c>
      <c r="K3493" s="3">
        <v>30.5</v>
      </c>
      <c r="L3493" s="3">
        <v>763.31668211514898</v>
      </c>
    </row>
    <row r="3494" spans="1:12" ht="15" customHeight="1" x14ac:dyDescent="0.2">
      <c r="A3494" s="2">
        <v>40980</v>
      </c>
      <c r="B3494" s="3">
        <v>30.53</v>
      </c>
      <c r="C3494" s="1">
        <v>639516</v>
      </c>
      <c r="D3494" s="3">
        <v>-0.16999999999999801</v>
      </c>
      <c r="E3494" s="3">
        <v>-0.55374592833875502</v>
      </c>
      <c r="F3494" s="3">
        <v>-0.55374592833875502</v>
      </c>
      <c r="G3494" s="3">
        <v>30.53</v>
      </c>
      <c r="H3494" s="3">
        <v>750.77657537041603</v>
      </c>
      <c r="I3494" s="3">
        <v>30.76</v>
      </c>
      <c r="J3494" s="3">
        <v>30.93</v>
      </c>
      <c r="K3494" s="3">
        <v>30.35</v>
      </c>
      <c r="L3494" s="3">
        <v>750.77657537041603</v>
      </c>
    </row>
    <row r="3495" spans="1:12" ht="15" customHeight="1" x14ac:dyDescent="0.2">
      <c r="A3495" s="2">
        <v>40977</v>
      </c>
      <c r="B3495" s="3">
        <v>30.7</v>
      </c>
      <c r="C3495" s="1">
        <v>1514890</v>
      </c>
      <c r="D3495" s="3">
        <v>-5.0000000000000697E-2</v>
      </c>
      <c r="E3495" s="3">
        <v>-0.16260162601626699</v>
      </c>
      <c r="F3495" s="3">
        <v>-0.16260162601626699</v>
      </c>
      <c r="G3495" s="3">
        <v>30.7</v>
      </c>
      <c r="H3495" s="3">
        <v>755.513949029537</v>
      </c>
      <c r="I3495" s="3">
        <v>30.85</v>
      </c>
      <c r="J3495" s="3">
        <v>31</v>
      </c>
      <c r="K3495" s="3">
        <v>30.51</v>
      </c>
      <c r="L3495" s="3">
        <v>755.513949029537</v>
      </c>
    </row>
    <row r="3496" spans="1:12" ht="15" customHeight="1" x14ac:dyDescent="0.2">
      <c r="A3496" s="2">
        <v>40976</v>
      </c>
      <c r="B3496" s="3">
        <v>30.75</v>
      </c>
      <c r="C3496" s="1">
        <v>1218683</v>
      </c>
      <c r="D3496" s="3">
        <v>0.28000000000000103</v>
      </c>
      <c r="E3496" s="3">
        <v>0.91893665900886201</v>
      </c>
      <c r="F3496" s="3">
        <v>0.91893665900886201</v>
      </c>
      <c r="G3496" s="3">
        <v>30.75</v>
      </c>
      <c r="H3496" s="3">
        <v>756.907294223397</v>
      </c>
      <c r="I3496" s="3">
        <v>30.58</v>
      </c>
      <c r="J3496" s="3">
        <v>30.88</v>
      </c>
      <c r="K3496" s="3">
        <v>30.35</v>
      </c>
      <c r="L3496" s="3">
        <v>756.907294223397</v>
      </c>
    </row>
    <row r="3497" spans="1:12" ht="15" customHeight="1" x14ac:dyDescent="0.2">
      <c r="A3497" s="2">
        <v>40975</v>
      </c>
      <c r="B3497" s="3">
        <v>30.47</v>
      </c>
      <c r="C3497" s="1">
        <v>1675014</v>
      </c>
      <c r="D3497" s="3">
        <v>0.91999999999999804</v>
      </c>
      <c r="E3497" s="3">
        <v>3.11336717428087</v>
      </c>
      <c r="F3497" s="3">
        <v>3.11336717428087</v>
      </c>
      <c r="G3497" s="3">
        <v>30.47</v>
      </c>
      <c r="H3497" s="3">
        <v>749.10456113778503</v>
      </c>
      <c r="I3497" s="3">
        <v>29.75</v>
      </c>
      <c r="J3497" s="3">
        <v>30.515000000000001</v>
      </c>
      <c r="K3497" s="3">
        <v>29.68</v>
      </c>
      <c r="L3497" s="3">
        <v>749.10456113778503</v>
      </c>
    </row>
    <row r="3498" spans="1:12" ht="15" customHeight="1" x14ac:dyDescent="0.2">
      <c r="A3498" s="2">
        <v>40974</v>
      </c>
      <c r="B3498" s="3">
        <v>29.55</v>
      </c>
      <c r="C3498" s="1">
        <v>1284661</v>
      </c>
      <c r="D3498" s="3">
        <v>-0.27999999999999697</v>
      </c>
      <c r="E3498" s="3">
        <v>-0.93865236339254399</v>
      </c>
      <c r="F3498" s="3">
        <v>-0.93865236339254399</v>
      </c>
      <c r="G3498" s="3">
        <v>29.55</v>
      </c>
      <c r="H3498" s="3">
        <v>723.46700957077599</v>
      </c>
      <c r="I3498" s="3">
        <v>29.57</v>
      </c>
      <c r="J3498" s="3">
        <v>29.75</v>
      </c>
      <c r="K3498" s="3">
        <v>29.3</v>
      </c>
      <c r="L3498" s="3">
        <v>723.46700957077599</v>
      </c>
    </row>
    <row r="3499" spans="1:12" ht="15" customHeight="1" x14ac:dyDescent="0.2">
      <c r="A3499" s="2">
        <v>40973</v>
      </c>
      <c r="B3499" s="3">
        <v>29.83</v>
      </c>
      <c r="C3499" s="1">
        <v>1089773</v>
      </c>
      <c r="D3499" s="3">
        <v>0.45999999999999702</v>
      </c>
      <c r="E3499" s="3">
        <v>1.5662240381341299</v>
      </c>
      <c r="F3499" s="3">
        <v>1.5662240381341299</v>
      </c>
      <c r="G3499" s="3">
        <v>29.83</v>
      </c>
      <c r="H3499" s="3">
        <v>731.26974265638796</v>
      </c>
      <c r="I3499" s="3">
        <v>29.35</v>
      </c>
      <c r="J3499" s="3">
        <v>30</v>
      </c>
      <c r="K3499" s="3">
        <v>29.2942</v>
      </c>
      <c r="L3499" s="3">
        <v>731.26974265638796</v>
      </c>
    </row>
    <row r="3500" spans="1:12" ht="15" customHeight="1" x14ac:dyDescent="0.2">
      <c r="A3500" s="2">
        <v>40970</v>
      </c>
      <c r="B3500" s="3">
        <v>29.37</v>
      </c>
      <c r="C3500" s="1">
        <v>997082</v>
      </c>
      <c r="D3500" s="3">
        <v>-0.45999999999999702</v>
      </c>
      <c r="E3500" s="3">
        <v>-1.5420717398591901</v>
      </c>
      <c r="F3500" s="3">
        <v>-1.5420717398591901</v>
      </c>
      <c r="G3500" s="3">
        <v>29.37</v>
      </c>
      <c r="H3500" s="3">
        <v>718.45096687288299</v>
      </c>
      <c r="I3500" s="3">
        <v>29.86</v>
      </c>
      <c r="J3500" s="3">
        <v>29.95</v>
      </c>
      <c r="K3500" s="3">
        <v>29.15</v>
      </c>
      <c r="L3500" s="3">
        <v>718.45096687288299</v>
      </c>
    </row>
    <row r="3501" spans="1:12" ht="15" customHeight="1" x14ac:dyDescent="0.2">
      <c r="A3501" s="2">
        <v>40969</v>
      </c>
      <c r="B3501" s="3">
        <v>29.83</v>
      </c>
      <c r="C3501" s="1">
        <v>872105</v>
      </c>
      <c r="D3501" s="3">
        <v>0.189999999999997</v>
      </c>
      <c r="E3501" s="3">
        <v>0.64102564102563797</v>
      </c>
      <c r="F3501" s="3">
        <v>0.64102564102563797</v>
      </c>
      <c r="G3501" s="3">
        <v>29.83</v>
      </c>
      <c r="H3501" s="3">
        <v>731.26974265638796</v>
      </c>
      <c r="I3501" s="3">
        <v>29.94</v>
      </c>
      <c r="J3501" s="3">
        <v>30.13</v>
      </c>
      <c r="K3501" s="3">
        <v>29.46</v>
      </c>
      <c r="L3501" s="3">
        <v>731.26974265638796</v>
      </c>
    </row>
    <row r="3502" spans="1:12" ht="15" customHeight="1" x14ac:dyDescent="0.2">
      <c r="A3502" s="2">
        <v>40968</v>
      </c>
      <c r="B3502" s="3">
        <v>29.64</v>
      </c>
      <c r="C3502" s="1">
        <v>1065402</v>
      </c>
      <c r="D3502" s="3">
        <v>-5.0000000000000697E-2</v>
      </c>
      <c r="E3502" s="3">
        <v>-0.16840687100033699</v>
      </c>
      <c r="F3502" s="3">
        <v>-0.16840687100033699</v>
      </c>
      <c r="G3502" s="3">
        <v>29.64</v>
      </c>
      <c r="H3502" s="3">
        <v>725.97503091972305</v>
      </c>
      <c r="I3502" s="3">
        <v>29.73</v>
      </c>
      <c r="J3502" s="3">
        <v>30.05</v>
      </c>
      <c r="K3502" s="3">
        <v>29.44</v>
      </c>
      <c r="L3502" s="3">
        <v>725.97503091972305</v>
      </c>
    </row>
    <row r="3503" spans="1:12" ht="15" customHeight="1" x14ac:dyDescent="0.2">
      <c r="A3503" s="2">
        <v>40967</v>
      </c>
      <c r="B3503" s="3">
        <v>29.69</v>
      </c>
      <c r="C3503" s="1">
        <v>956395</v>
      </c>
      <c r="D3503" s="3">
        <v>0.64</v>
      </c>
      <c r="E3503" s="3">
        <v>2.2030981067125701</v>
      </c>
      <c r="F3503" s="3">
        <v>2.2030981067125701</v>
      </c>
      <c r="G3503" s="3">
        <v>29.69</v>
      </c>
      <c r="H3503" s="3">
        <v>727.36837611358203</v>
      </c>
      <c r="I3503" s="3">
        <v>29.18</v>
      </c>
      <c r="J3503" s="3">
        <v>29.75</v>
      </c>
      <c r="K3503" s="3">
        <v>29.17</v>
      </c>
      <c r="L3503" s="3">
        <v>727.36837611358203</v>
      </c>
    </row>
    <row r="3504" spans="1:12" ht="15" customHeight="1" x14ac:dyDescent="0.2">
      <c r="A3504" s="2">
        <v>40966</v>
      </c>
      <c r="B3504" s="3">
        <v>29.05</v>
      </c>
      <c r="C3504" s="1">
        <v>1251778</v>
      </c>
      <c r="D3504" s="3">
        <v>-7.0000000000000201E-2</v>
      </c>
      <c r="E3504" s="3">
        <v>-0.240384615384614</v>
      </c>
      <c r="F3504" s="3">
        <v>-0.240384615384614</v>
      </c>
      <c r="G3504" s="3">
        <v>29.05</v>
      </c>
      <c r="H3504" s="3">
        <v>709.53355763218406</v>
      </c>
      <c r="I3504" s="3">
        <v>28.96</v>
      </c>
      <c r="J3504" s="3">
        <v>29.41</v>
      </c>
      <c r="K3504" s="3">
        <v>28.71</v>
      </c>
      <c r="L3504" s="3">
        <v>709.53355763218406</v>
      </c>
    </row>
    <row r="3505" spans="1:12" ht="15" customHeight="1" x14ac:dyDescent="0.2">
      <c r="A3505" s="2">
        <v>40963</v>
      </c>
      <c r="B3505" s="3">
        <v>29.12</v>
      </c>
      <c r="C3505" s="1">
        <v>1282247</v>
      </c>
      <c r="D3505" s="3">
        <v>-0.35999999999999899</v>
      </c>
      <c r="E3505" s="3">
        <v>-1.2211668928086701</v>
      </c>
      <c r="F3505" s="3">
        <v>-1.2211668928086701</v>
      </c>
      <c r="G3505" s="3">
        <v>29.12</v>
      </c>
      <c r="H3505" s="3">
        <v>711.48424090358697</v>
      </c>
      <c r="I3505" s="3">
        <v>29.44</v>
      </c>
      <c r="J3505" s="3">
        <v>29.47</v>
      </c>
      <c r="K3505" s="3">
        <v>29.03</v>
      </c>
      <c r="L3505" s="3">
        <v>711.48424090358697</v>
      </c>
    </row>
    <row r="3506" spans="1:12" ht="15" customHeight="1" x14ac:dyDescent="0.2">
      <c r="A3506" s="2">
        <v>40962</v>
      </c>
      <c r="B3506" s="3">
        <v>29.48</v>
      </c>
      <c r="C3506" s="1">
        <v>1152391</v>
      </c>
      <c r="D3506" s="3">
        <v>0.109999999999999</v>
      </c>
      <c r="E3506" s="3">
        <v>0.37453183520599298</v>
      </c>
      <c r="F3506" s="3">
        <v>0.37453183520599298</v>
      </c>
      <c r="G3506" s="3">
        <v>29.48</v>
      </c>
      <c r="H3506" s="3">
        <v>721.51632629937296</v>
      </c>
      <c r="I3506" s="3">
        <v>29.44</v>
      </c>
      <c r="J3506" s="3">
        <v>29.68</v>
      </c>
      <c r="K3506" s="3">
        <v>29.21</v>
      </c>
      <c r="L3506" s="3">
        <v>721.51632629937296</v>
      </c>
    </row>
    <row r="3507" spans="1:12" ht="15" customHeight="1" x14ac:dyDescent="0.2">
      <c r="A3507" s="2">
        <v>40961</v>
      </c>
      <c r="B3507" s="3">
        <v>29.37</v>
      </c>
      <c r="C3507" s="1">
        <v>3798674</v>
      </c>
      <c r="D3507" s="3">
        <v>-2.19999999999999</v>
      </c>
      <c r="E3507" s="3">
        <v>-6.96864111498257</v>
      </c>
      <c r="F3507" s="3">
        <v>-6.96864111498257</v>
      </c>
      <c r="G3507" s="3">
        <v>29.37</v>
      </c>
      <c r="H3507" s="3">
        <v>718.45096687288299</v>
      </c>
      <c r="I3507" s="3">
        <v>30.43</v>
      </c>
      <c r="J3507" s="3">
        <v>30.73</v>
      </c>
      <c r="K3507" s="3">
        <v>29.06</v>
      </c>
      <c r="L3507" s="3">
        <v>718.45096687288299</v>
      </c>
    </row>
    <row r="3508" spans="1:12" ht="15" customHeight="1" x14ac:dyDescent="0.2">
      <c r="A3508" s="2">
        <v>40960</v>
      </c>
      <c r="B3508" s="3">
        <v>31.57</v>
      </c>
      <c r="C3508" s="1">
        <v>1821879</v>
      </c>
      <c r="D3508" s="3">
        <v>-0.41</v>
      </c>
      <c r="E3508" s="3">
        <v>-1.2820512820512699</v>
      </c>
      <c r="F3508" s="3">
        <v>-1.2820512820512699</v>
      </c>
      <c r="G3508" s="3">
        <v>31.57</v>
      </c>
      <c r="H3508" s="3">
        <v>779.75815540268695</v>
      </c>
      <c r="I3508" s="3">
        <v>32.159999999999997</v>
      </c>
      <c r="J3508" s="3">
        <v>32.47</v>
      </c>
      <c r="K3508" s="3">
        <v>31.265000000000001</v>
      </c>
      <c r="L3508" s="3">
        <v>779.75815540268695</v>
      </c>
    </row>
    <row r="3509" spans="1:12" ht="15" customHeight="1" x14ac:dyDescent="0.2">
      <c r="A3509" s="2">
        <v>40956</v>
      </c>
      <c r="B3509" s="3">
        <v>31.98</v>
      </c>
      <c r="C3509" s="1">
        <v>1095870</v>
      </c>
      <c r="D3509" s="3">
        <v>0.53000000000000103</v>
      </c>
      <c r="E3509" s="3">
        <v>1.6852146263911001</v>
      </c>
      <c r="F3509" s="3">
        <v>1.6852146263911001</v>
      </c>
      <c r="G3509" s="3">
        <v>31.98</v>
      </c>
      <c r="H3509" s="3">
        <v>791.18358599233204</v>
      </c>
      <c r="I3509" s="3">
        <v>31.42</v>
      </c>
      <c r="J3509" s="3">
        <v>32.130000000000003</v>
      </c>
      <c r="K3509" s="3">
        <v>31.42</v>
      </c>
      <c r="L3509" s="3">
        <v>791.18358599233204</v>
      </c>
    </row>
    <row r="3510" spans="1:12" ht="15" customHeight="1" x14ac:dyDescent="0.2">
      <c r="A3510" s="2">
        <v>40955</v>
      </c>
      <c r="B3510" s="3">
        <v>31.45</v>
      </c>
      <c r="C3510" s="1">
        <v>794308</v>
      </c>
      <c r="D3510" s="3">
        <v>0.32999999999999802</v>
      </c>
      <c r="E3510" s="3">
        <v>1.0604113110539799</v>
      </c>
      <c r="F3510" s="3">
        <v>1.0604113110539799</v>
      </c>
      <c r="G3510" s="3">
        <v>31.45</v>
      </c>
      <c r="H3510" s="3">
        <v>776.41412693742495</v>
      </c>
      <c r="I3510" s="3">
        <v>31.25</v>
      </c>
      <c r="J3510" s="3">
        <v>31.56</v>
      </c>
      <c r="K3510" s="3">
        <v>31.12</v>
      </c>
      <c r="L3510" s="3">
        <v>776.41412693742495</v>
      </c>
    </row>
    <row r="3511" spans="1:12" ht="15" customHeight="1" x14ac:dyDescent="0.2">
      <c r="A3511" s="2">
        <v>40954</v>
      </c>
      <c r="B3511" s="3">
        <v>31.12</v>
      </c>
      <c r="C3511" s="1">
        <v>882227</v>
      </c>
      <c r="D3511" s="3">
        <v>0.109999999999999</v>
      </c>
      <c r="E3511" s="3">
        <v>0.35472428248952598</v>
      </c>
      <c r="F3511" s="3">
        <v>0.35472428248952598</v>
      </c>
      <c r="G3511" s="3">
        <v>31.12</v>
      </c>
      <c r="H3511" s="3">
        <v>767.218048657954</v>
      </c>
      <c r="I3511" s="3">
        <v>31.27</v>
      </c>
      <c r="J3511" s="3">
        <v>31.55</v>
      </c>
      <c r="K3511" s="3">
        <v>30.94</v>
      </c>
      <c r="L3511" s="3">
        <v>767.218048657954</v>
      </c>
    </row>
    <row r="3512" spans="1:12" ht="15" customHeight="1" x14ac:dyDescent="0.2">
      <c r="A3512" s="2">
        <v>40953</v>
      </c>
      <c r="B3512" s="3">
        <v>31.01</v>
      </c>
      <c r="C3512" s="1">
        <v>765323</v>
      </c>
      <c r="D3512" s="3">
        <v>-0.22999999999999601</v>
      </c>
      <c r="E3512" s="3">
        <v>-0.73623559539050998</v>
      </c>
      <c r="F3512" s="3">
        <v>-0.73623559539050998</v>
      </c>
      <c r="G3512" s="3">
        <v>31.01</v>
      </c>
      <c r="H3512" s="3">
        <v>764.15268923146402</v>
      </c>
      <c r="I3512" s="3">
        <v>31.08</v>
      </c>
      <c r="J3512" s="3">
        <v>31.13</v>
      </c>
      <c r="K3512" s="3">
        <v>30.59</v>
      </c>
      <c r="L3512" s="3">
        <v>764.15268923146402</v>
      </c>
    </row>
    <row r="3513" spans="1:12" ht="15" customHeight="1" x14ac:dyDescent="0.2">
      <c r="A3513" s="2">
        <v>40952</v>
      </c>
      <c r="B3513" s="3">
        <v>31.24</v>
      </c>
      <c r="C3513" s="1">
        <v>484928</v>
      </c>
      <c r="D3513" s="3">
        <v>0.109999999999999</v>
      </c>
      <c r="E3513" s="3">
        <v>0.35335689045936602</v>
      </c>
      <c r="F3513" s="3">
        <v>0.35335689045936602</v>
      </c>
      <c r="G3513" s="3">
        <v>31.24</v>
      </c>
      <c r="H3513" s="3">
        <v>770.562077123216</v>
      </c>
      <c r="I3513" s="3">
        <v>31.38</v>
      </c>
      <c r="J3513" s="3">
        <v>31.42</v>
      </c>
      <c r="K3513" s="3">
        <v>31</v>
      </c>
      <c r="L3513" s="3">
        <v>770.562077123216</v>
      </c>
    </row>
    <row r="3514" spans="1:12" ht="15" customHeight="1" x14ac:dyDescent="0.2">
      <c r="A3514" s="2">
        <v>40949</v>
      </c>
      <c r="B3514" s="3">
        <v>31.13</v>
      </c>
      <c r="C3514" s="1">
        <v>624212</v>
      </c>
      <c r="D3514" s="3">
        <v>-3.0000000000001099E-2</v>
      </c>
      <c r="E3514" s="3">
        <v>-9.62772785622623E-2</v>
      </c>
      <c r="F3514" s="3">
        <v>-9.62772785622623E-2</v>
      </c>
      <c r="G3514" s="3">
        <v>31.13</v>
      </c>
      <c r="H3514" s="3">
        <v>767.49671769672602</v>
      </c>
      <c r="I3514" s="3">
        <v>30.92</v>
      </c>
      <c r="J3514" s="3">
        <v>31.39</v>
      </c>
      <c r="K3514" s="3">
        <v>30.89</v>
      </c>
      <c r="L3514" s="3">
        <v>767.49671769672602</v>
      </c>
    </row>
    <row r="3515" spans="1:12" ht="15" customHeight="1" x14ac:dyDescent="0.2">
      <c r="A3515" s="2">
        <v>40948</v>
      </c>
      <c r="B3515" s="3">
        <v>31.16</v>
      </c>
      <c r="C3515" s="1">
        <v>564690</v>
      </c>
      <c r="D3515" s="3">
        <v>5.99999999999987E-2</v>
      </c>
      <c r="E3515" s="3">
        <v>0.19292604501608401</v>
      </c>
      <c r="F3515" s="3">
        <v>0.19292604501608401</v>
      </c>
      <c r="G3515" s="3">
        <v>31.16</v>
      </c>
      <c r="H3515" s="3">
        <v>768.33272481304198</v>
      </c>
      <c r="I3515" s="3">
        <v>31.15</v>
      </c>
      <c r="J3515" s="3">
        <v>31.4</v>
      </c>
      <c r="K3515" s="3">
        <v>30.98</v>
      </c>
      <c r="L3515" s="3">
        <v>768.33272481304198</v>
      </c>
    </row>
    <row r="3516" spans="1:12" ht="15" customHeight="1" x14ac:dyDescent="0.2">
      <c r="A3516" s="2">
        <v>40947</v>
      </c>
      <c r="B3516" s="3">
        <v>31.1</v>
      </c>
      <c r="C3516" s="1">
        <v>1103486</v>
      </c>
      <c r="D3516" s="3">
        <v>0.42000000000000098</v>
      </c>
      <c r="E3516" s="3">
        <v>1.36897001303781</v>
      </c>
      <c r="F3516" s="3">
        <v>1.36897001303781</v>
      </c>
      <c r="G3516" s="3">
        <v>31.1</v>
      </c>
      <c r="H3516" s="3">
        <v>766.66071058041098</v>
      </c>
      <c r="I3516" s="3">
        <v>30.79</v>
      </c>
      <c r="J3516" s="3">
        <v>31.25</v>
      </c>
      <c r="K3516" s="3">
        <v>30.58</v>
      </c>
      <c r="L3516" s="3">
        <v>766.66071058041098</v>
      </c>
    </row>
    <row r="3517" spans="1:12" ht="15" customHeight="1" x14ac:dyDescent="0.2">
      <c r="A3517" s="2">
        <v>40946</v>
      </c>
      <c r="B3517" s="3">
        <v>30.68</v>
      </c>
      <c r="C3517" s="1">
        <v>670976</v>
      </c>
      <c r="D3517" s="3">
        <v>0.100000000000001</v>
      </c>
      <c r="E3517" s="3">
        <v>0.32701111837802799</v>
      </c>
      <c r="F3517" s="3">
        <v>0.32701111837802799</v>
      </c>
      <c r="G3517" s="3">
        <v>30.68</v>
      </c>
      <c r="H3517" s="3">
        <v>754.95661095199398</v>
      </c>
      <c r="I3517" s="3">
        <v>30.66</v>
      </c>
      <c r="J3517" s="3">
        <v>31.05</v>
      </c>
      <c r="K3517" s="3">
        <v>30.59</v>
      </c>
      <c r="L3517" s="3">
        <v>754.95661095199398</v>
      </c>
    </row>
    <row r="3518" spans="1:12" ht="15" customHeight="1" x14ac:dyDescent="0.2">
      <c r="A3518" s="2">
        <v>40945</v>
      </c>
      <c r="B3518" s="3">
        <v>30.58</v>
      </c>
      <c r="C3518" s="1">
        <v>557572</v>
      </c>
      <c r="D3518" s="3">
        <v>-0.43000000000000299</v>
      </c>
      <c r="E3518" s="3">
        <v>-1.3866494679135899</v>
      </c>
      <c r="F3518" s="3">
        <v>-1.3866494679135899</v>
      </c>
      <c r="G3518" s="3">
        <v>30.58</v>
      </c>
      <c r="H3518" s="3">
        <v>752.169920564275</v>
      </c>
      <c r="I3518" s="3">
        <v>30.88</v>
      </c>
      <c r="J3518" s="3">
        <v>31.19</v>
      </c>
      <c r="K3518" s="3">
        <v>30.43</v>
      </c>
      <c r="L3518" s="3">
        <v>752.169920564275</v>
      </c>
    </row>
    <row r="3519" spans="1:12" ht="15" customHeight="1" x14ac:dyDescent="0.2">
      <c r="A3519" s="2">
        <v>40942</v>
      </c>
      <c r="B3519" s="3">
        <v>31.01</v>
      </c>
      <c r="C3519" s="1">
        <v>701424</v>
      </c>
      <c r="D3519" s="3">
        <v>0.79000000000000203</v>
      </c>
      <c r="E3519" s="3">
        <v>2.6141628060886801</v>
      </c>
      <c r="F3519" s="3">
        <v>2.6141628060886801</v>
      </c>
      <c r="G3519" s="3">
        <v>31.01</v>
      </c>
      <c r="H3519" s="3">
        <v>764.15268923146402</v>
      </c>
      <c r="I3519" s="3">
        <v>30.6</v>
      </c>
      <c r="J3519" s="3">
        <v>31.26</v>
      </c>
      <c r="K3519" s="3">
        <v>30.53</v>
      </c>
      <c r="L3519" s="3">
        <v>764.15268923146402</v>
      </c>
    </row>
    <row r="3520" spans="1:12" ht="15" customHeight="1" x14ac:dyDescent="0.2">
      <c r="A3520" s="2">
        <v>40941</v>
      </c>
      <c r="B3520" s="3">
        <v>30.22</v>
      </c>
      <c r="C3520" s="1">
        <v>725569</v>
      </c>
      <c r="D3520" s="3"/>
      <c r="E3520" s="3"/>
      <c r="F3520" s="3"/>
      <c r="G3520" s="3">
        <v>30.22</v>
      </c>
      <c r="H3520" s="3">
        <v>742.137835168489</v>
      </c>
      <c r="I3520" s="3">
        <v>30.31</v>
      </c>
      <c r="J3520" s="3">
        <v>30.58</v>
      </c>
      <c r="K3520" s="3">
        <v>30</v>
      </c>
      <c r="L3520" s="3">
        <v>742.137835168489</v>
      </c>
    </row>
    <row r="3521" spans="1:12" ht="15" customHeight="1" x14ac:dyDescent="0.2">
      <c r="A3521" s="2">
        <v>40940</v>
      </c>
      <c r="B3521" s="3">
        <v>30.22</v>
      </c>
      <c r="C3521" s="1">
        <v>1330619</v>
      </c>
      <c r="D3521" s="3">
        <v>0.64</v>
      </c>
      <c r="E3521" s="3">
        <v>2.16362407031778</v>
      </c>
      <c r="F3521" s="3">
        <v>2.16362407031778</v>
      </c>
      <c r="G3521" s="3">
        <v>30.22</v>
      </c>
      <c r="H3521" s="3">
        <v>742.137835168489</v>
      </c>
      <c r="I3521" s="3">
        <v>29.82</v>
      </c>
      <c r="J3521" s="3">
        <v>30.25</v>
      </c>
      <c r="K3521" s="3">
        <v>29.65</v>
      </c>
      <c r="L3521" s="3">
        <v>742.137835168489</v>
      </c>
    </row>
    <row r="3522" spans="1:12" ht="15" customHeight="1" x14ac:dyDescent="0.2">
      <c r="A3522" s="2">
        <v>40939</v>
      </c>
      <c r="B3522" s="3">
        <v>29.58</v>
      </c>
      <c r="C3522" s="1">
        <v>821253</v>
      </c>
      <c r="D3522" s="3">
        <v>-0.43000000000000299</v>
      </c>
      <c r="E3522" s="3">
        <v>-1.43285571476176</v>
      </c>
      <c r="F3522" s="3">
        <v>-1.43285571476176</v>
      </c>
      <c r="G3522" s="3">
        <v>29.58</v>
      </c>
      <c r="H3522" s="3">
        <v>724.30301668709205</v>
      </c>
      <c r="I3522" s="3">
        <v>30.16</v>
      </c>
      <c r="J3522" s="3">
        <v>30.29</v>
      </c>
      <c r="K3522" s="3">
        <v>29.44</v>
      </c>
      <c r="L3522" s="3">
        <v>724.30301668709205</v>
      </c>
    </row>
    <row r="3523" spans="1:12" ht="15" customHeight="1" x14ac:dyDescent="0.2">
      <c r="A3523" s="2">
        <v>40938</v>
      </c>
      <c r="B3523" s="3">
        <v>30.01</v>
      </c>
      <c r="C3523" s="1">
        <v>657705</v>
      </c>
      <c r="D3523" s="3">
        <v>0.25</v>
      </c>
      <c r="E3523" s="3">
        <v>0.84005376344085103</v>
      </c>
      <c r="F3523" s="3">
        <v>0.84005376344085103</v>
      </c>
      <c r="G3523" s="3">
        <v>30.01</v>
      </c>
      <c r="H3523" s="3">
        <v>736.28578535428096</v>
      </c>
      <c r="I3523" s="3">
        <v>29.61</v>
      </c>
      <c r="J3523" s="3">
        <v>30.14</v>
      </c>
      <c r="K3523" s="3">
        <v>29.45</v>
      </c>
      <c r="L3523" s="3">
        <v>736.28578535428096</v>
      </c>
    </row>
    <row r="3524" spans="1:12" ht="15" customHeight="1" x14ac:dyDescent="0.2">
      <c r="A3524" s="2">
        <v>40935</v>
      </c>
      <c r="B3524" s="3">
        <v>29.76</v>
      </c>
      <c r="C3524" s="1">
        <v>828213</v>
      </c>
      <c r="D3524" s="3">
        <v>4.00000000000027E-2</v>
      </c>
      <c r="E3524" s="3">
        <v>0.134589502018855</v>
      </c>
      <c r="F3524" s="3">
        <v>0.134589502018855</v>
      </c>
      <c r="G3524" s="3">
        <v>29.76</v>
      </c>
      <c r="H3524" s="3">
        <v>729.31905938498505</v>
      </c>
      <c r="I3524" s="3">
        <v>29.71</v>
      </c>
      <c r="J3524" s="3">
        <v>29.98</v>
      </c>
      <c r="K3524" s="3">
        <v>29.545000000000002</v>
      </c>
      <c r="L3524" s="3">
        <v>729.31905938498505</v>
      </c>
    </row>
    <row r="3525" spans="1:12" ht="15" customHeight="1" x14ac:dyDescent="0.2">
      <c r="A3525" s="2">
        <v>40934</v>
      </c>
      <c r="B3525" s="3">
        <v>29.72</v>
      </c>
      <c r="C3525" s="1">
        <v>833015</v>
      </c>
      <c r="D3525" s="3">
        <v>3.9999999999999099E-2</v>
      </c>
      <c r="E3525" s="3">
        <v>0.13477088948787799</v>
      </c>
      <c r="F3525" s="3">
        <v>0.13477088948787799</v>
      </c>
      <c r="G3525" s="3">
        <v>29.72</v>
      </c>
      <c r="H3525" s="3">
        <v>728.20438322989696</v>
      </c>
      <c r="I3525" s="3">
        <v>30.01</v>
      </c>
      <c r="J3525" s="3">
        <v>30.0291</v>
      </c>
      <c r="K3525" s="3">
        <v>29.48</v>
      </c>
      <c r="L3525" s="3">
        <v>728.20438322989696</v>
      </c>
    </row>
    <row r="3526" spans="1:12" ht="15" customHeight="1" x14ac:dyDescent="0.2">
      <c r="A3526" s="2">
        <v>40933</v>
      </c>
      <c r="B3526" s="3">
        <v>29.68</v>
      </c>
      <c r="C3526" s="1">
        <v>733841</v>
      </c>
      <c r="D3526" s="3">
        <v>0.48</v>
      </c>
      <c r="E3526" s="3">
        <v>1.6438356164383401</v>
      </c>
      <c r="F3526" s="3">
        <v>1.6438356164383401</v>
      </c>
      <c r="G3526" s="3">
        <v>29.68</v>
      </c>
      <c r="H3526" s="3">
        <v>727.08970707481001</v>
      </c>
      <c r="I3526" s="3">
        <v>29.26</v>
      </c>
      <c r="J3526" s="3">
        <v>29.79</v>
      </c>
      <c r="K3526" s="3">
        <v>29.14</v>
      </c>
      <c r="L3526" s="3">
        <v>727.08970707481001</v>
      </c>
    </row>
    <row r="3527" spans="1:12" ht="15" customHeight="1" x14ac:dyDescent="0.2">
      <c r="A3527" s="2">
        <v>40932</v>
      </c>
      <c r="B3527" s="3">
        <v>29.2</v>
      </c>
      <c r="C3527" s="1">
        <v>1152304</v>
      </c>
      <c r="D3527" s="3">
        <v>-0.109999999999999</v>
      </c>
      <c r="E3527" s="3">
        <v>-0.37529853292391702</v>
      </c>
      <c r="F3527" s="3">
        <v>-0.37529853292391702</v>
      </c>
      <c r="G3527" s="3">
        <v>29.2</v>
      </c>
      <c r="H3527" s="3">
        <v>713.71359321376201</v>
      </c>
      <c r="I3527" s="3">
        <v>29.03</v>
      </c>
      <c r="J3527" s="3">
        <v>29.339700000000001</v>
      </c>
      <c r="K3527" s="3">
        <v>28.84</v>
      </c>
      <c r="L3527" s="3">
        <v>713.71359321376201</v>
      </c>
    </row>
    <row r="3528" spans="1:12" ht="15" customHeight="1" x14ac:dyDescent="0.2">
      <c r="A3528" s="2">
        <v>40931</v>
      </c>
      <c r="B3528" s="3">
        <v>29.31</v>
      </c>
      <c r="C3528" s="1">
        <v>926196</v>
      </c>
      <c r="D3528" s="3">
        <v>-0.630000000000002</v>
      </c>
      <c r="E3528" s="3">
        <v>-2.1042084168336701</v>
      </c>
      <c r="F3528" s="3">
        <v>-2.1042084168336701</v>
      </c>
      <c r="G3528" s="3">
        <v>29.31</v>
      </c>
      <c r="H3528" s="3">
        <v>716.77895264025199</v>
      </c>
      <c r="I3528" s="3">
        <v>29.89</v>
      </c>
      <c r="J3528" s="3">
        <v>30.15</v>
      </c>
      <c r="K3528" s="3">
        <v>29.154</v>
      </c>
      <c r="L3528" s="3">
        <v>716.77895264025199</v>
      </c>
    </row>
    <row r="3529" spans="1:12" ht="15" customHeight="1" x14ac:dyDescent="0.2">
      <c r="A3529" s="2">
        <v>40928</v>
      </c>
      <c r="B3529" s="3">
        <v>29.94</v>
      </c>
      <c r="C3529" s="1">
        <v>937065</v>
      </c>
      <c r="D3529" s="3">
        <v>0.110000000000002</v>
      </c>
      <c r="E3529" s="3">
        <v>0.36875628561852097</v>
      </c>
      <c r="F3529" s="3">
        <v>0.36875628561852097</v>
      </c>
      <c r="G3529" s="3">
        <v>29.94</v>
      </c>
      <c r="H3529" s="3">
        <v>734.33510208287805</v>
      </c>
      <c r="I3529" s="3">
        <v>29.93</v>
      </c>
      <c r="J3529" s="3">
        <v>30.33</v>
      </c>
      <c r="K3529" s="3">
        <v>29.85</v>
      </c>
      <c r="L3529" s="3">
        <v>734.33510208287805</v>
      </c>
    </row>
    <row r="3530" spans="1:12" ht="15" customHeight="1" x14ac:dyDescent="0.2">
      <c r="A3530" s="2">
        <v>40927</v>
      </c>
      <c r="B3530" s="3">
        <v>29.83</v>
      </c>
      <c r="C3530" s="1">
        <v>753337</v>
      </c>
      <c r="D3530" s="3">
        <v>6.9999999999996704E-2</v>
      </c>
      <c r="E3530" s="3">
        <v>0.235215053763426</v>
      </c>
      <c r="F3530" s="3">
        <v>0.235215053763426</v>
      </c>
      <c r="G3530" s="3">
        <v>29.83</v>
      </c>
      <c r="H3530" s="3">
        <v>731.26974265638796</v>
      </c>
      <c r="I3530" s="3">
        <v>30.01</v>
      </c>
      <c r="J3530" s="3">
        <v>30.06</v>
      </c>
      <c r="K3530" s="3">
        <v>29.5</v>
      </c>
      <c r="L3530" s="3">
        <v>731.26974265638796</v>
      </c>
    </row>
    <row r="3531" spans="1:12" ht="15" customHeight="1" x14ac:dyDescent="0.2">
      <c r="A3531" s="2">
        <v>40926</v>
      </c>
      <c r="B3531" s="3">
        <v>29.76</v>
      </c>
      <c r="C3531" s="1">
        <v>716253</v>
      </c>
      <c r="D3531" s="3">
        <v>0.47000000000000203</v>
      </c>
      <c r="E3531" s="3">
        <v>1.6046432229430001</v>
      </c>
      <c r="F3531" s="3">
        <v>1.6046432229430001</v>
      </c>
      <c r="G3531" s="3">
        <v>29.76</v>
      </c>
      <c r="H3531" s="3">
        <v>729.31905938498505</v>
      </c>
      <c r="I3531" s="3">
        <v>29.26</v>
      </c>
      <c r="J3531" s="3">
        <v>29.88</v>
      </c>
      <c r="K3531" s="3">
        <v>29.26</v>
      </c>
      <c r="L3531" s="3">
        <v>729.31905938498505</v>
      </c>
    </row>
    <row r="3532" spans="1:12" ht="15" customHeight="1" x14ac:dyDescent="0.2">
      <c r="A3532" s="2">
        <v>40925</v>
      </c>
      <c r="B3532" s="3">
        <v>29.29</v>
      </c>
      <c r="C3532" s="1">
        <v>848746</v>
      </c>
      <c r="D3532" s="3">
        <v>0.3</v>
      </c>
      <c r="E3532" s="3">
        <v>1.0348395998620099</v>
      </c>
      <c r="F3532" s="3">
        <v>1.0348395998620099</v>
      </c>
      <c r="G3532" s="3">
        <v>29.29</v>
      </c>
      <c r="H3532" s="3">
        <v>716.22161456270896</v>
      </c>
      <c r="I3532" s="3">
        <v>29.19</v>
      </c>
      <c r="J3532" s="3">
        <v>29.5</v>
      </c>
      <c r="K3532" s="3">
        <v>28.98</v>
      </c>
      <c r="L3532" s="3">
        <v>716.22161456270896</v>
      </c>
    </row>
    <row r="3533" spans="1:12" ht="15" customHeight="1" x14ac:dyDescent="0.2">
      <c r="A3533" s="2">
        <v>40921</v>
      </c>
      <c r="B3533" s="3">
        <v>28.99</v>
      </c>
      <c r="C3533" s="1">
        <v>769021</v>
      </c>
      <c r="D3533" s="3">
        <v>-0.47000000000000203</v>
      </c>
      <c r="E3533" s="3">
        <v>-1.5953835709436599</v>
      </c>
      <c r="F3533" s="3">
        <v>-1.5953835709436599</v>
      </c>
      <c r="G3533" s="3">
        <v>28.99</v>
      </c>
      <c r="H3533" s="3">
        <v>707.86154339955306</v>
      </c>
      <c r="I3533" s="3">
        <v>29.18</v>
      </c>
      <c r="J3533" s="3">
        <v>29.91</v>
      </c>
      <c r="K3533" s="3">
        <v>28.94</v>
      </c>
      <c r="L3533" s="3">
        <v>707.86154339955306</v>
      </c>
    </row>
    <row r="3534" spans="1:12" ht="15" customHeight="1" x14ac:dyDescent="0.2">
      <c r="A3534" s="2">
        <v>40920</v>
      </c>
      <c r="B3534" s="3">
        <v>29.46</v>
      </c>
      <c r="C3534" s="1">
        <v>539726</v>
      </c>
      <c r="D3534" s="3">
        <v>0.33999999999999903</v>
      </c>
      <c r="E3534" s="3">
        <v>1.1675824175824101</v>
      </c>
      <c r="F3534" s="3">
        <v>1.1675824175824101</v>
      </c>
      <c r="G3534" s="3">
        <v>29.46</v>
      </c>
      <c r="H3534" s="3">
        <v>720.95898822183005</v>
      </c>
      <c r="I3534" s="3">
        <v>29.07</v>
      </c>
      <c r="J3534" s="3">
        <v>29.54</v>
      </c>
      <c r="K3534" s="3">
        <v>29.07</v>
      </c>
      <c r="L3534" s="3">
        <v>720.95898822183005</v>
      </c>
    </row>
    <row r="3535" spans="1:12" ht="15" customHeight="1" x14ac:dyDescent="0.2">
      <c r="A3535" s="2">
        <v>40919</v>
      </c>
      <c r="B3535" s="3">
        <v>29.12</v>
      </c>
      <c r="C3535" s="1">
        <v>811177</v>
      </c>
      <c r="D3535" s="3">
        <v>0.12000000000000099</v>
      </c>
      <c r="E3535" s="3">
        <v>0.41379310344829001</v>
      </c>
      <c r="F3535" s="3">
        <v>0.41379310344829001</v>
      </c>
      <c r="G3535" s="3">
        <v>29.12</v>
      </c>
      <c r="H3535" s="3">
        <v>711.48424090358697</v>
      </c>
      <c r="I3535" s="3">
        <v>28.86</v>
      </c>
      <c r="J3535" s="3">
        <v>29.35</v>
      </c>
      <c r="K3535" s="3">
        <v>28.8</v>
      </c>
      <c r="L3535" s="3">
        <v>711.48424090358697</v>
      </c>
    </row>
    <row r="3536" spans="1:12" ht="15" customHeight="1" x14ac:dyDescent="0.2">
      <c r="A3536" s="2">
        <v>40918</v>
      </c>
      <c r="B3536" s="3">
        <v>29</v>
      </c>
      <c r="C3536" s="1">
        <v>1052567</v>
      </c>
      <c r="D3536" s="3">
        <v>-0.32999999999999802</v>
      </c>
      <c r="E3536" s="3">
        <v>-1.1251278554381099</v>
      </c>
      <c r="F3536" s="3">
        <v>-1.1251278554381099</v>
      </c>
      <c r="G3536" s="3">
        <v>29</v>
      </c>
      <c r="H3536" s="3">
        <v>708.14021243832497</v>
      </c>
      <c r="I3536" s="3">
        <v>29.74</v>
      </c>
      <c r="J3536" s="3">
        <v>29.74</v>
      </c>
      <c r="K3536" s="3">
        <v>28.82</v>
      </c>
      <c r="L3536" s="3">
        <v>708.14021243832497</v>
      </c>
    </row>
    <row r="3537" spans="1:12" ht="15" customHeight="1" x14ac:dyDescent="0.2">
      <c r="A3537" s="2">
        <v>40917</v>
      </c>
      <c r="B3537" s="3">
        <v>29.33</v>
      </c>
      <c r="C3537" s="1">
        <v>719019</v>
      </c>
      <c r="D3537" s="3">
        <v>-9.0000000000003397E-2</v>
      </c>
      <c r="E3537" s="3">
        <v>-0.30591434398369299</v>
      </c>
      <c r="F3537" s="3">
        <v>-0.30591434398369299</v>
      </c>
      <c r="G3537" s="3">
        <v>29.33</v>
      </c>
      <c r="H3537" s="3">
        <v>717.33629071779603</v>
      </c>
      <c r="I3537" s="3">
        <v>29.41</v>
      </c>
      <c r="J3537" s="3">
        <v>29.56</v>
      </c>
      <c r="K3537" s="3">
        <v>28.95</v>
      </c>
      <c r="L3537" s="3">
        <v>717.33629071779603</v>
      </c>
    </row>
    <row r="3538" spans="1:12" ht="15" customHeight="1" x14ac:dyDescent="0.2">
      <c r="A3538" s="2">
        <v>40914</v>
      </c>
      <c r="B3538" s="3">
        <v>29.42</v>
      </c>
      <c r="C3538" s="1">
        <v>753559</v>
      </c>
      <c r="D3538" s="3">
        <v>0.130000000000002</v>
      </c>
      <c r="E3538" s="3">
        <v>0.443837487197007</v>
      </c>
      <c r="F3538" s="3">
        <v>0.443837487197007</v>
      </c>
      <c r="G3538" s="3">
        <v>29.42</v>
      </c>
      <c r="H3538" s="3">
        <v>719.84431206674196</v>
      </c>
      <c r="I3538" s="3">
        <v>29.29</v>
      </c>
      <c r="J3538" s="3">
        <v>29.62</v>
      </c>
      <c r="K3538" s="3">
        <v>28.95</v>
      </c>
      <c r="L3538" s="3">
        <v>719.84431206674196</v>
      </c>
    </row>
    <row r="3539" spans="1:12" ht="15" customHeight="1" x14ac:dyDescent="0.2">
      <c r="A3539" s="2">
        <v>40913</v>
      </c>
      <c r="B3539" s="3">
        <v>29.29</v>
      </c>
      <c r="C3539" s="1">
        <v>933554</v>
      </c>
      <c r="D3539" s="3">
        <v>0.16</v>
      </c>
      <c r="E3539" s="3">
        <v>0.54926192928252904</v>
      </c>
      <c r="F3539" s="3">
        <v>0.54926192928252904</v>
      </c>
      <c r="G3539" s="3">
        <v>29.29</v>
      </c>
      <c r="H3539" s="3">
        <v>716.22161456270896</v>
      </c>
      <c r="I3539" s="3">
        <v>29.1</v>
      </c>
      <c r="J3539" s="3">
        <v>29.55</v>
      </c>
      <c r="K3539" s="3">
        <v>28.65</v>
      </c>
      <c r="L3539" s="3">
        <v>716.22161456270896</v>
      </c>
    </row>
    <row r="3540" spans="1:12" ht="15" customHeight="1" x14ac:dyDescent="0.2">
      <c r="A3540" s="2">
        <v>40912</v>
      </c>
      <c r="B3540" s="3">
        <v>29.13</v>
      </c>
      <c r="C3540" s="1">
        <v>1058348</v>
      </c>
      <c r="D3540" s="3">
        <v>-0.23</v>
      </c>
      <c r="E3540" s="3">
        <v>-0.78337874659400997</v>
      </c>
      <c r="F3540" s="3">
        <v>-0.78337874659400997</v>
      </c>
      <c r="G3540" s="3">
        <v>29.13</v>
      </c>
      <c r="H3540" s="3">
        <v>711.76290994235899</v>
      </c>
      <c r="I3540" s="3">
        <v>29.32</v>
      </c>
      <c r="J3540" s="3">
        <v>29.54</v>
      </c>
      <c r="K3540" s="3">
        <v>28.86</v>
      </c>
      <c r="L3540" s="3">
        <v>711.76290994235899</v>
      </c>
    </row>
    <row r="3541" spans="1:12" ht="15" customHeight="1" x14ac:dyDescent="0.2">
      <c r="A3541" s="2">
        <v>40911</v>
      </c>
      <c r="B3541" s="3">
        <v>29.36</v>
      </c>
      <c r="C3541" s="1">
        <v>880893</v>
      </c>
      <c r="D3541" s="3">
        <v>9.9999999999980105E-3</v>
      </c>
      <c r="E3541" s="3">
        <v>3.4071550255521103E-2</v>
      </c>
      <c r="F3541" s="3">
        <v>3.4071550255521103E-2</v>
      </c>
      <c r="G3541" s="3">
        <v>29.36</v>
      </c>
      <c r="H3541" s="3">
        <v>718.17229783411096</v>
      </c>
      <c r="I3541" s="3">
        <v>29.97</v>
      </c>
      <c r="J3541" s="3">
        <v>29.99</v>
      </c>
      <c r="K3541" s="3">
        <v>29.28</v>
      </c>
      <c r="L3541" s="3">
        <v>718.17229783411096</v>
      </c>
    </row>
    <row r="3542" spans="1:12" ht="15" customHeight="1" x14ac:dyDescent="0.2">
      <c r="A3542" s="2">
        <v>40907</v>
      </c>
      <c r="B3542" s="3">
        <v>29.35</v>
      </c>
      <c r="C3542" s="1">
        <v>591090</v>
      </c>
      <c r="D3542" s="3">
        <v>-0.149999999999998</v>
      </c>
      <c r="E3542" s="3">
        <v>-0.50847457627117798</v>
      </c>
      <c r="F3542" s="3">
        <v>-0.50847457627117798</v>
      </c>
      <c r="G3542" s="3">
        <v>29.35</v>
      </c>
      <c r="H3542" s="3">
        <v>717.89362879533996</v>
      </c>
      <c r="I3542" s="3">
        <v>29.38</v>
      </c>
      <c r="J3542" s="3">
        <v>29.78</v>
      </c>
      <c r="K3542" s="3">
        <v>29.05</v>
      </c>
      <c r="L3542" s="3">
        <v>717.89362879533996</v>
      </c>
    </row>
    <row r="3543" spans="1:12" ht="15" customHeight="1" x14ac:dyDescent="0.2">
      <c r="A3543" s="2">
        <v>40906</v>
      </c>
      <c r="B3543" s="3">
        <v>29.5</v>
      </c>
      <c r="C3543" s="1">
        <v>671446</v>
      </c>
      <c r="D3543" s="3">
        <v>0.41</v>
      </c>
      <c r="E3543" s="3">
        <v>1.40941904434512</v>
      </c>
      <c r="F3543" s="3">
        <v>1.40941904434512</v>
      </c>
      <c r="G3543" s="3">
        <v>29.5</v>
      </c>
      <c r="H3543" s="3">
        <v>722.07366437691701</v>
      </c>
      <c r="I3543" s="3">
        <v>29.32</v>
      </c>
      <c r="J3543" s="3">
        <v>29.72</v>
      </c>
      <c r="K3543" s="3">
        <v>28.7</v>
      </c>
      <c r="L3543" s="3">
        <v>722.07366437691701</v>
      </c>
    </row>
    <row r="3544" spans="1:12" ht="15" customHeight="1" x14ac:dyDescent="0.2">
      <c r="A3544" s="2">
        <v>40905</v>
      </c>
      <c r="B3544" s="3">
        <v>29.09</v>
      </c>
      <c r="C3544" s="1">
        <v>664799</v>
      </c>
      <c r="D3544" s="3">
        <v>-0.35000000000000098</v>
      </c>
      <c r="E3544" s="3">
        <v>-1.1888586956521801</v>
      </c>
      <c r="F3544" s="3">
        <v>-1.1888586956521801</v>
      </c>
      <c r="G3544" s="3">
        <v>29.09</v>
      </c>
      <c r="H3544" s="3">
        <v>710.64823378727203</v>
      </c>
      <c r="I3544" s="3">
        <v>29.47</v>
      </c>
      <c r="J3544" s="3">
        <v>29.47</v>
      </c>
      <c r="K3544" s="3">
        <v>28.95</v>
      </c>
      <c r="L3544" s="3">
        <v>710.64823378727203</v>
      </c>
    </row>
    <row r="3545" spans="1:12" ht="15" customHeight="1" x14ac:dyDescent="0.2">
      <c r="A3545" s="2">
        <v>40904</v>
      </c>
      <c r="B3545" s="3">
        <v>29.44</v>
      </c>
      <c r="C3545" s="1">
        <v>416183</v>
      </c>
      <c r="D3545" s="3">
        <v>0.16</v>
      </c>
      <c r="E3545" s="3">
        <v>0.54644808743169404</v>
      </c>
      <c r="F3545" s="3">
        <v>0.54644808743169404</v>
      </c>
      <c r="G3545" s="3">
        <v>29.44</v>
      </c>
      <c r="H3545" s="3">
        <v>720.40165014428601</v>
      </c>
      <c r="I3545" s="3">
        <v>29.21</v>
      </c>
      <c r="J3545" s="3">
        <v>29.53</v>
      </c>
      <c r="K3545" s="3">
        <v>28.98</v>
      </c>
      <c r="L3545" s="3">
        <v>720.40165014428601</v>
      </c>
    </row>
    <row r="3546" spans="1:12" ht="15" customHeight="1" x14ac:dyDescent="0.2">
      <c r="A3546" s="2">
        <v>40900</v>
      </c>
      <c r="B3546" s="3">
        <v>29.28</v>
      </c>
      <c r="C3546" s="1">
        <v>524761</v>
      </c>
      <c r="D3546" s="3">
        <v>0.47000000000000203</v>
      </c>
      <c r="E3546" s="3">
        <v>1.63137799375217</v>
      </c>
      <c r="F3546" s="3">
        <v>1.63137799375217</v>
      </c>
      <c r="G3546" s="3">
        <v>29.28</v>
      </c>
      <c r="H3546" s="3">
        <v>715.94294552393706</v>
      </c>
      <c r="I3546" s="3">
        <v>28.92</v>
      </c>
      <c r="J3546" s="3">
        <v>29.3</v>
      </c>
      <c r="K3546" s="3">
        <v>28.88</v>
      </c>
      <c r="L3546" s="3">
        <v>715.94294552393706</v>
      </c>
    </row>
    <row r="3547" spans="1:12" ht="15" customHeight="1" x14ac:dyDescent="0.2">
      <c r="A3547" s="2">
        <v>40899</v>
      </c>
      <c r="B3547" s="3">
        <v>28.81</v>
      </c>
      <c r="C3547" s="1">
        <v>784099</v>
      </c>
      <c r="D3547" s="3">
        <v>0.41</v>
      </c>
      <c r="E3547" s="3">
        <v>1.44366197183098</v>
      </c>
      <c r="F3547" s="3">
        <v>1.44366197183098</v>
      </c>
      <c r="G3547" s="3">
        <v>28.81</v>
      </c>
      <c r="H3547" s="3">
        <v>702.84550070165994</v>
      </c>
      <c r="I3547" s="3">
        <v>28.4</v>
      </c>
      <c r="J3547" s="3">
        <v>28.9</v>
      </c>
      <c r="K3547" s="3">
        <v>28.4</v>
      </c>
      <c r="L3547" s="3">
        <v>702.84550070165994</v>
      </c>
    </row>
    <row r="3548" spans="1:12" ht="15" customHeight="1" x14ac:dyDescent="0.2">
      <c r="A3548" s="2">
        <v>40898</v>
      </c>
      <c r="B3548" s="3">
        <v>28.4</v>
      </c>
      <c r="C3548" s="1">
        <v>824588</v>
      </c>
      <c r="D3548" s="3">
        <v>0.60999999999999899</v>
      </c>
      <c r="E3548" s="3">
        <v>2.1950341849586099</v>
      </c>
      <c r="F3548" s="3">
        <v>2.1950341849586099</v>
      </c>
      <c r="G3548" s="3">
        <v>28.4</v>
      </c>
      <c r="H3548" s="3">
        <v>691.42007011201497</v>
      </c>
      <c r="I3548" s="3">
        <v>27.83</v>
      </c>
      <c r="J3548" s="3">
        <v>28.504999999999999</v>
      </c>
      <c r="K3548" s="3">
        <v>27.75</v>
      </c>
      <c r="L3548" s="3">
        <v>691.42007011201497</v>
      </c>
    </row>
    <row r="3549" spans="1:12" ht="15" customHeight="1" x14ac:dyDescent="0.2">
      <c r="A3549" s="2">
        <v>40897</v>
      </c>
      <c r="B3549" s="3">
        <v>27.79</v>
      </c>
      <c r="C3549" s="1">
        <v>688495</v>
      </c>
      <c r="D3549" s="3">
        <v>0.87999999999999901</v>
      </c>
      <c r="E3549" s="3">
        <v>3.2701597918988998</v>
      </c>
      <c r="F3549" s="3">
        <v>3.2701597918988998</v>
      </c>
      <c r="G3549" s="3">
        <v>27.79</v>
      </c>
      <c r="H3549" s="3">
        <v>674.42125874693295</v>
      </c>
      <c r="I3549" s="3">
        <v>27.36</v>
      </c>
      <c r="J3549" s="3">
        <v>27.905000000000001</v>
      </c>
      <c r="K3549" s="3">
        <v>27.23</v>
      </c>
      <c r="L3549" s="3">
        <v>674.42125874693295</v>
      </c>
    </row>
    <row r="3550" spans="1:12" ht="15" customHeight="1" x14ac:dyDescent="0.2">
      <c r="A3550" s="2">
        <v>40896</v>
      </c>
      <c r="B3550" s="3">
        <v>26.91</v>
      </c>
      <c r="C3550" s="1">
        <v>756724</v>
      </c>
      <c r="D3550" s="3">
        <v>-0.32999999999999802</v>
      </c>
      <c r="E3550" s="3">
        <v>-1.2114537444933799</v>
      </c>
      <c r="F3550" s="3">
        <v>-1.2114537444933799</v>
      </c>
      <c r="G3550" s="3">
        <v>26.91</v>
      </c>
      <c r="H3550" s="3">
        <v>649.89838333501098</v>
      </c>
      <c r="I3550" s="3">
        <v>27.4</v>
      </c>
      <c r="J3550" s="3">
        <v>27.82</v>
      </c>
      <c r="K3550" s="3">
        <v>26.88</v>
      </c>
      <c r="L3550" s="3">
        <v>649.89838333501098</v>
      </c>
    </row>
    <row r="3551" spans="1:12" ht="15" customHeight="1" x14ac:dyDescent="0.2">
      <c r="A3551" s="2">
        <v>40893</v>
      </c>
      <c r="B3551" s="3">
        <v>27.24</v>
      </c>
      <c r="C3551" s="1">
        <v>1887691</v>
      </c>
      <c r="D3551" s="3">
        <v>-0.75</v>
      </c>
      <c r="E3551" s="3">
        <v>-2.6795284030010702</v>
      </c>
      <c r="F3551" s="3">
        <v>-2.6795284030010702</v>
      </c>
      <c r="G3551" s="3">
        <v>27.24</v>
      </c>
      <c r="H3551" s="3">
        <v>659.09446161448204</v>
      </c>
      <c r="I3551" s="3">
        <v>28.14</v>
      </c>
      <c r="J3551" s="3">
        <v>28.16</v>
      </c>
      <c r="K3551" s="3">
        <v>27.19</v>
      </c>
      <c r="L3551" s="3">
        <v>659.09446161448204</v>
      </c>
    </row>
    <row r="3552" spans="1:12" ht="15" customHeight="1" x14ac:dyDescent="0.2">
      <c r="A3552" s="2">
        <v>40892</v>
      </c>
      <c r="B3552" s="3">
        <v>27.99</v>
      </c>
      <c r="C3552" s="1">
        <v>1060338</v>
      </c>
      <c r="D3552" s="3">
        <v>0.72999999999999599</v>
      </c>
      <c r="E3552" s="3">
        <v>2.67791636096843</v>
      </c>
      <c r="F3552" s="3">
        <v>2.67791636096843</v>
      </c>
      <c r="G3552" s="3">
        <v>27.99</v>
      </c>
      <c r="H3552" s="3">
        <v>679.99463952236999</v>
      </c>
      <c r="I3552" s="3">
        <v>27.67</v>
      </c>
      <c r="J3552" s="3">
        <v>28.49</v>
      </c>
      <c r="K3552" s="3">
        <v>27.6</v>
      </c>
      <c r="L3552" s="3">
        <v>679.99463952236999</v>
      </c>
    </row>
    <row r="3553" spans="1:12" ht="15" customHeight="1" x14ac:dyDescent="0.2">
      <c r="A3553" s="2">
        <v>40891</v>
      </c>
      <c r="B3553" s="3">
        <v>27.26</v>
      </c>
      <c r="C3553" s="1">
        <v>874403</v>
      </c>
      <c r="D3553" s="3">
        <v>-0.369999999999997</v>
      </c>
      <c r="E3553" s="3">
        <v>-1.33912414042706</v>
      </c>
      <c r="F3553" s="3">
        <v>-1.33912414042706</v>
      </c>
      <c r="G3553" s="3">
        <v>27.26</v>
      </c>
      <c r="H3553" s="3">
        <v>659.65179969202597</v>
      </c>
      <c r="I3553" s="3">
        <v>27.41</v>
      </c>
      <c r="J3553" s="3">
        <v>27.54</v>
      </c>
      <c r="K3553" s="3">
        <v>27.15</v>
      </c>
      <c r="L3553" s="3">
        <v>659.65179969202597</v>
      </c>
    </row>
    <row r="3554" spans="1:12" ht="15" customHeight="1" x14ac:dyDescent="0.2">
      <c r="A3554" s="2">
        <v>40890</v>
      </c>
      <c r="B3554" s="3">
        <v>27.63</v>
      </c>
      <c r="C3554" s="1">
        <v>739070</v>
      </c>
      <c r="D3554" s="3">
        <v>-0.56000000000000205</v>
      </c>
      <c r="E3554" s="3">
        <v>-1.9865200425682901</v>
      </c>
      <c r="F3554" s="3">
        <v>-1.9865200425682901</v>
      </c>
      <c r="G3554" s="3">
        <v>27.63</v>
      </c>
      <c r="H3554" s="3">
        <v>669.962554126584</v>
      </c>
      <c r="I3554" s="3">
        <v>28.29</v>
      </c>
      <c r="J3554" s="3">
        <v>28.57</v>
      </c>
      <c r="K3554" s="3">
        <v>27.57</v>
      </c>
      <c r="L3554" s="3">
        <v>669.962554126584</v>
      </c>
    </row>
    <row r="3555" spans="1:12" ht="15" customHeight="1" x14ac:dyDescent="0.2">
      <c r="A3555" s="2">
        <v>40889</v>
      </c>
      <c r="B3555" s="3">
        <v>28.19</v>
      </c>
      <c r="C3555" s="1">
        <v>555960</v>
      </c>
      <c r="D3555" s="3">
        <v>-8.9999999999999802E-2</v>
      </c>
      <c r="E3555" s="3">
        <v>-0.31824611032531502</v>
      </c>
      <c r="F3555" s="3">
        <v>-0.31824611032531502</v>
      </c>
      <c r="G3555" s="3">
        <v>28.19</v>
      </c>
      <c r="H3555" s="3">
        <v>685.56802029780602</v>
      </c>
      <c r="I3555" s="3">
        <v>28.02</v>
      </c>
      <c r="J3555" s="3">
        <v>28.21</v>
      </c>
      <c r="K3555" s="3">
        <v>27.78</v>
      </c>
      <c r="L3555" s="3">
        <v>685.56802029780602</v>
      </c>
    </row>
    <row r="3556" spans="1:12" ht="15" customHeight="1" x14ac:dyDescent="0.2">
      <c r="A3556" s="2">
        <v>40886</v>
      </c>
      <c r="B3556" s="3">
        <v>28.28</v>
      </c>
      <c r="C3556" s="1">
        <v>580321</v>
      </c>
      <c r="D3556" s="3">
        <v>0.310000000000002</v>
      </c>
      <c r="E3556" s="3">
        <v>1.1083303539506499</v>
      </c>
      <c r="F3556" s="3">
        <v>1.1083303539506499</v>
      </c>
      <c r="G3556" s="3">
        <v>28.28</v>
      </c>
      <c r="H3556" s="3">
        <v>688.07604164675297</v>
      </c>
      <c r="I3556" s="3">
        <v>28.1</v>
      </c>
      <c r="J3556" s="3">
        <v>28.55</v>
      </c>
      <c r="K3556" s="3">
        <v>27.99</v>
      </c>
      <c r="L3556" s="3">
        <v>688.07604164675297</v>
      </c>
    </row>
    <row r="3557" spans="1:12" ht="15" customHeight="1" x14ac:dyDescent="0.2">
      <c r="A3557" s="2">
        <v>40885</v>
      </c>
      <c r="B3557" s="3">
        <v>27.97</v>
      </c>
      <c r="C3557" s="1">
        <v>683426</v>
      </c>
      <c r="D3557" s="3">
        <v>-0.65000000000000202</v>
      </c>
      <c r="E3557" s="3">
        <v>-2.2711390635918902</v>
      </c>
      <c r="F3557" s="3">
        <v>-2.2711390635918902</v>
      </c>
      <c r="G3557" s="3">
        <v>27.97</v>
      </c>
      <c r="H3557" s="3">
        <v>679.43730144482595</v>
      </c>
      <c r="I3557" s="3">
        <v>28.51</v>
      </c>
      <c r="J3557" s="3">
        <v>28.79</v>
      </c>
      <c r="K3557" s="3">
        <v>27.91</v>
      </c>
      <c r="L3557" s="3">
        <v>679.43730144482595</v>
      </c>
    </row>
    <row r="3558" spans="1:12" ht="15" customHeight="1" x14ac:dyDescent="0.2">
      <c r="A3558" s="2">
        <v>40884</v>
      </c>
      <c r="B3558" s="3">
        <v>28.62</v>
      </c>
      <c r="C3558" s="1">
        <v>946805</v>
      </c>
      <c r="D3558" s="3">
        <v>8.0000000000001806E-2</v>
      </c>
      <c r="E3558" s="3">
        <v>0.280308339173096</v>
      </c>
      <c r="F3558" s="3">
        <v>0.280308339173096</v>
      </c>
      <c r="G3558" s="3">
        <v>28.62</v>
      </c>
      <c r="H3558" s="3">
        <v>697.55078896499504</v>
      </c>
      <c r="I3558" s="3">
        <v>28.33</v>
      </c>
      <c r="J3558" s="3">
        <v>28.87</v>
      </c>
      <c r="K3558" s="3">
        <v>28.08</v>
      </c>
      <c r="L3558" s="3">
        <v>697.55078896499504</v>
      </c>
    </row>
    <row r="3559" spans="1:12" ht="15" customHeight="1" x14ac:dyDescent="0.2">
      <c r="A3559" s="2">
        <v>40883</v>
      </c>
      <c r="B3559" s="3">
        <v>28.54</v>
      </c>
      <c r="C3559" s="1">
        <v>966405</v>
      </c>
      <c r="D3559" s="3">
        <v>-0.440000000000001</v>
      </c>
      <c r="E3559" s="3">
        <v>-1.5182884748102099</v>
      </c>
      <c r="F3559" s="3">
        <v>-1.5182884748102099</v>
      </c>
      <c r="G3559" s="3">
        <v>28.54</v>
      </c>
      <c r="H3559" s="3">
        <v>695.32143665482101</v>
      </c>
      <c r="I3559" s="3">
        <v>28.46</v>
      </c>
      <c r="J3559" s="3">
        <v>28.77</v>
      </c>
      <c r="K3559" s="3">
        <v>27.84</v>
      </c>
      <c r="L3559" s="3">
        <v>695.32143665482101</v>
      </c>
    </row>
    <row r="3560" spans="1:12" ht="15" customHeight="1" x14ac:dyDescent="0.2">
      <c r="A3560" s="2">
        <v>40882</v>
      </c>
      <c r="B3560" s="3">
        <v>28.98</v>
      </c>
      <c r="C3560" s="1">
        <v>665794</v>
      </c>
      <c r="D3560" s="3">
        <v>0.17999999999999899</v>
      </c>
      <c r="E3560" s="3">
        <v>0.62500000000000799</v>
      </c>
      <c r="F3560" s="3">
        <v>0.62500000000000799</v>
      </c>
      <c r="G3560" s="3">
        <v>28.98</v>
      </c>
      <c r="H3560" s="3">
        <v>707.58287436078194</v>
      </c>
      <c r="I3560" s="3">
        <v>29.28</v>
      </c>
      <c r="J3560" s="3">
        <v>29.49</v>
      </c>
      <c r="K3560" s="3">
        <v>28.75</v>
      </c>
      <c r="L3560" s="3">
        <v>707.58287436078194</v>
      </c>
    </row>
    <row r="3561" spans="1:12" ht="15" customHeight="1" x14ac:dyDescent="0.2">
      <c r="A3561" s="2">
        <v>40879</v>
      </c>
      <c r="B3561" s="3">
        <v>28.8</v>
      </c>
      <c r="C3561" s="1">
        <v>480343</v>
      </c>
      <c r="D3561" s="3">
        <v>0.26999999999999902</v>
      </c>
      <c r="E3561" s="3">
        <v>0.94637223974762796</v>
      </c>
      <c r="F3561" s="3">
        <v>0.94637223974762796</v>
      </c>
      <c r="G3561" s="3">
        <v>28.8</v>
      </c>
      <c r="H3561" s="3">
        <v>702.56683166288803</v>
      </c>
      <c r="I3561" s="3">
        <v>28.92</v>
      </c>
      <c r="J3561" s="3">
        <v>29.1</v>
      </c>
      <c r="K3561" s="3">
        <v>28.66</v>
      </c>
      <c r="L3561" s="3">
        <v>702.56683166288803</v>
      </c>
    </row>
    <row r="3562" spans="1:12" ht="15" customHeight="1" x14ac:dyDescent="0.2">
      <c r="A3562" s="2">
        <v>40878</v>
      </c>
      <c r="B3562" s="3">
        <v>28.53</v>
      </c>
      <c r="C3562" s="1">
        <v>847382</v>
      </c>
      <c r="D3562" s="3">
        <v>0.17000000000000101</v>
      </c>
      <c r="E3562" s="3">
        <v>0.59943582510579796</v>
      </c>
      <c r="F3562" s="3">
        <v>0.59943582510579796</v>
      </c>
      <c r="G3562" s="3">
        <v>28.53</v>
      </c>
      <c r="H3562" s="3">
        <v>695.04276761604899</v>
      </c>
      <c r="I3562" s="3">
        <v>28.23</v>
      </c>
      <c r="J3562" s="3">
        <v>28.75</v>
      </c>
      <c r="K3562" s="3">
        <v>28.1</v>
      </c>
      <c r="L3562" s="3">
        <v>695.04276761604899</v>
      </c>
    </row>
    <row r="3563" spans="1:12" ht="15" customHeight="1" x14ac:dyDescent="0.2">
      <c r="A3563" s="2">
        <v>40877</v>
      </c>
      <c r="B3563" s="3">
        <v>28.36</v>
      </c>
      <c r="C3563" s="1">
        <v>1037487</v>
      </c>
      <c r="D3563" s="3">
        <v>1.1099999999999901</v>
      </c>
      <c r="E3563" s="3">
        <v>4.07339449541284</v>
      </c>
      <c r="F3563" s="3">
        <v>4.07339449541284</v>
      </c>
      <c r="G3563" s="3">
        <v>28.36</v>
      </c>
      <c r="H3563" s="3">
        <v>690.30539395692801</v>
      </c>
      <c r="I3563" s="3">
        <v>28.2</v>
      </c>
      <c r="J3563" s="3">
        <v>28.36</v>
      </c>
      <c r="K3563" s="3">
        <v>27.79</v>
      </c>
      <c r="L3563" s="3">
        <v>690.30539395692801</v>
      </c>
    </row>
    <row r="3564" spans="1:12" ht="15" customHeight="1" x14ac:dyDescent="0.2">
      <c r="A3564" s="2">
        <v>40876</v>
      </c>
      <c r="B3564" s="3">
        <v>27.25</v>
      </c>
      <c r="C3564" s="1">
        <v>1418176</v>
      </c>
      <c r="D3564" s="3">
        <v>0.25</v>
      </c>
      <c r="E3564" s="3">
        <v>0.92592592592593004</v>
      </c>
      <c r="F3564" s="3">
        <v>0.92592592592593004</v>
      </c>
      <c r="G3564" s="3">
        <v>27.25</v>
      </c>
      <c r="H3564" s="3">
        <v>659.37313065325395</v>
      </c>
      <c r="I3564" s="3">
        <v>27.25</v>
      </c>
      <c r="J3564" s="3">
        <v>27.99</v>
      </c>
      <c r="K3564" s="3">
        <v>26.99</v>
      </c>
      <c r="L3564" s="3">
        <v>659.37313065325395</v>
      </c>
    </row>
    <row r="3565" spans="1:12" ht="15" customHeight="1" x14ac:dyDescent="0.2">
      <c r="A3565" s="2">
        <v>40875</v>
      </c>
      <c r="B3565" s="3">
        <v>27</v>
      </c>
      <c r="C3565" s="1">
        <v>602000</v>
      </c>
      <c r="D3565" s="3">
        <v>0.96</v>
      </c>
      <c r="E3565" s="3">
        <v>3.68663594470046</v>
      </c>
      <c r="F3565" s="3">
        <v>3.68663594470046</v>
      </c>
      <c r="G3565" s="3">
        <v>27</v>
      </c>
      <c r="H3565" s="3">
        <v>652.40640468395804</v>
      </c>
      <c r="I3565" s="3">
        <v>26.68</v>
      </c>
      <c r="J3565" s="3">
        <v>27.12</v>
      </c>
      <c r="K3565" s="3">
        <v>26.551100000000002</v>
      </c>
      <c r="L3565" s="3">
        <v>652.40640468395804</v>
      </c>
    </row>
    <row r="3566" spans="1:12" ht="15" customHeight="1" x14ac:dyDescent="0.2">
      <c r="A3566" s="2">
        <v>40872</v>
      </c>
      <c r="B3566" s="3">
        <v>26.04</v>
      </c>
      <c r="C3566" s="1">
        <v>322694</v>
      </c>
      <c r="D3566" s="3">
        <v>-0.100000000000001</v>
      </c>
      <c r="E3566" s="3">
        <v>-0.38255547054323302</v>
      </c>
      <c r="F3566" s="3">
        <v>-0.38255547054323302</v>
      </c>
      <c r="G3566" s="3">
        <v>26.04</v>
      </c>
      <c r="H3566" s="3">
        <v>625.65417696186205</v>
      </c>
      <c r="I3566" s="3">
        <v>26.04</v>
      </c>
      <c r="J3566" s="3">
        <v>26.62</v>
      </c>
      <c r="K3566" s="3">
        <v>26.03</v>
      </c>
      <c r="L3566" s="3">
        <v>625.65417696186205</v>
      </c>
    </row>
    <row r="3567" spans="1:12" ht="15" customHeight="1" x14ac:dyDescent="0.2">
      <c r="A3567" s="2">
        <v>40870</v>
      </c>
      <c r="B3567" s="3">
        <v>26.14</v>
      </c>
      <c r="C3567" s="1">
        <v>933527</v>
      </c>
      <c r="D3567" s="3">
        <v>-0.55999999999999805</v>
      </c>
      <c r="E3567" s="3">
        <v>-2.0973782771535499</v>
      </c>
      <c r="F3567" s="3">
        <v>-2.0973782771535499</v>
      </c>
      <c r="G3567" s="3">
        <v>26.14</v>
      </c>
      <c r="H3567" s="3">
        <v>628.44086734958</v>
      </c>
      <c r="I3567" s="3">
        <v>26.42</v>
      </c>
      <c r="J3567" s="3">
        <v>26.85</v>
      </c>
      <c r="K3567" s="3">
        <v>26.07</v>
      </c>
      <c r="L3567" s="3">
        <v>628.44086734958</v>
      </c>
    </row>
    <row r="3568" spans="1:12" ht="15" customHeight="1" x14ac:dyDescent="0.2">
      <c r="A3568" s="2">
        <v>40869</v>
      </c>
      <c r="B3568" s="3">
        <v>26.7</v>
      </c>
      <c r="C3568" s="1">
        <v>943052</v>
      </c>
      <c r="D3568" s="3">
        <v>0.34999999999999698</v>
      </c>
      <c r="E3568" s="3">
        <v>1.32827324478177</v>
      </c>
      <c r="F3568" s="3">
        <v>1.32827324478177</v>
      </c>
      <c r="G3568" s="3">
        <v>26.7</v>
      </c>
      <c r="H3568" s="3">
        <v>644.04633352080305</v>
      </c>
      <c r="I3568" s="3">
        <v>26.3</v>
      </c>
      <c r="J3568" s="3">
        <v>26.98</v>
      </c>
      <c r="K3568" s="3">
        <v>26.17</v>
      </c>
      <c r="L3568" s="3">
        <v>644.04633352080305</v>
      </c>
    </row>
    <row r="3569" spans="1:12" ht="15" customHeight="1" x14ac:dyDescent="0.2">
      <c r="A3569" s="2">
        <v>40868</v>
      </c>
      <c r="B3569" s="3">
        <v>26.35</v>
      </c>
      <c r="C3569" s="1">
        <v>903648</v>
      </c>
      <c r="D3569" s="3">
        <v>-0.39999999999999802</v>
      </c>
      <c r="E3569" s="3">
        <v>-1.49532710280373</v>
      </c>
      <c r="F3569" s="3">
        <v>-1.49532710280373</v>
      </c>
      <c r="G3569" s="3">
        <v>26.35</v>
      </c>
      <c r="H3569" s="3">
        <v>634.29291716378896</v>
      </c>
      <c r="I3569" s="3">
        <v>26.32</v>
      </c>
      <c r="J3569" s="3">
        <v>26.47</v>
      </c>
      <c r="K3569" s="3">
        <v>25.81</v>
      </c>
      <c r="L3569" s="3">
        <v>634.29291716378896</v>
      </c>
    </row>
    <row r="3570" spans="1:12" ht="15" customHeight="1" x14ac:dyDescent="0.2">
      <c r="A3570" s="2">
        <v>40865</v>
      </c>
      <c r="B3570" s="3">
        <v>26.75</v>
      </c>
      <c r="C3570" s="1">
        <v>758150</v>
      </c>
      <c r="D3570" s="3">
        <v>0.309999999999998</v>
      </c>
      <c r="E3570" s="3">
        <v>1.17246596066564</v>
      </c>
      <c r="F3570" s="3">
        <v>1.17246596066564</v>
      </c>
      <c r="G3570" s="3">
        <v>26.75</v>
      </c>
      <c r="H3570" s="3">
        <v>645.43967871466202</v>
      </c>
      <c r="I3570" s="3">
        <v>26.44</v>
      </c>
      <c r="J3570" s="3">
        <v>26.82</v>
      </c>
      <c r="K3570" s="3">
        <v>26.07</v>
      </c>
      <c r="L3570" s="3">
        <v>645.43967871466202</v>
      </c>
    </row>
    <row r="3571" spans="1:12" ht="15" customHeight="1" x14ac:dyDescent="0.2">
      <c r="A3571" s="2">
        <v>40864</v>
      </c>
      <c r="B3571" s="3">
        <v>26.44</v>
      </c>
      <c r="C3571" s="1">
        <v>978577</v>
      </c>
      <c r="D3571" s="3">
        <v>-0.38999999999999702</v>
      </c>
      <c r="E3571" s="3">
        <v>-1.45359672008944</v>
      </c>
      <c r="F3571" s="3">
        <v>-1.45359672008944</v>
      </c>
      <c r="G3571" s="3">
        <v>26.44</v>
      </c>
      <c r="H3571" s="3">
        <v>636.800938512735</v>
      </c>
      <c r="I3571" s="3">
        <v>27.29</v>
      </c>
      <c r="J3571" s="3">
        <v>27.29</v>
      </c>
      <c r="K3571" s="3">
        <v>26.25</v>
      </c>
      <c r="L3571" s="3">
        <v>636.800938512735</v>
      </c>
    </row>
    <row r="3572" spans="1:12" ht="15" customHeight="1" x14ac:dyDescent="0.2">
      <c r="A3572" s="2">
        <v>40863</v>
      </c>
      <c r="B3572" s="3">
        <v>26.83</v>
      </c>
      <c r="C3572" s="1">
        <v>625781</v>
      </c>
      <c r="D3572" s="3">
        <v>-0.66</v>
      </c>
      <c r="E3572" s="3">
        <v>-2.4008730447435398</v>
      </c>
      <c r="F3572" s="3">
        <v>-2.4008730447435398</v>
      </c>
      <c r="G3572" s="3">
        <v>26.83</v>
      </c>
      <c r="H3572" s="3">
        <v>647.66903102483695</v>
      </c>
      <c r="I3572" s="3">
        <v>27.22</v>
      </c>
      <c r="J3572" s="3">
        <v>27.49</v>
      </c>
      <c r="K3572" s="3">
        <v>26.74</v>
      </c>
      <c r="L3572" s="3">
        <v>647.66903102483695</v>
      </c>
    </row>
    <row r="3573" spans="1:12" ht="15" customHeight="1" x14ac:dyDescent="0.2">
      <c r="A3573" s="2">
        <v>40862</v>
      </c>
      <c r="B3573" s="3">
        <v>27.49</v>
      </c>
      <c r="C3573" s="1">
        <v>682992</v>
      </c>
      <c r="D3573" s="3">
        <v>0.23999999999999799</v>
      </c>
      <c r="E3573" s="3">
        <v>0.88073394495411506</v>
      </c>
      <c r="F3573" s="3">
        <v>0.88073394495411506</v>
      </c>
      <c r="G3573" s="3">
        <v>27.49</v>
      </c>
      <c r="H3573" s="3">
        <v>666.06118758377795</v>
      </c>
      <c r="I3573" s="3">
        <v>27.12</v>
      </c>
      <c r="J3573" s="3">
        <v>27.65</v>
      </c>
      <c r="K3573" s="3">
        <v>26.8</v>
      </c>
      <c r="L3573" s="3">
        <v>666.06118758377795</v>
      </c>
    </row>
    <row r="3574" spans="1:12" ht="15" customHeight="1" x14ac:dyDescent="0.2">
      <c r="A3574" s="2">
        <v>40861</v>
      </c>
      <c r="B3574" s="3">
        <v>27.25</v>
      </c>
      <c r="C3574" s="1">
        <v>774139</v>
      </c>
      <c r="D3574" s="3">
        <v>-0.33999999999999903</v>
      </c>
      <c r="E3574" s="3">
        <v>-1.23233055454874</v>
      </c>
      <c r="F3574" s="3">
        <v>-1.23233055454874</v>
      </c>
      <c r="G3574" s="3">
        <v>27.25</v>
      </c>
      <c r="H3574" s="3">
        <v>659.37313065325395</v>
      </c>
      <c r="I3574" s="3">
        <v>27.39</v>
      </c>
      <c r="J3574" s="3">
        <v>27.59</v>
      </c>
      <c r="K3574" s="3">
        <v>27.12</v>
      </c>
      <c r="L3574" s="3">
        <v>659.37313065325395</v>
      </c>
    </row>
    <row r="3575" spans="1:12" ht="15" customHeight="1" x14ac:dyDescent="0.2">
      <c r="A3575" s="2">
        <v>40858</v>
      </c>
      <c r="B3575" s="3">
        <v>27.59</v>
      </c>
      <c r="C3575" s="1">
        <v>574427</v>
      </c>
      <c r="D3575" s="3">
        <v>0.73999999999999799</v>
      </c>
      <c r="E3575" s="3">
        <v>2.7560521415269799</v>
      </c>
      <c r="F3575" s="3">
        <v>2.7560521415269799</v>
      </c>
      <c r="G3575" s="3">
        <v>27.59</v>
      </c>
      <c r="H3575" s="3">
        <v>668.84787797149602</v>
      </c>
      <c r="I3575" s="3">
        <v>27.09</v>
      </c>
      <c r="J3575" s="3">
        <v>27.85</v>
      </c>
      <c r="K3575" s="3">
        <v>27.07</v>
      </c>
      <c r="L3575" s="3">
        <v>668.84787797149602</v>
      </c>
    </row>
    <row r="3576" spans="1:12" ht="15" customHeight="1" x14ac:dyDescent="0.2">
      <c r="A3576" s="2">
        <v>40857</v>
      </c>
      <c r="B3576" s="3">
        <v>26.85</v>
      </c>
      <c r="C3576" s="1">
        <v>586731</v>
      </c>
      <c r="D3576" s="3">
        <v>0.100000000000001</v>
      </c>
      <c r="E3576" s="3">
        <v>0.37383177570093901</v>
      </c>
      <c r="F3576" s="3">
        <v>0.37383177570093901</v>
      </c>
      <c r="G3576" s="3">
        <v>26.85</v>
      </c>
      <c r="H3576" s="3">
        <v>648.22636910237998</v>
      </c>
      <c r="I3576" s="3">
        <v>27.17</v>
      </c>
      <c r="J3576" s="3">
        <v>27.26</v>
      </c>
      <c r="K3576" s="3">
        <v>26.6</v>
      </c>
      <c r="L3576" s="3">
        <v>648.22636910237998</v>
      </c>
    </row>
    <row r="3577" spans="1:12" ht="15" customHeight="1" x14ac:dyDescent="0.2">
      <c r="A3577" s="2">
        <v>40856</v>
      </c>
      <c r="B3577" s="3">
        <v>26.75</v>
      </c>
      <c r="C3577" s="1">
        <v>1033233</v>
      </c>
      <c r="D3577" s="3">
        <v>-1.03</v>
      </c>
      <c r="E3577" s="3">
        <v>-3.7077033837293101</v>
      </c>
      <c r="F3577" s="3">
        <v>-3.7077033837293101</v>
      </c>
      <c r="G3577" s="3">
        <v>26.75</v>
      </c>
      <c r="H3577" s="3">
        <v>645.43967871466202</v>
      </c>
      <c r="I3577" s="3">
        <v>27.12</v>
      </c>
      <c r="J3577" s="3">
        <v>27.64</v>
      </c>
      <c r="K3577" s="3">
        <v>26.69</v>
      </c>
      <c r="L3577" s="3">
        <v>645.43967871466202</v>
      </c>
    </row>
    <row r="3578" spans="1:12" ht="15" customHeight="1" x14ac:dyDescent="0.2">
      <c r="A3578" s="2">
        <v>40855</v>
      </c>
      <c r="B3578" s="3">
        <v>27.78</v>
      </c>
      <c r="C3578" s="1">
        <v>886411</v>
      </c>
      <c r="D3578" s="3">
        <v>0.45000000000000201</v>
      </c>
      <c r="E3578" s="3">
        <v>1.64654226125138</v>
      </c>
      <c r="F3578" s="3">
        <v>1.64654226125138</v>
      </c>
      <c r="G3578" s="3">
        <v>27.78</v>
      </c>
      <c r="H3578" s="3">
        <v>674.14258970816104</v>
      </c>
      <c r="I3578" s="3">
        <v>27.29</v>
      </c>
      <c r="J3578" s="3">
        <v>27.85</v>
      </c>
      <c r="K3578" s="3">
        <v>27.07</v>
      </c>
      <c r="L3578" s="3">
        <v>674.14258970816104</v>
      </c>
    </row>
    <row r="3579" spans="1:12" ht="15" customHeight="1" x14ac:dyDescent="0.2">
      <c r="A3579" s="2">
        <v>40854</v>
      </c>
      <c r="B3579" s="3">
        <v>27.33</v>
      </c>
      <c r="C3579" s="1">
        <v>928380</v>
      </c>
      <c r="D3579" s="3">
        <v>-3.0000000000001099E-2</v>
      </c>
      <c r="E3579" s="3">
        <v>-0.10964912280701999</v>
      </c>
      <c r="F3579" s="3">
        <v>-0.10964912280701999</v>
      </c>
      <c r="G3579" s="3">
        <v>27.33</v>
      </c>
      <c r="H3579" s="3">
        <v>661.60248296342797</v>
      </c>
      <c r="I3579" s="3">
        <v>27.33</v>
      </c>
      <c r="J3579" s="3">
        <v>27.53</v>
      </c>
      <c r="K3579" s="3">
        <v>26.8</v>
      </c>
      <c r="L3579" s="3">
        <v>661.60248296342797</v>
      </c>
    </row>
    <row r="3580" spans="1:12" ht="15" customHeight="1" x14ac:dyDescent="0.2">
      <c r="A3580" s="2">
        <v>40851</v>
      </c>
      <c r="B3580" s="3">
        <v>27.36</v>
      </c>
      <c r="C3580" s="1">
        <v>1431397</v>
      </c>
      <c r="D3580" s="3">
        <v>-0.3</v>
      </c>
      <c r="E3580" s="3">
        <v>-1.0845986984815601</v>
      </c>
      <c r="F3580" s="3">
        <v>-1.0845986984815601</v>
      </c>
      <c r="G3580" s="3">
        <v>27.36</v>
      </c>
      <c r="H3580" s="3">
        <v>662.43849007974404</v>
      </c>
      <c r="I3580" s="3">
        <v>27.48</v>
      </c>
      <c r="J3580" s="3">
        <v>27.68</v>
      </c>
      <c r="K3580" s="3">
        <v>26.93</v>
      </c>
      <c r="L3580" s="3">
        <v>662.43849007974404</v>
      </c>
    </row>
    <row r="3581" spans="1:12" ht="15" customHeight="1" x14ac:dyDescent="0.2">
      <c r="A3581" s="2">
        <v>40850</v>
      </c>
      <c r="B3581" s="3">
        <v>27.66</v>
      </c>
      <c r="C3581" s="1">
        <v>1231486</v>
      </c>
      <c r="D3581" s="3">
        <v>-0.28000000000000103</v>
      </c>
      <c r="E3581" s="3">
        <v>-1.00214745884037</v>
      </c>
      <c r="F3581" s="3">
        <v>-1.00214745884037</v>
      </c>
      <c r="G3581" s="3">
        <v>27.66</v>
      </c>
      <c r="H3581" s="3">
        <v>670.79856124289904</v>
      </c>
      <c r="I3581" s="3">
        <v>27.41</v>
      </c>
      <c r="J3581" s="3">
        <v>27.85</v>
      </c>
      <c r="K3581" s="3">
        <v>27.03</v>
      </c>
      <c r="L3581" s="3">
        <v>670.79856124289904</v>
      </c>
    </row>
    <row r="3582" spans="1:12" ht="15" customHeight="1" x14ac:dyDescent="0.2">
      <c r="A3582" s="2">
        <v>40849</v>
      </c>
      <c r="B3582" s="3">
        <v>27.94</v>
      </c>
      <c r="C3582" s="1">
        <v>1060128</v>
      </c>
      <c r="D3582" s="3">
        <v>8.0000000000001806E-2</v>
      </c>
      <c r="E3582" s="3">
        <v>0.28715003589376797</v>
      </c>
      <c r="F3582" s="3">
        <v>0.28715003589376797</v>
      </c>
      <c r="G3582" s="3">
        <v>27.94</v>
      </c>
      <c r="H3582" s="3">
        <v>678.60129432850999</v>
      </c>
      <c r="I3582" s="3">
        <v>28.19</v>
      </c>
      <c r="J3582" s="3">
        <v>28.51</v>
      </c>
      <c r="K3582" s="3">
        <v>27.46</v>
      </c>
      <c r="L3582" s="3">
        <v>678.60129432850999</v>
      </c>
    </row>
    <row r="3583" spans="1:12" ht="15" customHeight="1" x14ac:dyDescent="0.2">
      <c r="A3583" s="2">
        <v>40848</v>
      </c>
      <c r="B3583" s="3">
        <v>27.86</v>
      </c>
      <c r="C3583" s="1">
        <v>1523239</v>
      </c>
      <c r="D3583" s="3">
        <v>-0.12999999999999901</v>
      </c>
      <c r="E3583" s="3">
        <v>-0.46445158985351997</v>
      </c>
      <c r="F3583" s="3">
        <v>-0.46445158985351997</v>
      </c>
      <c r="G3583" s="3">
        <v>27.86</v>
      </c>
      <c r="H3583" s="3">
        <v>676.37194201833597</v>
      </c>
      <c r="I3583" s="3">
        <v>27.03</v>
      </c>
      <c r="J3583" s="3">
        <v>28.14</v>
      </c>
      <c r="K3583" s="3">
        <v>26.65</v>
      </c>
      <c r="L3583" s="3">
        <v>676.37194201833597</v>
      </c>
    </row>
    <row r="3584" spans="1:12" ht="15" customHeight="1" x14ac:dyDescent="0.2">
      <c r="A3584" s="2">
        <v>40847</v>
      </c>
      <c r="B3584" s="3">
        <v>27.99</v>
      </c>
      <c r="C3584" s="1">
        <v>996798</v>
      </c>
      <c r="D3584" s="3">
        <v>-0.37000000000000099</v>
      </c>
      <c r="E3584" s="3">
        <v>-1.3046544428772899</v>
      </c>
      <c r="F3584" s="3">
        <v>-1.3046544428772899</v>
      </c>
      <c r="G3584" s="3">
        <v>27.99</v>
      </c>
      <c r="H3584" s="3">
        <v>679.99463952236999</v>
      </c>
      <c r="I3584" s="3">
        <v>28</v>
      </c>
      <c r="J3584" s="3">
        <v>28.55</v>
      </c>
      <c r="K3584" s="3">
        <v>27.91</v>
      </c>
      <c r="L3584" s="3">
        <v>679.99463952236999</v>
      </c>
    </row>
    <row r="3585" spans="1:12" ht="15" customHeight="1" x14ac:dyDescent="0.2">
      <c r="A3585" s="2">
        <v>40844</v>
      </c>
      <c r="B3585" s="3">
        <v>28.36</v>
      </c>
      <c r="C3585" s="1">
        <v>509719</v>
      </c>
      <c r="D3585" s="3">
        <v>-0.40000000000000202</v>
      </c>
      <c r="E3585" s="3">
        <v>-1.3908205841446399</v>
      </c>
      <c r="F3585" s="3">
        <v>-1.3908205841446399</v>
      </c>
      <c r="G3585" s="3">
        <v>28.36</v>
      </c>
      <c r="H3585" s="3">
        <v>690.30539395692801</v>
      </c>
      <c r="I3585" s="3">
        <v>28.63</v>
      </c>
      <c r="J3585" s="3">
        <v>28.93</v>
      </c>
      <c r="K3585" s="3">
        <v>28.08</v>
      </c>
      <c r="L3585" s="3">
        <v>690.30539395692801</v>
      </c>
    </row>
    <row r="3586" spans="1:12" ht="15" customHeight="1" x14ac:dyDescent="0.2">
      <c r="A3586" s="2">
        <v>40843</v>
      </c>
      <c r="B3586" s="3">
        <v>28.76</v>
      </c>
      <c r="C3586" s="1">
        <v>1749348</v>
      </c>
      <c r="D3586" s="3">
        <v>1.1200000000000001</v>
      </c>
      <c r="E3586" s="3">
        <v>4.05209840810421</v>
      </c>
      <c r="F3586" s="3">
        <v>4.05209840810421</v>
      </c>
      <c r="G3586" s="3">
        <v>28.76</v>
      </c>
      <c r="H3586" s="3">
        <v>701.45215550780097</v>
      </c>
      <c r="I3586" s="3">
        <v>28.3</v>
      </c>
      <c r="J3586" s="3">
        <v>29.07</v>
      </c>
      <c r="K3586" s="3">
        <v>27.92</v>
      </c>
      <c r="L3586" s="3">
        <v>701.45215550780097</v>
      </c>
    </row>
    <row r="3587" spans="1:12" ht="15" customHeight="1" x14ac:dyDescent="0.2">
      <c r="A3587" s="2">
        <v>40842</v>
      </c>
      <c r="B3587" s="3">
        <v>27.64</v>
      </c>
      <c r="C3587" s="1">
        <v>1420530</v>
      </c>
      <c r="D3587" s="3">
        <v>-5.99999999999987E-2</v>
      </c>
      <c r="E3587" s="3">
        <v>-0.21660649819493699</v>
      </c>
      <c r="F3587" s="3">
        <v>-0.21660649819493699</v>
      </c>
      <c r="G3587" s="3">
        <v>27.64</v>
      </c>
      <c r="H3587" s="3">
        <v>670.241223165355</v>
      </c>
      <c r="I3587" s="3">
        <v>28.22</v>
      </c>
      <c r="J3587" s="3">
        <v>28.57</v>
      </c>
      <c r="K3587" s="3">
        <v>27.17</v>
      </c>
      <c r="L3587" s="3">
        <v>670.241223165355</v>
      </c>
    </row>
    <row r="3588" spans="1:12" ht="15" customHeight="1" x14ac:dyDescent="0.2">
      <c r="A3588" s="2">
        <v>40841</v>
      </c>
      <c r="B3588" s="3">
        <v>27.7</v>
      </c>
      <c r="C3588" s="1">
        <v>1234254</v>
      </c>
      <c r="D3588" s="3">
        <v>-0.65000000000000202</v>
      </c>
      <c r="E3588" s="3">
        <v>-2.2927689594356302</v>
      </c>
      <c r="F3588" s="3">
        <v>-2.2927689594356302</v>
      </c>
      <c r="G3588" s="3">
        <v>27.7</v>
      </c>
      <c r="H3588" s="3">
        <v>671.91323739798599</v>
      </c>
      <c r="I3588" s="3">
        <v>28.27</v>
      </c>
      <c r="J3588" s="3">
        <v>28.33</v>
      </c>
      <c r="K3588" s="3">
        <v>27.61</v>
      </c>
      <c r="L3588" s="3">
        <v>671.91323739798599</v>
      </c>
    </row>
    <row r="3589" spans="1:12" ht="15" customHeight="1" x14ac:dyDescent="0.2">
      <c r="A3589" s="2">
        <v>40840</v>
      </c>
      <c r="B3589" s="3">
        <v>28.35</v>
      </c>
      <c r="C3589" s="1">
        <v>1478692</v>
      </c>
      <c r="D3589" s="3">
        <v>1.02</v>
      </c>
      <c r="E3589" s="3">
        <v>3.7321624588364499</v>
      </c>
      <c r="F3589" s="3">
        <v>3.7321624588364499</v>
      </c>
      <c r="G3589" s="3">
        <v>28.35</v>
      </c>
      <c r="H3589" s="3">
        <v>690.02672491815599</v>
      </c>
      <c r="I3589" s="3">
        <v>27.16</v>
      </c>
      <c r="J3589" s="3">
        <v>28.43</v>
      </c>
      <c r="K3589" s="3">
        <v>26.96</v>
      </c>
      <c r="L3589" s="3">
        <v>690.02672491815599</v>
      </c>
    </row>
    <row r="3590" spans="1:12" ht="15" customHeight="1" x14ac:dyDescent="0.2">
      <c r="A3590" s="2">
        <v>40837</v>
      </c>
      <c r="B3590" s="3">
        <v>27.33</v>
      </c>
      <c r="C3590" s="1">
        <v>1644250</v>
      </c>
      <c r="D3590" s="3">
        <v>1.0799999999999901</v>
      </c>
      <c r="E3590" s="3">
        <v>4.1142857142857103</v>
      </c>
      <c r="F3590" s="3">
        <v>4.1142857142857103</v>
      </c>
      <c r="G3590" s="3">
        <v>27.33</v>
      </c>
      <c r="H3590" s="3">
        <v>661.60248296342797</v>
      </c>
      <c r="I3590" s="3">
        <v>26.74</v>
      </c>
      <c r="J3590" s="3">
        <v>27.35</v>
      </c>
      <c r="K3590" s="3">
        <v>26.33</v>
      </c>
      <c r="L3590" s="3">
        <v>661.60248296342797</v>
      </c>
    </row>
    <row r="3591" spans="1:12" ht="15" customHeight="1" x14ac:dyDescent="0.2">
      <c r="A3591" s="2">
        <v>40836</v>
      </c>
      <c r="B3591" s="3">
        <v>26.25</v>
      </c>
      <c r="C3591" s="1">
        <v>3079249</v>
      </c>
      <c r="D3591" s="3">
        <v>0.19999999999999901</v>
      </c>
      <c r="E3591" s="3">
        <v>0.767754318618041</v>
      </c>
      <c r="F3591" s="3">
        <v>0.767754318618041</v>
      </c>
      <c r="G3591" s="3">
        <v>26.25</v>
      </c>
      <c r="H3591" s="3">
        <v>631.50622677606998</v>
      </c>
      <c r="I3591" s="3">
        <v>25.36</v>
      </c>
      <c r="J3591" s="3">
        <v>26.66</v>
      </c>
      <c r="K3591" s="3">
        <v>25.22</v>
      </c>
      <c r="L3591" s="3">
        <v>631.50622677606998</v>
      </c>
    </row>
    <row r="3592" spans="1:12" ht="15" customHeight="1" x14ac:dyDescent="0.2">
      <c r="A3592" s="2">
        <v>40835</v>
      </c>
      <c r="B3592" s="3">
        <v>26.05</v>
      </c>
      <c r="C3592" s="1">
        <v>2160036</v>
      </c>
      <c r="D3592" s="3">
        <v>-1.1799999999999899</v>
      </c>
      <c r="E3592" s="3">
        <v>-4.3334557473374797</v>
      </c>
      <c r="F3592" s="3">
        <v>-4.3334557473374797</v>
      </c>
      <c r="G3592" s="3">
        <v>26.05</v>
      </c>
      <c r="H3592" s="3">
        <v>625.93284600063305</v>
      </c>
      <c r="I3592" s="3">
        <v>27.12</v>
      </c>
      <c r="J3592" s="3">
        <v>27.12</v>
      </c>
      <c r="K3592" s="3">
        <v>25.74</v>
      </c>
      <c r="L3592" s="3">
        <v>625.93284600063305</v>
      </c>
    </row>
    <row r="3593" spans="1:12" ht="15" customHeight="1" x14ac:dyDescent="0.2">
      <c r="A3593" s="2">
        <v>40834</v>
      </c>
      <c r="B3593" s="3">
        <v>27.23</v>
      </c>
      <c r="C3593" s="1">
        <v>2394216</v>
      </c>
      <c r="D3593" s="3">
        <v>1.1099999999999901</v>
      </c>
      <c r="E3593" s="3">
        <v>4.2496171516079597</v>
      </c>
      <c r="F3593" s="3">
        <v>4.2496171516079597</v>
      </c>
      <c r="G3593" s="3">
        <v>27.23</v>
      </c>
      <c r="H3593" s="3">
        <v>658.81579257571002</v>
      </c>
      <c r="I3593" s="3">
        <v>26.61</v>
      </c>
      <c r="J3593" s="3">
        <v>27.38</v>
      </c>
      <c r="K3593" s="3">
        <v>25.87</v>
      </c>
      <c r="L3593" s="3">
        <v>658.81579257571002</v>
      </c>
    </row>
    <row r="3594" spans="1:12" ht="15" customHeight="1" x14ac:dyDescent="0.2">
      <c r="A3594" s="2">
        <v>40833</v>
      </c>
      <c r="B3594" s="3">
        <v>26.12</v>
      </c>
      <c r="C3594" s="1">
        <v>977432</v>
      </c>
      <c r="D3594" s="3">
        <v>-0.89</v>
      </c>
      <c r="E3594" s="3">
        <v>-3.2950758978156198</v>
      </c>
      <c r="F3594" s="3">
        <v>-3.2950758978156198</v>
      </c>
      <c r="G3594" s="3">
        <v>26.12</v>
      </c>
      <c r="H3594" s="3">
        <v>627.88352927203596</v>
      </c>
      <c r="I3594" s="3">
        <v>26.82</v>
      </c>
      <c r="J3594" s="3">
        <v>26.94</v>
      </c>
      <c r="K3594" s="3">
        <v>26.02</v>
      </c>
      <c r="L3594" s="3">
        <v>627.88352927203596</v>
      </c>
    </row>
    <row r="3595" spans="1:12" ht="15" customHeight="1" x14ac:dyDescent="0.2">
      <c r="A3595" s="2">
        <v>40830</v>
      </c>
      <c r="B3595" s="3">
        <v>27.01</v>
      </c>
      <c r="C3595" s="1">
        <v>1210143</v>
      </c>
      <c r="D3595" s="3">
        <v>-9.9999999999997799E-2</v>
      </c>
      <c r="E3595" s="3">
        <v>-0.36886757654001001</v>
      </c>
      <c r="F3595" s="3">
        <v>-0.36886757654001001</v>
      </c>
      <c r="G3595" s="3">
        <v>27.01</v>
      </c>
      <c r="H3595" s="3">
        <v>652.68507372272995</v>
      </c>
      <c r="I3595" s="3">
        <v>27.3</v>
      </c>
      <c r="J3595" s="3">
        <v>27.4</v>
      </c>
      <c r="K3595" s="3">
        <v>26.42</v>
      </c>
      <c r="L3595" s="3">
        <v>652.68507372272995</v>
      </c>
    </row>
    <row r="3596" spans="1:12" ht="15" customHeight="1" x14ac:dyDescent="0.2">
      <c r="A3596" s="2">
        <v>40829</v>
      </c>
      <c r="B3596" s="3">
        <v>27.11</v>
      </c>
      <c r="C3596" s="1">
        <v>992465</v>
      </c>
      <c r="D3596" s="3">
        <v>0.58999999999999897</v>
      </c>
      <c r="E3596" s="3">
        <v>2.2247360482654499</v>
      </c>
      <c r="F3596" s="3">
        <v>2.2247360482654499</v>
      </c>
      <c r="G3596" s="3">
        <v>27.11</v>
      </c>
      <c r="H3596" s="3">
        <v>655.47176411044802</v>
      </c>
      <c r="I3596" s="3">
        <v>26.47</v>
      </c>
      <c r="J3596" s="3">
        <v>27.21</v>
      </c>
      <c r="K3596" s="3">
        <v>26.28</v>
      </c>
      <c r="L3596" s="3">
        <v>655.47176411044802</v>
      </c>
    </row>
    <row r="3597" spans="1:12" ht="15" customHeight="1" x14ac:dyDescent="0.2">
      <c r="A3597" s="2">
        <v>40828</v>
      </c>
      <c r="B3597" s="3">
        <v>26.52</v>
      </c>
      <c r="C3597" s="1">
        <v>1363931</v>
      </c>
      <c r="D3597" s="3">
        <v>0.16</v>
      </c>
      <c r="E3597" s="3">
        <v>0.60698027314112202</v>
      </c>
      <c r="F3597" s="3">
        <v>0.60698027314112202</v>
      </c>
      <c r="G3597" s="3">
        <v>26.52</v>
      </c>
      <c r="H3597" s="3">
        <v>639.03029082291005</v>
      </c>
      <c r="I3597" s="3">
        <v>25.52</v>
      </c>
      <c r="J3597" s="3">
        <v>26.98</v>
      </c>
      <c r="K3597" s="3">
        <v>25.52</v>
      </c>
      <c r="L3597" s="3">
        <v>639.03029082291005</v>
      </c>
    </row>
    <row r="3598" spans="1:12" ht="15" customHeight="1" x14ac:dyDescent="0.2">
      <c r="A3598" s="2">
        <v>40827</v>
      </c>
      <c r="B3598" s="3">
        <v>26.36</v>
      </c>
      <c r="C3598" s="1">
        <v>977822</v>
      </c>
      <c r="D3598" s="3">
        <v>9.9999999999997799E-2</v>
      </c>
      <c r="E3598" s="3">
        <v>0.38080731150036401</v>
      </c>
      <c r="F3598" s="3">
        <v>0.38080731150036401</v>
      </c>
      <c r="G3598" s="3">
        <v>26.36</v>
      </c>
      <c r="H3598" s="3">
        <v>634.57158620255996</v>
      </c>
      <c r="I3598" s="3">
        <v>26.07</v>
      </c>
      <c r="J3598" s="3">
        <v>26.57</v>
      </c>
      <c r="K3598" s="3">
        <v>25.78</v>
      </c>
      <c r="L3598" s="3">
        <v>634.57158620255996</v>
      </c>
    </row>
    <row r="3599" spans="1:12" ht="15" customHeight="1" x14ac:dyDescent="0.2">
      <c r="A3599" s="2">
        <v>40826</v>
      </c>
      <c r="B3599" s="3">
        <v>26.26</v>
      </c>
      <c r="C3599" s="1">
        <v>956942</v>
      </c>
      <c r="D3599" s="3">
        <v>1.27</v>
      </c>
      <c r="E3599" s="3">
        <v>5.0820328131252701</v>
      </c>
      <c r="F3599" s="3">
        <v>5.0820328131252701</v>
      </c>
      <c r="G3599" s="3">
        <v>26.26</v>
      </c>
      <c r="H3599" s="3">
        <v>631.784895814842</v>
      </c>
      <c r="I3599" s="3">
        <v>25.49</v>
      </c>
      <c r="J3599" s="3">
        <v>26.28</v>
      </c>
      <c r="K3599" s="3">
        <v>25.27</v>
      </c>
      <c r="L3599" s="3">
        <v>631.784895814842</v>
      </c>
    </row>
    <row r="3600" spans="1:12" ht="15" customHeight="1" x14ac:dyDescent="0.2">
      <c r="A3600" s="2">
        <v>40823</v>
      </c>
      <c r="B3600" s="3">
        <v>24.99</v>
      </c>
      <c r="C3600" s="1">
        <v>1238336</v>
      </c>
      <c r="D3600" s="3">
        <v>-0.83999999999999897</v>
      </c>
      <c r="E3600" s="3">
        <v>-3.2520325203251899</v>
      </c>
      <c r="F3600" s="3">
        <v>-3.2520325203251899</v>
      </c>
      <c r="G3600" s="3">
        <v>24.99</v>
      </c>
      <c r="H3600" s="3">
        <v>596.39392789081899</v>
      </c>
      <c r="I3600" s="3">
        <v>25.83</v>
      </c>
      <c r="J3600" s="3">
        <v>26.016999999999999</v>
      </c>
      <c r="K3600" s="3">
        <v>24.81</v>
      </c>
      <c r="L3600" s="3">
        <v>596.39392789081899</v>
      </c>
    </row>
    <row r="3601" spans="1:12" ht="15" customHeight="1" x14ac:dyDescent="0.2">
      <c r="A3601" s="2">
        <v>40822</v>
      </c>
      <c r="B3601" s="3">
        <v>25.83</v>
      </c>
      <c r="C3601" s="1">
        <v>635834</v>
      </c>
      <c r="D3601" s="3">
        <v>0.40999999999999598</v>
      </c>
      <c r="E3601" s="3">
        <v>1.61290322580642</v>
      </c>
      <c r="F3601" s="3">
        <v>1.61290322580642</v>
      </c>
      <c r="G3601" s="3">
        <v>25.83</v>
      </c>
      <c r="H3601" s="3">
        <v>619.80212714765298</v>
      </c>
      <c r="I3601" s="3">
        <v>25.25</v>
      </c>
      <c r="J3601" s="3">
        <v>25.86</v>
      </c>
      <c r="K3601" s="3">
        <v>25.14</v>
      </c>
      <c r="L3601" s="3">
        <v>619.80212714765298</v>
      </c>
    </row>
    <row r="3602" spans="1:12" ht="15" customHeight="1" x14ac:dyDescent="0.2">
      <c r="A3602" s="2">
        <v>40821</v>
      </c>
      <c r="B3602" s="3">
        <v>25.42</v>
      </c>
      <c r="C3602" s="1">
        <v>1480589</v>
      </c>
      <c r="D3602" s="3">
        <v>0.43000000000000299</v>
      </c>
      <c r="E3602" s="3">
        <v>1.72068827531013</v>
      </c>
      <c r="F3602" s="3">
        <v>1.72068827531013</v>
      </c>
      <c r="G3602" s="3">
        <v>25.42</v>
      </c>
      <c r="H3602" s="3">
        <v>608.37669655800801</v>
      </c>
      <c r="I3602" s="3">
        <v>24.99</v>
      </c>
      <c r="J3602" s="3">
        <v>25.66</v>
      </c>
      <c r="K3602" s="3">
        <v>24.64</v>
      </c>
      <c r="L3602" s="3">
        <v>608.37669655800801</v>
      </c>
    </row>
    <row r="3603" spans="1:12" ht="15" customHeight="1" x14ac:dyDescent="0.2">
      <c r="A3603" s="2">
        <v>40820</v>
      </c>
      <c r="B3603" s="3">
        <v>24.99</v>
      </c>
      <c r="C3603" s="1">
        <v>1721980</v>
      </c>
      <c r="D3603" s="3">
        <v>1.02999999999999</v>
      </c>
      <c r="E3603" s="3">
        <v>4.29883138564273</v>
      </c>
      <c r="F3603" s="3">
        <v>4.29883138564273</v>
      </c>
      <c r="G3603" s="3">
        <v>24.99</v>
      </c>
      <c r="H3603" s="3">
        <v>596.39392789081899</v>
      </c>
      <c r="I3603" s="3">
        <v>23.72</v>
      </c>
      <c r="J3603" s="3">
        <v>25.04</v>
      </c>
      <c r="K3603" s="3">
        <v>23.65</v>
      </c>
      <c r="L3603" s="3">
        <v>596.39392789081899</v>
      </c>
    </row>
    <row r="3604" spans="1:12" ht="15" customHeight="1" x14ac:dyDescent="0.2">
      <c r="A3604" s="2">
        <v>40819</v>
      </c>
      <c r="B3604" s="3">
        <v>23.96</v>
      </c>
      <c r="C3604" s="1">
        <v>2741036</v>
      </c>
      <c r="D3604" s="3">
        <v>-0.68999999999999695</v>
      </c>
      <c r="E3604" s="3">
        <v>-2.79918864097362</v>
      </c>
      <c r="F3604" s="3">
        <v>-2.79918864097362</v>
      </c>
      <c r="G3604" s="3">
        <v>23.96</v>
      </c>
      <c r="H3604" s="3">
        <v>567.69101689731997</v>
      </c>
      <c r="I3604" s="3">
        <v>24.37</v>
      </c>
      <c r="J3604" s="3">
        <v>24.78</v>
      </c>
      <c r="K3604" s="3">
        <v>23.7</v>
      </c>
      <c r="L3604" s="3">
        <v>567.69101689731997</v>
      </c>
    </row>
    <row r="3605" spans="1:12" ht="15" customHeight="1" x14ac:dyDescent="0.2">
      <c r="A3605" s="2">
        <v>40816</v>
      </c>
      <c r="B3605" s="3">
        <v>24.65</v>
      </c>
      <c r="C3605" s="1">
        <v>1348516</v>
      </c>
      <c r="D3605" s="3">
        <v>-1.08</v>
      </c>
      <c r="E3605" s="3">
        <v>-4.1974349008939003</v>
      </c>
      <c r="F3605" s="3">
        <v>-4.1974349008939003</v>
      </c>
      <c r="G3605" s="3">
        <v>24.65</v>
      </c>
      <c r="H3605" s="3">
        <v>586.91918057257601</v>
      </c>
      <c r="I3605" s="3">
        <v>25.33</v>
      </c>
      <c r="J3605" s="3">
        <v>25.93</v>
      </c>
      <c r="K3605" s="3">
        <v>24.61</v>
      </c>
      <c r="L3605" s="3">
        <v>586.91918057257601</v>
      </c>
    </row>
    <row r="3606" spans="1:12" ht="15" customHeight="1" x14ac:dyDescent="0.2">
      <c r="A3606" s="2">
        <v>40815</v>
      </c>
      <c r="B3606" s="3">
        <v>25.73</v>
      </c>
      <c r="C3606" s="1">
        <v>1223368</v>
      </c>
      <c r="D3606" s="3">
        <v>-8.9999999999999802E-2</v>
      </c>
      <c r="E3606" s="3">
        <v>-0.34856700232377402</v>
      </c>
      <c r="F3606" s="3">
        <v>-0.34856700232377402</v>
      </c>
      <c r="G3606" s="3">
        <v>25.73</v>
      </c>
      <c r="H3606" s="3">
        <v>617.01543675993503</v>
      </c>
      <c r="I3606" s="3">
        <v>26.15</v>
      </c>
      <c r="J3606" s="3">
        <v>26.51</v>
      </c>
      <c r="K3606" s="3">
        <v>24.83</v>
      </c>
      <c r="L3606" s="3">
        <v>617.01543675993503</v>
      </c>
    </row>
    <row r="3607" spans="1:12" ht="15" customHeight="1" x14ac:dyDescent="0.2">
      <c r="A3607" s="2">
        <v>40814</v>
      </c>
      <c r="B3607" s="3">
        <v>25.82</v>
      </c>
      <c r="C3607" s="1">
        <v>1780387</v>
      </c>
      <c r="D3607" s="3">
        <v>-1.53999999999999</v>
      </c>
      <c r="E3607" s="3">
        <v>-5.6286549707602198</v>
      </c>
      <c r="F3607" s="3">
        <v>-5.6286549707602198</v>
      </c>
      <c r="G3607" s="3">
        <v>25.82</v>
      </c>
      <c r="H3607" s="3">
        <v>619.52345810888096</v>
      </c>
      <c r="I3607" s="3">
        <v>27.41</v>
      </c>
      <c r="J3607" s="3">
        <v>27.5</v>
      </c>
      <c r="K3607" s="3">
        <v>25.7</v>
      </c>
      <c r="L3607" s="3">
        <v>619.52345810888096</v>
      </c>
    </row>
    <row r="3608" spans="1:12" ht="15" customHeight="1" x14ac:dyDescent="0.2">
      <c r="A3608" s="2">
        <v>40813</v>
      </c>
      <c r="B3608" s="3">
        <v>27.36</v>
      </c>
      <c r="C3608" s="1">
        <v>894017</v>
      </c>
      <c r="D3608" s="3">
        <v>5.99999999999987E-2</v>
      </c>
      <c r="E3608" s="3">
        <v>0.219780219780219</v>
      </c>
      <c r="F3608" s="3">
        <v>0.219780219780219</v>
      </c>
      <c r="G3608" s="3">
        <v>27.36</v>
      </c>
      <c r="H3608" s="3">
        <v>662.43849007974404</v>
      </c>
      <c r="I3608" s="3">
        <v>27.89</v>
      </c>
      <c r="J3608" s="3">
        <v>28.2</v>
      </c>
      <c r="K3608" s="3">
        <v>27.16</v>
      </c>
      <c r="L3608" s="3">
        <v>662.43849007974404</v>
      </c>
    </row>
    <row r="3609" spans="1:12" ht="15" customHeight="1" x14ac:dyDescent="0.2">
      <c r="A3609" s="2">
        <v>40812</v>
      </c>
      <c r="B3609" s="3">
        <v>27.3</v>
      </c>
      <c r="C3609" s="1">
        <v>1301079</v>
      </c>
      <c r="D3609" s="3">
        <v>0.81000000000000205</v>
      </c>
      <c r="E3609" s="3">
        <v>3.0577576443941101</v>
      </c>
      <c r="F3609" s="3">
        <v>3.0577576443941101</v>
      </c>
      <c r="G3609" s="3">
        <v>27.3</v>
      </c>
      <c r="H3609" s="3">
        <v>660.76647584711304</v>
      </c>
      <c r="I3609" s="3">
        <v>26.67</v>
      </c>
      <c r="J3609" s="3">
        <v>27.495000000000001</v>
      </c>
      <c r="K3609" s="3">
        <v>26.12</v>
      </c>
      <c r="L3609" s="3">
        <v>660.76647584711304</v>
      </c>
    </row>
    <row r="3610" spans="1:12" ht="15" customHeight="1" x14ac:dyDescent="0.2">
      <c r="A3610" s="2">
        <v>40809</v>
      </c>
      <c r="B3610" s="3">
        <v>26.49</v>
      </c>
      <c r="C3610" s="1">
        <v>1342551</v>
      </c>
      <c r="D3610" s="3">
        <v>1.0799999999999901</v>
      </c>
      <c r="E3610" s="3">
        <v>4.2502951593860603</v>
      </c>
      <c r="F3610" s="3">
        <v>4.2502951593860603</v>
      </c>
      <c r="G3610" s="3">
        <v>26.49</v>
      </c>
      <c r="H3610" s="3">
        <v>638.19428370659398</v>
      </c>
      <c r="I3610" s="3">
        <v>25.37</v>
      </c>
      <c r="J3610" s="3">
        <v>26.71</v>
      </c>
      <c r="K3610" s="3">
        <v>25.29</v>
      </c>
      <c r="L3610" s="3">
        <v>638.19428370659398</v>
      </c>
    </row>
    <row r="3611" spans="1:12" ht="15" customHeight="1" x14ac:dyDescent="0.2">
      <c r="A3611" s="2">
        <v>40808</v>
      </c>
      <c r="B3611" s="3">
        <v>25.41</v>
      </c>
      <c r="C3611" s="1">
        <v>1619171</v>
      </c>
      <c r="D3611" s="3">
        <v>-0.16999999999999801</v>
      </c>
      <c r="E3611" s="3">
        <v>-0.66458170445660103</v>
      </c>
      <c r="F3611" s="3">
        <v>-0.66458170445660103</v>
      </c>
      <c r="G3611" s="3">
        <v>25.41</v>
      </c>
      <c r="H3611" s="3">
        <v>608.09802751923598</v>
      </c>
      <c r="I3611" s="3">
        <v>24.96</v>
      </c>
      <c r="J3611" s="3">
        <v>25.54</v>
      </c>
      <c r="K3611" s="3">
        <v>24.81</v>
      </c>
      <c r="L3611" s="3">
        <v>608.09802751923598</v>
      </c>
    </row>
    <row r="3612" spans="1:12" ht="15" customHeight="1" x14ac:dyDescent="0.2">
      <c r="A3612" s="2">
        <v>40807</v>
      </c>
      <c r="B3612" s="3">
        <v>25.58</v>
      </c>
      <c r="C3612" s="1">
        <v>1116176</v>
      </c>
      <c r="D3612" s="3">
        <v>-0.67000000000000104</v>
      </c>
      <c r="E3612" s="3">
        <v>-2.5523809523809602</v>
      </c>
      <c r="F3612" s="3">
        <v>-2.5523809523809602</v>
      </c>
      <c r="G3612" s="3">
        <v>25.58</v>
      </c>
      <c r="H3612" s="3">
        <v>612.83540117835696</v>
      </c>
      <c r="I3612" s="3">
        <v>26.4</v>
      </c>
      <c r="J3612" s="3">
        <v>26.64</v>
      </c>
      <c r="K3612" s="3">
        <v>25.54</v>
      </c>
      <c r="L3612" s="3">
        <v>612.83540117835696</v>
      </c>
    </row>
    <row r="3613" spans="1:12" ht="15" customHeight="1" x14ac:dyDescent="0.2">
      <c r="A3613" s="2">
        <v>40806</v>
      </c>
      <c r="B3613" s="3">
        <v>26.25</v>
      </c>
      <c r="C3613" s="1">
        <v>1207806</v>
      </c>
      <c r="D3613" s="3">
        <v>-1.1000000000000001</v>
      </c>
      <c r="E3613" s="3">
        <v>-4.0219378427788</v>
      </c>
      <c r="F3613" s="3">
        <v>-4.0219378427788</v>
      </c>
      <c r="G3613" s="3">
        <v>26.25</v>
      </c>
      <c r="H3613" s="3">
        <v>631.50622677606998</v>
      </c>
      <c r="I3613" s="3">
        <v>27.41</v>
      </c>
      <c r="J3613" s="3">
        <v>27.63</v>
      </c>
      <c r="K3613" s="3">
        <v>26.24</v>
      </c>
      <c r="L3613" s="3">
        <v>631.50622677606998</v>
      </c>
    </row>
    <row r="3614" spans="1:12" ht="15" customHeight="1" x14ac:dyDescent="0.2">
      <c r="A3614" s="2">
        <v>40805</v>
      </c>
      <c r="B3614" s="3">
        <v>27.35</v>
      </c>
      <c r="C3614" s="1">
        <v>1001419</v>
      </c>
      <c r="D3614" s="3">
        <v>-8.9999999999999802E-2</v>
      </c>
      <c r="E3614" s="3">
        <v>-0.32798833819241902</v>
      </c>
      <c r="F3614" s="3">
        <v>-0.32798833819241902</v>
      </c>
      <c r="G3614" s="3">
        <v>27.35</v>
      </c>
      <c r="H3614" s="3">
        <v>662.15982104097202</v>
      </c>
      <c r="I3614" s="3">
        <v>26.83</v>
      </c>
      <c r="J3614" s="3">
        <v>27.49</v>
      </c>
      <c r="K3614" s="3">
        <v>26.74</v>
      </c>
      <c r="L3614" s="3">
        <v>662.15982104097202</v>
      </c>
    </row>
    <row r="3615" spans="1:12" ht="15" customHeight="1" x14ac:dyDescent="0.2">
      <c r="A3615" s="2">
        <v>40802</v>
      </c>
      <c r="B3615" s="3">
        <v>27.44</v>
      </c>
      <c r="C3615" s="1">
        <v>989771</v>
      </c>
      <c r="D3615" s="3">
        <v>0.100000000000001</v>
      </c>
      <c r="E3615" s="3">
        <v>0.365764447695693</v>
      </c>
      <c r="F3615" s="3">
        <v>0.365764447695693</v>
      </c>
      <c r="G3615" s="3">
        <v>27.44</v>
      </c>
      <c r="H3615" s="3">
        <v>664.66784238991897</v>
      </c>
      <c r="I3615" s="3">
        <v>27.46</v>
      </c>
      <c r="J3615" s="3">
        <v>27.94</v>
      </c>
      <c r="K3615" s="3">
        <v>27.33</v>
      </c>
      <c r="L3615" s="3">
        <v>664.66784238991897</v>
      </c>
    </row>
    <row r="3616" spans="1:12" ht="15" customHeight="1" x14ac:dyDescent="0.2">
      <c r="A3616" s="2">
        <v>40801</v>
      </c>
      <c r="B3616" s="3">
        <v>27.34</v>
      </c>
      <c r="C3616" s="1">
        <v>1181121</v>
      </c>
      <c r="D3616" s="3">
        <v>0.14000000000000001</v>
      </c>
      <c r="E3616" s="3">
        <v>0.51470588235293901</v>
      </c>
      <c r="F3616" s="3">
        <v>0.51470588235293901</v>
      </c>
      <c r="G3616" s="3">
        <v>27.34</v>
      </c>
      <c r="H3616" s="3">
        <v>661.8811520022</v>
      </c>
      <c r="I3616" s="3">
        <v>27.48</v>
      </c>
      <c r="J3616" s="3">
        <v>27.78</v>
      </c>
      <c r="K3616" s="3">
        <v>27.04</v>
      </c>
      <c r="L3616" s="3">
        <v>661.8811520022</v>
      </c>
    </row>
    <row r="3617" spans="1:12" ht="15" customHeight="1" x14ac:dyDescent="0.2">
      <c r="A3617" s="2">
        <v>40800</v>
      </c>
      <c r="B3617" s="3">
        <v>27.2</v>
      </c>
      <c r="C3617" s="1">
        <v>1459270</v>
      </c>
      <c r="D3617" s="3">
        <v>0.67999999999999905</v>
      </c>
      <c r="E3617" s="3">
        <v>2.5641025641025501</v>
      </c>
      <c r="F3617" s="3">
        <v>2.5641025641025501</v>
      </c>
      <c r="G3617" s="3">
        <v>27.2</v>
      </c>
      <c r="H3617" s="3">
        <v>657.97978545939498</v>
      </c>
      <c r="I3617" s="3">
        <v>26.78</v>
      </c>
      <c r="J3617" s="3">
        <v>27.65</v>
      </c>
      <c r="K3617" s="3">
        <v>26.54</v>
      </c>
      <c r="L3617" s="3">
        <v>657.97978545939498</v>
      </c>
    </row>
    <row r="3618" spans="1:12" ht="15" customHeight="1" x14ac:dyDescent="0.2">
      <c r="A3618" s="2">
        <v>40799</v>
      </c>
      <c r="B3618" s="3">
        <v>26.52</v>
      </c>
      <c r="C3618" s="1">
        <v>936123</v>
      </c>
      <c r="D3618" s="3">
        <v>0.37999999999999901</v>
      </c>
      <c r="E3618" s="3">
        <v>1.4537107880642599</v>
      </c>
      <c r="F3618" s="3">
        <v>1.4537107880642599</v>
      </c>
      <c r="G3618" s="3">
        <v>26.52</v>
      </c>
      <c r="H3618" s="3">
        <v>639.03029082291005</v>
      </c>
      <c r="I3618" s="3">
        <v>26.14</v>
      </c>
      <c r="J3618" s="3">
        <v>26.76</v>
      </c>
      <c r="K3618" s="3">
        <v>25.89</v>
      </c>
      <c r="L3618" s="3">
        <v>639.03029082291005</v>
      </c>
    </row>
    <row r="3619" spans="1:12" ht="15" customHeight="1" x14ac:dyDescent="0.2">
      <c r="A3619" s="2">
        <v>40798</v>
      </c>
      <c r="B3619" s="3">
        <v>26.14</v>
      </c>
      <c r="C3619" s="1">
        <v>1019228</v>
      </c>
      <c r="D3619" s="3">
        <v>0.53999999999999904</v>
      </c>
      <c r="E3619" s="3">
        <v>2.1093749999999898</v>
      </c>
      <c r="F3619" s="3">
        <v>2.1093749999999898</v>
      </c>
      <c r="G3619" s="3">
        <v>26.14</v>
      </c>
      <c r="H3619" s="3">
        <v>628.44086734958</v>
      </c>
      <c r="I3619" s="3">
        <v>25.27</v>
      </c>
      <c r="J3619" s="3">
        <v>26.15</v>
      </c>
      <c r="K3619" s="3">
        <v>25.27</v>
      </c>
      <c r="L3619" s="3">
        <v>628.44086734958</v>
      </c>
    </row>
    <row r="3620" spans="1:12" ht="15" customHeight="1" x14ac:dyDescent="0.2">
      <c r="A3620" s="2">
        <v>40795</v>
      </c>
      <c r="B3620" s="3">
        <v>25.6</v>
      </c>
      <c r="C3620" s="1">
        <v>1095446</v>
      </c>
      <c r="D3620" s="3">
        <v>-0.93999999999999695</v>
      </c>
      <c r="E3620" s="3">
        <v>-3.5418236623963701</v>
      </c>
      <c r="F3620" s="3">
        <v>-3.5418236623963701</v>
      </c>
      <c r="G3620" s="3">
        <v>25.6</v>
      </c>
      <c r="H3620" s="3">
        <v>613.39273925590101</v>
      </c>
      <c r="I3620" s="3">
        <v>26.19</v>
      </c>
      <c r="J3620" s="3">
        <v>26.34</v>
      </c>
      <c r="K3620" s="3">
        <v>25.22</v>
      </c>
      <c r="L3620" s="3">
        <v>613.39273925590101</v>
      </c>
    </row>
    <row r="3621" spans="1:12" ht="15" customHeight="1" x14ac:dyDescent="0.2">
      <c r="A3621" s="2">
        <v>40794</v>
      </c>
      <c r="B3621" s="3">
        <v>26.54</v>
      </c>
      <c r="C3621" s="1">
        <v>858977</v>
      </c>
      <c r="D3621" s="3"/>
      <c r="E3621" s="3"/>
      <c r="F3621" s="3"/>
      <c r="G3621" s="3">
        <v>26.54</v>
      </c>
      <c r="H3621" s="3">
        <v>639.58762890045398</v>
      </c>
      <c r="I3621" s="3">
        <v>26.5</v>
      </c>
      <c r="J3621" s="3">
        <v>27.17</v>
      </c>
      <c r="K3621" s="3">
        <v>26.3</v>
      </c>
      <c r="L3621" s="3">
        <v>639.58762890045398</v>
      </c>
    </row>
    <row r="3622" spans="1:12" ht="15" customHeight="1" x14ac:dyDescent="0.2">
      <c r="A3622" s="2">
        <v>40793</v>
      </c>
      <c r="B3622" s="3">
        <v>26.54</v>
      </c>
      <c r="C3622" s="1">
        <v>1560516</v>
      </c>
      <c r="D3622" s="3">
        <v>0.17999999999999899</v>
      </c>
      <c r="E3622" s="3">
        <v>0.68285280728375097</v>
      </c>
      <c r="F3622" s="3">
        <v>0.68285280728375097</v>
      </c>
      <c r="G3622" s="3">
        <v>26.54</v>
      </c>
      <c r="H3622" s="3">
        <v>639.58762890045398</v>
      </c>
      <c r="I3622" s="3">
        <v>25.94</v>
      </c>
      <c r="J3622" s="3">
        <v>26.79</v>
      </c>
      <c r="K3622" s="3">
        <v>25.57</v>
      </c>
      <c r="L3622" s="3">
        <v>639.58762890045398</v>
      </c>
    </row>
    <row r="3623" spans="1:12" ht="15" customHeight="1" x14ac:dyDescent="0.2">
      <c r="A3623" s="2">
        <v>40792</v>
      </c>
      <c r="B3623" s="3">
        <v>26.36</v>
      </c>
      <c r="C3623" s="1">
        <v>863619</v>
      </c>
      <c r="D3623" s="3">
        <v>-1.0000000000001501E-2</v>
      </c>
      <c r="E3623" s="3">
        <v>-3.7921880925295602E-2</v>
      </c>
      <c r="F3623" s="3">
        <v>-3.7921880925295602E-2</v>
      </c>
      <c r="G3623" s="3">
        <v>26.36</v>
      </c>
      <c r="H3623" s="3">
        <v>634.57158620255996</v>
      </c>
      <c r="I3623" s="3">
        <v>25.53</v>
      </c>
      <c r="J3623" s="3">
        <v>26.66</v>
      </c>
      <c r="K3623" s="3">
        <v>25.51</v>
      </c>
      <c r="L3623" s="3">
        <v>634.57158620255996</v>
      </c>
    </row>
    <row r="3624" spans="1:12" ht="15" customHeight="1" x14ac:dyDescent="0.2">
      <c r="A3624" s="2">
        <v>40788</v>
      </c>
      <c r="B3624" s="3">
        <v>26.37</v>
      </c>
      <c r="C3624" s="1">
        <v>674167</v>
      </c>
      <c r="D3624" s="3">
        <v>-0.66999999999999804</v>
      </c>
      <c r="E3624" s="3">
        <v>-2.4778106508875601</v>
      </c>
      <c r="F3624" s="3">
        <v>-2.4778106508875601</v>
      </c>
      <c r="G3624" s="3">
        <v>26.37</v>
      </c>
      <c r="H3624" s="3">
        <v>634.85025524133198</v>
      </c>
      <c r="I3624" s="3">
        <v>26.63</v>
      </c>
      <c r="J3624" s="3">
        <v>27.01</v>
      </c>
      <c r="K3624" s="3">
        <v>26.26</v>
      </c>
      <c r="L3624" s="3">
        <v>634.85025524133198</v>
      </c>
    </row>
    <row r="3625" spans="1:12" ht="15" customHeight="1" x14ac:dyDescent="0.2">
      <c r="A3625" s="2">
        <v>40787</v>
      </c>
      <c r="B3625" s="3">
        <v>27.04</v>
      </c>
      <c r="C3625" s="1">
        <v>844234</v>
      </c>
      <c r="D3625" s="3">
        <v>-0.41</v>
      </c>
      <c r="E3625" s="3">
        <v>-1.4936247723132901</v>
      </c>
      <c r="F3625" s="3">
        <v>-1.4936247723132901</v>
      </c>
      <c r="G3625" s="3">
        <v>27.04</v>
      </c>
      <c r="H3625" s="3">
        <v>653.521080839045</v>
      </c>
      <c r="I3625" s="3">
        <v>27.54</v>
      </c>
      <c r="J3625" s="3">
        <v>27.84</v>
      </c>
      <c r="K3625" s="3">
        <v>26.9</v>
      </c>
      <c r="L3625" s="3">
        <v>653.521080839045</v>
      </c>
    </row>
    <row r="3626" spans="1:12" ht="15" customHeight="1" x14ac:dyDescent="0.2">
      <c r="A3626" s="2">
        <v>40786</v>
      </c>
      <c r="B3626" s="3">
        <v>27.45</v>
      </c>
      <c r="C3626" s="1">
        <v>984316</v>
      </c>
      <c r="D3626" s="3">
        <v>-0.220000000000002</v>
      </c>
      <c r="E3626" s="3">
        <v>-0.79508492952656795</v>
      </c>
      <c r="F3626" s="3">
        <v>-0.79508492952656795</v>
      </c>
      <c r="G3626" s="3">
        <v>27.45</v>
      </c>
      <c r="H3626" s="3">
        <v>664.94651142868997</v>
      </c>
      <c r="I3626" s="3">
        <v>27.82</v>
      </c>
      <c r="J3626" s="3">
        <v>28.32</v>
      </c>
      <c r="K3626" s="3">
        <v>27.05</v>
      </c>
      <c r="L3626" s="3">
        <v>664.94651142868997</v>
      </c>
    </row>
    <row r="3627" spans="1:12" ht="15" customHeight="1" x14ac:dyDescent="0.2">
      <c r="A3627" s="2">
        <v>40785</v>
      </c>
      <c r="B3627" s="3">
        <v>27.67</v>
      </c>
      <c r="C3627" s="1">
        <v>1022534</v>
      </c>
      <c r="D3627" s="3">
        <v>-0.23999999999999799</v>
      </c>
      <c r="E3627" s="3">
        <v>-0.859906843425295</v>
      </c>
      <c r="F3627" s="3">
        <v>-0.859906843425295</v>
      </c>
      <c r="G3627" s="3">
        <v>27.67</v>
      </c>
      <c r="H3627" s="3">
        <v>671.07723028167095</v>
      </c>
      <c r="I3627" s="3">
        <v>27.65</v>
      </c>
      <c r="J3627" s="3">
        <v>27.94</v>
      </c>
      <c r="K3627" s="3">
        <v>27.35</v>
      </c>
      <c r="L3627" s="3">
        <v>671.07723028167095</v>
      </c>
    </row>
    <row r="3628" spans="1:12" ht="15" customHeight="1" x14ac:dyDescent="0.2">
      <c r="A3628" s="2">
        <v>40784</v>
      </c>
      <c r="B3628" s="3">
        <v>27.91</v>
      </c>
      <c r="C3628" s="1">
        <v>671294</v>
      </c>
      <c r="D3628" s="3">
        <v>1.1200000000000001</v>
      </c>
      <c r="E3628" s="3">
        <v>4.1806644270250004</v>
      </c>
      <c r="F3628" s="3">
        <v>4.1806644270250004</v>
      </c>
      <c r="G3628" s="3">
        <v>27.91</v>
      </c>
      <c r="H3628" s="3">
        <v>677.76528721219495</v>
      </c>
      <c r="I3628" s="3">
        <v>27</v>
      </c>
      <c r="J3628" s="3">
        <v>27.94</v>
      </c>
      <c r="K3628" s="3">
        <v>26.98</v>
      </c>
      <c r="L3628" s="3">
        <v>677.76528721219495</v>
      </c>
    </row>
    <row r="3629" spans="1:12" ht="15" customHeight="1" x14ac:dyDescent="0.2">
      <c r="A3629" s="2">
        <v>40781</v>
      </c>
      <c r="B3629" s="3">
        <v>26.79</v>
      </c>
      <c r="C3629" s="1">
        <v>678890</v>
      </c>
      <c r="D3629" s="3">
        <v>0.66</v>
      </c>
      <c r="E3629" s="3">
        <v>2.5258323765786401</v>
      </c>
      <c r="F3629" s="3">
        <v>2.5258323765786401</v>
      </c>
      <c r="G3629" s="3">
        <v>26.79</v>
      </c>
      <c r="H3629" s="3">
        <v>646.55435486974898</v>
      </c>
      <c r="I3629" s="3">
        <v>25.88</v>
      </c>
      <c r="J3629" s="3">
        <v>26.98</v>
      </c>
      <c r="K3629" s="3">
        <v>25.73</v>
      </c>
      <c r="L3629" s="3">
        <v>646.55435486974898</v>
      </c>
    </row>
    <row r="3630" spans="1:12" ht="15" customHeight="1" x14ac:dyDescent="0.2">
      <c r="A3630" s="2">
        <v>40780</v>
      </c>
      <c r="B3630" s="3">
        <v>26.13</v>
      </c>
      <c r="C3630" s="1">
        <v>1184864</v>
      </c>
      <c r="D3630" s="3">
        <v>-1.51</v>
      </c>
      <c r="E3630" s="3">
        <v>-5.4630969609261903</v>
      </c>
      <c r="F3630" s="3">
        <v>-5.4630969609261903</v>
      </c>
      <c r="G3630" s="3">
        <v>26.13</v>
      </c>
      <c r="H3630" s="3">
        <v>628.16219831080798</v>
      </c>
      <c r="I3630" s="3">
        <v>27.78</v>
      </c>
      <c r="J3630" s="3">
        <v>27.78</v>
      </c>
      <c r="K3630" s="3">
        <v>26.02</v>
      </c>
      <c r="L3630" s="3">
        <v>628.16219831080798</v>
      </c>
    </row>
    <row r="3631" spans="1:12" ht="15" customHeight="1" x14ac:dyDescent="0.2">
      <c r="A3631" s="2">
        <v>40779</v>
      </c>
      <c r="B3631" s="3">
        <v>27.64</v>
      </c>
      <c r="C3631" s="1">
        <v>844434</v>
      </c>
      <c r="D3631" s="3">
        <v>5.0000000000000697E-2</v>
      </c>
      <c r="E3631" s="3">
        <v>0.18122508155129499</v>
      </c>
      <c r="F3631" s="3">
        <v>0.18122508155129499</v>
      </c>
      <c r="G3631" s="3">
        <v>27.64</v>
      </c>
      <c r="H3631" s="3">
        <v>670.241223165355</v>
      </c>
      <c r="I3631" s="3">
        <v>27.43</v>
      </c>
      <c r="J3631" s="3">
        <v>27.8</v>
      </c>
      <c r="K3631" s="3">
        <v>26.77</v>
      </c>
      <c r="L3631" s="3">
        <v>670.241223165355</v>
      </c>
    </row>
    <row r="3632" spans="1:12" ht="15" customHeight="1" x14ac:dyDescent="0.2">
      <c r="A3632" s="2">
        <v>40778</v>
      </c>
      <c r="B3632" s="3">
        <v>27.59</v>
      </c>
      <c r="C3632" s="1">
        <v>922582</v>
      </c>
      <c r="D3632" s="3">
        <v>1.19</v>
      </c>
      <c r="E3632" s="3">
        <v>4.5075757575757596</v>
      </c>
      <c r="F3632" s="3">
        <v>4.5075757575757596</v>
      </c>
      <c r="G3632" s="3">
        <v>27.59</v>
      </c>
      <c r="H3632" s="3">
        <v>668.84787797149602</v>
      </c>
      <c r="I3632" s="3">
        <v>26.45</v>
      </c>
      <c r="J3632" s="3">
        <v>27.92</v>
      </c>
      <c r="K3632" s="3">
        <v>26.3</v>
      </c>
      <c r="L3632" s="3">
        <v>668.84787797149602</v>
      </c>
    </row>
    <row r="3633" spans="1:12" ht="15" customHeight="1" x14ac:dyDescent="0.2">
      <c r="A3633" s="2">
        <v>40777</v>
      </c>
      <c r="B3633" s="3">
        <v>26.4</v>
      </c>
      <c r="C3633" s="1">
        <v>910295</v>
      </c>
      <c r="D3633" s="3">
        <v>0.48999999999999799</v>
      </c>
      <c r="E3633" s="3">
        <v>1.8911617136240599</v>
      </c>
      <c r="F3633" s="3">
        <v>1.8911617136240599</v>
      </c>
      <c r="G3633" s="3">
        <v>26.4</v>
      </c>
      <c r="H3633" s="3">
        <v>635.68626235764805</v>
      </c>
      <c r="I3633" s="3">
        <v>26.58</v>
      </c>
      <c r="J3633" s="3">
        <v>27.22</v>
      </c>
      <c r="K3633" s="3">
        <v>26.27</v>
      </c>
      <c r="L3633" s="3">
        <v>635.68626235764805</v>
      </c>
    </row>
    <row r="3634" spans="1:12" ht="15" customHeight="1" x14ac:dyDescent="0.2">
      <c r="A3634" s="2">
        <v>40774</v>
      </c>
      <c r="B3634" s="3">
        <v>25.91</v>
      </c>
      <c r="C3634" s="1">
        <v>1069182</v>
      </c>
      <c r="D3634" s="3">
        <v>-0.23</v>
      </c>
      <c r="E3634" s="3">
        <v>-0.87987758224943302</v>
      </c>
      <c r="F3634" s="3">
        <v>-0.87987758224943302</v>
      </c>
      <c r="G3634" s="3">
        <v>25.91</v>
      </c>
      <c r="H3634" s="3">
        <v>622.03147945782803</v>
      </c>
      <c r="I3634" s="3">
        <v>25.77</v>
      </c>
      <c r="J3634" s="3">
        <v>27.02</v>
      </c>
      <c r="K3634" s="3">
        <v>25.55</v>
      </c>
      <c r="L3634" s="3">
        <v>622.03147945782803</v>
      </c>
    </row>
    <row r="3635" spans="1:12" ht="15" customHeight="1" x14ac:dyDescent="0.2">
      <c r="A3635" s="2">
        <v>40773</v>
      </c>
      <c r="B3635" s="3">
        <v>26.14</v>
      </c>
      <c r="C3635" s="1">
        <v>1878426</v>
      </c>
      <c r="D3635" s="3">
        <v>-1.25</v>
      </c>
      <c r="E3635" s="3">
        <v>-4.5637093829864899</v>
      </c>
      <c r="F3635" s="3">
        <v>-4.5637093829864899</v>
      </c>
      <c r="G3635" s="3">
        <v>26.14</v>
      </c>
      <c r="H3635" s="3">
        <v>628.44086734958</v>
      </c>
      <c r="I3635" s="3">
        <v>26.52</v>
      </c>
      <c r="J3635" s="3">
        <v>27.1</v>
      </c>
      <c r="K3635" s="3">
        <v>25.9</v>
      </c>
      <c r="L3635" s="3">
        <v>628.44086734958</v>
      </c>
    </row>
    <row r="3636" spans="1:12" ht="15" customHeight="1" x14ac:dyDescent="0.2">
      <c r="A3636" s="2">
        <v>40772</v>
      </c>
      <c r="B3636" s="3">
        <v>27.39</v>
      </c>
      <c r="C3636" s="1">
        <v>943957</v>
      </c>
      <c r="D3636" s="3">
        <v>6.0000000000002197E-2</v>
      </c>
      <c r="E3636" s="3">
        <v>0.219538968166865</v>
      </c>
      <c r="F3636" s="3">
        <v>0.219538968166865</v>
      </c>
      <c r="G3636" s="3">
        <v>27.39</v>
      </c>
      <c r="H3636" s="3">
        <v>663.27449719606</v>
      </c>
      <c r="I3636" s="3">
        <v>27.41</v>
      </c>
      <c r="J3636" s="3">
        <v>27.63</v>
      </c>
      <c r="K3636" s="3">
        <v>26.85</v>
      </c>
      <c r="L3636" s="3">
        <v>663.27449719606</v>
      </c>
    </row>
    <row r="3637" spans="1:12" ht="15" customHeight="1" x14ac:dyDescent="0.2">
      <c r="A3637" s="2">
        <v>40771</v>
      </c>
      <c r="B3637" s="3">
        <v>27.33</v>
      </c>
      <c r="C3637" s="1">
        <v>985814</v>
      </c>
      <c r="D3637" s="3">
        <v>-0.440000000000001</v>
      </c>
      <c r="E3637" s="3">
        <v>-1.58444364422039</v>
      </c>
      <c r="F3637" s="3">
        <v>-1.58444364422039</v>
      </c>
      <c r="G3637" s="3">
        <v>27.33</v>
      </c>
      <c r="H3637" s="3">
        <v>661.60248296342797</v>
      </c>
      <c r="I3637" s="3">
        <v>27.48</v>
      </c>
      <c r="J3637" s="3">
        <v>27.58</v>
      </c>
      <c r="K3637" s="3">
        <v>26.89</v>
      </c>
      <c r="L3637" s="3">
        <v>661.60248296342797</v>
      </c>
    </row>
    <row r="3638" spans="1:12" ht="15" customHeight="1" x14ac:dyDescent="0.2">
      <c r="A3638" s="2">
        <v>40770</v>
      </c>
      <c r="B3638" s="3">
        <v>27.77</v>
      </c>
      <c r="C3638" s="1">
        <v>818945</v>
      </c>
      <c r="D3638" s="3">
        <v>0.62000000000000099</v>
      </c>
      <c r="E3638" s="3">
        <v>2.2836095764272502</v>
      </c>
      <c r="F3638" s="3">
        <v>2.2836095764272502</v>
      </c>
      <c r="G3638" s="3">
        <v>27.77</v>
      </c>
      <c r="H3638" s="3">
        <v>673.86392066938902</v>
      </c>
      <c r="I3638" s="3">
        <v>27.41</v>
      </c>
      <c r="J3638" s="3">
        <v>27.82</v>
      </c>
      <c r="K3638" s="3">
        <v>27.2</v>
      </c>
      <c r="L3638" s="3">
        <v>673.86392066938902</v>
      </c>
    </row>
    <row r="3639" spans="1:12" ht="15" customHeight="1" x14ac:dyDescent="0.2">
      <c r="A3639" s="2">
        <v>40767</v>
      </c>
      <c r="B3639" s="3">
        <v>27.15</v>
      </c>
      <c r="C3639" s="1">
        <v>1230228</v>
      </c>
      <c r="D3639" s="3">
        <v>-0.310000000000002</v>
      </c>
      <c r="E3639" s="3">
        <v>-1.12891478514203</v>
      </c>
      <c r="F3639" s="3">
        <v>-1.12891478514203</v>
      </c>
      <c r="G3639" s="3">
        <v>27.15</v>
      </c>
      <c r="H3639" s="3">
        <v>656.586440265536</v>
      </c>
      <c r="I3639" s="3">
        <v>27.6</v>
      </c>
      <c r="J3639" s="3">
        <v>27.82</v>
      </c>
      <c r="K3639" s="3">
        <v>26.93</v>
      </c>
      <c r="L3639" s="3">
        <v>656.586440265536</v>
      </c>
    </row>
    <row r="3640" spans="1:12" ht="15" customHeight="1" x14ac:dyDescent="0.2">
      <c r="A3640" s="2">
        <v>40766</v>
      </c>
      <c r="B3640" s="3">
        <v>27.46</v>
      </c>
      <c r="C3640" s="1">
        <v>2662851</v>
      </c>
      <c r="D3640" s="3">
        <v>2.08</v>
      </c>
      <c r="E3640" s="3">
        <v>8.1954294720252197</v>
      </c>
      <c r="F3640" s="3">
        <v>8.1954294720252197</v>
      </c>
      <c r="G3640" s="3">
        <v>27.46</v>
      </c>
      <c r="H3640" s="3">
        <v>665.225180467462</v>
      </c>
      <c r="I3640" s="3">
        <v>25.84</v>
      </c>
      <c r="J3640" s="3">
        <v>27.75</v>
      </c>
      <c r="K3640" s="3">
        <v>25.8</v>
      </c>
      <c r="L3640" s="3">
        <v>665.225180467462</v>
      </c>
    </row>
    <row r="3641" spans="1:12" ht="15" customHeight="1" x14ac:dyDescent="0.2">
      <c r="A3641" s="2">
        <v>40765</v>
      </c>
      <c r="B3641" s="3">
        <v>25.38</v>
      </c>
      <c r="C3641" s="1">
        <v>1328053</v>
      </c>
      <c r="D3641" s="3">
        <v>-0.56000000000000205</v>
      </c>
      <c r="E3641" s="3">
        <v>-2.1588280647648501</v>
      </c>
      <c r="F3641" s="3">
        <v>-2.1588280647648501</v>
      </c>
      <c r="G3641" s="3">
        <v>25.38</v>
      </c>
      <c r="H3641" s="3">
        <v>607.26202040292003</v>
      </c>
      <c r="I3641" s="3">
        <v>25.58</v>
      </c>
      <c r="J3641" s="3">
        <v>26.35</v>
      </c>
      <c r="K3641" s="3">
        <v>25.06</v>
      </c>
      <c r="L3641" s="3">
        <v>607.26202040292003</v>
      </c>
    </row>
    <row r="3642" spans="1:12" ht="15" customHeight="1" x14ac:dyDescent="0.2">
      <c r="A3642" s="2">
        <v>40764</v>
      </c>
      <c r="B3642" s="3">
        <v>25.94</v>
      </c>
      <c r="C3642" s="1">
        <v>2542069</v>
      </c>
      <c r="D3642" s="3">
        <v>0.91</v>
      </c>
      <c r="E3642" s="3">
        <v>3.6356372353176098</v>
      </c>
      <c r="F3642" s="3">
        <v>3.6356372353176098</v>
      </c>
      <c r="G3642" s="3">
        <v>25.94</v>
      </c>
      <c r="H3642" s="3">
        <v>622.86748657414296</v>
      </c>
      <c r="I3642" s="3">
        <v>25.48</v>
      </c>
      <c r="J3642" s="3">
        <v>26</v>
      </c>
      <c r="K3642" s="3">
        <v>24.3</v>
      </c>
      <c r="L3642" s="3">
        <v>622.86748657414296</v>
      </c>
    </row>
    <row r="3643" spans="1:12" ht="15" customHeight="1" x14ac:dyDescent="0.2">
      <c r="A3643" s="2">
        <v>40763</v>
      </c>
      <c r="B3643" s="3">
        <v>25.03</v>
      </c>
      <c r="C3643" s="1">
        <v>2983507</v>
      </c>
      <c r="D3643" s="3">
        <v>-1.93999999999999</v>
      </c>
      <c r="E3643" s="3">
        <v>-7.1931776047460003</v>
      </c>
      <c r="F3643" s="3">
        <v>-7.1931776047460003</v>
      </c>
      <c r="G3643" s="3">
        <v>25.03</v>
      </c>
      <c r="H3643" s="3">
        <v>597.50860404590605</v>
      </c>
      <c r="I3643" s="3">
        <v>25.5</v>
      </c>
      <c r="J3643" s="3">
        <v>26.35</v>
      </c>
      <c r="K3643" s="3">
        <v>25</v>
      </c>
      <c r="L3643" s="3">
        <v>597.50860404590605</v>
      </c>
    </row>
    <row r="3644" spans="1:12" ht="15" customHeight="1" x14ac:dyDescent="0.2">
      <c r="A3644" s="2">
        <v>40760</v>
      </c>
      <c r="B3644" s="3">
        <v>26.97</v>
      </c>
      <c r="C3644" s="1">
        <v>1717069</v>
      </c>
      <c r="D3644" s="3">
        <v>-1.0000000000001501E-2</v>
      </c>
      <c r="E3644" s="3">
        <v>-3.7064492216465302E-2</v>
      </c>
      <c r="F3644" s="3">
        <v>-3.7064492216465302E-2</v>
      </c>
      <c r="G3644" s="3">
        <v>26.97</v>
      </c>
      <c r="H3644" s="3">
        <v>651.57039756764198</v>
      </c>
      <c r="I3644" s="3">
        <v>27.51</v>
      </c>
      <c r="J3644" s="3">
        <v>27.74</v>
      </c>
      <c r="K3644" s="3">
        <v>26.2</v>
      </c>
      <c r="L3644" s="3">
        <v>651.57039756764198</v>
      </c>
    </row>
    <row r="3645" spans="1:12" ht="15" customHeight="1" x14ac:dyDescent="0.2">
      <c r="A3645" s="2">
        <v>40759</v>
      </c>
      <c r="B3645" s="3">
        <v>26.98</v>
      </c>
      <c r="C3645" s="1">
        <v>1346063</v>
      </c>
      <c r="D3645" s="3">
        <v>-1.32</v>
      </c>
      <c r="E3645" s="3">
        <v>-4.6643109540636001</v>
      </c>
      <c r="F3645" s="3">
        <v>-4.6643109540636001</v>
      </c>
      <c r="G3645" s="3">
        <v>26.98</v>
      </c>
      <c r="H3645" s="3">
        <v>651.849066606414</v>
      </c>
      <c r="I3645" s="3">
        <v>28.03</v>
      </c>
      <c r="J3645" s="3">
        <v>28.37</v>
      </c>
      <c r="K3645" s="3">
        <v>26.94</v>
      </c>
      <c r="L3645" s="3">
        <v>651.849066606414</v>
      </c>
    </row>
    <row r="3646" spans="1:12" ht="15" customHeight="1" x14ac:dyDescent="0.2">
      <c r="A3646" s="2">
        <v>40758</v>
      </c>
      <c r="B3646" s="3">
        <v>28.3</v>
      </c>
      <c r="C3646" s="1">
        <v>1599565</v>
      </c>
      <c r="D3646" s="3">
        <v>0.35999999999999899</v>
      </c>
      <c r="E3646" s="3">
        <v>1.2884753042233299</v>
      </c>
      <c r="F3646" s="3">
        <v>1.2884753042233299</v>
      </c>
      <c r="G3646" s="3">
        <v>28.3</v>
      </c>
      <c r="H3646" s="3">
        <v>688.63337972429701</v>
      </c>
      <c r="I3646" s="3">
        <v>27.99</v>
      </c>
      <c r="J3646" s="3">
        <v>28.33</v>
      </c>
      <c r="K3646" s="3">
        <v>27.28</v>
      </c>
      <c r="L3646" s="3">
        <v>688.63337972429701</v>
      </c>
    </row>
    <row r="3647" spans="1:12" ht="15" customHeight="1" x14ac:dyDescent="0.2">
      <c r="A3647" s="2">
        <v>40757</v>
      </c>
      <c r="B3647" s="3">
        <v>27.94</v>
      </c>
      <c r="C3647" s="1">
        <v>1586011</v>
      </c>
      <c r="D3647" s="3">
        <v>-0.84999999999999698</v>
      </c>
      <c r="E3647" s="3">
        <v>-2.9524140326502102</v>
      </c>
      <c r="F3647" s="3">
        <v>-2.9524140326502102</v>
      </c>
      <c r="G3647" s="3">
        <v>27.94</v>
      </c>
      <c r="H3647" s="3">
        <v>678.60129432850999</v>
      </c>
      <c r="I3647" s="3">
        <v>28.51</v>
      </c>
      <c r="J3647" s="3">
        <v>28.65</v>
      </c>
      <c r="K3647" s="3">
        <v>27.885000000000002</v>
      </c>
      <c r="L3647" s="3">
        <v>678.60129432850999</v>
      </c>
    </row>
    <row r="3648" spans="1:12" ht="15" customHeight="1" x14ac:dyDescent="0.2">
      <c r="A3648" s="2">
        <v>40756</v>
      </c>
      <c r="B3648" s="3">
        <v>28.79</v>
      </c>
      <c r="C3648" s="1">
        <v>1543473</v>
      </c>
      <c r="D3648" s="3">
        <v>-3.9999999999999099E-2</v>
      </c>
      <c r="E3648" s="3">
        <v>-0.138744363510234</v>
      </c>
      <c r="F3648" s="3">
        <v>-0.138744363510234</v>
      </c>
      <c r="G3648" s="3">
        <v>28.79</v>
      </c>
      <c r="H3648" s="3">
        <v>702.28816262411704</v>
      </c>
      <c r="I3648" s="3">
        <v>29.14</v>
      </c>
      <c r="J3648" s="3">
        <v>29.23</v>
      </c>
      <c r="K3648" s="3">
        <v>28.4</v>
      </c>
      <c r="L3648" s="3">
        <v>702.28816262411704</v>
      </c>
    </row>
    <row r="3649" spans="1:12" ht="15" customHeight="1" x14ac:dyDescent="0.2">
      <c r="A3649" s="2">
        <v>40753</v>
      </c>
      <c r="B3649" s="3">
        <v>28.83</v>
      </c>
      <c r="C3649" s="1">
        <v>982443</v>
      </c>
      <c r="D3649" s="3">
        <v>-0.20000000000000201</v>
      </c>
      <c r="E3649" s="3">
        <v>-0.68894247330348801</v>
      </c>
      <c r="F3649" s="3">
        <v>-0.68894247330348801</v>
      </c>
      <c r="G3649" s="3">
        <v>28.83</v>
      </c>
      <c r="H3649" s="3">
        <v>703.40283877920399</v>
      </c>
      <c r="I3649" s="3">
        <v>28.95</v>
      </c>
      <c r="J3649" s="3">
        <v>29.21</v>
      </c>
      <c r="K3649" s="3">
        <v>28.32</v>
      </c>
      <c r="L3649" s="3">
        <v>703.40283877920399</v>
      </c>
    </row>
    <row r="3650" spans="1:12" ht="15" customHeight="1" x14ac:dyDescent="0.2">
      <c r="A3650" s="2">
        <v>40752</v>
      </c>
      <c r="B3650" s="3">
        <v>29.03</v>
      </c>
      <c r="C3650" s="1">
        <v>1489465</v>
      </c>
      <c r="D3650" s="3">
        <v>-0.48999999999999799</v>
      </c>
      <c r="E3650" s="3">
        <v>-1.6598915989159799</v>
      </c>
      <c r="F3650" s="3">
        <v>-1.6598915989159799</v>
      </c>
      <c r="G3650" s="3">
        <v>29.03</v>
      </c>
      <c r="H3650" s="3">
        <v>708.97621955464103</v>
      </c>
      <c r="I3650" s="3">
        <v>29.67</v>
      </c>
      <c r="J3650" s="3">
        <v>29.97</v>
      </c>
      <c r="K3650" s="3">
        <v>28.95</v>
      </c>
      <c r="L3650" s="3">
        <v>708.97621955464103</v>
      </c>
    </row>
    <row r="3651" spans="1:12" ht="15" customHeight="1" x14ac:dyDescent="0.2">
      <c r="A3651" s="2">
        <v>40751</v>
      </c>
      <c r="B3651" s="3">
        <v>29.52</v>
      </c>
      <c r="C3651" s="1">
        <v>1640553</v>
      </c>
      <c r="D3651" s="3">
        <v>-1.41</v>
      </c>
      <c r="E3651" s="3">
        <v>-4.5586808923375397</v>
      </c>
      <c r="F3651" s="3">
        <v>-4.5586808923375397</v>
      </c>
      <c r="G3651" s="3">
        <v>29.52</v>
      </c>
      <c r="H3651" s="3">
        <v>722.63100245446105</v>
      </c>
      <c r="I3651" s="3">
        <v>30.45</v>
      </c>
      <c r="J3651" s="3">
        <v>30.69</v>
      </c>
      <c r="K3651" s="3">
        <v>29.48</v>
      </c>
      <c r="L3651" s="3">
        <v>722.63100245446105</v>
      </c>
    </row>
    <row r="3652" spans="1:12" ht="15" customHeight="1" x14ac:dyDescent="0.2">
      <c r="A3652" s="2">
        <v>40750</v>
      </c>
      <c r="B3652" s="3">
        <v>30.93</v>
      </c>
      <c r="C3652" s="1">
        <v>1146224</v>
      </c>
      <c r="D3652" s="3">
        <v>0.16</v>
      </c>
      <c r="E3652" s="3">
        <v>0.51998700032498402</v>
      </c>
      <c r="F3652" s="3">
        <v>0.51998700032498402</v>
      </c>
      <c r="G3652" s="3">
        <v>30.93</v>
      </c>
      <c r="H3652" s="3">
        <v>761.92333692129</v>
      </c>
      <c r="I3652" s="3">
        <v>30.75</v>
      </c>
      <c r="J3652" s="3">
        <v>31.54</v>
      </c>
      <c r="K3652" s="3">
        <v>30.41</v>
      </c>
      <c r="L3652" s="3">
        <v>761.92333692129</v>
      </c>
    </row>
    <row r="3653" spans="1:12" ht="15" customHeight="1" x14ac:dyDescent="0.2">
      <c r="A3653" s="2">
        <v>40749</v>
      </c>
      <c r="B3653" s="3">
        <v>30.77</v>
      </c>
      <c r="C3653" s="1">
        <v>1088213</v>
      </c>
      <c r="D3653" s="3">
        <v>-0.12000000000000099</v>
      </c>
      <c r="E3653" s="3">
        <v>-0.38847523470378897</v>
      </c>
      <c r="F3653" s="3">
        <v>-0.38847523470378897</v>
      </c>
      <c r="G3653" s="3">
        <v>30.77</v>
      </c>
      <c r="H3653" s="3">
        <v>757.46463230094002</v>
      </c>
      <c r="I3653" s="3">
        <v>30.76</v>
      </c>
      <c r="J3653" s="3">
        <v>31.135000000000002</v>
      </c>
      <c r="K3653" s="3">
        <v>30.52</v>
      </c>
      <c r="L3653" s="3">
        <v>757.46463230094002</v>
      </c>
    </row>
    <row r="3654" spans="1:12" ht="15" customHeight="1" x14ac:dyDescent="0.2">
      <c r="A3654" s="2">
        <v>40746</v>
      </c>
      <c r="B3654" s="3">
        <v>30.89</v>
      </c>
      <c r="C3654" s="1">
        <v>1326224</v>
      </c>
      <c r="D3654" s="3">
        <v>-0.16999999999999801</v>
      </c>
      <c r="E3654" s="3">
        <v>-0.54732775273663703</v>
      </c>
      <c r="F3654" s="3">
        <v>-0.54732775273663703</v>
      </c>
      <c r="G3654" s="3">
        <v>30.89</v>
      </c>
      <c r="H3654" s="3">
        <v>760.80866076620202</v>
      </c>
      <c r="I3654" s="3">
        <v>31.2</v>
      </c>
      <c r="J3654" s="3">
        <v>31.24</v>
      </c>
      <c r="K3654" s="3">
        <v>30.765000000000001</v>
      </c>
      <c r="L3654" s="3">
        <v>760.80866076620202</v>
      </c>
    </row>
    <row r="3655" spans="1:12" ht="15" customHeight="1" x14ac:dyDescent="0.2">
      <c r="A3655" s="2">
        <v>40745</v>
      </c>
      <c r="B3655" s="3">
        <v>31.06</v>
      </c>
      <c r="C3655" s="1">
        <v>4933479</v>
      </c>
      <c r="D3655" s="3">
        <v>-1.6299999999999899</v>
      </c>
      <c r="E3655" s="3">
        <v>-4.9862343224227503</v>
      </c>
      <c r="F3655" s="3">
        <v>-4.9862343224227503</v>
      </c>
      <c r="G3655" s="3">
        <v>31.06</v>
      </c>
      <c r="H3655" s="3">
        <v>765.546034425323</v>
      </c>
      <c r="I3655" s="3">
        <v>31.77</v>
      </c>
      <c r="J3655" s="3">
        <v>32.020000000000003</v>
      </c>
      <c r="K3655" s="3">
        <v>30.69</v>
      </c>
      <c r="L3655" s="3">
        <v>765.546034425323</v>
      </c>
    </row>
    <row r="3656" spans="1:12" ht="15" customHeight="1" x14ac:dyDescent="0.2">
      <c r="A3656" s="2">
        <v>40744</v>
      </c>
      <c r="B3656" s="3">
        <v>32.69</v>
      </c>
      <c r="C3656" s="1">
        <v>1804604</v>
      </c>
      <c r="D3656" s="3">
        <v>-0.92000000000000104</v>
      </c>
      <c r="E3656" s="3">
        <v>-2.7372805712585602</v>
      </c>
      <c r="F3656" s="3">
        <v>-2.7372805712585602</v>
      </c>
      <c r="G3656" s="3">
        <v>32.69</v>
      </c>
      <c r="H3656" s="3">
        <v>810.96908774513304</v>
      </c>
      <c r="I3656" s="3">
        <v>33.549999999999997</v>
      </c>
      <c r="J3656" s="3">
        <v>33.619999999999997</v>
      </c>
      <c r="K3656" s="3">
        <v>32.47</v>
      </c>
      <c r="L3656" s="3">
        <v>810.96908774513304</v>
      </c>
    </row>
    <row r="3657" spans="1:12" ht="15" customHeight="1" x14ac:dyDescent="0.2">
      <c r="A3657" s="2">
        <v>40743</v>
      </c>
      <c r="B3657" s="3">
        <v>33.61</v>
      </c>
      <c r="C3657" s="1">
        <v>1345850</v>
      </c>
      <c r="D3657" s="3">
        <v>0.90999999999999603</v>
      </c>
      <c r="E3657" s="3">
        <v>2.7828746177369799</v>
      </c>
      <c r="F3657" s="3">
        <v>2.7828746177369799</v>
      </c>
      <c r="G3657" s="3">
        <v>33.61</v>
      </c>
      <c r="H3657" s="3">
        <v>836.60663931214197</v>
      </c>
      <c r="I3657" s="3">
        <v>33.06</v>
      </c>
      <c r="J3657" s="3">
        <v>33.799999999999997</v>
      </c>
      <c r="K3657" s="3">
        <v>33.020000000000003</v>
      </c>
      <c r="L3657" s="3">
        <v>836.60663931214197</v>
      </c>
    </row>
    <row r="3658" spans="1:12" ht="15" customHeight="1" x14ac:dyDescent="0.2">
      <c r="A3658" s="2">
        <v>40742</v>
      </c>
      <c r="B3658" s="3">
        <v>32.700000000000003</v>
      </c>
      <c r="C3658" s="1">
        <v>1315254</v>
      </c>
      <c r="D3658" s="3">
        <v>1.00000000000051E-2</v>
      </c>
      <c r="E3658" s="3">
        <v>3.0590394616103401E-2</v>
      </c>
      <c r="F3658" s="3">
        <v>3.0590394616103401E-2</v>
      </c>
      <c r="G3658" s="3">
        <v>32.700000000000003</v>
      </c>
      <c r="H3658" s="3">
        <v>811.24775678390495</v>
      </c>
      <c r="I3658" s="3">
        <v>32.67</v>
      </c>
      <c r="J3658" s="3">
        <v>33.21</v>
      </c>
      <c r="K3658" s="3">
        <v>32.21</v>
      </c>
      <c r="L3658" s="3">
        <v>811.24775678390495</v>
      </c>
    </row>
    <row r="3659" spans="1:12" ht="15" customHeight="1" x14ac:dyDescent="0.2">
      <c r="A3659" s="2">
        <v>40739</v>
      </c>
      <c r="B3659" s="3">
        <v>32.69</v>
      </c>
      <c r="C3659" s="1">
        <v>1090070</v>
      </c>
      <c r="D3659" s="3">
        <v>-1.00000000000051E-2</v>
      </c>
      <c r="E3659" s="3">
        <v>-3.0581039755361802E-2</v>
      </c>
      <c r="F3659" s="3">
        <v>-3.0581039755361802E-2</v>
      </c>
      <c r="G3659" s="3">
        <v>32.69</v>
      </c>
      <c r="H3659" s="3">
        <v>810.96908774513304</v>
      </c>
      <c r="I3659" s="3">
        <v>32.950000000000003</v>
      </c>
      <c r="J3659" s="3">
        <v>33.200000000000003</v>
      </c>
      <c r="K3659" s="3">
        <v>32.21</v>
      </c>
      <c r="L3659" s="3">
        <v>810.96908774513304</v>
      </c>
    </row>
    <row r="3660" spans="1:12" ht="15" customHeight="1" x14ac:dyDescent="0.2">
      <c r="A3660" s="2">
        <v>40738</v>
      </c>
      <c r="B3660" s="3">
        <v>32.700000000000003</v>
      </c>
      <c r="C3660" s="1">
        <v>1165093</v>
      </c>
      <c r="D3660" s="3">
        <v>-0.71999999999999797</v>
      </c>
      <c r="E3660" s="3">
        <v>-2.1543985637342802</v>
      </c>
      <c r="F3660" s="3">
        <v>-2.1543985637342802</v>
      </c>
      <c r="G3660" s="3">
        <v>32.700000000000003</v>
      </c>
      <c r="H3660" s="3">
        <v>811.24775678390495</v>
      </c>
      <c r="I3660" s="3">
        <v>33.42</v>
      </c>
      <c r="J3660" s="3">
        <v>33.61</v>
      </c>
      <c r="K3660" s="3">
        <v>32.520000000000003</v>
      </c>
      <c r="L3660" s="3">
        <v>811.24775678390495</v>
      </c>
    </row>
    <row r="3661" spans="1:12" ht="15" customHeight="1" x14ac:dyDescent="0.2">
      <c r="A3661" s="2">
        <v>40737</v>
      </c>
      <c r="B3661" s="3">
        <v>33.42</v>
      </c>
      <c r="C3661" s="1">
        <v>937725</v>
      </c>
      <c r="D3661" s="3">
        <v>0.69000000000000405</v>
      </c>
      <c r="E3661" s="3">
        <v>2.10815765352889</v>
      </c>
      <c r="F3661" s="3">
        <v>2.10815765352889</v>
      </c>
      <c r="G3661" s="3">
        <v>33.42</v>
      </c>
      <c r="H3661" s="3">
        <v>831.31192757547706</v>
      </c>
      <c r="I3661" s="3">
        <v>32.94</v>
      </c>
      <c r="J3661" s="3">
        <v>33.74</v>
      </c>
      <c r="K3661" s="3">
        <v>32.93</v>
      </c>
      <c r="L3661" s="3">
        <v>831.31192757547706</v>
      </c>
    </row>
    <row r="3662" spans="1:12" ht="15" customHeight="1" x14ac:dyDescent="0.2">
      <c r="A3662" s="2">
        <v>40736</v>
      </c>
      <c r="B3662" s="3">
        <v>32.729999999999997</v>
      </c>
      <c r="C3662" s="1">
        <v>759818</v>
      </c>
      <c r="D3662" s="3">
        <v>-0.29000000000000598</v>
      </c>
      <c r="E3662" s="3">
        <v>-0.87825560266506697</v>
      </c>
      <c r="F3662" s="3">
        <v>-0.87825560266506697</v>
      </c>
      <c r="G3662" s="3">
        <v>32.729999999999997</v>
      </c>
      <c r="H3662" s="3">
        <v>812.08376390021999</v>
      </c>
      <c r="I3662" s="3">
        <v>32.92</v>
      </c>
      <c r="J3662" s="3">
        <v>33.36</v>
      </c>
      <c r="K3662" s="3">
        <v>32.700000000000003</v>
      </c>
      <c r="L3662" s="3">
        <v>812.08376390021999</v>
      </c>
    </row>
    <row r="3663" spans="1:12" ht="15" customHeight="1" x14ac:dyDescent="0.2">
      <c r="A3663" s="2">
        <v>40735</v>
      </c>
      <c r="B3663" s="3">
        <v>33.020000000000003</v>
      </c>
      <c r="C3663" s="1">
        <v>1029810.99999999</v>
      </c>
      <c r="D3663" s="3">
        <v>-0.47999999999999599</v>
      </c>
      <c r="E3663" s="3">
        <v>-1.4328358208955101</v>
      </c>
      <c r="F3663" s="3">
        <v>-1.4328358208955101</v>
      </c>
      <c r="G3663" s="3">
        <v>33.020000000000003</v>
      </c>
      <c r="H3663" s="3">
        <v>820.16516602460399</v>
      </c>
      <c r="I3663" s="3">
        <v>33.229999999999997</v>
      </c>
      <c r="J3663" s="3">
        <v>33.340000000000003</v>
      </c>
      <c r="K3663" s="3">
        <v>32.770000000000003</v>
      </c>
      <c r="L3663" s="3">
        <v>820.16516602460399</v>
      </c>
    </row>
    <row r="3664" spans="1:12" ht="15" customHeight="1" x14ac:dyDescent="0.2">
      <c r="A3664" s="2">
        <v>40732</v>
      </c>
      <c r="B3664" s="3">
        <v>33.5</v>
      </c>
      <c r="C3664" s="1">
        <v>841835</v>
      </c>
      <c r="D3664" s="3">
        <v>-0.32999999999999802</v>
      </c>
      <c r="E3664" s="3">
        <v>-0.97546556310965604</v>
      </c>
      <c r="F3664" s="3">
        <v>-0.97546556310965604</v>
      </c>
      <c r="G3664" s="3">
        <v>33.5</v>
      </c>
      <c r="H3664" s="3">
        <v>833.54127988565199</v>
      </c>
      <c r="I3664" s="3">
        <v>33.270000000000003</v>
      </c>
      <c r="J3664" s="3">
        <v>33.515000000000001</v>
      </c>
      <c r="K3664" s="3">
        <v>32.83</v>
      </c>
      <c r="L3664" s="3">
        <v>833.54127988565199</v>
      </c>
    </row>
    <row r="3665" spans="1:12" ht="15" customHeight="1" x14ac:dyDescent="0.2">
      <c r="A3665" s="2">
        <v>40731</v>
      </c>
      <c r="B3665" s="3">
        <v>33.83</v>
      </c>
      <c r="C3665" s="1">
        <v>1076733</v>
      </c>
      <c r="D3665" s="3">
        <v>0.67000000000000104</v>
      </c>
      <c r="E3665" s="3">
        <v>2.0205066344993901</v>
      </c>
      <c r="F3665" s="3">
        <v>2.0205066344993901</v>
      </c>
      <c r="G3665" s="3">
        <v>33.83</v>
      </c>
      <c r="H3665" s="3">
        <v>842.73735816512203</v>
      </c>
      <c r="I3665" s="3">
        <v>33.409999999999997</v>
      </c>
      <c r="J3665" s="3">
        <v>34.07</v>
      </c>
      <c r="K3665" s="3">
        <v>33.299999999999997</v>
      </c>
      <c r="L3665" s="3">
        <v>842.73735816512203</v>
      </c>
    </row>
    <row r="3666" spans="1:12" ht="15" customHeight="1" x14ac:dyDescent="0.2">
      <c r="A3666" s="2">
        <v>40730</v>
      </c>
      <c r="B3666" s="3">
        <v>33.159999999999997</v>
      </c>
      <c r="C3666" s="1">
        <v>589157</v>
      </c>
      <c r="D3666" s="3">
        <v>-0.18000000000000599</v>
      </c>
      <c r="E3666" s="3">
        <v>-0.53989202159570004</v>
      </c>
      <c r="F3666" s="3">
        <v>-0.53989202159570004</v>
      </c>
      <c r="G3666" s="3">
        <v>33.159999999999997</v>
      </c>
      <c r="H3666" s="3">
        <v>824.06653256740901</v>
      </c>
      <c r="I3666" s="3">
        <v>33.4</v>
      </c>
      <c r="J3666" s="3">
        <v>33.4</v>
      </c>
      <c r="K3666" s="3">
        <v>32.75</v>
      </c>
      <c r="L3666" s="3">
        <v>824.06653256740901</v>
      </c>
    </row>
    <row r="3667" spans="1:12" ht="15" customHeight="1" x14ac:dyDescent="0.2">
      <c r="A3667" s="2">
        <v>40729</v>
      </c>
      <c r="B3667" s="3">
        <v>33.340000000000003</v>
      </c>
      <c r="C3667" s="1">
        <v>1047821.99999999</v>
      </c>
      <c r="D3667" s="3">
        <v>0.510000000000005</v>
      </c>
      <c r="E3667" s="3">
        <v>1.55345720377704</v>
      </c>
      <c r="F3667" s="3">
        <v>1.55345720377704</v>
      </c>
      <c r="G3667" s="3">
        <v>33.340000000000003</v>
      </c>
      <c r="H3667" s="3">
        <v>829.08257526530201</v>
      </c>
      <c r="I3667" s="3">
        <v>32.869999999999997</v>
      </c>
      <c r="J3667" s="3">
        <v>33.4</v>
      </c>
      <c r="K3667" s="3">
        <v>32.53</v>
      </c>
      <c r="L3667" s="3">
        <v>829.08257526530201</v>
      </c>
    </row>
    <row r="3668" spans="1:12" ht="15" customHeight="1" x14ac:dyDescent="0.2">
      <c r="A3668" s="2">
        <v>40725</v>
      </c>
      <c r="B3668" s="3">
        <v>32.83</v>
      </c>
      <c r="C3668" s="1">
        <v>1305772</v>
      </c>
      <c r="D3668" s="3">
        <v>1.45999999999999</v>
      </c>
      <c r="E3668" s="3">
        <v>4.6541281479120098</v>
      </c>
      <c r="F3668" s="3">
        <v>4.6541281479120098</v>
      </c>
      <c r="G3668" s="3">
        <v>32.83</v>
      </c>
      <c r="H3668" s="3">
        <v>814.87045428793897</v>
      </c>
      <c r="I3668" s="3">
        <v>31.63</v>
      </c>
      <c r="J3668" s="3">
        <v>32.950000000000003</v>
      </c>
      <c r="K3668" s="3">
        <v>31.07</v>
      </c>
      <c r="L3668" s="3">
        <v>814.87045428793897</v>
      </c>
    </row>
    <row r="3669" spans="1:12" ht="15" customHeight="1" x14ac:dyDescent="0.2">
      <c r="A3669" s="2">
        <v>40724</v>
      </c>
      <c r="B3669" s="3">
        <v>31.37</v>
      </c>
      <c r="C3669" s="1">
        <v>1058985</v>
      </c>
      <c r="D3669" s="3">
        <v>-7.9999999999998295E-2</v>
      </c>
      <c r="E3669" s="3">
        <v>-0.25437201907789703</v>
      </c>
      <c r="F3669" s="3">
        <v>-0.25437201907789703</v>
      </c>
      <c r="G3669" s="3">
        <v>31.37</v>
      </c>
      <c r="H3669" s="3">
        <v>774.18477462725002</v>
      </c>
      <c r="I3669" s="3">
        <v>31.17</v>
      </c>
      <c r="J3669" s="3">
        <v>31.89</v>
      </c>
      <c r="K3669" s="3">
        <v>31.17</v>
      </c>
      <c r="L3669" s="3">
        <v>774.18477462725002</v>
      </c>
    </row>
    <row r="3670" spans="1:12" ht="15" customHeight="1" x14ac:dyDescent="0.2">
      <c r="A3670" s="2">
        <v>40723</v>
      </c>
      <c r="B3670" s="3">
        <v>31.45</v>
      </c>
      <c r="C3670" s="1">
        <v>786096</v>
      </c>
      <c r="D3670" s="3">
        <v>-0.35000000000000098</v>
      </c>
      <c r="E3670" s="3">
        <v>-1.10062893081761</v>
      </c>
      <c r="F3670" s="3">
        <v>-1.10062893081761</v>
      </c>
      <c r="G3670" s="3">
        <v>31.45</v>
      </c>
      <c r="H3670" s="3">
        <v>776.41412693742495</v>
      </c>
      <c r="I3670" s="3">
        <v>32</v>
      </c>
      <c r="J3670" s="3">
        <v>32</v>
      </c>
      <c r="K3670" s="3">
        <v>31.24</v>
      </c>
      <c r="L3670" s="3">
        <v>776.41412693742495</v>
      </c>
    </row>
    <row r="3671" spans="1:12" ht="15" customHeight="1" x14ac:dyDescent="0.2">
      <c r="A3671" s="2">
        <v>40722</v>
      </c>
      <c r="B3671" s="3">
        <v>31.8</v>
      </c>
      <c r="C3671" s="1">
        <v>546737</v>
      </c>
      <c r="D3671" s="3">
        <v>0.51999999999999902</v>
      </c>
      <c r="E3671" s="3">
        <v>1.6624040920716101</v>
      </c>
      <c r="F3671" s="3">
        <v>1.6624040920716101</v>
      </c>
      <c r="G3671" s="3">
        <v>31.8</v>
      </c>
      <c r="H3671" s="3">
        <v>786.16754329443904</v>
      </c>
      <c r="I3671" s="3">
        <v>31.34</v>
      </c>
      <c r="J3671" s="3">
        <v>31.8</v>
      </c>
      <c r="K3671" s="3">
        <v>31.34</v>
      </c>
      <c r="L3671" s="3">
        <v>786.16754329443904</v>
      </c>
    </row>
    <row r="3672" spans="1:12" ht="15" customHeight="1" x14ac:dyDescent="0.2">
      <c r="A3672" s="2">
        <v>40721</v>
      </c>
      <c r="B3672" s="3">
        <v>31.28</v>
      </c>
      <c r="C3672" s="1">
        <v>923911</v>
      </c>
      <c r="D3672" s="3">
        <v>0.37000000000000099</v>
      </c>
      <c r="E3672" s="3">
        <v>1.19702361695244</v>
      </c>
      <c r="F3672" s="3">
        <v>1.19702361695244</v>
      </c>
      <c r="G3672" s="3">
        <v>31.28</v>
      </c>
      <c r="H3672" s="3">
        <v>771.67675327830398</v>
      </c>
      <c r="I3672" s="3">
        <v>31</v>
      </c>
      <c r="J3672" s="3">
        <v>31.48</v>
      </c>
      <c r="K3672" s="3">
        <v>30.66</v>
      </c>
      <c r="L3672" s="3">
        <v>771.67675327830398</v>
      </c>
    </row>
    <row r="3673" spans="1:12" ht="15" customHeight="1" x14ac:dyDescent="0.2">
      <c r="A3673" s="2">
        <v>40718</v>
      </c>
      <c r="B3673" s="3">
        <v>30.91</v>
      </c>
      <c r="C3673" s="1">
        <v>1503629</v>
      </c>
      <c r="D3673" s="3">
        <v>-1.0000000000001501E-2</v>
      </c>
      <c r="E3673" s="3">
        <v>-3.2341526520052101E-2</v>
      </c>
      <c r="F3673" s="3">
        <v>-3.2341526520052101E-2</v>
      </c>
      <c r="G3673" s="3">
        <v>30.91</v>
      </c>
      <c r="H3673" s="3">
        <v>761.36599884374596</v>
      </c>
      <c r="I3673" s="3">
        <v>30.99</v>
      </c>
      <c r="J3673" s="3">
        <v>31.11</v>
      </c>
      <c r="K3673" s="3">
        <v>30.53</v>
      </c>
      <c r="L3673" s="3">
        <v>761.36599884374596</v>
      </c>
    </row>
    <row r="3674" spans="1:12" ht="15" customHeight="1" x14ac:dyDescent="0.2">
      <c r="A3674" s="2">
        <v>40717</v>
      </c>
      <c r="B3674" s="3">
        <v>30.92</v>
      </c>
      <c r="C3674" s="1">
        <v>1312109</v>
      </c>
      <c r="D3674" s="3">
        <v>0.75</v>
      </c>
      <c r="E3674" s="3">
        <v>2.48591315876698</v>
      </c>
      <c r="F3674" s="3">
        <v>2.48591315876698</v>
      </c>
      <c r="G3674" s="3">
        <v>30.92</v>
      </c>
      <c r="H3674" s="3">
        <v>761.64466788251798</v>
      </c>
      <c r="I3674" s="3">
        <v>29.88</v>
      </c>
      <c r="J3674" s="3">
        <v>30.97</v>
      </c>
      <c r="K3674" s="3">
        <v>29.7</v>
      </c>
      <c r="L3674" s="3">
        <v>761.64466788251798</v>
      </c>
    </row>
    <row r="3675" spans="1:12" ht="15" customHeight="1" x14ac:dyDescent="0.2">
      <c r="A3675" s="2">
        <v>40716</v>
      </c>
      <c r="B3675" s="3">
        <v>30.17</v>
      </c>
      <c r="C3675" s="1">
        <v>917749</v>
      </c>
      <c r="D3675" s="3">
        <v>-0.149999999999998</v>
      </c>
      <c r="E3675" s="3">
        <v>-0.49472295514511</v>
      </c>
      <c r="F3675" s="3">
        <v>-0.49472295514511</v>
      </c>
      <c r="G3675" s="3">
        <v>30.17</v>
      </c>
      <c r="H3675" s="3">
        <v>740.74448997463003</v>
      </c>
      <c r="I3675" s="3">
        <v>30.24</v>
      </c>
      <c r="J3675" s="3">
        <v>30.6</v>
      </c>
      <c r="K3675" s="3">
        <v>29.9</v>
      </c>
      <c r="L3675" s="3">
        <v>740.74448997463003</v>
      </c>
    </row>
    <row r="3676" spans="1:12" ht="15" customHeight="1" x14ac:dyDescent="0.2">
      <c r="A3676" s="2">
        <v>40715</v>
      </c>
      <c r="B3676" s="3">
        <v>30.32</v>
      </c>
      <c r="C3676" s="1">
        <v>1802638</v>
      </c>
      <c r="D3676" s="3">
        <v>0.28000000000000103</v>
      </c>
      <c r="E3676" s="3">
        <v>0.93209054593874596</v>
      </c>
      <c r="F3676" s="3">
        <v>0.93209054593874596</v>
      </c>
      <c r="G3676" s="3">
        <v>30.32</v>
      </c>
      <c r="H3676" s="3">
        <v>744.92452555620798</v>
      </c>
      <c r="I3676" s="3">
        <v>30.18</v>
      </c>
      <c r="J3676" s="3">
        <v>30.53</v>
      </c>
      <c r="K3676" s="3">
        <v>29.81</v>
      </c>
      <c r="L3676" s="3">
        <v>744.92452555620798</v>
      </c>
    </row>
    <row r="3677" spans="1:12" ht="15" customHeight="1" x14ac:dyDescent="0.2">
      <c r="A3677" s="2">
        <v>40714</v>
      </c>
      <c r="B3677" s="3">
        <v>30.04</v>
      </c>
      <c r="C3677" s="1">
        <v>1224460</v>
      </c>
      <c r="D3677" s="3">
        <v>0.28999999999999898</v>
      </c>
      <c r="E3677" s="3">
        <v>0.97478991596637798</v>
      </c>
      <c r="F3677" s="3">
        <v>0.97478991596637798</v>
      </c>
      <c r="G3677" s="3">
        <v>30.04</v>
      </c>
      <c r="H3677" s="3">
        <v>737.12179247059601</v>
      </c>
      <c r="I3677" s="3">
        <v>29.69</v>
      </c>
      <c r="J3677" s="3">
        <v>30.22</v>
      </c>
      <c r="K3677" s="3">
        <v>29.57</v>
      </c>
      <c r="L3677" s="3">
        <v>737.12179247059601</v>
      </c>
    </row>
    <row r="3678" spans="1:12" ht="15" customHeight="1" x14ac:dyDescent="0.2">
      <c r="A3678" s="2">
        <v>40711</v>
      </c>
      <c r="B3678" s="3">
        <v>29.75</v>
      </c>
      <c r="C3678" s="1">
        <v>2008521</v>
      </c>
      <c r="D3678" s="3">
        <v>-0.23999999999999799</v>
      </c>
      <c r="E3678" s="3">
        <v>-0.80026675558518801</v>
      </c>
      <c r="F3678" s="3">
        <v>-0.80026675558518801</v>
      </c>
      <c r="G3678" s="3">
        <v>29.75</v>
      </c>
      <c r="H3678" s="3">
        <v>729.04039034621303</v>
      </c>
      <c r="I3678" s="3">
        <v>30.2</v>
      </c>
      <c r="J3678" s="3">
        <v>30.35</v>
      </c>
      <c r="K3678" s="3">
        <v>29.67</v>
      </c>
      <c r="L3678" s="3">
        <v>729.04039034621303</v>
      </c>
    </row>
    <row r="3679" spans="1:12" ht="15" customHeight="1" x14ac:dyDescent="0.2">
      <c r="A3679" s="2">
        <v>40710</v>
      </c>
      <c r="B3679" s="3">
        <v>29.99</v>
      </c>
      <c r="C3679" s="1">
        <v>1449115</v>
      </c>
      <c r="D3679" s="3">
        <v>-0.26000000000000101</v>
      </c>
      <c r="E3679" s="3">
        <v>-0.85950413223141398</v>
      </c>
      <c r="F3679" s="3">
        <v>-0.85950413223141398</v>
      </c>
      <c r="G3679" s="3">
        <v>29.99</v>
      </c>
      <c r="H3679" s="3">
        <v>735.72844727673703</v>
      </c>
      <c r="I3679" s="3">
        <v>30.3</v>
      </c>
      <c r="J3679" s="3">
        <v>30.37</v>
      </c>
      <c r="K3679" s="3">
        <v>29.82</v>
      </c>
      <c r="L3679" s="3">
        <v>735.72844727673703</v>
      </c>
    </row>
    <row r="3680" spans="1:12" ht="15" customHeight="1" x14ac:dyDescent="0.2">
      <c r="A3680" s="2">
        <v>40709</v>
      </c>
      <c r="B3680" s="3">
        <v>30.25</v>
      </c>
      <c r="C3680" s="1">
        <v>1368597</v>
      </c>
      <c r="D3680" s="3">
        <v>-0.53000000000000103</v>
      </c>
      <c r="E3680" s="3">
        <v>-1.7218973359324301</v>
      </c>
      <c r="F3680" s="3">
        <v>-1.7218973359324301</v>
      </c>
      <c r="G3680" s="3">
        <v>30.25</v>
      </c>
      <c r="H3680" s="3">
        <v>742.97384228480496</v>
      </c>
      <c r="I3680" s="3">
        <v>30.44</v>
      </c>
      <c r="J3680" s="3">
        <v>30.81</v>
      </c>
      <c r="K3680" s="3">
        <v>29.99</v>
      </c>
      <c r="L3680" s="3">
        <v>742.97384228480496</v>
      </c>
    </row>
    <row r="3681" spans="1:12" ht="15" customHeight="1" x14ac:dyDescent="0.2">
      <c r="A3681" s="2">
        <v>40708</v>
      </c>
      <c r="B3681" s="3">
        <v>30.78</v>
      </c>
      <c r="C3681" s="1">
        <v>767876</v>
      </c>
      <c r="D3681" s="3">
        <v>0.60000000000000098</v>
      </c>
      <c r="E3681" s="3">
        <v>1.9880715705765399</v>
      </c>
      <c r="F3681" s="3">
        <v>1.9880715705765399</v>
      </c>
      <c r="G3681" s="3">
        <v>30.78</v>
      </c>
      <c r="H3681" s="3">
        <v>757.74330133971205</v>
      </c>
      <c r="I3681" s="3">
        <v>30.61</v>
      </c>
      <c r="J3681" s="3">
        <v>30.86</v>
      </c>
      <c r="K3681" s="3">
        <v>30.44</v>
      </c>
      <c r="L3681" s="3">
        <v>757.74330133971205</v>
      </c>
    </row>
    <row r="3682" spans="1:12" ht="15" customHeight="1" x14ac:dyDescent="0.2">
      <c r="A3682" s="2">
        <v>40707</v>
      </c>
      <c r="B3682" s="3">
        <v>30.18</v>
      </c>
      <c r="C3682" s="1">
        <v>1550823</v>
      </c>
      <c r="D3682" s="3">
        <v>0.28999999999999898</v>
      </c>
      <c r="E3682" s="3">
        <v>0.97022415523586503</v>
      </c>
      <c r="F3682" s="3">
        <v>0.97022415523586503</v>
      </c>
      <c r="G3682" s="3">
        <v>30.18</v>
      </c>
      <c r="H3682" s="3">
        <v>741.02315901340205</v>
      </c>
      <c r="I3682" s="3">
        <v>29.93</v>
      </c>
      <c r="J3682" s="3">
        <v>30.88</v>
      </c>
      <c r="K3682" s="3">
        <v>29.68</v>
      </c>
      <c r="L3682" s="3">
        <v>741.02315901340205</v>
      </c>
    </row>
    <row r="3683" spans="1:12" ht="15" customHeight="1" x14ac:dyDescent="0.2">
      <c r="A3683" s="2">
        <v>40704</v>
      </c>
      <c r="B3683" s="3">
        <v>29.89</v>
      </c>
      <c r="C3683" s="1">
        <v>1725366</v>
      </c>
      <c r="D3683" s="3">
        <v>-0.32</v>
      </c>
      <c r="E3683" s="3">
        <v>-1.0592519033432599</v>
      </c>
      <c r="F3683" s="3">
        <v>-1.0592519033432599</v>
      </c>
      <c r="G3683" s="3">
        <v>29.89</v>
      </c>
      <c r="H3683" s="3">
        <v>732.94175688901896</v>
      </c>
      <c r="I3683" s="3">
        <v>29.91</v>
      </c>
      <c r="J3683" s="3">
        <v>30.34</v>
      </c>
      <c r="K3683" s="3">
        <v>29.4</v>
      </c>
      <c r="L3683" s="3">
        <v>732.94175688901896</v>
      </c>
    </row>
    <row r="3684" spans="1:12" ht="15" customHeight="1" x14ac:dyDescent="0.2">
      <c r="A3684" s="2">
        <v>40703</v>
      </c>
      <c r="B3684" s="3">
        <v>30.21</v>
      </c>
      <c r="C3684" s="1">
        <v>1478549</v>
      </c>
      <c r="D3684" s="3">
        <v>0.90000000000000202</v>
      </c>
      <c r="E3684" s="3">
        <v>3.0706243602866001</v>
      </c>
      <c r="F3684" s="3">
        <v>3.0706243602866001</v>
      </c>
      <c r="G3684" s="3">
        <v>30.21</v>
      </c>
      <c r="H3684" s="3">
        <v>741.85916612971698</v>
      </c>
      <c r="I3684" s="3">
        <v>29.33</v>
      </c>
      <c r="J3684" s="3">
        <v>30.22</v>
      </c>
      <c r="K3684" s="3">
        <v>29.103999999999999</v>
      </c>
      <c r="L3684" s="3">
        <v>741.85916612971698</v>
      </c>
    </row>
    <row r="3685" spans="1:12" ht="15" customHeight="1" x14ac:dyDescent="0.2">
      <c r="A3685" s="2">
        <v>40702</v>
      </c>
      <c r="B3685" s="3">
        <v>29.31</v>
      </c>
      <c r="C3685" s="1">
        <v>782485</v>
      </c>
      <c r="D3685" s="3">
        <v>-0.32</v>
      </c>
      <c r="E3685" s="3">
        <v>-1.0799865001687501</v>
      </c>
      <c r="F3685" s="3">
        <v>-1.0799865001687501</v>
      </c>
      <c r="G3685" s="3">
        <v>29.31</v>
      </c>
      <c r="H3685" s="3">
        <v>716.77895264025199</v>
      </c>
      <c r="I3685" s="3">
        <v>29.46</v>
      </c>
      <c r="J3685" s="3">
        <v>29.85</v>
      </c>
      <c r="K3685" s="3">
        <v>29.204999999999998</v>
      </c>
      <c r="L3685" s="3">
        <v>716.77895264025199</v>
      </c>
    </row>
    <row r="3686" spans="1:12" ht="15" customHeight="1" x14ac:dyDescent="0.2">
      <c r="A3686" s="2">
        <v>40701</v>
      </c>
      <c r="B3686" s="3">
        <v>29.63</v>
      </c>
      <c r="C3686" s="1">
        <v>684667</v>
      </c>
      <c r="D3686" s="3">
        <v>9.9999999999980105E-3</v>
      </c>
      <c r="E3686" s="3">
        <v>3.3760972315999199E-2</v>
      </c>
      <c r="F3686" s="3">
        <v>3.3760972315999199E-2</v>
      </c>
      <c r="G3686" s="3">
        <v>29.63</v>
      </c>
      <c r="H3686" s="3">
        <v>725.69636188095103</v>
      </c>
      <c r="I3686" s="3">
        <v>29.77</v>
      </c>
      <c r="J3686" s="3">
        <v>30.21</v>
      </c>
      <c r="K3686" s="3">
        <v>29.56</v>
      </c>
      <c r="L3686" s="3">
        <v>725.69636188095103</v>
      </c>
    </row>
    <row r="3687" spans="1:12" ht="15" customHeight="1" x14ac:dyDescent="0.2">
      <c r="A3687" s="2">
        <v>40700</v>
      </c>
      <c r="B3687" s="3">
        <v>29.62</v>
      </c>
      <c r="C3687" s="1">
        <v>802839</v>
      </c>
      <c r="D3687" s="3">
        <v>-0.25999999999999801</v>
      </c>
      <c r="E3687" s="3">
        <v>-0.87014725568941298</v>
      </c>
      <c r="F3687" s="3">
        <v>-0.87014725568941298</v>
      </c>
      <c r="G3687" s="3">
        <v>29.62</v>
      </c>
      <c r="H3687" s="3">
        <v>725.41769284217901</v>
      </c>
      <c r="I3687" s="3">
        <v>30.05</v>
      </c>
      <c r="J3687" s="3">
        <v>30.4</v>
      </c>
      <c r="K3687" s="3">
        <v>29.57</v>
      </c>
      <c r="L3687" s="3">
        <v>725.41769284217901</v>
      </c>
    </row>
    <row r="3688" spans="1:12" ht="15" customHeight="1" x14ac:dyDescent="0.2">
      <c r="A3688" s="2">
        <v>40697</v>
      </c>
      <c r="B3688" s="3">
        <v>29.88</v>
      </c>
      <c r="C3688" s="1">
        <v>874606</v>
      </c>
      <c r="D3688" s="3">
        <v>-0.67999999999999905</v>
      </c>
      <c r="E3688" s="3">
        <v>-2.2251308900523501</v>
      </c>
      <c r="F3688" s="3">
        <v>-2.2251308900523501</v>
      </c>
      <c r="G3688" s="3">
        <v>29.88</v>
      </c>
      <c r="H3688" s="3">
        <v>732.66308785024705</v>
      </c>
      <c r="I3688" s="3">
        <v>30.16</v>
      </c>
      <c r="J3688" s="3">
        <v>30.4</v>
      </c>
      <c r="K3688" s="3">
        <v>29.86</v>
      </c>
      <c r="L3688" s="3">
        <v>732.66308785024705</v>
      </c>
    </row>
    <row r="3689" spans="1:12" ht="15" customHeight="1" x14ac:dyDescent="0.2">
      <c r="A3689" s="2">
        <v>40696</v>
      </c>
      <c r="B3689" s="3">
        <v>30.56</v>
      </c>
      <c r="C3689" s="1">
        <v>816940</v>
      </c>
      <c r="D3689" s="3">
        <v>-0.190000000000001</v>
      </c>
      <c r="E3689" s="3">
        <v>-0.61788617886179198</v>
      </c>
      <c r="F3689" s="3">
        <v>-0.61788617886179198</v>
      </c>
      <c r="G3689" s="3">
        <v>30.56</v>
      </c>
      <c r="H3689" s="3">
        <v>751.61258248673198</v>
      </c>
      <c r="I3689" s="3">
        <v>30.94</v>
      </c>
      <c r="J3689" s="3">
        <v>30.94</v>
      </c>
      <c r="K3689" s="3">
        <v>30.34</v>
      </c>
      <c r="L3689" s="3">
        <v>751.61258248673198</v>
      </c>
    </row>
    <row r="3690" spans="1:12" ht="15" customHeight="1" x14ac:dyDescent="0.2">
      <c r="A3690" s="2">
        <v>40695</v>
      </c>
      <c r="B3690" s="3">
        <v>30.75</v>
      </c>
      <c r="C3690" s="1">
        <v>915514</v>
      </c>
      <c r="D3690" s="3">
        <v>-1.01999999999999</v>
      </c>
      <c r="E3690" s="3">
        <v>-3.21057601510859</v>
      </c>
      <c r="F3690" s="3">
        <v>-3.21057601510859</v>
      </c>
      <c r="G3690" s="3">
        <v>30.75</v>
      </c>
      <c r="H3690" s="3">
        <v>756.907294223397</v>
      </c>
      <c r="I3690" s="3">
        <v>32.229999999999997</v>
      </c>
      <c r="J3690" s="3">
        <v>32.229999999999997</v>
      </c>
      <c r="K3690" s="3">
        <v>30.75</v>
      </c>
      <c r="L3690" s="3">
        <v>756.907294223397</v>
      </c>
    </row>
    <row r="3691" spans="1:12" ht="15" customHeight="1" x14ac:dyDescent="0.2">
      <c r="A3691" s="2">
        <v>40694</v>
      </c>
      <c r="B3691" s="3">
        <v>31.77</v>
      </c>
      <c r="C3691" s="1">
        <v>722894</v>
      </c>
      <c r="D3691" s="3">
        <v>0.21</v>
      </c>
      <c r="E3691" s="3">
        <v>0.66539923954371805</v>
      </c>
      <c r="F3691" s="3">
        <v>0.66539923954371805</v>
      </c>
      <c r="G3691" s="3">
        <v>31.77</v>
      </c>
      <c r="H3691" s="3">
        <v>785.331536178124</v>
      </c>
      <c r="I3691" s="3">
        <v>31.86</v>
      </c>
      <c r="J3691" s="3">
        <v>32.06</v>
      </c>
      <c r="K3691" s="3">
        <v>31.48</v>
      </c>
      <c r="L3691" s="3">
        <v>785.331536178124</v>
      </c>
    </row>
    <row r="3692" spans="1:12" ht="15" customHeight="1" x14ac:dyDescent="0.2">
      <c r="A3692" s="2">
        <v>40690</v>
      </c>
      <c r="B3692" s="3">
        <v>31.56</v>
      </c>
      <c r="C3692" s="1">
        <v>817371</v>
      </c>
      <c r="D3692" s="3">
        <v>-0.28000000000000103</v>
      </c>
      <c r="E3692" s="3">
        <v>-0.87939698492462903</v>
      </c>
      <c r="F3692" s="3">
        <v>-0.87939698492462903</v>
      </c>
      <c r="G3692" s="3">
        <v>31.56</v>
      </c>
      <c r="H3692" s="3">
        <v>779.47948636391504</v>
      </c>
      <c r="I3692" s="3">
        <v>31.88</v>
      </c>
      <c r="J3692" s="3">
        <v>32.299999999999997</v>
      </c>
      <c r="K3692" s="3">
        <v>31.52</v>
      </c>
      <c r="L3692" s="3">
        <v>779.47948636391504</v>
      </c>
    </row>
    <row r="3693" spans="1:12" ht="15" customHeight="1" x14ac:dyDescent="0.2">
      <c r="A3693" s="2">
        <v>40689</v>
      </c>
      <c r="B3693" s="3">
        <v>31.84</v>
      </c>
      <c r="C3693" s="1">
        <v>1676284</v>
      </c>
      <c r="D3693" s="3">
        <v>0.96</v>
      </c>
      <c r="E3693" s="3">
        <v>3.1088082901554501</v>
      </c>
      <c r="F3693" s="3">
        <v>3.1088082901554501</v>
      </c>
      <c r="G3693" s="3">
        <v>31.84</v>
      </c>
      <c r="H3693" s="3">
        <v>787.28221944952702</v>
      </c>
      <c r="I3693" s="3">
        <v>30.68</v>
      </c>
      <c r="J3693" s="3">
        <v>32.04</v>
      </c>
      <c r="K3693" s="3">
        <v>30.51</v>
      </c>
      <c r="L3693" s="3">
        <v>787.28221944952702</v>
      </c>
    </row>
    <row r="3694" spans="1:12" ht="15" customHeight="1" x14ac:dyDescent="0.2">
      <c r="A3694" s="2">
        <v>40688</v>
      </c>
      <c r="B3694" s="3">
        <v>30.88</v>
      </c>
      <c r="C3694" s="1">
        <v>824139</v>
      </c>
      <c r="D3694" s="3">
        <v>0.41999999999999799</v>
      </c>
      <c r="E3694" s="3">
        <v>1.37885751805646</v>
      </c>
      <c r="F3694" s="3">
        <v>1.37885751805646</v>
      </c>
      <c r="G3694" s="3">
        <v>30.88</v>
      </c>
      <c r="H3694" s="3">
        <v>760.52999172743</v>
      </c>
      <c r="I3694" s="3">
        <v>30.47</v>
      </c>
      <c r="J3694" s="3">
        <v>30.9</v>
      </c>
      <c r="K3694" s="3">
        <v>30.18</v>
      </c>
      <c r="L3694" s="3">
        <v>760.52999172743</v>
      </c>
    </row>
    <row r="3695" spans="1:12" ht="15" customHeight="1" x14ac:dyDescent="0.2">
      <c r="A3695" s="2">
        <v>40687</v>
      </c>
      <c r="B3695" s="3">
        <v>30.46</v>
      </c>
      <c r="C3695" s="1">
        <v>839797</v>
      </c>
      <c r="D3695" s="3">
        <v>-0.51999999999999902</v>
      </c>
      <c r="E3695" s="3">
        <v>-1.6785022595222701</v>
      </c>
      <c r="F3695" s="3">
        <v>-1.6785022595222701</v>
      </c>
      <c r="G3695" s="3">
        <v>30.46</v>
      </c>
      <c r="H3695" s="3">
        <v>748.825892099013</v>
      </c>
      <c r="I3695" s="3">
        <v>31.02</v>
      </c>
      <c r="J3695" s="3">
        <v>31.02</v>
      </c>
      <c r="K3695" s="3">
        <v>30.22</v>
      </c>
      <c r="L3695" s="3">
        <v>748.825892099013</v>
      </c>
    </row>
    <row r="3696" spans="1:12" ht="15" customHeight="1" x14ac:dyDescent="0.2">
      <c r="A3696" s="2">
        <v>40686</v>
      </c>
      <c r="B3696" s="3">
        <v>30.98</v>
      </c>
      <c r="C3696" s="1">
        <v>765910</v>
      </c>
      <c r="D3696" s="3">
        <v>-0.219999999999998</v>
      </c>
      <c r="E3696" s="3">
        <v>-0.70512820512820196</v>
      </c>
      <c r="F3696" s="3">
        <v>-0.70512820512820196</v>
      </c>
      <c r="G3696" s="3">
        <v>30.98</v>
      </c>
      <c r="H3696" s="3">
        <v>763.31668211514898</v>
      </c>
      <c r="I3696" s="3">
        <v>30.8</v>
      </c>
      <c r="J3696" s="3">
        <v>31.46</v>
      </c>
      <c r="K3696" s="3">
        <v>30.42</v>
      </c>
      <c r="L3696" s="3">
        <v>763.31668211514898</v>
      </c>
    </row>
    <row r="3697" spans="1:12" ht="15" customHeight="1" x14ac:dyDescent="0.2">
      <c r="A3697" s="2">
        <v>40683</v>
      </c>
      <c r="B3697" s="3">
        <v>31.2</v>
      </c>
      <c r="C3697" s="1">
        <v>1288248</v>
      </c>
      <c r="D3697" s="3">
        <v>-0.38500000000000101</v>
      </c>
      <c r="E3697" s="3">
        <v>-1.2189330378344201</v>
      </c>
      <c r="F3697" s="3">
        <v>-1.2189330378344201</v>
      </c>
      <c r="G3697" s="3">
        <v>31.2</v>
      </c>
      <c r="H3697" s="3">
        <v>769.44740096812905</v>
      </c>
      <c r="I3697" s="3">
        <v>31.53</v>
      </c>
      <c r="J3697" s="3">
        <v>31.684999999999999</v>
      </c>
      <c r="K3697" s="3">
        <v>31</v>
      </c>
      <c r="L3697" s="3">
        <v>769.44740096812905</v>
      </c>
    </row>
    <row r="3698" spans="1:12" ht="15" customHeight="1" x14ac:dyDescent="0.2">
      <c r="A3698" s="2">
        <v>40682</v>
      </c>
      <c r="B3698" s="3">
        <v>31.585000000000001</v>
      </c>
      <c r="C3698" s="1">
        <v>1543462</v>
      </c>
      <c r="D3698" s="3">
        <v>0.71499999999999897</v>
      </c>
      <c r="E3698" s="3">
        <v>2.3161645610625099</v>
      </c>
      <c r="F3698" s="3">
        <v>2.3161645610625099</v>
      </c>
      <c r="G3698" s="3">
        <v>31.585000000000001</v>
      </c>
      <c r="H3698" s="3">
        <v>780.17615896084499</v>
      </c>
      <c r="I3698" s="3">
        <v>31.08</v>
      </c>
      <c r="J3698" s="3">
        <v>31.92</v>
      </c>
      <c r="K3698" s="3">
        <v>30.65</v>
      </c>
      <c r="L3698" s="3">
        <v>780.17615896084499</v>
      </c>
    </row>
    <row r="3699" spans="1:12" ht="15" customHeight="1" x14ac:dyDescent="0.2">
      <c r="A3699" s="2">
        <v>40681</v>
      </c>
      <c r="B3699" s="3">
        <v>30.87</v>
      </c>
      <c r="C3699" s="1">
        <v>983021</v>
      </c>
      <c r="D3699" s="3">
        <v>0.42000000000000098</v>
      </c>
      <c r="E3699" s="3">
        <v>1.3793103448275801</v>
      </c>
      <c r="F3699" s="3">
        <v>1.3793103448275801</v>
      </c>
      <c r="G3699" s="3">
        <v>30.87</v>
      </c>
      <c r="H3699" s="3">
        <v>760.251322688659</v>
      </c>
      <c r="I3699" s="3">
        <v>30.46</v>
      </c>
      <c r="J3699" s="3">
        <v>30.95</v>
      </c>
      <c r="K3699" s="3">
        <v>30.31</v>
      </c>
      <c r="L3699" s="3">
        <v>760.251322688659</v>
      </c>
    </row>
    <row r="3700" spans="1:12" ht="15" customHeight="1" x14ac:dyDescent="0.2">
      <c r="A3700" s="2">
        <v>40680</v>
      </c>
      <c r="B3700" s="3">
        <v>30.45</v>
      </c>
      <c r="C3700" s="1">
        <v>645540</v>
      </c>
      <c r="D3700" s="3">
        <v>0.19999999999999901</v>
      </c>
      <c r="E3700" s="3">
        <v>0.66115702479339</v>
      </c>
      <c r="F3700" s="3">
        <v>0.66115702479339</v>
      </c>
      <c r="G3700" s="3">
        <v>30.45</v>
      </c>
      <c r="H3700" s="3">
        <v>748.54722306024098</v>
      </c>
      <c r="I3700" s="3">
        <v>30.14</v>
      </c>
      <c r="J3700" s="3">
        <v>30.46</v>
      </c>
      <c r="K3700" s="3">
        <v>29.76</v>
      </c>
      <c r="L3700" s="3">
        <v>748.54722306024098</v>
      </c>
    </row>
    <row r="3701" spans="1:12" ht="15" customHeight="1" x14ac:dyDescent="0.2">
      <c r="A3701" s="2">
        <v>40679</v>
      </c>
      <c r="B3701" s="3">
        <v>30.25</v>
      </c>
      <c r="C3701" s="1">
        <v>883860</v>
      </c>
      <c r="D3701" s="3">
        <v>-0.66</v>
      </c>
      <c r="E3701" s="3">
        <v>-2.1352313167259802</v>
      </c>
      <c r="F3701" s="3">
        <v>-2.1352313167259802</v>
      </c>
      <c r="G3701" s="3">
        <v>30.25</v>
      </c>
      <c r="H3701" s="3">
        <v>742.97384228480496</v>
      </c>
      <c r="I3701" s="3">
        <v>30.72</v>
      </c>
      <c r="J3701" s="3">
        <v>30.82</v>
      </c>
      <c r="K3701" s="3">
        <v>30.14</v>
      </c>
      <c r="L3701" s="3">
        <v>742.97384228480496</v>
      </c>
    </row>
    <row r="3702" spans="1:12" ht="15" customHeight="1" x14ac:dyDescent="0.2">
      <c r="A3702" s="2">
        <v>40676</v>
      </c>
      <c r="B3702" s="3">
        <v>30.91</v>
      </c>
      <c r="C3702" s="1">
        <v>449208</v>
      </c>
      <c r="D3702" s="3">
        <v>-0.19999999999999901</v>
      </c>
      <c r="E3702" s="3">
        <v>-0.64288010286080999</v>
      </c>
      <c r="F3702" s="3">
        <v>-0.64288010286080999</v>
      </c>
      <c r="G3702" s="3">
        <v>30.91</v>
      </c>
      <c r="H3702" s="3">
        <v>761.36599884374596</v>
      </c>
      <c r="I3702" s="3">
        <v>31.18</v>
      </c>
      <c r="J3702" s="3">
        <v>31.31</v>
      </c>
      <c r="K3702" s="3">
        <v>30.8</v>
      </c>
      <c r="L3702" s="3">
        <v>761.36599884374596</v>
      </c>
    </row>
    <row r="3703" spans="1:12" ht="15" customHeight="1" x14ac:dyDescent="0.2">
      <c r="A3703" s="2">
        <v>40675</v>
      </c>
      <c r="B3703" s="3">
        <v>31.11</v>
      </c>
      <c r="C3703" s="1">
        <v>680581</v>
      </c>
      <c r="D3703" s="3">
        <v>0.32</v>
      </c>
      <c r="E3703" s="3">
        <v>1.0392984735303701</v>
      </c>
      <c r="F3703" s="3">
        <v>1.0392984735303701</v>
      </c>
      <c r="G3703" s="3">
        <v>31.11</v>
      </c>
      <c r="H3703" s="3">
        <v>766.939379619183</v>
      </c>
      <c r="I3703" s="3">
        <v>30.52</v>
      </c>
      <c r="J3703" s="3">
        <v>31.3</v>
      </c>
      <c r="K3703" s="3">
        <v>30.39</v>
      </c>
      <c r="L3703" s="3">
        <v>766.939379619183</v>
      </c>
    </row>
    <row r="3704" spans="1:12" ht="15" customHeight="1" x14ac:dyDescent="0.2">
      <c r="A3704" s="2">
        <v>40674</v>
      </c>
      <c r="B3704" s="3">
        <v>30.79</v>
      </c>
      <c r="C3704" s="1">
        <v>533182</v>
      </c>
      <c r="D3704" s="3">
        <v>7.0000000000000201E-2</v>
      </c>
      <c r="E3704" s="3">
        <v>0.22786458333332499</v>
      </c>
      <c r="F3704" s="3">
        <v>0.22786458333332499</v>
      </c>
      <c r="G3704" s="3">
        <v>30.79</v>
      </c>
      <c r="H3704" s="3">
        <v>758.02197037848396</v>
      </c>
      <c r="I3704" s="3">
        <v>30.78</v>
      </c>
      <c r="J3704" s="3">
        <v>31.13</v>
      </c>
      <c r="K3704" s="3">
        <v>30.48</v>
      </c>
      <c r="L3704" s="3">
        <v>758.02197037848396</v>
      </c>
    </row>
    <row r="3705" spans="1:12" ht="15" customHeight="1" x14ac:dyDescent="0.2">
      <c r="A3705" s="2">
        <v>40673</v>
      </c>
      <c r="B3705" s="3">
        <v>30.72</v>
      </c>
      <c r="C3705" s="1">
        <v>810663</v>
      </c>
      <c r="D3705" s="3">
        <v>0.60999999999999899</v>
      </c>
      <c r="E3705" s="3">
        <v>2.0259050149451898</v>
      </c>
      <c r="F3705" s="3">
        <v>2.0259050149451898</v>
      </c>
      <c r="G3705" s="3">
        <v>30.72</v>
      </c>
      <c r="H3705" s="3">
        <v>756.07128710708105</v>
      </c>
      <c r="I3705" s="3">
        <v>30.34</v>
      </c>
      <c r="J3705" s="3">
        <v>30.95</v>
      </c>
      <c r="K3705" s="3">
        <v>30.21</v>
      </c>
      <c r="L3705" s="3">
        <v>756.07128710708105</v>
      </c>
    </row>
    <row r="3706" spans="1:12" ht="15" customHeight="1" x14ac:dyDescent="0.2">
      <c r="A3706" s="2">
        <v>40672</v>
      </c>
      <c r="B3706" s="3">
        <v>30.11</v>
      </c>
      <c r="C3706" s="1">
        <v>628699</v>
      </c>
      <c r="D3706" s="3">
        <v>-0.28000000000000103</v>
      </c>
      <c r="E3706" s="3">
        <v>-0.92135570911484599</v>
      </c>
      <c r="F3706" s="3">
        <v>-0.92135570911484599</v>
      </c>
      <c r="G3706" s="3">
        <v>30.11</v>
      </c>
      <c r="H3706" s="3">
        <v>739.07247574199903</v>
      </c>
      <c r="I3706" s="3">
        <v>30.14</v>
      </c>
      <c r="J3706" s="3">
        <v>30.77</v>
      </c>
      <c r="K3706" s="3">
        <v>30.04</v>
      </c>
      <c r="L3706" s="3">
        <v>739.07247574199903</v>
      </c>
    </row>
    <row r="3707" spans="1:12" ht="15" customHeight="1" x14ac:dyDescent="0.2">
      <c r="A3707" s="2">
        <v>40669</v>
      </c>
      <c r="B3707" s="3">
        <v>30.39</v>
      </c>
      <c r="C3707" s="1">
        <v>1522531</v>
      </c>
      <c r="D3707" s="3">
        <v>0.219999999999998</v>
      </c>
      <c r="E3707" s="3">
        <v>0.729201193238315</v>
      </c>
      <c r="F3707" s="3">
        <v>0.729201193238315</v>
      </c>
      <c r="G3707" s="3">
        <v>30.39</v>
      </c>
      <c r="H3707" s="3">
        <v>746.875208827611</v>
      </c>
      <c r="I3707" s="3">
        <v>30.79</v>
      </c>
      <c r="J3707" s="3">
        <v>31.32</v>
      </c>
      <c r="K3707" s="3">
        <v>30.22</v>
      </c>
      <c r="L3707" s="3">
        <v>746.875208827611</v>
      </c>
    </row>
    <row r="3708" spans="1:12" ht="15" customHeight="1" x14ac:dyDescent="0.2">
      <c r="A3708" s="2">
        <v>40668</v>
      </c>
      <c r="B3708" s="3">
        <v>30.17</v>
      </c>
      <c r="C3708" s="1">
        <v>1924328</v>
      </c>
      <c r="D3708" s="3">
        <v>0.70000000000000195</v>
      </c>
      <c r="E3708" s="3">
        <v>2.3752969121140199</v>
      </c>
      <c r="F3708" s="3">
        <v>2.3752969121140199</v>
      </c>
      <c r="G3708" s="3">
        <v>30.17</v>
      </c>
      <c r="H3708" s="3">
        <v>740.74448997463003</v>
      </c>
      <c r="I3708" s="3">
        <v>29.29</v>
      </c>
      <c r="J3708" s="3">
        <v>30.92</v>
      </c>
      <c r="K3708" s="3">
        <v>29.23</v>
      </c>
      <c r="L3708" s="3">
        <v>740.74448997463003</v>
      </c>
    </row>
    <row r="3709" spans="1:12" ht="15" customHeight="1" x14ac:dyDescent="0.2">
      <c r="A3709" s="2">
        <v>40667</v>
      </c>
      <c r="B3709" s="3">
        <v>29.47</v>
      </c>
      <c r="C3709" s="1">
        <v>1048814</v>
      </c>
      <c r="D3709" s="3">
        <v>0.42999999999999899</v>
      </c>
      <c r="E3709" s="3">
        <v>1.4807162534435201</v>
      </c>
      <c r="F3709" s="3">
        <v>1.4807162534435201</v>
      </c>
      <c r="G3709" s="3">
        <v>29.47</v>
      </c>
      <c r="H3709" s="3">
        <v>721.23765726060196</v>
      </c>
      <c r="I3709" s="3">
        <v>29.05</v>
      </c>
      <c r="J3709" s="3">
        <v>29.64</v>
      </c>
      <c r="K3709" s="3">
        <v>28.73</v>
      </c>
      <c r="L3709" s="3">
        <v>721.23765726060196</v>
      </c>
    </row>
    <row r="3710" spans="1:12" ht="15" customHeight="1" x14ac:dyDescent="0.2">
      <c r="A3710" s="2">
        <v>40666</v>
      </c>
      <c r="B3710" s="3">
        <v>29.04</v>
      </c>
      <c r="C3710" s="1">
        <v>793409</v>
      </c>
      <c r="D3710" s="3">
        <v>-8.9999999999999802E-2</v>
      </c>
      <c r="E3710" s="3">
        <v>-0.30895983522142201</v>
      </c>
      <c r="F3710" s="3">
        <v>-0.30895983522142201</v>
      </c>
      <c r="G3710" s="3">
        <v>29.04</v>
      </c>
      <c r="H3710" s="3">
        <v>709.25488859341306</v>
      </c>
      <c r="I3710" s="3">
        <v>28.95</v>
      </c>
      <c r="J3710" s="3">
        <v>29.31</v>
      </c>
      <c r="K3710" s="3">
        <v>28.67</v>
      </c>
      <c r="L3710" s="3">
        <v>709.25488859341306</v>
      </c>
    </row>
    <row r="3711" spans="1:12" ht="15" customHeight="1" x14ac:dyDescent="0.2">
      <c r="A3711" s="2">
        <v>40665</v>
      </c>
      <c r="B3711" s="3">
        <v>29.13</v>
      </c>
      <c r="C3711" s="1">
        <v>630104</v>
      </c>
      <c r="D3711" s="3">
        <v>-0.3</v>
      </c>
      <c r="E3711" s="3">
        <v>-1.01936799184505</v>
      </c>
      <c r="F3711" s="3">
        <v>-1.01936799184505</v>
      </c>
      <c r="G3711" s="3">
        <v>29.13</v>
      </c>
      <c r="H3711" s="3">
        <v>711.76290994235899</v>
      </c>
      <c r="I3711" s="3">
        <v>29.48</v>
      </c>
      <c r="J3711" s="3">
        <v>29.63</v>
      </c>
      <c r="K3711" s="3">
        <v>29</v>
      </c>
      <c r="L3711" s="3">
        <v>711.76290994235899</v>
      </c>
    </row>
    <row r="3712" spans="1:12" ht="15" customHeight="1" x14ac:dyDescent="0.2">
      <c r="A3712" s="2">
        <v>40662</v>
      </c>
      <c r="B3712" s="3">
        <v>29.43</v>
      </c>
      <c r="C3712" s="1">
        <v>1023656</v>
      </c>
      <c r="D3712" s="3">
        <v>-0.12000000000000099</v>
      </c>
      <c r="E3712" s="3">
        <v>-0.40609137055838102</v>
      </c>
      <c r="F3712" s="3">
        <v>-0.40609137055838102</v>
      </c>
      <c r="G3712" s="3">
        <v>29.43</v>
      </c>
      <c r="H3712" s="3">
        <v>720.12298110551399</v>
      </c>
      <c r="I3712" s="3">
        <v>29.54</v>
      </c>
      <c r="J3712" s="3">
        <v>29.66</v>
      </c>
      <c r="K3712" s="3">
        <v>29.26</v>
      </c>
      <c r="L3712" s="3">
        <v>720.12298110551399</v>
      </c>
    </row>
    <row r="3713" spans="1:12" ht="15" customHeight="1" x14ac:dyDescent="0.2">
      <c r="A3713" s="2">
        <v>40661</v>
      </c>
      <c r="B3713" s="3">
        <v>29.55</v>
      </c>
      <c r="C3713" s="1">
        <v>623119</v>
      </c>
      <c r="D3713" s="3">
        <v>-0.109999999999999</v>
      </c>
      <c r="E3713" s="3">
        <v>-0.37086985839513897</v>
      </c>
      <c r="F3713" s="3">
        <v>-0.37086985839513897</v>
      </c>
      <c r="G3713" s="3">
        <v>29.55</v>
      </c>
      <c r="H3713" s="3">
        <v>723.46700957077599</v>
      </c>
      <c r="I3713" s="3">
        <v>29.52</v>
      </c>
      <c r="J3713" s="3">
        <v>29.8</v>
      </c>
      <c r="K3713" s="3">
        <v>29.320399999999999</v>
      </c>
      <c r="L3713" s="3">
        <v>723.46700957077599</v>
      </c>
    </row>
    <row r="3714" spans="1:12" ht="15" customHeight="1" x14ac:dyDescent="0.2">
      <c r="A3714" s="2">
        <v>40660</v>
      </c>
      <c r="B3714" s="3">
        <v>29.66</v>
      </c>
      <c r="C3714" s="1">
        <v>1480896</v>
      </c>
      <c r="D3714" s="3">
        <v>-0.12000000000000099</v>
      </c>
      <c r="E3714" s="3">
        <v>-0.40295500335796303</v>
      </c>
      <c r="F3714" s="3">
        <v>-0.40295500335796303</v>
      </c>
      <c r="G3714" s="3">
        <v>29.66</v>
      </c>
      <c r="H3714" s="3">
        <v>726.53236899726596</v>
      </c>
      <c r="I3714" s="3">
        <v>29.78</v>
      </c>
      <c r="J3714" s="3">
        <v>30.09</v>
      </c>
      <c r="K3714" s="3">
        <v>29.19</v>
      </c>
      <c r="L3714" s="3">
        <v>726.53236899726596</v>
      </c>
    </row>
    <row r="3715" spans="1:12" ht="15" customHeight="1" x14ac:dyDescent="0.2">
      <c r="A3715" s="2">
        <v>40659</v>
      </c>
      <c r="B3715" s="3">
        <v>29.78</v>
      </c>
      <c r="C3715" s="1">
        <v>1233147</v>
      </c>
      <c r="D3715" s="3">
        <v>0.109999999999999</v>
      </c>
      <c r="E3715" s="3">
        <v>0.37074486012806901</v>
      </c>
      <c r="F3715" s="3">
        <v>0.37074486012806901</v>
      </c>
      <c r="G3715" s="3">
        <v>29.78</v>
      </c>
      <c r="H3715" s="3">
        <v>729.87639746252898</v>
      </c>
      <c r="I3715" s="3">
        <v>29.77</v>
      </c>
      <c r="J3715" s="3">
        <v>29.83</v>
      </c>
      <c r="K3715" s="3">
        <v>29.32</v>
      </c>
      <c r="L3715" s="3">
        <v>729.87639746252898</v>
      </c>
    </row>
    <row r="3716" spans="1:12" ht="15" customHeight="1" x14ac:dyDescent="0.2">
      <c r="A3716" s="2">
        <v>40658</v>
      </c>
      <c r="B3716" s="3">
        <v>29.67</v>
      </c>
      <c r="C3716" s="1">
        <v>1028102</v>
      </c>
      <c r="D3716" s="3">
        <v>0.25</v>
      </c>
      <c r="E3716" s="3">
        <v>0.84976206662135101</v>
      </c>
      <c r="F3716" s="3">
        <v>0.84976206662135101</v>
      </c>
      <c r="G3716" s="3">
        <v>29.67</v>
      </c>
      <c r="H3716" s="3">
        <v>726.81103803603798</v>
      </c>
      <c r="I3716" s="3">
        <v>29.42</v>
      </c>
      <c r="J3716" s="3">
        <v>29.77</v>
      </c>
      <c r="K3716" s="3">
        <v>29.23</v>
      </c>
      <c r="L3716" s="3">
        <v>726.81103803603798</v>
      </c>
    </row>
    <row r="3717" spans="1:12" ht="15" customHeight="1" x14ac:dyDescent="0.2">
      <c r="A3717" s="2">
        <v>40654</v>
      </c>
      <c r="B3717" s="3">
        <v>29.42</v>
      </c>
      <c r="C3717" s="1">
        <v>2534783</v>
      </c>
      <c r="D3717" s="3">
        <v>-1.1799999999999899</v>
      </c>
      <c r="E3717" s="3">
        <v>-3.8562091503267899</v>
      </c>
      <c r="F3717" s="3">
        <v>-3.8562091503267899</v>
      </c>
      <c r="G3717" s="3">
        <v>29.42</v>
      </c>
      <c r="H3717" s="3">
        <v>719.84431206674196</v>
      </c>
      <c r="I3717" s="3">
        <v>30</v>
      </c>
      <c r="J3717" s="3">
        <v>30</v>
      </c>
      <c r="K3717" s="3">
        <v>28.79</v>
      </c>
      <c r="L3717" s="3">
        <v>719.84431206674196</v>
      </c>
    </row>
    <row r="3718" spans="1:12" ht="15" customHeight="1" x14ac:dyDescent="0.2">
      <c r="A3718" s="2">
        <v>40653</v>
      </c>
      <c r="B3718" s="3">
        <v>30.6</v>
      </c>
      <c r="C3718" s="1">
        <v>2212484</v>
      </c>
      <c r="D3718" s="3">
        <v>0.75</v>
      </c>
      <c r="E3718" s="3">
        <v>2.5125628140703502</v>
      </c>
      <c r="F3718" s="3">
        <v>2.5125628140703502</v>
      </c>
      <c r="G3718" s="3">
        <v>30.6</v>
      </c>
      <c r="H3718" s="3">
        <v>752.72725864181905</v>
      </c>
      <c r="I3718" s="3">
        <v>30.32</v>
      </c>
      <c r="J3718" s="3">
        <v>30.86</v>
      </c>
      <c r="K3718" s="3">
        <v>30.18</v>
      </c>
      <c r="L3718" s="3">
        <v>752.72725864181905</v>
      </c>
    </row>
    <row r="3719" spans="1:12" ht="15" customHeight="1" x14ac:dyDescent="0.2">
      <c r="A3719" s="2">
        <v>40652</v>
      </c>
      <c r="B3719" s="3">
        <v>29.85</v>
      </c>
      <c r="C3719" s="1">
        <v>1342955</v>
      </c>
      <c r="D3719" s="3">
        <v>0.46</v>
      </c>
      <c r="E3719" s="3">
        <v>1.5651582170806499</v>
      </c>
      <c r="F3719" s="3">
        <v>1.5651582170806499</v>
      </c>
      <c r="G3719" s="3">
        <v>29.85</v>
      </c>
      <c r="H3719" s="3">
        <v>731.82708073393098</v>
      </c>
      <c r="I3719" s="3">
        <v>29.61</v>
      </c>
      <c r="J3719" s="3">
        <v>29.86</v>
      </c>
      <c r="K3719" s="3">
        <v>29.39</v>
      </c>
      <c r="L3719" s="3">
        <v>731.82708073393098</v>
      </c>
    </row>
    <row r="3720" spans="1:12" ht="15" customHeight="1" x14ac:dyDescent="0.2">
      <c r="A3720" s="2">
        <v>40651</v>
      </c>
      <c r="B3720" s="3">
        <v>29.39</v>
      </c>
      <c r="C3720" s="1">
        <v>1028391</v>
      </c>
      <c r="D3720" s="3">
        <v>-0.16</v>
      </c>
      <c r="E3720" s="3">
        <v>-0.54145516074449695</v>
      </c>
      <c r="F3720" s="3">
        <v>-0.54145516074449695</v>
      </c>
      <c r="G3720" s="3">
        <v>29.39</v>
      </c>
      <c r="H3720" s="3">
        <v>719.00830495042703</v>
      </c>
      <c r="I3720" s="3">
        <v>29.26</v>
      </c>
      <c r="J3720" s="3">
        <v>29.42</v>
      </c>
      <c r="K3720" s="3">
        <v>28.88</v>
      </c>
      <c r="L3720" s="3">
        <v>719.00830495042703</v>
      </c>
    </row>
    <row r="3721" spans="1:12" ht="15" customHeight="1" x14ac:dyDescent="0.2">
      <c r="A3721" s="2">
        <v>40648</v>
      </c>
      <c r="B3721" s="3">
        <v>29.55</v>
      </c>
      <c r="C3721" s="1">
        <v>773189</v>
      </c>
      <c r="D3721" s="3">
        <v>0.51999999999999902</v>
      </c>
      <c r="E3721" s="3">
        <v>1.79125043058905</v>
      </c>
      <c r="F3721" s="3">
        <v>1.79125043058905</v>
      </c>
      <c r="G3721" s="3">
        <v>29.55</v>
      </c>
      <c r="H3721" s="3">
        <v>723.46700957077599</v>
      </c>
      <c r="I3721" s="3">
        <v>28.98</v>
      </c>
      <c r="J3721" s="3">
        <v>29.55</v>
      </c>
      <c r="K3721" s="3">
        <v>28.98</v>
      </c>
      <c r="L3721" s="3">
        <v>723.46700957077599</v>
      </c>
    </row>
    <row r="3722" spans="1:12" ht="15" customHeight="1" x14ac:dyDescent="0.2">
      <c r="A3722" s="2">
        <v>40647</v>
      </c>
      <c r="B3722" s="3">
        <v>29.03</v>
      </c>
      <c r="C3722" s="1">
        <v>1107840</v>
      </c>
      <c r="D3722" s="3">
        <v>0.28000000000000103</v>
      </c>
      <c r="E3722" s="3">
        <v>0.97391304347826901</v>
      </c>
      <c r="F3722" s="3">
        <v>0.97391304347826901</v>
      </c>
      <c r="G3722" s="3">
        <v>29.03</v>
      </c>
      <c r="H3722" s="3">
        <v>708.97621955464103</v>
      </c>
      <c r="I3722" s="3">
        <v>28.44</v>
      </c>
      <c r="J3722" s="3">
        <v>29.22</v>
      </c>
      <c r="K3722" s="3">
        <v>28.31</v>
      </c>
      <c r="L3722" s="3">
        <v>708.97621955464103</v>
      </c>
    </row>
    <row r="3723" spans="1:12" ht="15" customHeight="1" x14ac:dyDescent="0.2">
      <c r="A3723" s="2">
        <v>40646</v>
      </c>
      <c r="B3723" s="3">
        <v>28.75</v>
      </c>
      <c r="C3723" s="1">
        <v>614318</v>
      </c>
      <c r="D3723" s="3">
        <v>8.9999999999999802E-2</v>
      </c>
      <c r="E3723" s="3">
        <v>0.31402651779483998</v>
      </c>
      <c r="F3723" s="3">
        <v>0.31402651779483998</v>
      </c>
      <c r="G3723" s="3">
        <v>28.75</v>
      </c>
      <c r="H3723" s="3">
        <v>701.17348646902894</v>
      </c>
      <c r="I3723" s="3">
        <v>28.84</v>
      </c>
      <c r="J3723" s="3">
        <v>28.96</v>
      </c>
      <c r="K3723" s="3">
        <v>28.4</v>
      </c>
      <c r="L3723" s="3">
        <v>701.17348646902894</v>
      </c>
    </row>
    <row r="3724" spans="1:12" ht="15" customHeight="1" x14ac:dyDescent="0.2">
      <c r="A3724" s="2">
        <v>40645</v>
      </c>
      <c r="B3724" s="3">
        <v>28.66</v>
      </c>
      <c r="C3724" s="1">
        <v>892227</v>
      </c>
      <c r="D3724" s="3">
        <v>5.99999999999987E-2</v>
      </c>
      <c r="E3724" s="3">
        <v>0.209790209790194</v>
      </c>
      <c r="F3724" s="3">
        <v>0.209790209790194</v>
      </c>
      <c r="G3724" s="3">
        <v>28.66</v>
      </c>
      <c r="H3724" s="3">
        <v>698.66546512008301</v>
      </c>
      <c r="I3724" s="3">
        <v>28.4</v>
      </c>
      <c r="J3724" s="3">
        <v>29.06</v>
      </c>
      <c r="K3724" s="3">
        <v>28.36</v>
      </c>
      <c r="L3724" s="3">
        <v>698.66546512008301</v>
      </c>
    </row>
    <row r="3725" spans="1:12" ht="15" customHeight="1" x14ac:dyDescent="0.2">
      <c r="A3725" s="2">
        <v>40644</v>
      </c>
      <c r="B3725" s="3">
        <v>28.6</v>
      </c>
      <c r="C3725" s="1">
        <v>780207</v>
      </c>
      <c r="D3725" s="3">
        <v>-0.22999999999999601</v>
      </c>
      <c r="E3725" s="3">
        <v>-0.79778009018383</v>
      </c>
      <c r="F3725" s="3">
        <v>-0.79778009018383</v>
      </c>
      <c r="G3725" s="3">
        <v>28.6</v>
      </c>
      <c r="H3725" s="3">
        <v>696.99345088745201</v>
      </c>
      <c r="I3725" s="3">
        <v>28.75</v>
      </c>
      <c r="J3725" s="3">
        <v>28.86</v>
      </c>
      <c r="K3725" s="3">
        <v>28.41</v>
      </c>
      <c r="L3725" s="3">
        <v>696.99345088745201</v>
      </c>
    </row>
    <row r="3726" spans="1:12" ht="15" customHeight="1" x14ac:dyDescent="0.2">
      <c r="A3726" s="2">
        <v>40641</v>
      </c>
      <c r="B3726" s="3">
        <v>28.83</v>
      </c>
      <c r="C3726" s="1">
        <v>1022187</v>
      </c>
      <c r="D3726" s="3">
        <v>-0.48</v>
      </c>
      <c r="E3726" s="3">
        <v>-1.6376663254861801</v>
      </c>
      <c r="F3726" s="3">
        <v>-1.6376663254861801</v>
      </c>
      <c r="G3726" s="3">
        <v>28.83</v>
      </c>
      <c r="H3726" s="3">
        <v>703.40283877920399</v>
      </c>
      <c r="I3726" s="3">
        <v>29.45</v>
      </c>
      <c r="J3726" s="3">
        <v>29.52</v>
      </c>
      <c r="K3726" s="3">
        <v>28.66</v>
      </c>
      <c r="L3726" s="3">
        <v>703.40283877920399</v>
      </c>
    </row>
    <row r="3727" spans="1:12" ht="15" customHeight="1" x14ac:dyDescent="0.2">
      <c r="A3727" s="2">
        <v>40640</v>
      </c>
      <c r="B3727" s="3">
        <v>29.31</v>
      </c>
      <c r="C3727" s="1">
        <v>1169698</v>
      </c>
      <c r="D3727" s="3">
        <v>-0.89</v>
      </c>
      <c r="E3727" s="3">
        <v>-2.9470198675496699</v>
      </c>
      <c r="F3727" s="3">
        <v>-2.9470198675496699</v>
      </c>
      <c r="G3727" s="3">
        <v>29.31</v>
      </c>
      <c r="H3727" s="3">
        <v>716.77895264025199</v>
      </c>
      <c r="I3727" s="3">
        <v>30.09</v>
      </c>
      <c r="J3727" s="3">
        <v>30.37</v>
      </c>
      <c r="K3727" s="3">
        <v>29.27</v>
      </c>
      <c r="L3727" s="3">
        <v>716.77895264025199</v>
      </c>
    </row>
    <row r="3728" spans="1:12" ht="15" customHeight="1" x14ac:dyDescent="0.2">
      <c r="A3728" s="2">
        <v>40639</v>
      </c>
      <c r="B3728" s="3">
        <v>30.2</v>
      </c>
      <c r="C3728" s="1">
        <v>607294</v>
      </c>
      <c r="D3728" s="3">
        <v>0.109999999999999</v>
      </c>
      <c r="E3728" s="3">
        <v>0.36556995679628501</v>
      </c>
      <c r="F3728" s="3">
        <v>0.36556995679628501</v>
      </c>
      <c r="G3728" s="3">
        <v>30.2</v>
      </c>
      <c r="H3728" s="3">
        <v>741.58049709094598</v>
      </c>
      <c r="I3728" s="3">
        <v>30.2</v>
      </c>
      <c r="J3728" s="3">
        <v>30.49</v>
      </c>
      <c r="K3728" s="3">
        <v>30</v>
      </c>
      <c r="L3728" s="3">
        <v>741.58049709094598</v>
      </c>
    </row>
    <row r="3729" spans="1:12" ht="15" customHeight="1" x14ac:dyDescent="0.2">
      <c r="A3729" s="2">
        <v>40638</v>
      </c>
      <c r="B3729" s="3">
        <v>30.09</v>
      </c>
      <c r="C3729" s="1">
        <v>706352</v>
      </c>
      <c r="D3729" s="3">
        <v>0.17999999999999899</v>
      </c>
      <c r="E3729" s="3">
        <v>0.60180541624874595</v>
      </c>
      <c r="F3729" s="3">
        <v>0.60180541624874595</v>
      </c>
      <c r="G3729" s="3">
        <v>30.09</v>
      </c>
      <c r="H3729" s="3">
        <v>738.51513766445498</v>
      </c>
      <c r="I3729" s="3">
        <v>29.72</v>
      </c>
      <c r="J3729" s="3">
        <v>30.36</v>
      </c>
      <c r="K3729" s="3">
        <v>29.72</v>
      </c>
      <c r="L3729" s="3">
        <v>738.51513766445498</v>
      </c>
    </row>
    <row r="3730" spans="1:12" ht="15" customHeight="1" x14ac:dyDescent="0.2">
      <c r="A3730" s="2">
        <v>40637</v>
      </c>
      <c r="B3730" s="3">
        <v>29.91</v>
      </c>
      <c r="C3730" s="1">
        <v>1243854</v>
      </c>
      <c r="D3730" s="3">
        <v>8.9999999999999802E-2</v>
      </c>
      <c r="E3730" s="3">
        <v>0.30181086519114297</v>
      </c>
      <c r="F3730" s="3">
        <v>0.30181086519114297</v>
      </c>
      <c r="G3730" s="3">
        <v>29.91</v>
      </c>
      <c r="H3730" s="3">
        <v>733.49909496656198</v>
      </c>
      <c r="I3730" s="3">
        <v>30.42</v>
      </c>
      <c r="J3730" s="3">
        <v>30.74</v>
      </c>
      <c r="K3730" s="3">
        <v>29.76</v>
      </c>
      <c r="L3730" s="3">
        <v>733.49909496656198</v>
      </c>
    </row>
    <row r="3731" spans="1:12" ht="15" customHeight="1" x14ac:dyDescent="0.2">
      <c r="A3731" s="2">
        <v>40634</v>
      </c>
      <c r="B3731" s="3">
        <v>29.82</v>
      </c>
      <c r="C3731" s="1">
        <v>765171</v>
      </c>
      <c r="D3731" s="3">
        <v>-0.26999999999999902</v>
      </c>
      <c r="E3731" s="3">
        <v>-0.89730807577268401</v>
      </c>
      <c r="F3731" s="3">
        <v>-0.89730807577268401</v>
      </c>
      <c r="G3731" s="3">
        <v>29.82</v>
      </c>
      <c r="H3731" s="3">
        <v>730.99107361761605</v>
      </c>
      <c r="I3731" s="3">
        <v>30.13</v>
      </c>
      <c r="J3731" s="3">
        <v>30.37</v>
      </c>
      <c r="K3731" s="3">
        <v>29.61</v>
      </c>
      <c r="L3731" s="3">
        <v>730.99107361761605</v>
      </c>
    </row>
    <row r="3732" spans="1:12" ht="15" customHeight="1" x14ac:dyDescent="0.2">
      <c r="A3732" s="2">
        <v>40633</v>
      </c>
      <c r="B3732" s="3">
        <v>30.09</v>
      </c>
      <c r="C3732" s="1">
        <v>884192</v>
      </c>
      <c r="D3732" s="3">
        <v>0.39999999999999802</v>
      </c>
      <c r="E3732" s="3">
        <v>1.34725496800269</v>
      </c>
      <c r="F3732" s="3">
        <v>1.34725496800269</v>
      </c>
      <c r="G3732" s="3">
        <v>30.09</v>
      </c>
      <c r="H3732" s="3">
        <v>738.51513766445498</v>
      </c>
      <c r="I3732" s="3">
        <v>29.64</v>
      </c>
      <c r="J3732" s="3">
        <v>30.25</v>
      </c>
      <c r="K3732" s="3">
        <v>29.635000000000002</v>
      </c>
      <c r="L3732" s="3">
        <v>738.51513766445498</v>
      </c>
    </row>
    <row r="3733" spans="1:12" ht="15" customHeight="1" x14ac:dyDescent="0.2">
      <c r="A3733" s="2">
        <v>40632</v>
      </c>
      <c r="B3733" s="3">
        <v>29.69</v>
      </c>
      <c r="C3733" s="1">
        <v>581025</v>
      </c>
      <c r="D3733" s="3">
        <v>0.380000000000002</v>
      </c>
      <c r="E3733" s="3">
        <v>1.2964858410098901</v>
      </c>
      <c r="F3733" s="3">
        <v>1.2964858410098901</v>
      </c>
      <c r="G3733" s="3">
        <v>29.69</v>
      </c>
      <c r="H3733" s="3">
        <v>727.36837611358203</v>
      </c>
      <c r="I3733" s="3">
        <v>29.38</v>
      </c>
      <c r="J3733" s="3">
        <v>29.83</v>
      </c>
      <c r="K3733" s="3">
        <v>29.32</v>
      </c>
      <c r="L3733" s="3">
        <v>727.36837611358203</v>
      </c>
    </row>
    <row r="3734" spans="1:12" ht="15" customHeight="1" x14ac:dyDescent="0.2">
      <c r="A3734" s="2">
        <v>40631</v>
      </c>
      <c r="B3734" s="3">
        <v>29.31</v>
      </c>
      <c r="C3734" s="1">
        <v>1038583</v>
      </c>
      <c r="D3734" s="3">
        <v>0.55999999999999805</v>
      </c>
      <c r="E3734" s="3">
        <v>1.94782608695651</v>
      </c>
      <c r="F3734" s="3">
        <v>1.94782608695651</v>
      </c>
      <c r="G3734" s="3">
        <v>29.31</v>
      </c>
      <c r="H3734" s="3">
        <v>716.77895264025199</v>
      </c>
      <c r="I3734" s="3">
        <v>28.95</v>
      </c>
      <c r="J3734" s="3">
        <v>29.42</v>
      </c>
      <c r="K3734" s="3">
        <v>28.69</v>
      </c>
      <c r="L3734" s="3">
        <v>716.77895264025199</v>
      </c>
    </row>
    <row r="3735" spans="1:12" ht="15" customHeight="1" x14ac:dyDescent="0.2">
      <c r="A3735" s="2">
        <v>40630</v>
      </c>
      <c r="B3735" s="3">
        <v>28.75</v>
      </c>
      <c r="C3735" s="1">
        <v>840574</v>
      </c>
      <c r="D3735" s="3">
        <v>-0.12000000000000099</v>
      </c>
      <c r="E3735" s="3">
        <v>-0.41565639071701099</v>
      </c>
      <c r="F3735" s="3">
        <v>-0.41565639071701099</v>
      </c>
      <c r="G3735" s="3">
        <v>28.75</v>
      </c>
      <c r="H3735" s="3">
        <v>701.17348646902894</v>
      </c>
      <c r="I3735" s="3">
        <v>28.9</v>
      </c>
      <c r="J3735" s="3">
        <v>29.1</v>
      </c>
      <c r="K3735" s="3">
        <v>28.630099999999999</v>
      </c>
      <c r="L3735" s="3">
        <v>701.17348646902894</v>
      </c>
    </row>
    <row r="3736" spans="1:12" ht="15" customHeight="1" x14ac:dyDescent="0.2">
      <c r="A3736" s="2">
        <v>40627</v>
      </c>
      <c r="B3736" s="3">
        <v>28.87</v>
      </c>
      <c r="C3736" s="1">
        <v>1256301</v>
      </c>
      <c r="D3736" s="3">
        <v>8.0000000000001806E-2</v>
      </c>
      <c r="E3736" s="3">
        <v>0.277874261896493</v>
      </c>
      <c r="F3736" s="3">
        <v>0.277874261896493</v>
      </c>
      <c r="G3736" s="3">
        <v>28.87</v>
      </c>
      <c r="H3736" s="3">
        <v>704.51751493429094</v>
      </c>
      <c r="I3736" s="3">
        <v>28.88</v>
      </c>
      <c r="J3736" s="3">
        <v>29.23</v>
      </c>
      <c r="K3736" s="3">
        <v>28.68</v>
      </c>
      <c r="L3736" s="3">
        <v>704.51751493429094</v>
      </c>
    </row>
    <row r="3737" spans="1:12" ht="15" customHeight="1" x14ac:dyDescent="0.2">
      <c r="A3737" s="2">
        <v>40626</v>
      </c>
      <c r="B3737" s="3">
        <v>28.79</v>
      </c>
      <c r="C3737" s="1">
        <v>804424</v>
      </c>
      <c r="D3737" s="3">
        <v>0.14000000000000001</v>
      </c>
      <c r="E3737" s="3">
        <v>0.48865619546247702</v>
      </c>
      <c r="F3737" s="3">
        <v>0.48865619546247702</v>
      </c>
      <c r="G3737" s="3">
        <v>28.79</v>
      </c>
      <c r="H3737" s="3">
        <v>702.28816262411704</v>
      </c>
      <c r="I3737" s="3">
        <v>28.83</v>
      </c>
      <c r="J3737" s="3">
        <v>29.01</v>
      </c>
      <c r="K3737" s="3">
        <v>28.55</v>
      </c>
      <c r="L3737" s="3">
        <v>702.28816262411704</v>
      </c>
    </row>
    <row r="3738" spans="1:12" ht="15" customHeight="1" x14ac:dyDescent="0.2">
      <c r="A3738" s="2">
        <v>40625</v>
      </c>
      <c r="B3738" s="3">
        <v>28.65</v>
      </c>
      <c r="C3738" s="1">
        <v>990718</v>
      </c>
      <c r="D3738" s="3">
        <v>1.9999999999999501E-2</v>
      </c>
      <c r="E3738" s="3">
        <v>6.9856793573164197E-2</v>
      </c>
      <c r="F3738" s="3">
        <v>6.9856793573164197E-2</v>
      </c>
      <c r="G3738" s="3">
        <v>28.65</v>
      </c>
      <c r="H3738" s="3">
        <v>698.38679608131099</v>
      </c>
      <c r="I3738" s="3">
        <v>28.63</v>
      </c>
      <c r="J3738" s="3">
        <v>28.85</v>
      </c>
      <c r="K3738" s="3">
        <v>28.035</v>
      </c>
      <c r="L3738" s="3">
        <v>698.38679608131099</v>
      </c>
    </row>
    <row r="3739" spans="1:12" ht="15" customHeight="1" x14ac:dyDescent="0.2">
      <c r="A3739" s="2">
        <v>40624</v>
      </c>
      <c r="B3739" s="3">
        <v>28.63</v>
      </c>
      <c r="C3739" s="1">
        <v>669322</v>
      </c>
      <c r="D3739" s="3">
        <v>-0.37000000000000099</v>
      </c>
      <c r="E3739" s="3">
        <v>-1.27586206896551</v>
      </c>
      <c r="F3739" s="3">
        <v>-1.27586206896551</v>
      </c>
      <c r="G3739" s="3">
        <v>28.63</v>
      </c>
      <c r="H3739" s="3">
        <v>697.82945800376694</v>
      </c>
      <c r="I3739" s="3">
        <v>29.07</v>
      </c>
      <c r="J3739" s="3">
        <v>29.26</v>
      </c>
      <c r="K3739" s="3">
        <v>28.6</v>
      </c>
      <c r="L3739" s="3">
        <v>697.82945800376694</v>
      </c>
    </row>
    <row r="3740" spans="1:12" ht="15" customHeight="1" x14ac:dyDescent="0.2">
      <c r="A3740" s="2">
        <v>40623</v>
      </c>
      <c r="B3740" s="3">
        <v>29</v>
      </c>
      <c r="C3740" s="1">
        <v>850786</v>
      </c>
      <c r="D3740" s="3">
        <v>0.19999999999999901</v>
      </c>
      <c r="E3740" s="3">
        <v>0.69444444444444198</v>
      </c>
      <c r="F3740" s="3">
        <v>0.69444444444444198</v>
      </c>
      <c r="G3740" s="3">
        <v>29</v>
      </c>
      <c r="H3740" s="3">
        <v>708.14021243832497</v>
      </c>
      <c r="I3740" s="3">
        <v>29</v>
      </c>
      <c r="J3740" s="3">
        <v>29.45</v>
      </c>
      <c r="K3740" s="3">
        <v>28.875</v>
      </c>
      <c r="L3740" s="3">
        <v>708.14021243832497</v>
      </c>
    </row>
    <row r="3741" spans="1:12" ht="15" customHeight="1" x14ac:dyDescent="0.2">
      <c r="A3741" s="2">
        <v>40620</v>
      </c>
      <c r="B3741" s="3">
        <v>28.8</v>
      </c>
      <c r="C3741" s="1">
        <v>1463208</v>
      </c>
      <c r="D3741" s="3">
        <v>0.15000000000000199</v>
      </c>
      <c r="E3741" s="3">
        <v>0.52356020942410098</v>
      </c>
      <c r="F3741" s="3">
        <v>0.52356020942410098</v>
      </c>
      <c r="G3741" s="3">
        <v>28.8</v>
      </c>
      <c r="H3741" s="3">
        <v>702.56683166288803</v>
      </c>
      <c r="I3741" s="3">
        <v>28.91</v>
      </c>
      <c r="J3741" s="3">
        <v>29.1</v>
      </c>
      <c r="K3741" s="3">
        <v>28.574999999999999</v>
      </c>
      <c r="L3741" s="3">
        <v>702.56683166288803</v>
      </c>
    </row>
    <row r="3742" spans="1:12" ht="15" customHeight="1" x14ac:dyDescent="0.2">
      <c r="A3742" s="2">
        <v>40619</v>
      </c>
      <c r="B3742" s="3">
        <v>28.65</v>
      </c>
      <c r="C3742" s="1">
        <v>1069732</v>
      </c>
      <c r="D3742" s="3">
        <v>-0.190000000000001</v>
      </c>
      <c r="E3742" s="3">
        <v>-0.65880721220527005</v>
      </c>
      <c r="F3742" s="3">
        <v>-0.65880721220527005</v>
      </c>
      <c r="G3742" s="3">
        <v>28.65</v>
      </c>
      <c r="H3742" s="3">
        <v>698.38679608131099</v>
      </c>
      <c r="I3742" s="3">
        <v>29.4</v>
      </c>
      <c r="J3742" s="3">
        <v>29.7</v>
      </c>
      <c r="K3742" s="3">
        <v>28.61</v>
      </c>
      <c r="L3742" s="3">
        <v>698.38679608131099</v>
      </c>
    </row>
    <row r="3743" spans="1:12" ht="15" customHeight="1" x14ac:dyDescent="0.2">
      <c r="A3743" s="2">
        <v>40618</v>
      </c>
      <c r="B3743" s="3">
        <v>28.84</v>
      </c>
      <c r="C3743" s="1">
        <v>875199</v>
      </c>
      <c r="D3743" s="3">
        <v>-0.75</v>
      </c>
      <c r="E3743" s="3">
        <v>-2.5346400811084799</v>
      </c>
      <c r="F3743" s="3">
        <v>-2.5346400811084799</v>
      </c>
      <c r="G3743" s="3">
        <v>28.84</v>
      </c>
      <c r="H3743" s="3">
        <v>703.68150781797601</v>
      </c>
      <c r="I3743" s="3">
        <v>29.4</v>
      </c>
      <c r="J3743" s="3">
        <v>29.64</v>
      </c>
      <c r="K3743" s="3">
        <v>28.83</v>
      </c>
      <c r="L3743" s="3">
        <v>703.68150781797601</v>
      </c>
    </row>
    <row r="3744" spans="1:12" ht="15" customHeight="1" x14ac:dyDescent="0.2">
      <c r="A3744" s="2">
        <v>40617</v>
      </c>
      <c r="B3744" s="3">
        <v>29.59</v>
      </c>
      <c r="C3744" s="1">
        <v>830298</v>
      </c>
      <c r="D3744" s="3">
        <v>-3.9999999999999099E-2</v>
      </c>
      <c r="E3744" s="3">
        <v>-0.13499831252109501</v>
      </c>
      <c r="F3744" s="3">
        <v>-0.13499831252109501</v>
      </c>
      <c r="G3744" s="3">
        <v>29.59</v>
      </c>
      <c r="H3744" s="3">
        <v>724.58168572586396</v>
      </c>
      <c r="I3744" s="3">
        <v>28.85</v>
      </c>
      <c r="J3744" s="3">
        <v>29.72</v>
      </c>
      <c r="K3744" s="3">
        <v>28.76</v>
      </c>
      <c r="L3744" s="3">
        <v>724.58168572586396</v>
      </c>
    </row>
    <row r="3745" spans="1:12" ht="15" customHeight="1" x14ac:dyDescent="0.2">
      <c r="A3745" s="2">
        <v>40616</v>
      </c>
      <c r="B3745" s="3">
        <v>29.63</v>
      </c>
      <c r="C3745" s="1">
        <v>979620</v>
      </c>
      <c r="D3745" s="3">
        <v>-0.21</v>
      </c>
      <c r="E3745" s="3">
        <v>-0.70375335120643701</v>
      </c>
      <c r="F3745" s="3">
        <v>-0.70375335120643701</v>
      </c>
      <c r="G3745" s="3">
        <v>29.63</v>
      </c>
      <c r="H3745" s="3">
        <v>725.69636188095103</v>
      </c>
      <c r="I3745" s="3">
        <v>29.39</v>
      </c>
      <c r="J3745" s="3">
        <v>29.73</v>
      </c>
      <c r="K3745" s="3">
        <v>29</v>
      </c>
      <c r="L3745" s="3">
        <v>725.69636188095103</v>
      </c>
    </row>
    <row r="3746" spans="1:12" ht="15" customHeight="1" x14ac:dyDescent="0.2">
      <c r="A3746" s="2">
        <v>40613</v>
      </c>
      <c r="B3746" s="3">
        <v>29.84</v>
      </c>
      <c r="C3746" s="1">
        <v>829755</v>
      </c>
      <c r="D3746" s="3">
        <v>0.309999999999998</v>
      </c>
      <c r="E3746" s="3">
        <v>1.0497798848628499</v>
      </c>
      <c r="F3746" s="3">
        <v>1.0497798848628499</v>
      </c>
      <c r="G3746" s="3">
        <v>29.84</v>
      </c>
      <c r="H3746" s="3">
        <v>731.54841169515896</v>
      </c>
      <c r="I3746" s="3">
        <v>29.49</v>
      </c>
      <c r="J3746" s="3">
        <v>29.95</v>
      </c>
      <c r="K3746" s="3">
        <v>29.135000000000002</v>
      </c>
      <c r="L3746" s="3">
        <v>731.54841169515896</v>
      </c>
    </row>
    <row r="3747" spans="1:12" ht="15" customHeight="1" x14ac:dyDescent="0.2">
      <c r="A3747" s="2">
        <v>40612</v>
      </c>
      <c r="B3747" s="3">
        <v>29.53</v>
      </c>
      <c r="C3747" s="1">
        <v>763679</v>
      </c>
      <c r="D3747" s="3">
        <v>-0.29999999999999699</v>
      </c>
      <c r="E3747" s="3">
        <v>-1.00569896077773</v>
      </c>
      <c r="F3747" s="3">
        <v>-1.00569896077773</v>
      </c>
      <c r="G3747" s="3">
        <v>29.53</v>
      </c>
      <c r="H3747" s="3">
        <v>722.90967149323296</v>
      </c>
      <c r="I3747" s="3">
        <v>29.5</v>
      </c>
      <c r="J3747" s="3">
        <v>29.85</v>
      </c>
      <c r="K3747" s="3">
        <v>29.34</v>
      </c>
      <c r="L3747" s="3">
        <v>722.90967149323296</v>
      </c>
    </row>
    <row r="3748" spans="1:12" ht="15" customHeight="1" x14ac:dyDescent="0.2">
      <c r="A3748" s="2">
        <v>40611</v>
      </c>
      <c r="B3748" s="3">
        <v>29.83</v>
      </c>
      <c r="C3748" s="1">
        <v>977626</v>
      </c>
      <c r="D3748" s="3">
        <v>0.38499999999999801</v>
      </c>
      <c r="E3748" s="3">
        <v>1.30752249957546</v>
      </c>
      <c r="F3748" s="3">
        <v>1.30752249957546</v>
      </c>
      <c r="G3748" s="3">
        <v>29.83</v>
      </c>
      <c r="H3748" s="3">
        <v>731.26974265638796</v>
      </c>
      <c r="I3748" s="3">
        <v>29.27</v>
      </c>
      <c r="J3748" s="3">
        <v>29.96</v>
      </c>
      <c r="K3748" s="3">
        <v>28.91</v>
      </c>
      <c r="L3748" s="3">
        <v>731.26974265638796</v>
      </c>
    </row>
    <row r="3749" spans="1:12" ht="15" customHeight="1" x14ac:dyDescent="0.2">
      <c r="A3749" s="2">
        <v>40610</v>
      </c>
      <c r="B3749" s="3">
        <v>29.445</v>
      </c>
      <c r="C3749" s="1">
        <v>1131943</v>
      </c>
      <c r="D3749" s="3">
        <v>0.69499999999999995</v>
      </c>
      <c r="E3749" s="3">
        <v>2.4173913043478299</v>
      </c>
      <c r="F3749" s="3">
        <v>2.4173913043478299</v>
      </c>
      <c r="G3749" s="3">
        <v>29.445</v>
      </c>
      <c r="H3749" s="3">
        <v>720.54098466367202</v>
      </c>
      <c r="I3749" s="3">
        <v>28.83</v>
      </c>
      <c r="J3749" s="3">
        <v>29.54</v>
      </c>
      <c r="K3749" s="3">
        <v>28.65</v>
      </c>
      <c r="L3749" s="3">
        <v>720.54098466367202</v>
      </c>
    </row>
    <row r="3750" spans="1:12" ht="15" customHeight="1" x14ac:dyDescent="0.2">
      <c r="A3750" s="2">
        <v>40609</v>
      </c>
      <c r="B3750" s="3">
        <v>28.75</v>
      </c>
      <c r="C3750" s="1">
        <v>1388328</v>
      </c>
      <c r="D3750" s="3">
        <v>-0.219999999999998</v>
      </c>
      <c r="E3750" s="3">
        <v>-0.759406282361063</v>
      </c>
      <c r="F3750" s="3">
        <v>-0.759406282361063</v>
      </c>
      <c r="G3750" s="3">
        <v>28.75</v>
      </c>
      <c r="H3750" s="3">
        <v>701.17348646902894</v>
      </c>
      <c r="I3750" s="3">
        <v>29</v>
      </c>
      <c r="J3750" s="3">
        <v>29.7</v>
      </c>
      <c r="K3750" s="3">
        <v>28.6</v>
      </c>
      <c r="L3750" s="3">
        <v>701.17348646902894</v>
      </c>
    </row>
    <row r="3751" spans="1:12" ht="15" customHeight="1" x14ac:dyDescent="0.2">
      <c r="A3751" s="2">
        <v>40606</v>
      </c>
      <c r="B3751" s="3">
        <v>28.97</v>
      </c>
      <c r="C3751" s="1">
        <v>1100578</v>
      </c>
      <c r="D3751" s="3">
        <v>-0.35000000000000098</v>
      </c>
      <c r="E3751" s="3">
        <v>-1.193724420191</v>
      </c>
      <c r="F3751" s="3">
        <v>-1.193724420191</v>
      </c>
      <c r="G3751" s="3">
        <v>28.97</v>
      </c>
      <c r="H3751" s="3">
        <v>707.30420532201003</v>
      </c>
      <c r="I3751" s="3">
        <v>29.35</v>
      </c>
      <c r="J3751" s="3">
        <v>29.484999999999999</v>
      </c>
      <c r="K3751" s="3">
        <v>28.55</v>
      </c>
      <c r="L3751" s="3">
        <v>707.30420532201003</v>
      </c>
    </row>
    <row r="3752" spans="1:12" ht="15" customHeight="1" x14ac:dyDescent="0.2">
      <c r="A3752" s="2">
        <v>40605</v>
      </c>
      <c r="B3752" s="3">
        <v>29.32</v>
      </c>
      <c r="C3752" s="1">
        <v>1012496</v>
      </c>
      <c r="D3752" s="3">
        <v>0.82</v>
      </c>
      <c r="E3752" s="3">
        <v>2.87719298245614</v>
      </c>
      <c r="F3752" s="3">
        <v>2.87719298245614</v>
      </c>
      <c r="G3752" s="3">
        <v>29.32</v>
      </c>
      <c r="H3752" s="3">
        <v>717.05762167902401</v>
      </c>
      <c r="I3752" s="3">
        <v>28.72</v>
      </c>
      <c r="J3752" s="3">
        <v>29.67</v>
      </c>
      <c r="K3752" s="3">
        <v>28.72</v>
      </c>
      <c r="L3752" s="3">
        <v>717.05762167902401</v>
      </c>
    </row>
    <row r="3753" spans="1:12" ht="15" customHeight="1" x14ac:dyDescent="0.2">
      <c r="A3753" s="2">
        <v>40604</v>
      </c>
      <c r="B3753" s="3">
        <v>28.5</v>
      </c>
      <c r="C3753" s="1">
        <v>1343429</v>
      </c>
      <c r="D3753" s="3">
        <v>3.0000000000001099E-2</v>
      </c>
      <c r="E3753" s="3">
        <v>0.105374077976816</v>
      </c>
      <c r="F3753" s="3">
        <v>0.105374077976816</v>
      </c>
      <c r="G3753" s="3">
        <v>28.5</v>
      </c>
      <c r="H3753" s="3">
        <v>694.20676049973304</v>
      </c>
      <c r="I3753" s="3">
        <v>28.37</v>
      </c>
      <c r="J3753" s="3">
        <v>28.69</v>
      </c>
      <c r="K3753" s="3">
        <v>28.07</v>
      </c>
      <c r="L3753" s="3">
        <v>694.20676049973304</v>
      </c>
    </row>
    <row r="3754" spans="1:12" ht="15" customHeight="1" x14ac:dyDescent="0.2">
      <c r="A3754" s="2">
        <v>40603</v>
      </c>
      <c r="B3754" s="3">
        <v>28.47</v>
      </c>
      <c r="C3754" s="1">
        <v>1611152</v>
      </c>
      <c r="D3754" s="3">
        <v>-0.56999999999999995</v>
      </c>
      <c r="E3754" s="3">
        <v>-1.9628099173553599</v>
      </c>
      <c r="F3754" s="3">
        <v>-1.9628099173553599</v>
      </c>
      <c r="G3754" s="3">
        <v>28.47</v>
      </c>
      <c r="H3754" s="3">
        <v>693.37075338341799</v>
      </c>
      <c r="I3754" s="3">
        <v>29.16</v>
      </c>
      <c r="J3754" s="3">
        <v>29.26</v>
      </c>
      <c r="K3754" s="3">
        <v>28.43</v>
      </c>
      <c r="L3754" s="3">
        <v>693.37075338341799</v>
      </c>
    </row>
    <row r="3755" spans="1:12" ht="15" customHeight="1" x14ac:dyDescent="0.2">
      <c r="A3755" s="2">
        <v>40602</v>
      </c>
      <c r="B3755" s="3">
        <v>29.04</v>
      </c>
      <c r="C3755" s="1">
        <v>1147633</v>
      </c>
      <c r="D3755" s="3">
        <v>0.119999999999997</v>
      </c>
      <c r="E3755" s="3">
        <v>0.414937759336098</v>
      </c>
      <c r="F3755" s="3">
        <v>0.414937759336098</v>
      </c>
      <c r="G3755" s="3">
        <v>29.04</v>
      </c>
      <c r="H3755" s="3">
        <v>709.25488859341306</v>
      </c>
      <c r="I3755" s="3">
        <v>29.21</v>
      </c>
      <c r="J3755" s="3">
        <v>29.31</v>
      </c>
      <c r="K3755" s="3">
        <v>28.88</v>
      </c>
      <c r="L3755" s="3">
        <v>709.25488859341306</v>
      </c>
    </row>
    <row r="3756" spans="1:12" ht="15" customHeight="1" x14ac:dyDescent="0.2">
      <c r="A3756" s="2">
        <v>40599</v>
      </c>
      <c r="B3756" s="3">
        <v>28.92</v>
      </c>
      <c r="C3756" s="1">
        <v>1577406</v>
      </c>
      <c r="D3756" s="3">
        <v>0.56000000000000205</v>
      </c>
      <c r="E3756" s="3">
        <v>1.9746121297602399</v>
      </c>
      <c r="F3756" s="3">
        <v>1.9746121297602399</v>
      </c>
      <c r="G3756" s="3">
        <v>28.92</v>
      </c>
      <c r="H3756" s="3">
        <v>705.91086012815094</v>
      </c>
      <c r="I3756" s="3">
        <v>29.14</v>
      </c>
      <c r="J3756" s="3">
        <v>29.75</v>
      </c>
      <c r="K3756" s="3">
        <v>28.68</v>
      </c>
      <c r="L3756" s="3">
        <v>705.91086012815094</v>
      </c>
    </row>
    <row r="3757" spans="1:12" ht="15" customHeight="1" x14ac:dyDescent="0.2">
      <c r="A3757" s="2">
        <v>40598</v>
      </c>
      <c r="B3757" s="3">
        <v>28.36</v>
      </c>
      <c r="C3757" s="1">
        <v>1664964</v>
      </c>
      <c r="D3757" s="3">
        <v>0.5</v>
      </c>
      <c r="E3757" s="3">
        <v>1.79468772433597</v>
      </c>
      <c r="F3757" s="3">
        <v>1.79468772433597</v>
      </c>
      <c r="G3757" s="3">
        <v>28.36</v>
      </c>
      <c r="H3757" s="3">
        <v>690.30539395692801</v>
      </c>
      <c r="I3757" s="3">
        <v>27.84</v>
      </c>
      <c r="J3757" s="3">
        <v>28.42</v>
      </c>
      <c r="K3757" s="3">
        <v>27.68</v>
      </c>
      <c r="L3757" s="3">
        <v>690.30539395692801</v>
      </c>
    </row>
    <row r="3758" spans="1:12" ht="15" customHeight="1" x14ac:dyDescent="0.2">
      <c r="A3758" s="2">
        <v>40597</v>
      </c>
      <c r="B3758" s="3">
        <v>27.86</v>
      </c>
      <c r="C3758" s="1">
        <v>1706586</v>
      </c>
      <c r="D3758" s="3">
        <v>-0.44999999999999901</v>
      </c>
      <c r="E3758" s="3">
        <v>-1.5895443306252099</v>
      </c>
      <c r="F3758" s="3">
        <v>-1.5895443306252099</v>
      </c>
      <c r="G3758" s="3">
        <v>27.86</v>
      </c>
      <c r="H3758" s="3">
        <v>676.37194201833597</v>
      </c>
      <c r="I3758" s="3">
        <v>28.3</v>
      </c>
      <c r="J3758" s="3">
        <v>28.4</v>
      </c>
      <c r="K3758" s="3">
        <v>27.11</v>
      </c>
      <c r="L3758" s="3">
        <v>676.37194201833597</v>
      </c>
    </row>
    <row r="3759" spans="1:12" ht="15" customHeight="1" x14ac:dyDescent="0.2">
      <c r="A3759" s="2">
        <v>40596</v>
      </c>
      <c r="B3759" s="3">
        <v>28.31</v>
      </c>
      <c r="C3759" s="1">
        <v>2315556</v>
      </c>
      <c r="D3759" s="3">
        <v>-1.1799999999999899</v>
      </c>
      <c r="E3759" s="3">
        <v>-4.0013563919972901</v>
      </c>
      <c r="F3759" s="3">
        <v>-4.0013563919972901</v>
      </c>
      <c r="G3759" s="3">
        <v>28.31</v>
      </c>
      <c r="H3759" s="3">
        <v>688.91204876306801</v>
      </c>
      <c r="I3759" s="3">
        <v>29.24</v>
      </c>
      <c r="J3759" s="3">
        <v>29.38</v>
      </c>
      <c r="K3759" s="3">
        <v>27.76</v>
      </c>
      <c r="L3759" s="3">
        <v>688.91204876306801</v>
      </c>
    </row>
    <row r="3760" spans="1:12" ht="15" customHeight="1" x14ac:dyDescent="0.2">
      <c r="A3760" s="2">
        <v>40592</v>
      </c>
      <c r="B3760" s="3">
        <v>29.49</v>
      </c>
      <c r="C3760" s="1">
        <v>1042305</v>
      </c>
      <c r="D3760" s="3">
        <v>-4.00000000000027E-2</v>
      </c>
      <c r="E3760" s="3">
        <v>-0.13545546901456701</v>
      </c>
      <c r="F3760" s="3">
        <v>-0.13545546901456701</v>
      </c>
      <c r="G3760" s="3">
        <v>29.49</v>
      </c>
      <c r="H3760" s="3">
        <v>721.79499533814499</v>
      </c>
      <c r="I3760" s="3">
        <v>29.81</v>
      </c>
      <c r="J3760" s="3">
        <v>29.94</v>
      </c>
      <c r="K3760" s="3">
        <v>29.39</v>
      </c>
      <c r="L3760" s="3">
        <v>721.79499533814499</v>
      </c>
    </row>
    <row r="3761" spans="1:12" ht="15" customHeight="1" x14ac:dyDescent="0.2">
      <c r="A3761" s="2">
        <v>40591</v>
      </c>
      <c r="B3761" s="3">
        <v>29.53</v>
      </c>
      <c r="C3761" s="1">
        <v>893899</v>
      </c>
      <c r="D3761" s="3">
        <v>-4.9999999999997102E-2</v>
      </c>
      <c r="E3761" s="3">
        <v>-0.169033130493567</v>
      </c>
      <c r="F3761" s="3">
        <v>-0.169033130493567</v>
      </c>
      <c r="G3761" s="3">
        <v>29.53</v>
      </c>
      <c r="H3761" s="3">
        <v>722.90967149323296</v>
      </c>
      <c r="I3761" s="3">
        <v>29.65</v>
      </c>
      <c r="J3761" s="3">
        <v>29.98</v>
      </c>
      <c r="K3761" s="3">
        <v>29.45</v>
      </c>
      <c r="L3761" s="3">
        <v>722.90967149323296</v>
      </c>
    </row>
    <row r="3762" spans="1:12" ht="15" customHeight="1" x14ac:dyDescent="0.2">
      <c r="A3762" s="2">
        <v>40590</v>
      </c>
      <c r="B3762" s="3">
        <v>29.58</v>
      </c>
      <c r="C3762" s="1">
        <v>993668</v>
      </c>
      <c r="D3762" s="3">
        <v>-1.0000000000001501E-2</v>
      </c>
      <c r="E3762" s="3">
        <v>-3.3795201081454597E-2</v>
      </c>
      <c r="F3762" s="3">
        <v>-3.3795201081454597E-2</v>
      </c>
      <c r="G3762" s="3">
        <v>29.58</v>
      </c>
      <c r="H3762" s="3">
        <v>724.30301668709205</v>
      </c>
      <c r="I3762" s="3">
        <v>29.77</v>
      </c>
      <c r="J3762" s="3">
        <v>30.41</v>
      </c>
      <c r="K3762" s="3">
        <v>29.58</v>
      </c>
      <c r="L3762" s="3">
        <v>724.30301668709205</v>
      </c>
    </row>
    <row r="3763" spans="1:12" ht="15" customHeight="1" x14ac:dyDescent="0.2">
      <c r="A3763" s="2">
        <v>40589</v>
      </c>
      <c r="B3763" s="3">
        <v>29.59</v>
      </c>
      <c r="C3763" s="1">
        <v>911706</v>
      </c>
      <c r="D3763" s="3">
        <v>0.100000000000001</v>
      </c>
      <c r="E3763" s="3">
        <v>0.339097999321813</v>
      </c>
      <c r="F3763" s="3">
        <v>0.339097999321813</v>
      </c>
      <c r="G3763" s="3">
        <v>29.59</v>
      </c>
      <c r="H3763" s="3">
        <v>724.58168572586396</v>
      </c>
      <c r="I3763" s="3">
        <v>29.34</v>
      </c>
      <c r="J3763" s="3">
        <v>29.85</v>
      </c>
      <c r="K3763" s="3">
        <v>29.261299999999999</v>
      </c>
      <c r="L3763" s="3">
        <v>724.58168572586396</v>
      </c>
    </row>
    <row r="3764" spans="1:12" ht="15" customHeight="1" x14ac:dyDescent="0.2">
      <c r="A3764" s="2">
        <v>40588</v>
      </c>
      <c r="B3764" s="3">
        <v>29.49</v>
      </c>
      <c r="C3764" s="1">
        <v>1005401</v>
      </c>
      <c r="D3764" s="3">
        <v>0.16999999999999801</v>
      </c>
      <c r="E3764" s="3">
        <v>0.57980900409275704</v>
      </c>
      <c r="F3764" s="3">
        <v>0.57980900409275704</v>
      </c>
      <c r="G3764" s="3">
        <v>29.49</v>
      </c>
      <c r="H3764" s="3">
        <v>721.79499533814499</v>
      </c>
      <c r="I3764" s="3">
        <v>29.28</v>
      </c>
      <c r="J3764" s="3">
        <v>29.75</v>
      </c>
      <c r="K3764" s="3">
        <v>29.15</v>
      </c>
      <c r="L3764" s="3">
        <v>721.79499533814499</v>
      </c>
    </row>
    <row r="3765" spans="1:12" ht="15" customHeight="1" x14ac:dyDescent="0.2">
      <c r="A3765" s="2">
        <v>40585</v>
      </c>
      <c r="B3765" s="3">
        <v>29.32</v>
      </c>
      <c r="C3765" s="1">
        <v>3623748</v>
      </c>
      <c r="D3765" s="3">
        <v>-1.05</v>
      </c>
      <c r="E3765" s="3">
        <v>-3.4573592360882399</v>
      </c>
      <c r="F3765" s="3">
        <v>-3.4573592360882399</v>
      </c>
      <c r="G3765" s="3">
        <v>29.32</v>
      </c>
      <c r="H3765" s="3">
        <v>717.05762167902401</v>
      </c>
      <c r="I3765" s="3">
        <v>29.59</v>
      </c>
      <c r="J3765" s="3">
        <v>30.315000000000001</v>
      </c>
      <c r="K3765" s="3">
        <v>28.58</v>
      </c>
      <c r="L3765" s="3">
        <v>717.05762167902401</v>
      </c>
    </row>
    <row r="3766" spans="1:12" ht="15" customHeight="1" x14ac:dyDescent="0.2">
      <c r="A3766" s="2">
        <v>40584</v>
      </c>
      <c r="B3766" s="3">
        <v>30.37</v>
      </c>
      <c r="C3766" s="1">
        <v>1085004</v>
      </c>
      <c r="D3766" s="3">
        <v>-0.12999999999999901</v>
      </c>
      <c r="E3766" s="3">
        <v>-0.42622950819671801</v>
      </c>
      <c r="F3766" s="3">
        <v>-0.42622950819671801</v>
      </c>
      <c r="G3766" s="3">
        <v>30.37</v>
      </c>
      <c r="H3766" s="3">
        <v>746.31787075006696</v>
      </c>
      <c r="I3766" s="3">
        <v>30.35</v>
      </c>
      <c r="J3766" s="3">
        <v>30.79</v>
      </c>
      <c r="K3766" s="3">
        <v>30.23</v>
      </c>
      <c r="L3766" s="3">
        <v>746.31787075006696</v>
      </c>
    </row>
    <row r="3767" spans="1:12" ht="15" customHeight="1" x14ac:dyDescent="0.2">
      <c r="A3767" s="2">
        <v>40583</v>
      </c>
      <c r="B3767" s="3">
        <v>30.5</v>
      </c>
      <c r="C3767" s="1">
        <v>809008</v>
      </c>
      <c r="D3767" s="3">
        <v>1.0000000000001501E-2</v>
      </c>
      <c r="E3767" s="3">
        <v>3.2797638570025697E-2</v>
      </c>
      <c r="F3767" s="3">
        <v>3.2797638570025697E-2</v>
      </c>
      <c r="G3767" s="3">
        <v>30.5</v>
      </c>
      <c r="H3767" s="3">
        <v>749.94056825410098</v>
      </c>
      <c r="I3767" s="3">
        <v>30.36</v>
      </c>
      <c r="J3767" s="3">
        <v>30.75</v>
      </c>
      <c r="K3767" s="3">
        <v>30.06</v>
      </c>
      <c r="L3767" s="3">
        <v>749.94056825410098</v>
      </c>
    </row>
    <row r="3768" spans="1:12" ht="15" customHeight="1" x14ac:dyDescent="0.2">
      <c r="A3768" s="2">
        <v>40582</v>
      </c>
      <c r="B3768" s="3">
        <v>30.49</v>
      </c>
      <c r="C3768" s="1">
        <v>705866</v>
      </c>
      <c r="D3768" s="3">
        <v>0.52999999999999703</v>
      </c>
      <c r="E3768" s="3">
        <v>1.76902536715619</v>
      </c>
      <c r="F3768" s="3">
        <v>1.76902536715619</v>
      </c>
      <c r="G3768" s="3">
        <v>30.49</v>
      </c>
      <c r="H3768" s="3">
        <v>749.66189921532896</v>
      </c>
      <c r="I3768" s="3">
        <v>30.01</v>
      </c>
      <c r="J3768" s="3">
        <v>30.58</v>
      </c>
      <c r="K3768" s="3">
        <v>29.95</v>
      </c>
      <c r="L3768" s="3">
        <v>749.66189921532896</v>
      </c>
    </row>
    <row r="3769" spans="1:12" ht="15" customHeight="1" x14ac:dyDescent="0.2">
      <c r="A3769" s="2">
        <v>40581</v>
      </c>
      <c r="B3769" s="3">
        <v>29.96</v>
      </c>
      <c r="C3769" s="1">
        <v>907468</v>
      </c>
      <c r="D3769" s="3">
        <v>-0.41</v>
      </c>
      <c r="E3769" s="3">
        <v>-1.3500164636154099</v>
      </c>
      <c r="F3769" s="3">
        <v>-1.3500164636154099</v>
      </c>
      <c r="G3769" s="3">
        <v>29.96</v>
      </c>
      <c r="H3769" s="3">
        <v>734.89244016042198</v>
      </c>
      <c r="I3769" s="3">
        <v>30.34</v>
      </c>
      <c r="J3769" s="3">
        <v>30.88</v>
      </c>
      <c r="K3769" s="3">
        <v>29.95</v>
      </c>
      <c r="L3769" s="3">
        <v>734.89244016042198</v>
      </c>
    </row>
    <row r="3770" spans="1:12" ht="15" customHeight="1" x14ac:dyDescent="0.2">
      <c r="A3770" s="2">
        <v>40578</v>
      </c>
      <c r="B3770" s="3">
        <v>30.37</v>
      </c>
      <c r="C3770" s="1">
        <v>1179875</v>
      </c>
      <c r="D3770" s="3">
        <v>-1.9999999999999501E-2</v>
      </c>
      <c r="E3770" s="3">
        <v>-6.5811122079628595E-2</v>
      </c>
      <c r="F3770" s="3">
        <v>-6.5811122079628595E-2</v>
      </c>
      <c r="G3770" s="3">
        <v>30.37</v>
      </c>
      <c r="H3770" s="3">
        <v>746.31787075006696</v>
      </c>
      <c r="I3770" s="3">
        <v>30.23</v>
      </c>
      <c r="J3770" s="3">
        <v>30.67</v>
      </c>
      <c r="K3770" s="3">
        <v>30.14</v>
      </c>
      <c r="L3770" s="3">
        <v>746.31787075006696</v>
      </c>
    </row>
    <row r="3771" spans="1:12" ht="15" customHeight="1" x14ac:dyDescent="0.2">
      <c r="A3771" s="2">
        <v>40577</v>
      </c>
      <c r="B3771" s="3">
        <v>30.39</v>
      </c>
      <c r="C3771" s="1">
        <v>1096464</v>
      </c>
      <c r="D3771" s="3">
        <v>0.46999999999999797</v>
      </c>
      <c r="E3771" s="3">
        <v>1.57085561497325</v>
      </c>
      <c r="F3771" s="3">
        <v>1.57085561497325</v>
      </c>
      <c r="G3771" s="3">
        <v>30.39</v>
      </c>
      <c r="H3771" s="3">
        <v>746.875208827611</v>
      </c>
      <c r="I3771" s="3">
        <v>30</v>
      </c>
      <c r="J3771" s="3">
        <v>30.61</v>
      </c>
      <c r="K3771" s="3">
        <v>29.74</v>
      </c>
      <c r="L3771" s="3">
        <v>746.875208827611</v>
      </c>
    </row>
    <row r="3772" spans="1:12" ht="15" customHeight="1" x14ac:dyDescent="0.2">
      <c r="A3772" s="2">
        <v>40576</v>
      </c>
      <c r="B3772" s="3">
        <v>29.92</v>
      </c>
      <c r="C3772" s="1">
        <v>725576</v>
      </c>
      <c r="D3772" s="3">
        <v>-0.15999999999999601</v>
      </c>
      <c r="E3772" s="3">
        <v>-0.53191489361701305</v>
      </c>
      <c r="F3772" s="3">
        <v>-0.53191489361701305</v>
      </c>
      <c r="G3772" s="3">
        <v>29.92</v>
      </c>
      <c r="H3772" s="3">
        <v>733.77776400533401</v>
      </c>
      <c r="I3772" s="3">
        <v>29.89</v>
      </c>
      <c r="J3772" s="3">
        <v>30.292000000000002</v>
      </c>
      <c r="K3772" s="3">
        <v>29.8</v>
      </c>
      <c r="L3772" s="3">
        <v>733.77776400533401</v>
      </c>
    </row>
    <row r="3773" spans="1:12" ht="15" customHeight="1" x14ac:dyDescent="0.2">
      <c r="A3773" s="2">
        <v>40575</v>
      </c>
      <c r="B3773" s="3">
        <v>30.08</v>
      </c>
      <c r="C3773" s="1">
        <v>843292</v>
      </c>
      <c r="D3773" s="3">
        <v>0.56999999999999595</v>
      </c>
      <c r="E3773" s="3">
        <v>1.93154862758386</v>
      </c>
      <c r="F3773" s="3">
        <v>1.93154862758386</v>
      </c>
      <c r="G3773" s="3">
        <v>30.08</v>
      </c>
      <c r="H3773" s="3">
        <v>738.23646862568296</v>
      </c>
      <c r="I3773" s="3">
        <v>29.55</v>
      </c>
      <c r="J3773" s="3">
        <v>30.25</v>
      </c>
      <c r="K3773" s="3">
        <v>29.55</v>
      </c>
      <c r="L3773" s="3">
        <v>738.23646862568296</v>
      </c>
    </row>
    <row r="3774" spans="1:12" ht="15" customHeight="1" x14ac:dyDescent="0.2">
      <c r="A3774" s="2">
        <v>40574</v>
      </c>
      <c r="B3774" s="3">
        <v>29.51</v>
      </c>
      <c r="C3774" s="1">
        <v>1089701</v>
      </c>
      <c r="D3774" s="3">
        <v>2.0000000000003099E-2</v>
      </c>
      <c r="E3774" s="3">
        <v>6.7819599864371499E-2</v>
      </c>
      <c r="F3774" s="3">
        <v>6.7819599864371499E-2</v>
      </c>
      <c r="G3774" s="3">
        <v>29.51</v>
      </c>
      <c r="H3774" s="3">
        <v>722.35233341568903</v>
      </c>
      <c r="I3774" s="3">
        <v>29.77</v>
      </c>
      <c r="J3774" s="3">
        <v>30.23</v>
      </c>
      <c r="K3774" s="3">
        <v>29.36</v>
      </c>
      <c r="L3774" s="3">
        <v>722.35233341568903</v>
      </c>
    </row>
    <row r="3775" spans="1:12" ht="15" customHeight="1" x14ac:dyDescent="0.2">
      <c r="A3775" s="2">
        <v>40571</v>
      </c>
      <c r="B3775" s="3">
        <v>29.49</v>
      </c>
      <c r="C3775" s="1">
        <v>947389</v>
      </c>
      <c r="D3775" s="3">
        <v>-0.64</v>
      </c>
      <c r="E3775" s="3">
        <v>-2.1241287753070099</v>
      </c>
      <c r="F3775" s="3">
        <v>-2.1241287753070099</v>
      </c>
      <c r="G3775" s="3">
        <v>29.49</v>
      </c>
      <c r="H3775" s="3">
        <v>721.79499533814499</v>
      </c>
      <c r="I3775" s="3">
        <v>30.1</v>
      </c>
      <c r="J3775" s="3">
        <v>30.39</v>
      </c>
      <c r="K3775" s="3">
        <v>29.4</v>
      </c>
      <c r="L3775" s="3">
        <v>721.79499533814499</v>
      </c>
    </row>
    <row r="3776" spans="1:12" ht="15" customHeight="1" x14ac:dyDescent="0.2">
      <c r="A3776" s="2">
        <v>40570</v>
      </c>
      <c r="B3776" s="3">
        <v>30.13</v>
      </c>
      <c r="C3776" s="1">
        <v>1089055</v>
      </c>
      <c r="D3776" s="3">
        <v>-0.41</v>
      </c>
      <c r="E3776" s="3">
        <v>-1.3425016371971199</v>
      </c>
      <c r="F3776" s="3">
        <v>-1.3425016371971199</v>
      </c>
      <c r="G3776" s="3">
        <v>30.13</v>
      </c>
      <c r="H3776" s="3">
        <v>739.62981381954296</v>
      </c>
      <c r="I3776" s="3">
        <v>30.65</v>
      </c>
      <c r="J3776" s="3">
        <v>30.84</v>
      </c>
      <c r="K3776" s="3">
        <v>30.12</v>
      </c>
      <c r="L3776" s="3">
        <v>739.62981381954296</v>
      </c>
    </row>
    <row r="3777" spans="1:12" ht="15" customHeight="1" x14ac:dyDescent="0.2">
      <c r="A3777" s="2">
        <v>40569</v>
      </c>
      <c r="B3777" s="3">
        <v>30.54</v>
      </c>
      <c r="C3777" s="1">
        <v>1503724</v>
      </c>
      <c r="D3777" s="3">
        <v>-0.64</v>
      </c>
      <c r="E3777" s="3">
        <v>-2.05259781911482</v>
      </c>
      <c r="F3777" s="3">
        <v>-2.05259781911482</v>
      </c>
      <c r="G3777" s="3">
        <v>30.54</v>
      </c>
      <c r="H3777" s="3">
        <v>751.05524440918805</v>
      </c>
      <c r="I3777" s="3">
        <v>30.33</v>
      </c>
      <c r="J3777" s="3">
        <v>30.97</v>
      </c>
      <c r="K3777" s="3">
        <v>29.91</v>
      </c>
      <c r="L3777" s="3">
        <v>751.05524440918805</v>
      </c>
    </row>
    <row r="3778" spans="1:12" ht="15" customHeight="1" x14ac:dyDescent="0.2">
      <c r="A3778" s="2">
        <v>40568</v>
      </c>
      <c r="B3778" s="3">
        <v>31.18</v>
      </c>
      <c r="C3778" s="1">
        <v>1974526</v>
      </c>
      <c r="D3778" s="3">
        <v>1.1699999999999899</v>
      </c>
      <c r="E3778" s="3">
        <v>3.8987004331889299</v>
      </c>
      <c r="F3778" s="3">
        <v>3.8987004331889299</v>
      </c>
      <c r="G3778" s="3">
        <v>31.18</v>
      </c>
      <c r="H3778" s="3">
        <v>768.89006289058602</v>
      </c>
      <c r="I3778" s="3">
        <v>30.55</v>
      </c>
      <c r="J3778" s="3">
        <v>31.39</v>
      </c>
      <c r="K3778" s="3">
        <v>30.31</v>
      </c>
      <c r="L3778" s="3">
        <v>768.89006289058602</v>
      </c>
    </row>
    <row r="3779" spans="1:12" ht="15" customHeight="1" x14ac:dyDescent="0.2">
      <c r="A3779" s="2">
        <v>40567</v>
      </c>
      <c r="B3779" s="3">
        <v>30.01</v>
      </c>
      <c r="C3779" s="1">
        <v>756671</v>
      </c>
      <c r="D3779" s="3">
        <v>-0.51999999999999902</v>
      </c>
      <c r="E3779" s="3">
        <v>-1.7032427120864699</v>
      </c>
      <c r="F3779" s="3">
        <v>-1.7032427120864699</v>
      </c>
      <c r="G3779" s="3">
        <v>30.01</v>
      </c>
      <c r="H3779" s="3">
        <v>736.28578535428096</v>
      </c>
      <c r="I3779" s="3">
        <v>30.47</v>
      </c>
      <c r="J3779" s="3">
        <v>30.49</v>
      </c>
      <c r="K3779" s="3">
        <v>29.79</v>
      </c>
      <c r="L3779" s="3">
        <v>736.28578535428096</v>
      </c>
    </row>
    <row r="3780" spans="1:12" ht="15" customHeight="1" x14ac:dyDescent="0.2">
      <c r="A3780" s="2">
        <v>40564</v>
      </c>
      <c r="B3780" s="3">
        <v>30.53</v>
      </c>
      <c r="C3780" s="1">
        <v>1349335</v>
      </c>
      <c r="D3780" s="3">
        <v>0.29000000000000198</v>
      </c>
      <c r="E3780" s="3">
        <v>0.95899470899471995</v>
      </c>
      <c r="F3780" s="3">
        <v>0.95899470899471995</v>
      </c>
      <c r="G3780" s="3">
        <v>30.53</v>
      </c>
      <c r="H3780" s="3">
        <v>750.77657537041603</v>
      </c>
      <c r="I3780" s="3">
        <v>30.52</v>
      </c>
      <c r="J3780" s="3">
        <v>30.75</v>
      </c>
      <c r="K3780" s="3">
        <v>29.81</v>
      </c>
      <c r="L3780" s="3">
        <v>750.77657537041603</v>
      </c>
    </row>
    <row r="3781" spans="1:12" ht="15" customHeight="1" x14ac:dyDescent="0.2">
      <c r="A3781" s="2">
        <v>40563</v>
      </c>
      <c r="B3781" s="3">
        <v>30.24</v>
      </c>
      <c r="C3781" s="1">
        <v>1797353</v>
      </c>
      <c r="D3781" s="3">
        <v>0.35999999999999899</v>
      </c>
      <c r="E3781" s="3">
        <v>1.2048192771084201</v>
      </c>
      <c r="F3781" s="3">
        <v>1.2048192771084201</v>
      </c>
      <c r="G3781" s="3">
        <v>30.24</v>
      </c>
      <c r="H3781" s="3">
        <v>742.69517324603305</v>
      </c>
      <c r="I3781" s="3">
        <v>29.64</v>
      </c>
      <c r="J3781" s="3">
        <v>31</v>
      </c>
      <c r="K3781" s="3">
        <v>29.58</v>
      </c>
      <c r="L3781" s="3">
        <v>742.69517324603305</v>
      </c>
    </row>
    <row r="3782" spans="1:12" ht="15" customHeight="1" x14ac:dyDescent="0.2">
      <c r="A3782" s="2">
        <v>40562</v>
      </c>
      <c r="B3782" s="3">
        <v>29.88</v>
      </c>
      <c r="C3782" s="1">
        <v>893500</v>
      </c>
      <c r="D3782" s="3">
        <v>-0.55000000000000004</v>
      </c>
      <c r="E3782" s="3">
        <v>-1.80742688136706</v>
      </c>
      <c r="F3782" s="3">
        <v>-1.80742688136706</v>
      </c>
      <c r="G3782" s="3">
        <v>29.88</v>
      </c>
      <c r="H3782" s="3">
        <v>732.66308785024705</v>
      </c>
      <c r="I3782" s="3">
        <v>30.36</v>
      </c>
      <c r="J3782" s="3">
        <v>30.46</v>
      </c>
      <c r="K3782" s="3">
        <v>29.69</v>
      </c>
      <c r="L3782" s="3">
        <v>732.66308785024705</v>
      </c>
    </row>
    <row r="3783" spans="1:12" ht="15" customHeight="1" x14ac:dyDescent="0.2">
      <c r="A3783" s="2">
        <v>40561</v>
      </c>
      <c r="B3783" s="3">
        <v>30.43</v>
      </c>
      <c r="C3783" s="1">
        <v>839534</v>
      </c>
      <c r="D3783" s="3">
        <v>-0.190000000000001</v>
      </c>
      <c r="E3783" s="3">
        <v>-0.62050947093403797</v>
      </c>
      <c r="F3783" s="3">
        <v>-0.62050947093403797</v>
      </c>
      <c r="G3783" s="3">
        <v>30.43</v>
      </c>
      <c r="H3783" s="3">
        <v>747.98988498269796</v>
      </c>
      <c r="I3783" s="3">
        <v>30.64</v>
      </c>
      <c r="J3783" s="3">
        <v>30.74</v>
      </c>
      <c r="K3783" s="3">
        <v>30.05</v>
      </c>
      <c r="L3783" s="3">
        <v>747.98988498269796</v>
      </c>
    </row>
    <row r="3784" spans="1:12" ht="15" customHeight="1" x14ac:dyDescent="0.2">
      <c r="A3784" s="2">
        <v>40557</v>
      </c>
      <c r="B3784" s="3">
        <v>30.62</v>
      </c>
      <c r="C3784" s="1">
        <v>972161</v>
      </c>
      <c r="D3784" s="3">
        <v>0.62000000000000099</v>
      </c>
      <c r="E3784" s="3">
        <v>2.0666666666666602</v>
      </c>
      <c r="F3784" s="3">
        <v>2.0666666666666602</v>
      </c>
      <c r="G3784" s="3">
        <v>30.62</v>
      </c>
      <c r="H3784" s="3">
        <v>753.28459671936298</v>
      </c>
      <c r="I3784" s="3">
        <v>30.22</v>
      </c>
      <c r="J3784" s="3">
        <v>30.73</v>
      </c>
      <c r="K3784" s="3">
        <v>29.79</v>
      </c>
      <c r="L3784" s="3">
        <v>753.28459671936298</v>
      </c>
    </row>
    <row r="3785" spans="1:12" ht="15" customHeight="1" x14ac:dyDescent="0.2">
      <c r="A3785" s="2">
        <v>40556</v>
      </c>
      <c r="B3785" s="3">
        <v>30</v>
      </c>
      <c r="C3785" s="1">
        <v>1703046</v>
      </c>
      <c r="D3785" s="3">
        <v>0.58999999999999897</v>
      </c>
      <c r="E3785" s="3">
        <v>2.0061203672220298</v>
      </c>
      <c r="F3785" s="3">
        <v>2.0061203672220298</v>
      </c>
      <c r="G3785" s="3">
        <v>30</v>
      </c>
      <c r="H3785" s="3">
        <v>736.00711631550905</v>
      </c>
      <c r="I3785" s="3">
        <v>30.28</v>
      </c>
      <c r="J3785" s="3">
        <v>30.49</v>
      </c>
      <c r="K3785" s="3">
        <v>29.65</v>
      </c>
      <c r="L3785" s="3">
        <v>736.00711631550905</v>
      </c>
    </row>
    <row r="3786" spans="1:12" ht="15" customHeight="1" x14ac:dyDescent="0.2">
      <c r="A3786" s="2">
        <v>40555</v>
      </c>
      <c r="B3786" s="3">
        <v>29.41</v>
      </c>
      <c r="C3786" s="1">
        <v>1780088</v>
      </c>
      <c r="D3786" s="3">
        <v>0.51000000000000101</v>
      </c>
      <c r="E3786" s="3">
        <v>1.76470588235295</v>
      </c>
      <c r="F3786" s="3">
        <v>1.76470588235295</v>
      </c>
      <c r="G3786" s="3">
        <v>29.41</v>
      </c>
      <c r="H3786" s="3">
        <v>719.56564302797005</v>
      </c>
      <c r="I3786" s="3">
        <v>29.12</v>
      </c>
      <c r="J3786" s="3">
        <v>29.85</v>
      </c>
      <c r="K3786" s="3">
        <v>28.96</v>
      </c>
      <c r="L3786" s="3">
        <v>719.56564302797005</v>
      </c>
    </row>
    <row r="3787" spans="1:12" ht="15" customHeight="1" x14ac:dyDescent="0.2">
      <c r="A3787" s="2">
        <v>40554</v>
      </c>
      <c r="B3787" s="3">
        <v>28.9</v>
      </c>
      <c r="C3787" s="1">
        <v>4765376</v>
      </c>
      <c r="D3787" s="3">
        <v>-2.36</v>
      </c>
      <c r="E3787" s="3">
        <v>-7.5495841330774196</v>
      </c>
      <c r="F3787" s="3">
        <v>-7.5495841330774196</v>
      </c>
      <c r="G3787" s="3">
        <v>28.9</v>
      </c>
      <c r="H3787" s="3">
        <v>705.35352205060701</v>
      </c>
      <c r="I3787" s="3">
        <v>30.26</v>
      </c>
      <c r="J3787" s="3">
        <v>30.4</v>
      </c>
      <c r="K3787" s="3">
        <v>28.89</v>
      </c>
      <c r="L3787" s="3">
        <v>705.35352205060701</v>
      </c>
    </row>
    <row r="3788" spans="1:12" ht="15" customHeight="1" x14ac:dyDescent="0.2">
      <c r="A3788" s="2">
        <v>40553</v>
      </c>
      <c r="B3788" s="3">
        <v>31.26</v>
      </c>
      <c r="C3788" s="1">
        <v>837761</v>
      </c>
      <c r="D3788" s="3">
        <v>0.24000000000000199</v>
      </c>
      <c r="E3788" s="3">
        <v>0.77369439071568402</v>
      </c>
      <c r="F3788" s="3">
        <v>0.77369439071568402</v>
      </c>
      <c r="G3788" s="3">
        <v>31.26</v>
      </c>
      <c r="H3788" s="3">
        <v>771.11941520076005</v>
      </c>
      <c r="I3788" s="3">
        <v>30.82</v>
      </c>
      <c r="J3788" s="3">
        <v>31.48</v>
      </c>
      <c r="K3788" s="3">
        <v>30.51</v>
      </c>
      <c r="L3788" s="3">
        <v>771.11941520076005</v>
      </c>
    </row>
    <row r="3789" spans="1:12" ht="15" customHeight="1" x14ac:dyDescent="0.2">
      <c r="A3789" s="2">
        <v>40550</v>
      </c>
      <c r="B3789" s="3">
        <v>31.02</v>
      </c>
      <c r="C3789" s="1">
        <v>977518</v>
      </c>
      <c r="D3789" s="3">
        <v>-8.0000000000001806E-2</v>
      </c>
      <c r="E3789" s="3">
        <v>-0.25723472668810399</v>
      </c>
      <c r="F3789" s="3">
        <v>-0.25723472668810399</v>
      </c>
      <c r="G3789" s="3">
        <v>31.02</v>
      </c>
      <c r="H3789" s="3">
        <v>764.43135827023605</v>
      </c>
      <c r="I3789" s="3">
        <v>31.06</v>
      </c>
      <c r="J3789" s="3">
        <v>31.61</v>
      </c>
      <c r="K3789" s="3">
        <v>30.31</v>
      </c>
      <c r="L3789" s="3">
        <v>764.43135827023605</v>
      </c>
    </row>
    <row r="3790" spans="1:12" ht="15" customHeight="1" x14ac:dyDescent="0.2">
      <c r="A3790" s="2">
        <v>40549</v>
      </c>
      <c r="B3790" s="3">
        <v>31.1</v>
      </c>
      <c r="C3790" s="1">
        <v>1347359</v>
      </c>
      <c r="D3790" s="3">
        <v>-3.9999999999999099E-2</v>
      </c>
      <c r="E3790" s="3">
        <v>-0.12845215157353199</v>
      </c>
      <c r="F3790" s="3">
        <v>-0.12845215157353199</v>
      </c>
      <c r="G3790" s="3">
        <v>31.1</v>
      </c>
      <c r="H3790" s="3">
        <v>766.66071058041098</v>
      </c>
      <c r="I3790" s="3">
        <v>31.91</v>
      </c>
      <c r="J3790" s="3">
        <v>32.25</v>
      </c>
      <c r="K3790" s="3">
        <v>30.97</v>
      </c>
      <c r="L3790" s="3">
        <v>766.66071058041098</v>
      </c>
    </row>
    <row r="3791" spans="1:12" ht="15" customHeight="1" x14ac:dyDescent="0.2">
      <c r="A3791" s="2">
        <v>40548</v>
      </c>
      <c r="B3791" s="3">
        <v>31.14</v>
      </c>
      <c r="C3791" s="1">
        <v>1027037</v>
      </c>
      <c r="D3791" s="3">
        <v>-0.23999999999999799</v>
      </c>
      <c r="E3791" s="3">
        <v>-0.76481835564052802</v>
      </c>
      <c r="F3791" s="3">
        <v>-0.76481835564052802</v>
      </c>
      <c r="G3791" s="3">
        <v>31.14</v>
      </c>
      <c r="H3791" s="3">
        <v>767.77538673549805</v>
      </c>
      <c r="I3791" s="3">
        <v>31.24</v>
      </c>
      <c r="J3791" s="3">
        <v>31.61</v>
      </c>
      <c r="K3791" s="3">
        <v>30.9</v>
      </c>
      <c r="L3791" s="3">
        <v>767.77538673549805</v>
      </c>
    </row>
    <row r="3792" spans="1:12" ht="15" customHeight="1" x14ac:dyDescent="0.2">
      <c r="A3792" s="2">
        <v>40547</v>
      </c>
      <c r="B3792" s="3">
        <v>31.38</v>
      </c>
      <c r="C3792" s="1">
        <v>2306165</v>
      </c>
      <c r="D3792" s="3">
        <v>5.0000000000000697E-2</v>
      </c>
      <c r="E3792" s="3">
        <v>0.159591445898499</v>
      </c>
      <c r="F3792" s="3">
        <v>0.159591445898499</v>
      </c>
      <c r="G3792" s="3">
        <v>31.38</v>
      </c>
      <c r="H3792" s="3">
        <v>774.46344366602204</v>
      </c>
      <c r="I3792" s="3">
        <v>31.52</v>
      </c>
      <c r="J3792" s="3">
        <v>32.090000000000003</v>
      </c>
      <c r="K3792" s="3">
        <v>30.74</v>
      </c>
      <c r="L3792" s="3">
        <v>774.46344366602204</v>
      </c>
    </row>
    <row r="3793" spans="1:12" ht="15" customHeight="1" x14ac:dyDescent="0.2">
      <c r="A3793" s="2">
        <v>40546</v>
      </c>
      <c r="B3793" s="3">
        <v>31.33</v>
      </c>
      <c r="C3793" s="1">
        <v>1166622</v>
      </c>
      <c r="D3793" s="3">
        <v>0.66999999999999804</v>
      </c>
      <c r="E3793" s="3">
        <v>2.1852576647097099</v>
      </c>
      <c r="F3793" s="3">
        <v>2.1852576647097099</v>
      </c>
      <c r="G3793" s="3">
        <v>31.33</v>
      </c>
      <c r="H3793" s="3">
        <v>773.07009847216295</v>
      </c>
      <c r="I3793" s="3">
        <v>30.85</v>
      </c>
      <c r="J3793" s="3">
        <v>31.85</v>
      </c>
      <c r="K3793" s="3">
        <v>30.57</v>
      </c>
      <c r="L3793" s="3">
        <v>773.07009847216295</v>
      </c>
    </row>
    <row r="3794" spans="1:12" ht="15" customHeight="1" x14ac:dyDescent="0.2">
      <c r="A3794" s="2">
        <v>40543</v>
      </c>
      <c r="B3794" s="3">
        <v>30.66</v>
      </c>
      <c r="C3794" s="1">
        <v>607041</v>
      </c>
      <c r="D3794" s="3">
        <v>-0.32999999999999802</v>
      </c>
      <c r="E3794" s="3">
        <v>-1.0648596321393899</v>
      </c>
      <c r="F3794" s="3">
        <v>-1.0648596321393899</v>
      </c>
      <c r="G3794" s="3">
        <v>30.66</v>
      </c>
      <c r="H3794" s="3">
        <v>754.39927287445005</v>
      </c>
      <c r="I3794" s="3">
        <v>30.86</v>
      </c>
      <c r="J3794" s="3">
        <v>31.1</v>
      </c>
      <c r="K3794" s="3">
        <v>30.66</v>
      </c>
      <c r="L3794" s="3">
        <v>754.39927287445005</v>
      </c>
    </row>
    <row r="3795" spans="1:12" ht="15" customHeight="1" x14ac:dyDescent="0.2">
      <c r="A3795" s="2">
        <v>40542</v>
      </c>
      <c r="B3795" s="3">
        <v>30.99</v>
      </c>
      <c r="C3795" s="1">
        <v>330650</v>
      </c>
      <c r="D3795" s="3">
        <v>-2.0000000000003099E-2</v>
      </c>
      <c r="E3795" s="3">
        <v>-6.4495324089008904E-2</v>
      </c>
      <c r="F3795" s="3">
        <v>-6.4495324089008904E-2</v>
      </c>
      <c r="G3795" s="3">
        <v>30.99</v>
      </c>
      <c r="H3795" s="3">
        <v>763.595351153921</v>
      </c>
      <c r="I3795" s="3">
        <v>30.92</v>
      </c>
      <c r="J3795" s="3">
        <v>31.215</v>
      </c>
      <c r="K3795" s="3">
        <v>30.77</v>
      </c>
      <c r="L3795" s="3">
        <v>763.595351153921</v>
      </c>
    </row>
    <row r="3796" spans="1:12" ht="15" customHeight="1" x14ac:dyDescent="0.2">
      <c r="A3796" s="2">
        <v>40541</v>
      </c>
      <c r="B3796" s="3">
        <v>31.01</v>
      </c>
      <c r="C3796" s="1">
        <v>408192</v>
      </c>
      <c r="D3796" s="3">
        <v>0.110000000000002</v>
      </c>
      <c r="E3796" s="3">
        <v>0.355987055016182</v>
      </c>
      <c r="F3796" s="3">
        <v>0.355987055016182</v>
      </c>
      <c r="G3796" s="3">
        <v>31.01</v>
      </c>
      <c r="H3796" s="3">
        <v>764.15268923146402</v>
      </c>
      <c r="I3796" s="3">
        <v>30.93</v>
      </c>
      <c r="J3796" s="3">
        <v>31.4</v>
      </c>
      <c r="K3796" s="3">
        <v>30.91</v>
      </c>
      <c r="L3796" s="3">
        <v>764.15268923146402</v>
      </c>
    </row>
    <row r="3797" spans="1:12" ht="15" customHeight="1" x14ac:dyDescent="0.2">
      <c r="A3797" s="2">
        <v>40540</v>
      </c>
      <c r="B3797" s="3">
        <v>30.9</v>
      </c>
      <c r="C3797" s="1">
        <v>343435</v>
      </c>
      <c r="D3797" s="3">
        <v>-0.29000000000000198</v>
      </c>
      <c r="E3797" s="3">
        <v>-0.92978518756012796</v>
      </c>
      <c r="F3797" s="3">
        <v>-0.92978518756012796</v>
      </c>
      <c r="G3797" s="3">
        <v>30.9</v>
      </c>
      <c r="H3797" s="3">
        <v>761.08732980497405</v>
      </c>
      <c r="I3797" s="3">
        <v>31.38</v>
      </c>
      <c r="J3797" s="3">
        <v>31.38</v>
      </c>
      <c r="K3797" s="3">
        <v>30.77</v>
      </c>
      <c r="L3797" s="3">
        <v>761.08732980497405</v>
      </c>
    </row>
    <row r="3798" spans="1:12" ht="15" customHeight="1" x14ac:dyDescent="0.2">
      <c r="A3798" s="2">
        <v>40539</v>
      </c>
      <c r="B3798" s="3">
        <v>31.19</v>
      </c>
      <c r="C3798" s="1">
        <v>465789</v>
      </c>
      <c r="D3798" s="3">
        <v>8.9999999999999802E-2</v>
      </c>
      <c r="E3798" s="3">
        <v>0.28938906752411497</v>
      </c>
      <c r="F3798" s="3">
        <v>0.28938906752411497</v>
      </c>
      <c r="G3798" s="3">
        <v>31.19</v>
      </c>
      <c r="H3798" s="3">
        <v>769.16873192935702</v>
      </c>
      <c r="I3798" s="3">
        <v>30.96</v>
      </c>
      <c r="J3798" s="3">
        <v>31.38</v>
      </c>
      <c r="K3798" s="3">
        <v>30.57</v>
      </c>
      <c r="L3798" s="3">
        <v>769.16873192935702</v>
      </c>
    </row>
    <row r="3799" spans="1:12" ht="15" customHeight="1" x14ac:dyDescent="0.2">
      <c r="A3799" s="2">
        <v>40535</v>
      </c>
      <c r="B3799" s="3">
        <v>31.1</v>
      </c>
      <c r="C3799" s="1">
        <v>646812</v>
      </c>
      <c r="D3799" s="3">
        <v>-0.42999999999999899</v>
      </c>
      <c r="E3799" s="3">
        <v>-1.3637805264827101</v>
      </c>
      <c r="F3799" s="3">
        <v>-1.3637805264827101</v>
      </c>
      <c r="G3799" s="3">
        <v>31.1</v>
      </c>
      <c r="H3799" s="3">
        <v>766.66071058041098</v>
      </c>
      <c r="I3799" s="3">
        <v>31.55</v>
      </c>
      <c r="J3799" s="3">
        <v>31.82</v>
      </c>
      <c r="K3799" s="3">
        <v>31.07</v>
      </c>
      <c r="L3799" s="3">
        <v>766.66071058041098</v>
      </c>
    </row>
    <row r="3800" spans="1:12" ht="15" customHeight="1" x14ac:dyDescent="0.2">
      <c r="A3800" s="2">
        <v>40534</v>
      </c>
      <c r="B3800" s="3">
        <v>31.53</v>
      </c>
      <c r="C3800" s="1">
        <v>876048</v>
      </c>
      <c r="D3800" s="3">
        <v>-0.57999999999999796</v>
      </c>
      <c r="E3800" s="3">
        <v>-1.8062908751167699</v>
      </c>
      <c r="F3800" s="3">
        <v>-1.8062908751167699</v>
      </c>
      <c r="G3800" s="3">
        <v>31.53</v>
      </c>
      <c r="H3800" s="3">
        <v>778.6434792476</v>
      </c>
      <c r="I3800" s="3">
        <v>32.06</v>
      </c>
      <c r="J3800" s="3">
        <v>32.07</v>
      </c>
      <c r="K3800" s="3">
        <v>31.44</v>
      </c>
      <c r="L3800" s="3">
        <v>778.6434792476</v>
      </c>
    </row>
    <row r="3801" spans="1:12" ht="15" customHeight="1" x14ac:dyDescent="0.2">
      <c r="A3801" s="2">
        <v>40533</v>
      </c>
      <c r="B3801" s="3">
        <v>32.11</v>
      </c>
      <c r="C3801" s="1">
        <v>859306</v>
      </c>
      <c r="D3801" s="3">
        <v>8.9999999999996305E-2</v>
      </c>
      <c r="E3801" s="3">
        <v>0.28107432854464998</v>
      </c>
      <c r="F3801" s="3">
        <v>0.28107432854464998</v>
      </c>
      <c r="G3801" s="3">
        <v>32.11</v>
      </c>
      <c r="H3801" s="3">
        <v>794.80628349636595</v>
      </c>
      <c r="I3801" s="3">
        <v>31.91</v>
      </c>
      <c r="J3801" s="3">
        <v>32.21</v>
      </c>
      <c r="K3801" s="3">
        <v>31.4</v>
      </c>
      <c r="L3801" s="3">
        <v>794.80628349636595</v>
      </c>
    </row>
    <row r="3802" spans="1:12" ht="15" customHeight="1" x14ac:dyDescent="0.2">
      <c r="A3802" s="2">
        <v>40532</v>
      </c>
      <c r="B3802" s="3">
        <v>32.020000000000003</v>
      </c>
      <c r="C3802" s="1">
        <v>643770</v>
      </c>
      <c r="D3802" s="3">
        <v>-0.17999999999999899</v>
      </c>
      <c r="E3802" s="3">
        <v>-0.55900621118012395</v>
      </c>
      <c r="F3802" s="3">
        <v>-0.55900621118012395</v>
      </c>
      <c r="G3802" s="3">
        <v>32.020000000000003</v>
      </c>
      <c r="H3802" s="3">
        <v>792.29826214742002</v>
      </c>
      <c r="I3802" s="3">
        <v>32.299999999999997</v>
      </c>
      <c r="J3802" s="3">
        <v>32.47</v>
      </c>
      <c r="K3802" s="3">
        <v>31.97</v>
      </c>
      <c r="L3802" s="3">
        <v>792.29826214742002</v>
      </c>
    </row>
    <row r="3803" spans="1:12" ht="15" customHeight="1" x14ac:dyDescent="0.2">
      <c r="A3803" s="2">
        <v>40529</v>
      </c>
      <c r="B3803" s="3">
        <v>32.200000000000003</v>
      </c>
      <c r="C3803" s="1">
        <v>1368798</v>
      </c>
      <c r="D3803" s="3">
        <v>0.250000000000003</v>
      </c>
      <c r="E3803" s="3">
        <v>0.78247261345854002</v>
      </c>
      <c r="F3803" s="3">
        <v>0.78247261345854002</v>
      </c>
      <c r="G3803" s="3">
        <v>32.200000000000003</v>
      </c>
      <c r="H3803" s="3">
        <v>797.31430484531302</v>
      </c>
      <c r="I3803" s="3">
        <v>32.020000000000003</v>
      </c>
      <c r="J3803" s="3">
        <v>32.46</v>
      </c>
      <c r="K3803" s="3">
        <v>31.56</v>
      </c>
      <c r="L3803" s="3">
        <v>797.31430484531302</v>
      </c>
    </row>
    <row r="3804" spans="1:12" ht="15" customHeight="1" x14ac:dyDescent="0.2">
      <c r="A3804" s="2">
        <v>40528</v>
      </c>
      <c r="B3804" s="3">
        <v>31.95</v>
      </c>
      <c r="C3804" s="1">
        <v>902092</v>
      </c>
      <c r="D3804" s="3">
        <v>0.71</v>
      </c>
      <c r="E3804" s="3">
        <v>2.2727272727272698</v>
      </c>
      <c r="F3804" s="3">
        <v>2.2727272727272698</v>
      </c>
      <c r="G3804" s="3">
        <v>31.95</v>
      </c>
      <c r="H3804" s="3">
        <v>790.347578876017</v>
      </c>
      <c r="I3804" s="3">
        <v>31.4</v>
      </c>
      <c r="J3804" s="3">
        <v>31.975000000000001</v>
      </c>
      <c r="K3804" s="3">
        <v>31.33</v>
      </c>
      <c r="L3804" s="3">
        <v>790.347578876017</v>
      </c>
    </row>
    <row r="3805" spans="1:12" ht="15" customHeight="1" x14ac:dyDescent="0.2">
      <c r="A3805" s="2">
        <v>40527</v>
      </c>
      <c r="B3805" s="3">
        <v>31.24</v>
      </c>
      <c r="C3805" s="1">
        <v>1421847</v>
      </c>
      <c r="D3805" s="3">
        <v>-0.29000000000000198</v>
      </c>
      <c r="E3805" s="3">
        <v>-0.91975895972090604</v>
      </c>
      <c r="F3805" s="3">
        <v>-0.91975895972090604</v>
      </c>
      <c r="G3805" s="3">
        <v>31.24</v>
      </c>
      <c r="H3805" s="3">
        <v>770.562077123216</v>
      </c>
      <c r="I3805" s="3">
        <v>31.57</v>
      </c>
      <c r="J3805" s="3">
        <v>32.15</v>
      </c>
      <c r="K3805" s="3">
        <v>31.03</v>
      </c>
      <c r="L3805" s="3">
        <v>770.562077123216</v>
      </c>
    </row>
    <row r="3806" spans="1:12" ht="15" customHeight="1" x14ac:dyDescent="0.2">
      <c r="A3806" s="2">
        <v>40526</v>
      </c>
      <c r="B3806" s="3">
        <v>31.53</v>
      </c>
      <c r="C3806" s="1">
        <v>2387480</v>
      </c>
      <c r="D3806" s="3">
        <v>-1.01999999999999</v>
      </c>
      <c r="E3806" s="3">
        <v>-3.1336405529953701</v>
      </c>
      <c r="F3806" s="3">
        <v>-3.1336405529953701</v>
      </c>
      <c r="G3806" s="3">
        <v>31.53</v>
      </c>
      <c r="H3806" s="3">
        <v>778.6434792476</v>
      </c>
      <c r="I3806" s="3">
        <v>32.49</v>
      </c>
      <c r="J3806" s="3">
        <v>32.79</v>
      </c>
      <c r="K3806" s="3">
        <v>30.86</v>
      </c>
      <c r="L3806" s="3">
        <v>778.6434792476</v>
      </c>
    </row>
    <row r="3807" spans="1:12" ht="15" customHeight="1" x14ac:dyDescent="0.2">
      <c r="A3807" s="2">
        <v>40525</v>
      </c>
      <c r="B3807" s="3">
        <v>32.549999999999997</v>
      </c>
      <c r="C3807" s="1">
        <v>893198</v>
      </c>
      <c r="D3807" s="3">
        <v>-0.77000000000000302</v>
      </c>
      <c r="E3807" s="3">
        <v>-2.31092436974791</v>
      </c>
      <c r="F3807" s="3">
        <v>-2.31092436974791</v>
      </c>
      <c r="G3807" s="3">
        <v>32.549999999999997</v>
      </c>
      <c r="H3807" s="3">
        <v>807.06772120232699</v>
      </c>
      <c r="I3807" s="3">
        <v>33.369999999999997</v>
      </c>
      <c r="J3807" s="3">
        <v>33.43</v>
      </c>
      <c r="K3807" s="3">
        <v>32.430900000000001</v>
      </c>
      <c r="L3807" s="3">
        <v>807.06772120232699</v>
      </c>
    </row>
    <row r="3808" spans="1:12" ht="15" customHeight="1" x14ac:dyDescent="0.2">
      <c r="A3808" s="2">
        <v>40522</v>
      </c>
      <c r="B3808" s="3">
        <v>33.32</v>
      </c>
      <c r="C3808" s="1">
        <v>654936</v>
      </c>
      <c r="D3808" s="3">
        <v>-6.0000000000002197E-2</v>
      </c>
      <c r="E3808" s="3">
        <v>-0.179748352306774</v>
      </c>
      <c r="F3808" s="3">
        <v>-0.179748352306774</v>
      </c>
      <c r="G3808" s="3">
        <v>33.32</v>
      </c>
      <c r="H3808" s="3">
        <v>828.52523718775899</v>
      </c>
      <c r="I3808" s="3">
        <v>33.47</v>
      </c>
      <c r="J3808" s="3">
        <v>33.54</v>
      </c>
      <c r="K3808" s="3">
        <v>33.17</v>
      </c>
      <c r="L3808" s="3">
        <v>828.52523718775899</v>
      </c>
    </row>
    <row r="3809" spans="1:12" ht="15" customHeight="1" x14ac:dyDescent="0.2">
      <c r="A3809" s="2">
        <v>40521</v>
      </c>
      <c r="B3809" s="3">
        <v>33.380000000000003</v>
      </c>
      <c r="C3809" s="1">
        <v>561658</v>
      </c>
      <c r="D3809" s="3">
        <v>3.9999999999999099E-2</v>
      </c>
      <c r="E3809" s="3">
        <v>0.11997600479902699</v>
      </c>
      <c r="F3809" s="3">
        <v>0.11997600479902699</v>
      </c>
      <c r="G3809" s="3">
        <v>33.380000000000003</v>
      </c>
      <c r="H3809" s="3">
        <v>830.19725142038999</v>
      </c>
      <c r="I3809" s="3">
        <v>33.619999999999997</v>
      </c>
      <c r="J3809" s="3">
        <v>33.619999999999997</v>
      </c>
      <c r="K3809" s="3">
        <v>33.04</v>
      </c>
      <c r="L3809" s="3">
        <v>830.19725142038999</v>
      </c>
    </row>
    <row r="3810" spans="1:12" ht="15" customHeight="1" x14ac:dyDescent="0.2">
      <c r="A3810" s="2">
        <v>40520</v>
      </c>
      <c r="B3810" s="3">
        <v>33.340000000000003</v>
      </c>
      <c r="C3810" s="1">
        <v>604652</v>
      </c>
      <c r="D3810" s="3">
        <v>-0.214999999999996</v>
      </c>
      <c r="E3810" s="3">
        <v>-0.64073908508417399</v>
      </c>
      <c r="F3810" s="3">
        <v>-0.64073908508417399</v>
      </c>
      <c r="G3810" s="3">
        <v>33.340000000000003</v>
      </c>
      <c r="H3810" s="3">
        <v>829.08257526530201</v>
      </c>
      <c r="I3810" s="3">
        <v>33.520000000000003</v>
      </c>
      <c r="J3810" s="3">
        <v>33.6</v>
      </c>
      <c r="K3810" s="3">
        <v>33.19</v>
      </c>
      <c r="L3810" s="3">
        <v>829.08257526530201</v>
      </c>
    </row>
    <row r="3811" spans="1:12" ht="15" customHeight="1" x14ac:dyDescent="0.2">
      <c r="A3811" s="2">
        <v>40519</v>
      </c>
      <c r="B3811" s="3">
        <v>33.555</v>
      </c>
      <c r="C3811" s="1">
        <v>1120243</v>
      </c>
      <c r="D3811" s="3">
        <v>0.79500000000000104</v>
      </c>
      <c r="E3811" s="3">
        <v>2.4267399267399399</v>
      </c>
      <c r="F3811" s="3">
        <v>2.4267399267399399</v>
      </c>
      <c r="G3811" s="3">
        <v>33.555</v>
      </c>
      <c r="H3811" s="3">
        <v>835.07395959889698</v>
      </c>
      <c r="I3811" s="3">
        <v>33.020000000000003</v>
      </c>
      <c r="J3811" s="3">
        <v>34</v>
      </c>
      <c r="K3811" s="3">
        <v>32.950000000000003</v>
      </c>
      <c r="L3811" s="3">
        <v>835.07395959889698</v>
      </c>
    </row>
    <row r="3812" spans="1:12" ht="15" customHeight="1" x14ac:dyDescent="0.2">
      <c r="A3812" s="2">
        <v>40518</v>
      </c>
      <c r="B3812" s="3">
        <v>32.76</v>
      </c>
      <c r="C3812" s="1">
        <v>420709</v>
      </c>
      <c r="D3812" s="3">
        <v>0.14000000000000001</v>
      </c>
      <c r="E3812" s="3">
        <v>0.42918454935623102</v>
      </c>
      <c r="F3812" s="3">
        <v>0.42918454935623102</v>
      </c>
      <c r="G3812" s="3">
        <v>32.76</v>
      </c>
      <c r="H3812" s="3">
        <v>812.91977101653595</v>
      </c>
      <c r="I3812" s="3">
        <v>32.57</v>
      </c>
      <c r="J3812" s="3">
        <v>32.79</v>
      </c>
      <c r="K3812" s="3">
        <v>32.33</v>
      </c>
      <c r="L3812" s="3">
        <v>812.91977101653595</v>
      </c>
    </row>
    <row r="3813" spans="1:12" ht="15" customHeight="1" x14ac:dyDescent="0.2">
      <c r="A3813" s="2">
        <v>40515</v>
      </c>
      <c r="B3813" s="3">
        <v>32.619999999999997</v>
      </c>
      <c r="C3813" s="1">
        <v>430822</v>
      </c>
      <c r="D3813" s="3">
        <v>-8.00000000000054E-2</v>
      </c>
      <c r="E3813" s="3">
        <v>-0.24464831804282799</v>
      </c>
      <c r="F3813" s="3">
        <v>-0.24464831804282799</v>
      </c>
      <c r="G3813" s="3">
        <v>32.619999999999997</v>
      </c>
      <c r="H3813" s="3">
        <v>809.01840447373002</v>
      </c>
      <c r="I3813" s="3">
        <v>32.729999999999997</v>
      </c>
      <c r="J3813" s="3">
        <v>32.79</v>
      </c>
      <c r="K3813" s="3">
        <v>32.200000000000003</v>
      </c>
      <c r="L3813" s="3">
        <v>809.01840447373002</v>
      </c>
    </row>
    <row r="3814" spans="1:12" ht="15" customHeight="1" x14ac:dyDescent="0.2">
      <c r="A3814" s="2">
        <v>40514</v>
      </c>
      <c r="B3814" s="3">
        <v>32.700000000000003</v>
      </c>
      <c r="C3814" s="1">
        <v>682204</v>
      </c>
      <c r="D3814" s="3">
        <v>0.510000000000005</v>
      </c>
      <c r="E3814" s="3">
        <v>1.5843429636533199</v>
      </c>
      <c r="F3814" s="3">
        <v>1.5843429636533199</v>
      </c>
      <c r="G3814" s="3">
        <v>32.700000000000003</v>
      </c>
      <c r="H3814" s="3">
        <v>811.24775678390495</v>
      </c>
      <c r="I3814" s="3">
        <v>32.299999999999997</v>
      </c>
      <c r="J3814" s="3">
        <v>32.78</v>
      </c>
      <c r="K3814" s="3">
        <v>31.98</v>
      </c>
      <c r="L3814" s="3">
        <v>811.24775678390495</v>
      </c>
    </row>
    <row r="3815" spans="1:12" ht="15" customHeight="1" x14ac:dyDescent="0.2">
      <c r="A3815" s="2">
        <v>40513</v>
      </c>
      <c r="B3815" s="3">
        <v>32.19</v>
      </c>
      <c r="C3815" s="1">
        <v>1127808</v>
      </c>
      <c r="D3815" s="3">
        <v>0.31999999999999601</v>
      </c>
      <c r="E3815" s="3">
        <v>1.0040790712268599</v>
      </c>
      <c r="F3815" s="3">
        <v>1.0040790712268599</v>
      </c>
      <c r="G3815" s="3">
        <v>32.19</v>
      </c>
      <c r="H3815" s="3">
        <v>797.03563580654099</v>
      </c>
      <c r="I3815" s="3">
        <v>32.25</v>
      </c>
      <c r="J3815" s="3">
        <v>32.47</v>
      </c>
      <c r="K3815" s="3">
        <v>32.06</v>
      </c>
      <c r="L3815" s="3">
        <v>797.03563580654099</v>
      </c>
    </row>
    <row r="3816" spans="1:12" ht="15" customHeight="1" x14ac:dyDescent="0.2">
      <c r="A3816" s="2">
        <v>40512</v>
      </c>
      <c r="B3816" s="3">
        <v>31.87</v>
      </c>
      <c r="C3816" s="1">
        <v>1088906</v>
      </c>
      <c r="D3816" s="3"/>
      <c r="E3816" s="3"/>
      <c r="F3816" s="3"/>
      <c r="G3816" s="3">
        <v>31.87</v>
      </c>
      <c r="H3816" s="3">
        <v>788.11822656584195</v>
      </c>
      <c r="I3816" s="3">
        <v>31.5</v>
      </c>
      <c r="J3816" s="3">
        <v>32.21</v>
      </c>
      <c r="K3816" s="3">
        <v>31.22</v>
      </c>
      <c r="L3816" s="3">
        <v>788.11822656584195</v>
      </c>
    </row>
    <row r="3817" spans="1:12" ht="15" customHeight="1" x14ac:dyDescent="0.2">
      <c r="A3817" s="2">
        <v>40511</v>
      </c>
      <c r="B3817" s="3">
        <v>31.87</v>
      </c>
      <c r="C3817" s="1">
        <v>610765</v>
      </c>
      <c r="D3817" s="3">
        <v>-8.9999999999999802E-2</v>
      </c>
      <c r="E3817" s="3">
        <v>-0.28160200250312201</v>
      </c>
      <c r="F3817" s="3">
        <v>-0.28160200250312201</v>
      </c>
      <c r="G3817" s="3">
        <v>31.87</v>
      </c>
      <c r="H3817" s="3">
        <v>788.11822656584195</v>
      </c>
      <c r="I3817" s="3">
        <v>31.68</v>
      </c>
      <c r="J3817" s="3">
        <v>31.96</v>
      </c>
      <c r="K3817" s="3">
        <v>31.09</v>
      </c>
      <c r="L3817" s="3">
        <v>788.11822656584195</v>
      </c>
    </row>
    <row r="3818" spans="1:12" ht="15" customHeight="1" x14ac:dyDescent="0.2">
      <c r="A3818" s="2">
        <v>40508</v>
      </c>
      <c r="B3818" s="3">
        <v>31.96</v>
      </c>
      <c r="C3818" s="1">
        <v>212435</v>
      </c>
      <c r="D3818" s="3">
        <v>-2.9999999999997501E-2</v>
      </c>
      <c r="E3818" s="3">
        <v>-9.3779306033125995E-2</v>
      </c>
      <c r="F3818" s="3">
        <v>-9.3779306033125995E-2</v>
      </c>
      <c r="G3818" s="3">
        <v>31.96</v>
      </c>
      <c r="H3818" s="3">
        <v>790.62624791478902</v>
      </c>
      <c r="I3818" s="3">
        <v>31.78</v>
      </c>
      <c r="J3818" s="3">
        <v>31.99</v>
      </c>
      <c r="K3818" s="3">
        <v>31.64</v>
      </c>
      <c r="L3818" s="3">
        <v>790.62624791478902</v>
      </c>
    </row>
    <row r="3819" spans="1:12" ht="15" customHeight="1" x14ac:dyDescent="0.2">
      <c r="A3819" s="2">
        <v>40506</v>
      </c>
      <c r="B3819" s="3">
        <v>31.99</v>
      </c>
      <c r="C3819" s="1">
        <v>920358</v>
      </c>
      <c r="D3819" s="3">
        <v>0.57999999999999796</v>
      </c>
      <c r="E3819" s="3">
        <v>1.84654568608721</v>
      </c>
      <c r="F3819" s="3">
        <v>1.84654568608721</v>
      </c>
      <c r="G3819" s="3">
        <v>31.99</v>
      </c>
      <c r="H3819" s="3">
        <v>791.46225503110395</v>
      </c>
      <c r="I3819" s="3">
        <v>31.55</v>
      </c>
      <c r="J3819" s="3">
        <v>32.06</v>
      </c>
      <c r="K3819" s="3">
        <v>31.55</v>
      </c>
      <c r="L3819" s="3">
        <v>791.46225503110395</v>
      </c>
    </row>
    <row r="3820" spans="1:12" ht="15" customHeight="1" x14ac:dyDescent="0.2">
      <c r="A3820" s="2">
        <v>40505</v>
      </c>
      <c r="B3820" s="3">
        <v>31.41</v>
      </c>
      <c r="C3820" s="1">
        <v>1108416</v>
      </c>
      <c r="D3820" s="3">
        <v>-8.9999999999999802E-2</v>
      </c>
      <c r="E3820" s="3">
        <v>-0.28571428571428897</v>
      </c>
      <c r="F3820" s="3">
        <v>-0.28571428571428897</v>
      </c>
      <c r="G3820" s="3">
        <v>31.41</v>
      </c>
      <c r="H3820" s="3">
        <v>775.299450782338</v>
      </c>
      <c r="I3820" s="3">
        <v>30.97</v>
      </c>
      <c r="J3820" s="3">
        <v>31.47</v>
      </c>
      <c r="K3820" s="3">
        <v>30.91</v>
      </c>
      <c r="L3820" s="3">
        <v>775.299450782338</v>
      </c>
    </row>
    <row r="3821" spans="1:12" ht="15" customHeight="1" x14ac:dyDescent="0.2">
      <c r="A3821" s="2">
        <v>40504</v>
      </c>
      <c r="B3821" s="3">
        <v>31.5</v>
      </c>
      <c r="C3821" s="1">
        <v>1780927</v>
      </c>
      <c r="D3821" s="3">
        <v>1.25</v>
      </c>
      <c r="E3821" s="3">
        <v>4.1322314049586799</v>
      </c>
      <c r="F3821" s="3">
        <v>4.1322314049586799</v>
      </c>
      <c r="G3821" s="3">
        <v>31.5</v>
      </c>
      <c r="H3821" s="3">
        <v>777.80747213128404</v>
      </c>
      <c r="I3821" s="3">
        <v>30.02</v>
      </c>
      <c r="J3821" s="3">
        <v>31.53</v>
      </c>
      <c r="K3821" s="3">
        <v>30.02</v>
      </c>
      <c r="L3821" s="3">
        <v>777.80747213128404</v>
      </c>
    </row>
    <row r="3822" spans="1:12" ht="15" customHeight="1" x14ac:dyDescent="0.2">
      <c r="A3822" s="2">
        <v>40501</v>
      </c>
      <c r="B3822" s="3">
        <v>30.25</v>
      </c>
      <c r="C3822" s="1">
        <v>628686</v>
      </c>
      <c r="D3822" s="3">
        <v>0.26999999999999902</v>
      </c>
      <c r="E3822" s="3">
        <v>0.90060040026684796</v>
      </c>
      <c r="F3822" s="3">
        <v>0.90060040026684796</v>
      </c>
      <c r="G3822" s="3">
        <v>30.25</v>
      </c>
      <c r="H3822" s="3">
        <v>742.97384228480496</v>
      </c>
      <c r="I3822" s="3">
        <v>30.01</v>
      </c>
      <c r="J3822" s="3">
        <v>30.42</v>
      </c>
      <c r="K3822" s="3">
        <v>29.73</v>
      </c>
      <c r="L3822" s="3">
        <v>742.97384228480496</v>
      </c>
    </row>
    <row r="3823" spans="1:12" ht="15" customHeight="1" x14ac:dyDescent="0.2">
      <c r="A3823" s="2">
        <v>40500</v>
      </c>
      <c r="B3823" s="3">
        <v>29.98</v>
      </c>
      <c r="C3823" s="1">
        <v>787049</v>
      </c>
      <c r="D3823" s="3">
        <v>1.0000000000001501E-2</v>
      </c>
      <c r="E3823" s="3">
        <v>3.3366700033377002E-2</v>
      </c>
      <c r="F3823" s="3">
        <v>3.3366700033377002E-2</v>
      </c>
      <c r="G3823" s="3">
        <v>29.98</v>
      </c>
      <c r="H3823" s="3">
        <v>735.44977823796501</v>
      </c>
      <c r="I3823" s="3">
        <v>30.14</v>
      </c>
      <c r="J3823" s="3">
        <v>30.58</v>
      </c>
      <c r="K3823" s="3">
        <v>29.84</v>
      </c>
      <c r="L3823" s="3">
        <v>735.44977823796501</v>
      </c>
    </row>
    <row r="3824" spans="1:12" ht="15" customHeight="1" x14ac:dyDescent="0.2">
      <c r="A3824" s="2">
        <v>40499</v>
      </c>
      <c r="B3824" s="3">
        <v>29.97</v>
      </c>
      <c r="C3824" s="1">
        <v>1469715</v>
      </c>
      <c r="D3824" s="3">
        <v>0.98</v>
      </c>
      <c r="E3824" s="3">
        <v>3.3804760262159301</v>
      </c>
      <c r="F3824" s="3">
        <v>3.3804760262159301</v>
      </c>
      <c r="G3824" s="3">
        <v>29.97</v>
      </c>
      <c r="H3824" s="3">
        <v>735.17110919919298</v>
      </c>
      <c r="I3824" s="3">
        <v>29.07</v>
      </c>
      <c r="J3824" s="3">
        <v>30</v>
      </c>
      <c r="K3824" s="3">
        <v>28.78</v>
      </c>
      <c r="L3824" s="3">
        <v>735.17110919919298</v>
      </c>
    </row>
    <row r="3825" spans="1:12" ht="15" customHeight="1" x14ac:dyDescent="0.2">
      <c r="A3825" s="2">
        <v>40498</v>
      </c>
      <c r="B3825" s="3">
        <v>28.99</v>
      </c>
      <c r="C3825" s="1">
        <v>777195</v>
      </c>
      <c r="D3825" s="3">
        <v>-0.43000000000000299</v>
      </c>
      <c r="E3825" s="3">
        <v>-1.4615907545887199</v>
      </c>
      <c r="F3825" s="3">
        <v>-1.4615907545887199</v>
      </c>
      <c r="G3825" s="3">
        <v>28.99</v>
      </c>
      <c r="H3825" s="3">
        <v>707.86154339955306</v>
      </c>
      <c r="I3825" s="3">
        <v>29.31</v>
      </c>
      <c r="J3825" s="3">
        <v>29.57</v>
      </c>
      <c r="K3825" s="3">
        <v>28.61</v>
      </c>
      <c r="L3825" s="3">
        <v>707.86154339955306</v>
      </c>
    </row>
    <row r="3826" spans="1:12" ht="15" customHeight="1" x14ac:dyDescent="0.2">
      <c r="A3826" s="2">
        <v>40497</v>
      </c>
      <c r="B3826" s="3">
        <v>29.42</v>
      </c>
      <c r="C3826" s="1">
        <v>463104</v>
      </c>
      <c r="D3826" s="3">
        <v>1.0000000000001501E-2</v>
      </c>
      <c r="E3826" s="3">
        <v>3.4002040122405E-2</v>
      </c>
      <c r="F3826" s="3">
        <v>3.4002040122405E-2</v>
      </c>
      <c r="G3826" s="3">
        <v>29.42</v>
      </c>
      <c r="H3826" s="3">
        <v>719.84431206674196</v>
      </c>
      <c r="I3826" s="3">
        <v>29.66</v>
      </c>
      <c r="J3826" s="3">
        <v>30.089700000000001</v>
      </c>
      <c r="K3826" s="3">
        <v>29.42</v>
      </c>
      <c r="L3826" s="3">
        <v>719.84431206674196</v>
      </c>
    </row>
    <row r="3827" spans="1:12" ht="15" customHeight="1" x14ac:dyDescent="0.2">
      <c r="A3827" s="2">
        <v>40494</v>
      </c>
      <c r="B3827" s="3">
        <v>29.41</v>
      </c>
      <c r="C3827" s="1">
        <v>789975</v>
      </c>
      <c r="D3827" s="3">
        <v>-0.46</v>
      </c>
      <c r="E3827" s="3">
        <v>-1.5400066956812799</v>
      </c>
      <c r="F3827" s="3">
        <v>-1.5400066956812799</v>
      </c>
      <c r="G3827" s="3">
        <v>29.41</v>
      </c>
      <c r="H3827" s="3">
        <v>719.56564302797005</v>
      </c>
      <c r="I3827" s="3">
        <v>29.56</v>
      </c>
      <c r="J3827" s="3">
        <v>29.774999999999999</v>
      </c>
      <c r="K3827" s="3">
        <v>29.06</v>
      </c>
      <c r="L3827" s="3">
        <v>719.56564302797005</v>
      </c>
    </row>
    <row r="3828" spans="1:12" ht="15" customHeight="1" x14ac:dyDescent="0.2">
      <c r="A3828" s="2">
        <v>40493</v>
      </c>
      <c r="B3828" s="3">
        <v>29.87</v>
      </c>
      <c r="C3828" s="1">
        <v>984381</v>
      </c>
      <c r="D3828" s="3">
        <v>0.44999999999999901</v>
      </c>
      <c r="E3828" s="3">
        <v>1.52957171991841</v>
      </c>
      <c r="F3828" s="3">
        <v>1.52957171991841</v>
      </c>
      <c r="G3828" s="3">
        <v>29.87</v>
      </c>
      <c r="H3828" s="3">
        <v>732.38441881147503</v>
      </c>
      <c r="I3828" s="3">
        <v>29.12</v>
      </c>
      <c r="J3828" s="3">
        <v>30.19</v>
      </c>
      <c r="K3828" s="3">
        <v>29.02</v>
      </c>
      <c r="L3828" s="3">
        <v>732.38441881147503</v>
      </c>
    </row>
    <row r="3829" spans="1:12" ht="15" customHeight="1" x14ac:dyDescent="0.2">
      <c r="A3829" s="2">
        <v>40492</v>
      </c>
      <c r="B3829" s="3">
        <v>29.42</v>
      </c>
      <c r="C3829" s="1">
        <v>702578</v>
      </c>
      <c r="D3829" s="3">
        <v>0.46</v>
      </c>
      <c r="E3829" s="3">
        <v>1.5883977900552599</v>
      </c>
      <c r="F3829" s="3">
        <v>1.5883977900552599</v>
      </c>
      <c r="G3829" s="3">
        <v>29.42</v>
      </c>
      <c r="H3829" s="3">
        <v>719.84431206674196</v>
      </c>
      <c r="I3829" s="3">
        <v>29.05</v>
      </c>
      <c r="J3829" s="3">
        <v>29.49</v>
      </c>
      <c r="K3829" s="3">
        <v>28.670100000000001</v>
      </c>
      <c r="L3829" s="3">
        <v>719.84431206674196</v>
      </c>
    </row>
    <row r="3830" spans="1:12" ht="15" customHeight="1" x14ac:dyDescent="0.2">
      <c r="A3830" s="2">
        <v>40491</v>
      </c>
      <c r="B3830" s="3">
        <v>28.96</v>
      </c>
      <c r="C3830" s="1">
        <v>740721</v>
      </c>
      <c r="D3830" s="3">
        <v>-0.83999999999999897</v>
      </c>
      <c r="E3830" s="3">
        <v>-2.8187919463087199</v>
      </c>
      <c r="F3830" s="3">
        <v>-2.8187919463087199</v>
      </c>
      <c r="G3830" s="3">
        <v>28.96</v>
      </c>
      <c r="H3830" s="3">
        <v>707.02553628323801</v>
      </c>
      <c r="I3830" s="3">
        <v>29.86</v>
      </c>
      <c r="J3830" s="3">
        <v>29.86</v>
      </c>
      <c r="K3830" s="3">
        <v>28.75</v>
      </c>
      <c r="L3830" s="3">
        <v>707.02553628323801</v>
      </c>
    </row>
    <row r="3831" spans="1:12" ht="15" customHeight="1" x14ac:dyDescent="0.2">
      <c r="A3831" s="2">
        <v>40490</v>
      </c>
      <c r="B3831" s="3">
        <v>29.8</v>
      </c>
      <c r="C3831" s="1">
        <v>426127</v>
      </c>
      <c r="D3831" s="3"/>
      <c r="E3831" s="3"/>
      <c r="F3831" s="3"/>
      <c r="G3831" s="3">
        <v>29.8</v>
      </c>
      <c r="H3831" s="3">
        <v>730.43373554007201</v>
      </c>
      <c r="I3831" s="3">
        <v>29.6</v>
      </c>
      <c r="J3831" s="3">
        <v>29.98</v>
      </c>
      <c r="K3831" s="3">
        <v>29.490100000000002</v>
      </c>
      <c r="L3831" s="3">
        <v>730.43373554007201</v>
      </c>
    </row>
    <row r="3832" spans="1:12" ht="15" customHeight="1" x14ac:dyDescent="0.2">
      <c r="A3832" s="2">
        <v>40487</v>
      </c>
      <c r="B3832" s="3">
        <v>29.8</v>
      </c>
      <c r="C3832" s="1">
        <v>854266</v>
      </c>
      <c r="D3832" s="3">
        <v>-7.0000000000000201E-2</v>
      </c>
      <c r="E3832" s="3">
        <v>-0.23434884499497999</v>
      </c>
      <c r="F3832" s="3">
        <v>-0.23434884499497999</v>
      </c>
      <c r="G3832" s="3">
        <v>29.8</v>
      </c>
      <c r="H3832" s="3">
        <v>730.43373554007201</v>
      </c>
      <c r="I3832" s="3">
        <v>29.78</v>
      </c>
      <c r="J3832" s="3">
        <v>30.14</v>
      </c>
      <c r="K3832" s="3">
        <v>29.625</v>
      </c>
      <c r="L3832" s="3">
        <v>730.43373554007201</v>
      </c>
    </row>
    <row r="3833" spans="1:12" ht="15" customHeight="1" x14ac:dyDescent="0.2">
      <c r="A3833" s="2">
        <v>40486</v>
      </c>
      <c r="B3833" s="3">
        <v>29.87</v>
      </c>
      <c r="C3833" s="1">
        <v>831586</v>
      </c>
      <c r="D3833" s="3">
        <v>0.49000000000000199</v>
      </c>
      <c r="E3833" s="3">
        <v>1.6678012253233501</v>
      </c>
      <c r="F3833" s="3">
        <v>1.6678012253233501</v>
      </c>
      <c r="G3833" s="3">
        <v>29.87</v>
      </c>
      <c r="H3833" s="3">
        <v>732.38441881147503</v>
      </c>
      <c r="I3833" s="3">
        <v>29.74</v>
      </c>
      <c r="J3833" s="3">
        <v>30</v>
      </c>
      <c r="K3833" s="3">
        <v>29.6</v>
      </c>
      <c r="L3833" s="3">
        <v>732.38441881147503</v>
      </c>
    </row>
    <row r="3834" spans="1:12" ht="15" customHeight="1" x14ac:dyDescent="0.2">
      <c r="A3834" s="2">
        <v>40485</v>
      </c>
      <c r="B3834" s="3">
        <v>29.38</v>
      </c>
      <c r="C3834" s="1">
        <v>483146</v>
      </c>
      <c r="D3834" s="3">
        <v>0.19999999999999901</v>
      </c>
      <c r="E3834" s="3">
        <v>0.68540095956133296</v>
      </c>
      <c r="F3834" s="3">
        <v>0.68540095956133296</v>
      </c>
      <c r="G3834" s="3">
        <v>29.38</v>
      </c>
      <c r="H3834" s="3">
        <v>718.72963591165501</v>
      </c>
      <c r="I3834" s="3">
        <v>29.25</v>
      </c>
      <c r="J3834" s="3">
        <v>29.49</v>
      </c>
      <c r="K3834" s="3">
        <v>28.98</v>
      </c>
      <c r="L3834" s="3">
        <v>718.72963591165501</v>
      </c>
    </row>
    <row r="3835" spans="1:12" ht="15" customHeight="1" x14ac:dyDescent="0.2">
      <c r="A3835" s="2">
        <v>40484</v>
      </c>
      <c r="B3835" s="3">
        <v>29.18</v>
      </c>
      <c r="C3835" s="1">
        <v>686122</v>
      </c>
      <c r="D3835" s="3">
        <v>5.99999999999987E-2</v>
      </c>
      <c r="E3835" s="3">
        <v>0.20604395604395501</v>
      </c>
      <c r="F3835" s="3">
        <v>0.20604395604395501</v>
      </c>
      <c r="G3835" s="3">
        <v>29.18</v>
      </c>
      <c r="H3835" s="3">
        <v>713.15625513621796</v>
      </c>
      <c r="I3835" s="3">
        <v>29.5</v>
      </c>
      <c r="J3835" s="3">
        <v>29.65</v>
      </c>
      <c r="K3835" s="3">
        <v>29.114999999999998</v>
      </c>
      <c r="L3835" s="3">
        <v>713.15625513621796</v>
      </c>
    </row>
    <row r="3836" spans="1:12" ht="15" customHeight="1" x14ac:dyDescent="0.2">
      <c r="A3836" s="2">
        <v>40483</v>
      </c>
      <c r="B3836" s="3">
        <v>29.12</v>
      </c>
      <c r="C3836" s="1">
        <v>1106517</v>
      </c>
      <c r="D3836" s="3"/>
      <c r="E3836" s="3"/>
      <c r="F3836" s="3"/>
      <c r="G3836" s="3">
        <v>29.12</v>
      </c>
      <c r="H3836" s="3">
        <v>711.48424090358697</v>
      </c>
      <c r="I3836" s="3">
        <v>28.89</v>
      </c>
      <c r="J3836" s="3">
        <v>29.34</v>
      </c>
      <c r="K3836" s="3">
        <v>28.75</v>
      </c>
      <c r="L3836" s="3">
        <v>711.48424090358697</v>
      </c>
    </row>
    <row r="3837" spans="1:12" ht="15" customHeight="1" x14ac:dyDescent="0.2">
      <c r="A3837" s="2">
        <v>40480</v>
      </c>
      <c r="B3837" s="3">
        <v>29.12</v>
      </c>
      <c r="C3837" s="1">
        <v>1184858</v>
      </c>
      <c r="D3837" s="3">
        <v>0.35000000000000098</v>
      </c>
      <c r="E3837" s="3">
        <v>1.21654501216545</v>
      </c>
      <c r="F3837" s="3">
        <v>1.21654501216545</v>
      </c>
      <c r="G3837" s="3">
        <v>29.12</v>
      </c>
      <c r="H3837" s="3">
        <v>711.48424090358697</v>
      </c>
      <c r="I3837" s="3">
        <v>28.49</v>
      </c>
      <c r="J3837" s="3">
        <v>29.22</v>
      </c>
      <c r="K3837" s="3">
        <v>28.43</v>
      </c>
      <c r="L3837" s="3">
        <v>711.48424090358697</v>
      </c>
    </row>
    <row r="3838" spans="1:12" ht="15" customHeight="1" x14ac:dyDescent="0.2">
      <c r="A3838" s="2">
        <v>40479</v>
      </c>
      <c r="B3838" s="3">
        <v>28.77</v>
      </c>
      <c r="C3838" s="1">
        <v>730216</v>
      </c>
      <c r="D3838" s="3">
        <v>-3.9999999999999099E-2</v>
      </c>
      <c r="E3838" s="3">
        <v>-0.138840680319329</v>
      </c>
      <c r="F3838" s="3">
        <v>-0.138840680319329</v>
      </c>
      <c r="G3838" s="3">
        <v>28.77</v>
      </c>
      <c r="H3838" s="3">
        <v>701.73082454657299</v>
      </c>
      <c r="I3838" s="3">
        <v>28.79</v>
      </c>
      <c r="J3838" s="3">
        <v>29.06</v>
      </c>
      <c r="K3838" s="3">
        <v>28.55</v>
      </c>
      <c r="L3838" s="3">
        <v>701.73082454657299</v>
      </c>
    </row>
    <row r="3839" spans="1:12" ht="15" customHeight="1" x14ac:dyDescent="0.2">
      <c r="A3839" s="2">
        <v>40478</v>
      </c>
      <c r="B3839" s="3">
        <v>28.81</v>
      </c>
      <c r="C3839" s="1">
        <v>1906784</v>
      </c>
      <c r="D3839" s="3">
        <v>-0.47000000000000203</v>
      </c>
      <c r="E3839" s="3">
        <v>-1.6051912568305999</v>
      </c>
      <c r="F3839" s="3">
        <v>-1.6051912568305999</v>
      </c>
      <c r="G3839" s="3">
        <v>28.81</v>
      </c>
      <c r="H3839" s="3">
        <v>702.84550070165994</v>
      </c>
      <c r="I3839" s="3">
        <v>28.77</v>
      </c>
      <c r="J3839" s="3">
        <v>28.93</v>
      </c>
      <c r="K3839" s="3">
        <v>28.32</v>
      </c>
      <c r="L3839" s="3">
        <v>702.84550070165994</v>
      </c>
    </row>
    <row r="3840" spans="1:12" ht="15" customHeight="1" x14ac:dyDescent="0.2">
      <c r="A3840" s="2">
        <v>40477</v>
      </c>
      <c r="B3840" s="3">
        <v>29.28</v>
      </c>
      <c r="C3840" s="1">
        <v>1109621</v>
      </c>
      <c r="D3840" s="3">
        <v>-9.9999999999997799E-2</v>
      </c>
      <c r="E3840" s="3">
        <v>-0.340367597004753</v>
      </c>
      <c r="F3840" s="3">
        <v>-0.340367597004753</v>
      </c>
      <c r="G3840" s="3">
        <v>29.28</v>
      </c>
      <c r="H3840" s="3">
        <v>715.94294552393706</v>
      </c>
      <c r="I3840" s="3">
        <v>29</v>
      </c>
      <c r="J3840" s="3">
        <v>29.675000000000001</v>
      </c>
      <c r="K3840" s="3">
        <v>28.86</v>
      </c>
      <c r="L3840" s="3">
        <v>715.94294552393706</v>
      </c>
    </row>
    <row r="3841" spans="1:12" ht="15" customHeight="1" x14ac:dyDescent="0.2">
      <c r="A3841" s="2">
        <v>40476</v>
      </c>
      <c r="B3841" s="3">
        <v>29.38</v>
      </c>
      <c r="C3841" s="1">
        <v>1638820</v>
      </c>
      <c r="D3841" s="3">
        <v>0.17999999999999899</v>
      </c>
      <c r="E3841" s="3">
        <v>0.61643835616438303</v>
      </c>
      <c r="F3841" s="3">
        <v>0.61643835616438303</v>
      </c>
      <c r="G3841" s="3">
        <v>29.38</v>
      </c>
      <c r="H3841" s="3">
        <v>718.72963591165501</v>
      </c>
      <c r="I3841" s="3">
        <v>29.5</v>
      </c>
      <c r="J3841" s="3">
        <v>29.78</v>
      </c>
      <c r="K3841" s="3">
        <v>29.11</v>
      </c>
      <c r="L3841" s="3">
        <v>718.72963591165501</v>
      </c>
    </row>
    <row r="3842" spans="1:12" ht="15" customHeight="1" x14ac:dyDescent="0.2">
      <c r="A3842" s="2">
        <v>40473</v>
      </c>
      <c r="B3842" s="3">
        <v>29.2</v>
      </c>
      <c r="C3842" s="1">
        <v>2907499</v>
      </c>
      <c r="D3842" s="3">
        <v>2.1299999999999901</v>
      </c>
      <c r="E3842" s="3">
        <v>7.86848910232729</v>
      </c>
      <c r="F3842" s="3">
        <v>7.86848910232729</v>
      </c>
      <c r="G3842" s="3">
        <v>29.2</v>
      </c>
      <c r="H3842" s="3">
        <v>713.71359321376201</v>
      </c>
      <c r="I3842" s="3">
        <v>28.14</v>
      </c>
      <c r="J3842" s="3">
        <v>29.66</v>
      </c>
      <c r="K3842" s="3">
        <v>27.93</v>
      </c>
      <c r="L3842" s="3">
        <v>713.71359321376201</v>
      </c>
    </row>
    <row r="3843" spans="1:12" ht="15" customHeight="1" x14ac:dyDescent="0.2">
      <c r="A3843" s="2">
        <v>40472</v>
      </c>
      <c r="B3843" s="3">
        <v>27.07</v>
      </c>
      <c r="C3843" s="1">
        <v>1766613</v>
      </c>
      <c r="D3843" s="3">
        <v>-0.39</v>
      </c>
      <c r="E3843" s="3">
        <v>-1.42024763292061</v>
      </c>
      <c r="F3843" s="3">
        <v>-1.42024763292061</v>
      </c>
      <c r="G3843" s="3">
        <v>27.07</v>
      </c>
      <c r="H3843" s="3">
        <v>654.35708795536095</v>
      </c>
      <c r="I3843" s="3">
        <v>27.66</v>
      </c>
      <c r="J3843" s="3">
        <v>28.14</v>
      </c>
      <c r="K3843" s="3">
        <v>26.73</v>
      </c>
      <c r="L3843" s="3">
        <v>654.35708795536095</v>
      </c>
    </row>
    <row r="3844" spans="1:12" ht="15" customHeight="1" x14ac:dyDescent="0.2">
      <c r="A3844" s="2">
        <v>40471</v>
      </c>
      <c r="B3844" s="3">
        <v>27.46</v>
      </c>
      <c r="C3844" s="1">
        <v>807020</v>
      </c>
      <c r="D3844" s="3">
        <v>0.32</v>
      </c>
      <c r="E3844" s="3">
        <v>1.1790714812085401</v>
      </c>
      <c r="F3844" s="3">
        <v>1.1790714812085401</v>
      </c>
      <c r="G3844" s="3">
        <v>27.46</v>
      </c>
      <c r="H3844" s="3">
        <v>665.225180467462</v>
      </c>
      <c r="I3844" s="3">
        <v>27.22</v>
      </c>
      <c r="J3844" s="3">
        <v>27.65</v>
      </c>
      <c r="K3844" s="3">
        <v>27.015000000000001</v>
      </c>
      <c r="L3844" s="3">
        <v>665.225180467462</v>
      </c>
    </row>
    <row r="3845" spans="1:12" ht="15" customHeight="1" x14ac:dyDescent="0.2">
      <c r="A3845" s="2">
        <v>40470</v>
      </c>
      <c r="B3845" s="3">
        <v>27.14</v>
      </c>
      <c r="C3845" s="1">
        <v>1065674</v>
      </c>
      <c r="D3845" s="3">
        <v>-0.57999999999999796</v>
      </c>
      <c r="E3845" s="3">
        <v>-2.09235209235209</v>
      </c>
      <c r="F3845" s="3">
        <v>-2.09235209235209</v>
      </c>
      <c r="G3845" s="3">
        <v>27.14</v>
      </c>
      <c r="H3845" s="3">
        <v>656.30777122676398</v>
      </c>
      <c r="I3845" s="3">
        <v>27.27</v>
      </c>
      <c r="J3845" s="3">
        <v>27.73</v>
      </c>
      <c r="K3845" s="3">
        <v>26.91</v>
      </c>
      <c r="L3845" s="3">
        <v>656.30777122676398</v>
      </c>
    </row>
    <row r="3846" spans="1:12" ht="15" customHeight="1" x14ac:dyDescent="0.2">
      <c r="A3846" s="2">
        <v>40469</v>
      </c>
      <c r="B3846" s="3">
        <v>27.72</v>
      </c>
      <c r="C3846" s="1">
        <v>768117</v>
      </c>
      <c r="D3846" s="3">
        <v>-8.0000000000001806E-2</v>
      </c>
      <c r="E3846" s="3">
        <v>-0.28776978417266402</v>
      </c>
      <c r="F3846" s="3">
        <v>-0.28776978417266402</v>
      </c>
      <c r="G3846" s="3">
        <v>27.72</v>
      </c>
      <c r="H3846" s="3">
        <v>672.47057547553004</v>
      </c>
      <c r="I3846" s="3">
        <v>27.75</v>
      </c>
      <c r="J3846" s="3">
        <v>27.95</v>
      </c>
      <c r="K3846" s="3">
        <v>27.29</v>
      </c>
      <c r="L3846" s="3">
        <v>672.47057547553004</v>
      </c>
    </row>
    <row r="3847" spans="1:12" ht="15" customHeight="1" x14ac:dyDescent="0.2">
      <c r="A3847" s="2">
        <v>40466</v>
      </c>
      <c r="B3847" s="3">
        <v>27.8</v>
      </c>
      <c r="C3847" s="1">
        <v>1003000</v>
      </c>
      <c r="D3847" s="3">
        <v>0.15000000000000199</v>
      </c>
      <c r="E3847" s="3">
        <v>0.54249547920435204</v>
      </c>
      <c r="F3847" s="3">
        <v>0.54249547920435204</v>
      </c>
      <c r="G3847" s="3">
        <v>27.8</v>
      </c>
      <c r="H3847" s="3">
        <v>674.69992778570497</v>
      </c>
      <c r="I3847" s="3">
        <v>28.03</v>
      </c>
      <c r="J3847" s="3">
        <v>28.1</v>
      </c>
      <c r="K3847" s="3">
        <v>27.52</v>
      </c>
      <c r="L3847" s="3">
        <v>674.69992778570497</v>
      </c>
    </row>
    <row r="3848" spans="1:12" ht="15" customHeight="1" x14ac:dyDescent="0.2">
      <c r="A3848" s="2">
        <v>40465</v>
      </c>
      <c r="B3848" s="3">
        <v>27.65</v>
      </c>
      <c r="C3848" s="1">
        <v>1214479</v>
      </c>
      <c r="D3848" s="3">
        <v>0.23999999999999799</v>
      </c>
      <c r="E3848" s="3">
        <v>0.87559284932505699</v>
      </c>
      <c r="F3848" s="3">
        <v>0.87559284932505699</v>
      </c>
      <c r="G3848" s="3">
        <v>27.65</v>
      </c>
      <c r="H3848" s="3">
        <v>670.51989220412702</v>
      </c>
      <c r="I3848" s="3">
        <v>27.28</v>
      </c>
      <c r="J3848" s="3">
        <v>27.87</v>
      </c>
      <c r="K3848" s="3">
        <v>27.27</v>
      </c>
      <c r="L3848" s="3">
        <v>670.51989220412702</v>
      </c>
    </row>
    <row r="3849" spans="1:12" ht="15" customHeight="1" x14ac:dyDescent="0.2">
      <c r="A3849" s="2">
        <v>40464</v>
      </c>
      <c r="B3849" s="3">
        <v>27.41</v>
      </c>
      <c r="C3849" s="1">
        <v>1750699</v>
      </c>
      <c r="D3849" s="3">
        <v>-0.28999999999999898</v>
      </c>
      <c r="E3849" s="3">
        <v>-1.0469314079422301</v>
      </c>
      <c r="F3849" s="3">
        <v>-1.0469314079422301</v>
      </c>
      <c r="G3849" s="3">
        <v>27.41</v>
      </c>
      <c r="H3849" s="3">
        <v>663.83183527360302</v>
      </c>
      <c r="I3849" s="3">
        <v>27.76</v>
      </c>
      <c r="J3849" s="3">
        <v>27.9</v>
      </c>
      <c r="K3849" s="3">
        <v>26.86</v>
      </c>
      <c r="L3849" s="3">
        <v>663.83183527360302</v>
      </c>
    </row>
    <row r="3850" spans="1:12" ht="15" customHeight="1" x14ac:dyDescent="0.2">
      <c r="A3850" s="2">
        <v>40463</v>
      </c>
      <c r="B3850" s="3">
        <v>27.7</v>
      </c>
      <c r="C3850" s="1">
        <v>1096795</v>
      </c>
      <c r="D3850" s="3">
        <v>-7.0000000000000201E-2</v>
      </c>
      <c r="E3850" s="3">
        <v>-0.25207057976233099</v>
      </c>
      <c r="F3850" s="3">
        <v>-0.25207057976233099</v>
      </c>
      <c r="G3850" s="3">
        <v>27.7</v>
      </c>
      <c r="H3850" s="3">
        <v>671.91323739798599</v>
      </c>
      <c r="I3850" s="3">
        <v>27.68</v>
      </c>
      <c r="J3850" s="3">
        <v>27.95</v>
      </c>
      <c r="K3850" s="3">
        <v>27.31</v>
      </c>
      <c r="L3850" s="3">
        <v>671.91323739798599</v>
      </c>
    </row>
    <row r="3851" spans="1:12" ht="15" customHeight="1" x14ac:dyDescent="0.2">
      <c r="A3851" s="2">
        <v>40462</v>
      </c>
      <c r="B3851" s="3">
        <v>27.77</v>
      </c>
      <c r="C3851" s="1">
        <v>794728</v>
      </c>
      <c r="D3851" s="3">
        <v>-0.17000000000000101</v>
      </c>
      <c r="E3851" s="3">
        <v>-0.60844667143880005</v>
      </c>
      <c r="F3851" s="3">
        <v>-0.60844667143880005</v>
      </c>
      <c r="G3851" s="3">
        <v>27.77</v>
      </c>
      <c r="H3851" s="3">
        <v>673.86392066938902</v>
      </c>
      <c r="I3851" s="3">
        <v>27.93</v>
      </c>
      <c r="J3851" s="3">
        <v>28.34</v>
      </c>
      <c r="K3851" s="3">
        <v>27.76</v>
      </c>
      <c r="L3851" s="3">
        <v>673.86392066938902</v>
      </c>
    </row>
    <row r="3852" spans="1:12" ht="15" customHeight="1" x14ac:dyDescent="0.2">
      <c r="A3852" s="2">
        <v>40459</v>
      </c>
      <c r="B3852" s="3">
        <v>27.94</v>
      </c>
      <c r="C3852" s="1">
        <v>925704</v>
      </c>
      <c r="D3852" s="3">
        <v>0.25</v>
      </c>
      <c r="E3852" s="3">
        <v>0.90285301552908104</v>
      </c>
      <c r="F3852" s="3">
        <v>0.90285301552908104</v>
      </c>
      <c r="G3852" s="3">
        <v>27.94</v>
      </c>
      <c r="H3852" s="3">
        <v>678.60129432850999</v>
      </c>
      <c r="I3852" s="3">
        <v>27.76</v>
      </c>
      <c r="J3852" s="3">
        <v>28.17</v>
      </c>
      <c r="K3852" s="3">
        <v>27.29</v>
      </c>
      <c r="L3852" s="3">
        <v>678.60129432850999</v>
      </c>
    </row>
    <row r="3853" spans="1:12" ht="15" customHeight="1" x14ac:dyDescent="0.2">
      <c r="A3853" s="2">
        <v>40458</v>
      </c>
      <c r="B3853" s="3">
        <v>27.69</v>
      </c>
      <c r="C3853" s="1">
        <v>1446635</v>
      </c>
      <c r="D3853" s="3">
        <v>0.67000000000000104</v>
      </c>
      <c r="E3853" s="3">
        <v>2.4796447076239798</v>
      </c>
      <c r="F3853" s="3">
        <v>2.4796447076239798</v>
      </c>
      <c r="G3853" s="3">
        <v>27.69</v>
      </c>
      <c r="H3853" s="3">
        <v>671.634568359215</v>
      </c>
      <c r="I3853" s="3">
        <v>27.41</v>
      </c>
      <c r="J3853" s="3">
        <v>27.98</v>
      </c>
      <c r="K3853" s="3">
        <v>27.17</v>
      </c>
      <c r="L3853" s="3">
        <v>671.634568359215</v>
      </c>
    </row>
    <row r="3854" spans="1:12" ht="15" customHeight="1" x14ac:dyDescent="0.2">
      <c r="A3854" s="2">
        <v>40457</v>
      </c>
      <c r="B3854" s="3">
        <v>27.02</v>
      </c>
      <c r="C3854" s="1">
        <v>714940</v>
      </c>
      <c r="D3854" s="3">
        <v>-0.48</v>
      </c>
      <c r="E3854" s="3">
        <v>-1.74545454545455</v>
      </c>
      <c r="F3854" s="3">
        <v>-1.74545454545455</v>
      </c>
      <c r="G3854" s="3">
        <v>27.02</v>
      </c>
      <c r="H3854" s="3">
        <v>652.96374276150198</v>
      </c>
      <c r="I3854" s="3">
        <v>27.48</v>
      </c>
      <c r="J3854" s="3">
        <v>27.49</v>
      </c>
      <c r="K3854" s="3">
        <v>26.63</v>
      </c>
      <c r="L3854" s="3">
        <v>652.96374276150198</v>
      </c>
    </row>
    <row r="3855" spans="1:12" ht="15" customHeight="1" x14ac:dyDescent="0.2">
      <c r="A3855" s="2">
        <v>40456</v>
      </c>
      <c r="B3855" s="3">
        <v>27.5</v>
      </c>
      <c r="C3855" s="1">
        <v>1669047</v>
      </c>
      <c r="D3855" s="3">
        <v>1.1799999999999899</v>
      </c>
      <c r="E3855" s="3">
        <v>4.4832826747720196</v>
      </c>
      <c r="F3855" s="3">
        <v>4.4832826747720196</v>
      </c>
      <c r="G3855" s="3">
        <v>27.5</v>
      </c>
      <c r="H3855" s="3">
        <v>666.33985662254997</v>
      </c>
      <c r="I3855" s="3">
        <v>26.7</v>
      </c>
      <c r="J3855" s="3">
        <v>27.74</v>
      </c>
      <c r="K3855" s="3">
        <v>26.67</v>
      </c>
      <c r="L3855" s="3">
        <v>666.33985662254997</v>
      </c>
    </row>
    <row r="3856" spans="1:12" ht="15" customHeight="1" x14ac:dyDescent="0.2">
      <c r="A3856" s="2">
        <v>40455</v>
      </c>
      <c r="B3856" s="3">
        <v>26.32</v>
      </c>
      <c r="C3856" s="1">
        <v>520076</v>
      </c>
      <c r="D3856" s="3">
        <v>-0.37000000000000099</v>
      </c>
      <c r="E3856" s="3">
        <v>-1.3862869988759801</v>
      </c>
      <c r="F3856" s="3">
        <v>-1.3862869988759801</v>
      </c>
      <c r="G3856" s="3">
        <v>26.32</v>
      </c>
      <c r="H3856" s="3">
        <v>633.456910047473</v>
      </c>
      <c r="I3856" s="3">
        <v>26.51</v>
      </c>
      <c r="J3856" s="3">
        <v>26.76</v>
      </c>
      <c r="K3856" s="3">
        <v>26.04</v>
      </c>
      <c r="L3856" s="3">
        <v>633.456910047473</v>
      </c>
    </row>
    <row r="3857" spans="1:12" ht="15" customHeight="1" x14ac:dyDescent="0.2">
      <c r="A3857" s="2">
        <v>40452</v>
      </c>
      <c r="B3857" s="3">
        <v>26.69</v>
      </c>
      <c r="C3857" s="1">
        <v>788255</v>
      </c>
      <c r="D3857" s="3">
        <v>0.220000000000002</v>
      </c>
      <c r="E3857" s="3">
        <v>0.83112958065736298</v>
      </c>
      <c r="F3857" s="3">
        <v>0.83112958065736298</v>
      </c>
      <c r="G3857" s="3">
        <v>26.69</v>
      </c>
      <c r="H3857" s="3">
        <v>643.76766448203102</v>
      </c>
      <c r="I3857" s="3">
        <v>26.75</v>
      </c>
      <c r="J3857" s="3">
        <v>26.88</v>
      </c>
      <c r="K3857" s="3">
        <v>26.37</v>
      </c>
      <c r="L3857" s="3">
        <v>643.76766448203102</v>
      </c>
    </row>
    <row r="3858" spans="1:12" ht="15" customHeight="1" x14ac:dyDescent="0.2">
      <c r="A3858" s="2">
        <v>40451</v>
      </c>
      <c r="B3858" s="3">
        <v>26.47</v>
      </c>
      <c r="C3858" s="1">
        <v>972776</v>
      </c>
      <c r="D3858" s="3">
        <v>7.0000000000000201E-2</v>
      </c>
      <c r="E3858" s="3">
        <v>0.26515151515151802</v>
      </c>
      <c r="F3858" s="3">
        <v>0.26515151515151802</v>
      </c>
      <c r="G3858" s="3">
        <v>26.47</v>
      </c>
      <c r="H3858" s="3">
        <v>637.63694562905096</v>
      </c>
      <c r="I3858" s="3">
        <v>26.59</v>
      </c>
      <c r="J3858" s="3">
        <v>27.22</v>
      </c>
      <c r="K3858" s="3">
        <v>26.1</v>
      </c>
      <c r="L3858" s="3">
        <v>637.63694562905096</v>
      </c>
    </row>
    <row r="3859" spans="1:12" ht="15" customHeight="1" x14ac:dyDescent="0.2">
      <c r="A3859" s="2">
        <v>40450</v>
      </c>
      <c r="B3859" s="3">
        <v>26.4</v>
      </c>
      <c r="C3859" s="1">
        <v>559310</v>
      </c>
      <c r="D3859" s="3">
        <v>-0.27000000000000302</v>
      </c>
      <c r="E3859" s="3">
        <v>-1.0123734533183399</v>
      </c>
      <c r="F3859" s="3">
        <v>-1.0123734533183399</v>
      </c>
      <c r="G3859" s="3">
        <v>26.4</v>
      </c>
      <c r="H3859" s="3">
        <v>635.68626235764805</v>
      </c>
      <c r="I3859" s="3">
        <v>26.48</v>
      </c>
      <c r="J3859" s="3">
        <v>26.77</v>
      </c>
      <c r="K3859" s="3">
        <v>26.27</v>
      </c>
      <c r="L3859" s="3">
        <v>635.68626235764805</v>
      </c>
    </row>
    <row r="3860" spans="1:12" ht="15" customHeight="1" x14ac:dyDescent="0.2">
      <c r="A3860" s="2">
        <v>40449</v>
      </c>
      <c r="B3860" s="3">
        <v>26.67</v>
      </c>
      <c r="C3860" s="1">
        <v>651936</v>
      </c>
      <c r="D3860" s="3">
        <v>5.0000000000000697E-2</v>
      </c>
      <c r="E3860" s="3">
        <v>0.18782870022539999</v>
      </c>
      <c r="F3860" s="3">
        <v>0.18782870022539999</v>
      </c>
      <c r="G3860" s="3">
        <v>26.67</v>
      </c>
      <c r="H3860" s="3">
        <v>643.21032640448698</v>
      </c>
      <c r="I3860" s="3">
        <v>26.8</v>
      </c>
      <c r="J3860" s="3">
        <v>26.93</v>
      </c>
      <c r="K3860" s="3">
        <v>26.07</v>
      </c>
      <c r="L3860" s="3">
        <v>643.21032640448698</v>
      </c>
    </row>
    <row r="3861" spans="1:12" ht="15" customHeight="1" x14ac:dyDescent="0.2">
      <c r="A3861" s="2">
        <v>40448</v>
      </c>
      <c r="B3861" s="3">
        <v>26.62</v>
      </c>
      <c r="C3861" s="1">
        <v>1125310</v>
      </c>
      <c r="D3861" s="3">
        <v>0.32</v>
      </c>
      <c r="E3861" s="3">
        <v>1.2167300380228001</v>
      </c>
      <c r="F3861" s="3">
        <v>1.2167300380228001</v>
      </c>
      <c r="G3861" s="3">
        <v>26.62</v>
      </c>
      <c r="H3861" s="3">
        <v>641.816981210628</v>
      </c>
      <c r="I3861" s="3">
        <v>26.24</v>
      </c>
      <c r="J3861" s="3">
        <v>26.98</v>
      </c>
      <c r="K3861" s="3">
        <v>26.17</v>
      </c>
      <c r="L3861" s="3">
        <v>641.816981210628</v>
      </c>
    </row>
    <row r="3862" spans="1:12" ht="15" customHeight="1" x14ac:dyDescent="0.2">
      <c r="A3862" s="2">
        <v>40445</v>
      </c>
      <c r="B3862" s="3">
        <v>26.3</v>
      </c>
      <c r="C3862" s="1">
        <v>937402</v>
      </c>
      <c r="D3862" s="3">
        <v>1</v>
      </c>
      <c r="E3862" s="3">
        <v>3.9525691699604701</v>
      </c>
      <c r="F3862" s="3">
        <v>3.9525691699604701</v>
      </c>
      <c r="G3862" s="3">
        <v>26.3</v>
      </c>
      <c r="H3862" s="3">
        <v>632.89957196992896</v>
      </c>
      <c r="I3862" s="3">
        <v>25.65</v>
      </c>
      <c r="J3862" s="3">
        <v>26.405000000000001</v>
      </c>
      <c r="K3862" s="3">
        <v>25.48</v>
      </c>
      <c r="L3862" s="3">
        <v>632.89957196992896</v>
      </c>
    </row>
    <row r="3863" spans="1:12" ht="15" customHeight="1" x14ac:dyDescent="0.2">
      <c r="A3863" s="2">
        <v>40444</v>
      </c>
      <c r="B3863" s="3">
        <v>25.3</v>
      </c>
      <c r="C3863" s="1">
        <v>1294337</v>
      </c>
      <c r="D3863" s="3">
        <v>-0.52999999999999703</v>
      </c>
      <c r="E3863" s="3">
        <v>-2.05187766163374</v>
      </c>
      <c r="F3863" s="3">
        <v>-2.05187766163374</v>
      </c>
      <c r="G3863" s="3">
        <v>25.3</v>
      </c>
      <c r="H3863" s="3">
        <v>605.03266809274601</v>
      </c>
      <c r="I3863" s="3">
        <v>25.57</v>
      </c>
      <c r="J3863" s="3">
        <v>26.05</v>
      </c>
      <c r="K3863" s="3">
        <v>25.149899999999999</v>
      </c>
      <c r="L3863" s="3">
        <v>605.03266809274601</v>
      </c>
    </row>
    <row r="3864" spans="1:12" ht="15" customHeight="1" x14ac:dyDescent="0.2">
      <c r="A3864" s="2">
        <v>40443</v>
      </c>
      <c r="B3864" s="3">
        <v>25.83</v>
      </c>
      <c r="C3864" s="1">
        <v>864858</v>
      </c>
      <c r="D3864" s="3">
        <v>-0.26000000000000101</v>
      </c>
      <c r="E3864" s="3">
        <v>-0.99655040245305504</v>
      </c>
      <c r="F3864" s="3">
        <v>-0.99655040245305504</v>
      </c>
      <c r="G3864" s="3">
        <v>25.83</v>
      </c>
      <c r="H3864" s="3">
        <v>619.80212714765298</v>
      </c>
      <c r="I3864" s="3">
        <v>25.86</v>
      </c>
      <c r="J3864" s="3">
        <v>26.06</v>
      </c>
      <c r="K3864" s="3">
        <v>25.34</v>
      </c>
      <c r="L3864" s="3">
        <v>619.80212714765298</v>
      </c>
    </row>
    <row r="3865" spans="1:12" ht="15" customHeight="1" x14ac:dyDescent="0.2">
      <c r="A3865" s="2">
        <v>40442</v>
      </c>
      <c r="B3865" s="3">
        <v>26.09</v>
      </c>
      <c r="C3865" s="1">
        <v>852007</v>
      </c>
      <c r="D3865" s="3">
        <v>-0.35000000000000098</v>
      </c>
      <c r="E3865" s="3">
        <v>-1.3237518910741299</v>
      </c>
      <c r="F3865" s="3">
        <v>-1.3237518910741299</v>
      </c>
      <c r="G3865" s="3">
        <v>26.09</v>
      </c>
      <c r="H3865" s="3">
        <v>627.04752215572103</v>
      </c>
      <c r="I3865" s="3">
        <v>26.5</v>
      </c>
      <c r="J3865" s="3">
        <v>26.59</v>
      </c>
      <c r="K3865" s="3">
        <v>25.85</v>
      </c>
      <c r="L3865" s="3">
        <v>627.04752215572103</v>
      </c>
    </row>
    <row r="3866" spans="1:12" ht="15" customHeight="1" x14ac:dyDescent="0.2">
      <c r="A3866" s="2">
        <v>40441</v>
      </c>
      <c r="B3866" s="3">
        <v>26.44</v>
      </c>
      <c r="C3866" s="1">
        <v>978610</v>
      </c>
      <c r="D3866" s="3">
        <v>0.70000000000000195</v>
      </c>
      <c r="E3866" s="3">
        <v>2.7195027195027199</v>
      </c>
      <c r="F3866" s="3">
        <v>2.7195027195027199</v>
      </c>
      <c r="G3866" s="3">
        <v>26.44</v>
      </c>
      <c r="H3866" s="3">
        <v>636.800938512735</v>
      </c>
      <c r="I3866" s="3">
        <v>25.9</v>
      </c>
      <c r="J3866" s="3">
        <v>26.56</v>
      </c>
      <c r="K3866" s="3">
        <v>25.75</v>
      </c>
      <c r="L3866" s="3">
        <v>636.800938512735</v>
      </c>
    </row>
    <row r="3867" spans="1:12" ht="15" customHeight="1" x14ac:dyDescent="0.2">
      <c r="A3867" s="2">
        <v>40438</v>
      </c>
      <c r="B3867" s="3">
        <v>25.74</v>
      </c>
      <c r="C3867" s="1">
        <v>1121312</v>
      </c>
      <c r="D3867" s="3">
        <v>-0.16</v>
      </c>
      <c r="E3867" s="3">
        <v>-0.61776061776062097</v>
      </c>
      <c r="F3867" s="3">
        <v>-0.61776061776062097</v>
      </c>
      <c r="G3867" s="3">
        <v>25.74</v>
      </c>
      <c r="H3867" s="3">
        <v>617.29410579870603</v>
      </c>
      <c r="I3867" s="3">
        <v>26.19</v>
      </c>
      <c r="J3867" s="3">
        <v>26.22</v>
      </c>
      <c r="K3867" s="3">
        <v>25.56</v>
      </c>
      <c r="L3867" s="3">
        <v>617.29410579870603</v>
      </c>
    </row>
    <row r="3868" spans="1:12" ht="15" customHeight="1" x14ac:dyDescent="0.2">
      <c r="A3868" s="2">
        <v>40437</v>
      </c>
      <c r="B3868" s="3">
        <v>25.9</v>
      </c>
      <c r="C3868" s="1">
        <v>1698784</v>
      </c>
      <c r="D3868" s="3">
        <v>-0.54000000000000203</v>
      </c>
      <c r="E3868" s="3">
        <v>-2.0423600605143801</v>
      </c>
      <c r="F3868" s="3">
        <v>-2.0423600605143801</v>
      </c>
      <c r="G3868" s="3">
        <v>25.9</v>
      </c>
      <c r="H3868" s="3">
        <v>621.752810419056</v>
      </c>
      <c r="I3868" s="3">
        <v>26.34</v>
      </c>
      <c r="J3868" s="3">
        <v>26.54</v>
      </c>
      <c r="K3868" s="3">
        <v>25.27</v>
      </c>
      <c r="L3868" s="3">
        <v>621.752810419056</v>
      </c>
    </row>
    <row r="3869" spans="1:12" ht="15" customHeight="1" x14ac:dyDescent="0.2">
      <c r="A3869" s="2">
        <v>40436</v>
      </c>
      <c r="B3869" s="3">
        <v>26.44</v>
      </c>
      <c r="C3869" s="1">
        <v>654595</v>
      </c>
      <c r="D3869" s="3">
        <v>-7.9999999999998295E-2</v>
      </c>
      <c r="E3869" s="3">
        <v>-0.30165912518853499</v>
      </c>
      <c r="F3869" s="3">
        <v>-0.30165912518853499</v>
      </c>
      <c r="G3869" s="3">
        <v>26.44</v>
      </c>
      <c r="H3869" s="3">
        <v>636.800938512735</v>
      </c>
      <c r="I3869" s="3">
        <v>26.39</v>
      </c>
      <c r="J3869" s="3">
        <v>26.57</v>
      </c>
      <c r="K3869" s="3">
        <v>26.17</v>
      </c>
      <c r="L3869" s="3">
        <v>636.800938512735</v>
      </c>
    </row>
    <row r="3870" spans="1:12" ht="15" customHeight="1" x14ac:dyDescent="0.2">
      <c r="A3870" s="2">
        <v>40435</v>
      </c>
      <c r="B3870" s="3">
        <v>26.52</v>
      </c>
      <c r="C3870" s="1">
        <v>827348</v>
      </c>
      <c r="D3870" s="3">
        <v>5.99999999999987E-2</v>
      </c>
      <c r="E3870" s="3">
        <v>0.22675736961450499</v>
      </c>
      <c r="F3870" s="3">
        <v>0.22675736961450499</v>
      </c>
      <c r="G3870" s="3">
        <v>26.52</v>
      </c>
      <c r="H3870" s="3">
        <v>639.03029082291005</v>
      </c>
      <c r="I3870" s="3">
        <v>26.48</v>
      </c>
      <c r="J3870" s="3">
        <v>26.83</v>
      </c>
      <c r="K3870" s="3">
        <v>26.28</v>
      </c>
      <c r="L3870" s="3">
        <v>639.03029082291005</v>
      </c>
    </row>
    <row r="3871" spans="1:12" ht="15" customHeight="1" x14ac:dyDescent="0.2">
      <c r="A3871" s="2">
        <v>40434</v>
      </c>
      <c r="B3871" s="3">
        <v>26.46</v>
      </c>
      <c r="C3871" s="1">
        <v>1085377</v>
      </c>
      <c r="D3871" s="3">
        <v>0.76999999999999902</v>
      </c>
      <c r="E3871" s="3">
        <v>2.99727520435966</v>
      </c>
      <c r="F3871" s="3">
        <v>2.99727520435966</v>
      </c>
      <c r="G3871" s="3">
        <v>26.46</v>
      </c>
      <c r="H3871" s="3">
        <v>637.35827659027905</v>
      </c>
      <c r="I3871" s="3">
        <v>26.03</v>
      </c>
      <c r="J3871" s="3">
        <v>26.627500000000001</v>
      </c>
      <c r="K3871" s="3">
        <v>25.93</v>
      </c>
      <c r="L3871" s="3">
        <v>637.35827659027905</v>
      </c>
    </row>
    <row r="3872" spans="1:12" ht="15" customHeight="1" x14ac:dyDescent="0.2">
      <c r="A3872" s="2">
        <v>40431</v>
      </c>
      <c r="B3872" s="3">
        <v>25.69</v>
      </c>
      <c r="C3872" s="1">
        <v>726050</v>
      </c>
      <c r="D3872" s="3">
        <v>0.20000000000000201</v>
      </c>
      <c r="E3872" s="3">
        <v>0.78462142016477698</v>
      </c>
      <c r="F3872" s="3">
        <v>0.78462142016477698</v>
      </c>
      <c r="G3872" s="3">
        <v>25.69</v>
      </c>
      <c r="H3872" s="3">
        <v>615.90076060484705</v>
      </c>
      <c r="I3872" s="3">
        <v>25.5</v>
      </c>
      <c r="J3872" s="3">
        <v>25.86</v>
      </c>
      <c r="K3872" s="3">
        <v>25.37</v>
      </c>
      <c r="L3872" s="3">
        <v>615.90076060484705</v>
      </c>
    </row>
    <row r="3873" spans="1:12" ht="15" customHeight="1" x14ac:dyDescent="0.2">
      <c r="A3873" s="2">
        <v>40430</v>
      </c>
      <c r="B3873" s="3">
        <v>25.49</v>
      </c>
      <c r="C3873" s="1">
        <v>946666</v>
      </c>
      <c r="D3873" s="3">
        <v>-0.46</v>
      </c>
      <c r="E3873" s="3">
        <v>-1.7726396917148299</v>
      </c>
      <c r="F3873" s="3">
        <v>-1.7726396917148299</v>
      </c>
      <c r="G3873" s="3">
        <v>25.49</v>
      </c>
      <c r="H3873" s="3">
        <v>610.32737982941103</v>
      </c>
      <c r="I3873" s="3">
        <v>26.18</v>
      </c>
      <c r="J3873" s="3">
        <v>26.18</v>
      </c>
      <c r="K3873" s="3">
        <v>25.21</v>
      </c>
      <c r="L3873" s="3">
        <v>610.32737982941103</v>
      </c>
    </row>
    <row r="3874" spans="1:12" ht="15" customHeight="1" x14ac:dyDescent="0.2">
      <c r="A3874" s="2">
        <v>40429</v>
      </c>
      <c r="B3874" s="3">
        <v>25.95</v>
      </c>
      <c r="C3874" s="1">
        <v>1554900</v>
      </c>
      <c r="D3874" s="3">
        <v>0.59999999999999698</v>
      </c>
      <c r="E3874" s="3">
        <v>2.3668639053254301</v>
      </c>
      <c r="F3874" s="3">
        <v>2.3668639053254301</v>
      </c>
      <c r="G3874" s="3">
        <v>25.95</v>
      </c>
      <c r="H3874" s="3">
        <v>623.14615561291498</v>
      </c>
      <c r="I3874" s="3">
        <v>25.53</v>
      </c>
      <c r="J3874" s="3">
        <v>26.04</v>
      </c>
      <c r="K3874" s="3">
        <v>25.45</v>
      </c>
      <c r="L3874" s="3">
        <v>623.14615561291498</v>
      </c>
    </row>
    <row r="3875" spans="1:12" ht="15" customHeight="1" x14ac:dyDescent="0.2">
      <c r="A3875" s="2">
        <v>40428</v>
      </c>
      <c r="B3875" s="3">
        <v>25.35</v>
      </c>
      <c r="C3875" s="1">
        <v>1737781</v>
      </c>
      <c r="D3875" s="3">
        <v>-0.39999999999999802</v>
      </c>
      <c r="E3875" s="3">
        <v>-1.5533980582524101</v>
      </c>
      <c r="F3875" s="3">
        <v>-1.5533980582524101</v>
      </c>
      <c r="G3875" s="3">
        <v>25.35</v>
      </c>
      <c r="H3875" s="3">
        <v>606.42601328660498</v>
      </c>
      <c r="I3875" s="3">
        <v>25.87</v>
      </c>
      <c r="J3875" s="3">
        <v>26.22</v>
      </c>
      <c r="K3875" s="3">
        <v>25.31</v>
      </c>
      <c r="L3875" s="3">
        <v>606.42601328660498</v>
      </c>
    </row>
    <row r="3876" spans="1:12" ht="15" customHeight="1" x14ac:dyDescent="0.2">
      <c r="A3876" s="2">
        <v>40424</v>
      </c>
      <c r="B3876" s="3">
        <v>25.75</v>
      </c>
      <c r="C3876" s="1">
        <v>1848560</v>
      </c>
      <c r="D3876" s="3">
        <v>0.78999999999999904</v>
      </c>
      <c r="E3876" s="3">
        <v>3.1650641025640902</v>
      </c>
      <c r="F3876" s="3">
        <v>3.1650641025640902</v>
      </c>
      <c r="G3876" s="3">
        <v>25.75</v>
      </c>
      <c r="H3876" s="3">
        <v>617.57277483747805</v>
      </c>
      <c r="I3876" s="3">
        <v>25.23</v>
      </c>
      <c r="J3876" s="3">
        <v>25.81</v>
      </c>
      <c r="K3876" s="3">
        <v>25.11</v>
      </c>
      <c r="L3876" s="3">
        <v>617.57277483747805</v>
      </c>
    </row>
    <row r="3877" spans="1:12" ht="15" customHeight="1" x14ac:dyDescent="0.2">
      <c r="A3877" s="2">
        <v>40423</v>
      </c>
      <c r="B3877" s="3">
        <v>24.96</v>
      </c>
      <c r="C3877" s="1">
        <v>1633094</v>
      </c>
      <c r="D3877" s="3">
        <v>1.26</v>
      </c>
      <c r="E3877" s="3">
        <v>5.3164556962025298</v>
      </c>
      <c r="F3877" s="3">
        <v>5.3164556962025298</v>
      </c>
      <c r="G3877" s="3">
        <v>24.96</v>
      </c>
      <c r="H3877" s="3">
        <v>595.55792077450303</v>
      </c>
      <c r="I3877" s="3">
        <v>23.76</v>
      </c>
      <c r="J3877" s="3">
        <v>25</v>
      </c>
      <c r="K3877" s="3">
        <v>23.74</v>
      </c>
      <c r="L3877" s="3">
        <v>595.55792077450303</v>
      </c>
    </row>
    <row r="3878" spans="1:12" ht="15" customHeight="1" x14ac:dyDescent="0.2">
      <c r="A3878" s="2">
        <v>40422</v>
      </c>
      <c r="B3878" s="3">
        <v>23.7</v>
      </c>
      <c r="C3878" s="1">
        <v>1456880</v>
      </c>
      <c r="D3878" s="3">
        <v>1.3399999999999901</v>
      </c>
      <c r="E3878" s="3">
        <v>5.9928443649373797</v>
      </c>
      <c r="F3878" s="3">
        <v>5.9928443649373797</v>
      </c>
      <c r="G3878" s="3">
        <v>23.7</v>
      </c>
      <c r="H3878" s="3">
        <v>560.44562188925204</v>
      </c>
      <c r="I3878" s="3">
        <v>22.81</v>
      </c>
      <c r="J3878" s="3">
        <v>23.77</v>
      </c>
      <c r="K3878" s="3">
        <v>22.74</v>
      </c>
      <c r="L3878" s="3">
        <v>560.44562188925204</v>
      </c>
    </row>
    <row r="3879" spans="1:12" ht="15" customHeight="1" x14ac:dyDescent="0.2">
      <c r="A3879" s="2">
        <v>40421</v>
      </c>
      <c r="B3879" s="3">
        <v>22.36</v>
      </c>
      <c r="C3879" s="1">
        <v>1329818</v>
      </c>
      <c r="D3879" s="3">
        <v>-0.16</v>
      </c>
      <c r="E3879" s="3">
        <v>-0.71047957371225201</v>
      </c>
      <c r="F3879" s="3">
        <v>-0.71047957371225201</v>
      </c>
      <c r="G3879" s="3">
        <v>22.36</v>
      </c>
      <c r="H3879" s="3">
        <v>523.103970693826</v>
      </c>
      <c r="I3879" s="3">
        <v>22.42</v>
      </c>
      <c r="J3879" s="3">
        <v>22.74</v>
      </c>
      <c r="K3879" s="3">
        <v>22.18</v>
      </c>
      <c r="L3879" s="3">
        <v>523.103970693826</v>
      </c>
    </row>
    <row r="3880" spans="1:12" ht="15" customHeight="1" x14ac:dyDescent="0.2">
      <c r="A3880" s="2">
        <v>40420</v>
      </c>
      <c r="B3880" s="3">
        <v>22.52</v>
      </c>
      <c r="C3880" s="1">
        <v>890169</v>
      </c>
      <c r="D3880" s="3">
        <v>-0.51000000000000101</v>
      </c>
      <c r="E3880" s="3">
        <v>-2.2145028224055601</v>
      </c>
      <c r="F3880" s="3">
        <v>-2.2145028224055601</v>
      </c>
      <c r="G3880" s="3">
        <v>22.52</v>
      </c>
      <c r="H3880" s="3">
        <v>527.56267531417495</v>
      </c>
      <c r="I3880" s="3">
        <v>22.88</v>
      </c>
      <c r="J3880" s="3">
        <v>23.22</v>
      </c>
      <c r="K3880" s="3">
        <v>22.5</v>
      </c>
      <c r="L3880" s="3">
        <v>527.56267531417495</v>
      </c>
    </row>
    <row r="3881" spans="1:12" ht="15" customHeight="1" x14ac:dyDescent="0.2">
      <c r="A3881" s="2">
        <v>40417</v>
      </c>
      <c r="B3881" s="3">
        <v>23.03</v>
      </c>
      <c r="C3881" s="1">
        <v>911659</v>
      </c>
      <c r="D3881" s="3">
        <v>0.58999999999999897</v>
      </c>
      <c r="E3881" s="3">
        <v>2.6292335115864498</v>
      </c>
      <c r="F3881" s="3">
        <v>2.6292335115864498</v>
      </c>
      <c r="G3881" s="3">
        <v>23.03</v>
      </c>
      <c r="H3881" s="3">
        <v>541.77479629153902</v>
      </c>
      <c r="I3881" s="3">
        <v>22.8</v>
      </c>
      <c r="J3881" s="3">
        <v>23.09</v>
      </c>
      <c r="K3881" s="3">
        <v>22.13</v>
      </c>
      <c r="L3881" s="3">
        <v>541.77479629153902</v>
      </c>
    </row>
    <row r="3882" spans="1:12" ht="15" customHeight="1" x14ac:dyDescent="0.2">
      <c r="A3882" s="2">
        <v>40416</v>
      </c>
      <c r="B3882" s="3">
        <v>22.44</v>
      </c>
      <c r="C3882" s="1">
        <v>1047097</v>
      </c>
      <c r="D3882" s="3">
        <v>0.35000000000000098</v>
      </c>
      <c r="E3882" s="3">
        <v>1.5844273426889901</v>
      </c>
      <c r="F3882" s="3">
        <v>1.5844273426889901</v>
      </c>
      <c r="G3882" s="3">
        <v>22.44</v>
      </c>
      <c r="H3882" s="3">
        <v>525.33332300400002</v>
      </c>
      <c r="I3882" s="3">
        <v>22.13</v>
      </c>
      <c r="J3882" s="3">
        <v>22.78</v>
      </c>
      <c r="K3882" s="3">
        <v>22.09</v>
      </c>
      <c r="L3882" s="3">
        <v>525.33332300400002</v>
      </c>
    </row>
    <row r="3883" spans="1:12" ht="15" customHeight="1" x14ac:dyDescent="0.2">
      <c r="A3883" s="2">
        <v>40415</v>
      </c>
      <c r="B3883" s="3">
        <v>22.09</v>
      </c>
      <c r="C3883" s="1">
        <v>977175</v>
      </c>
      <c r="D3883" s="3">
        <v>0.28999999999999898</v>
      </c>
      <c r="E3883" s="3">
        <v>1.3302752293578</v>
      </c>
      <c r="F3883" s="3">
        <v>1.3302752293578</v>
      </c>
      <c r="G3883" s="3">
        <v>22.09</v>
      </c>
      <c r="H3883" s="3">
        <v>515.57990664698605</v>
      </c>
      <c r="I3883" s="3">
        <v>21.68</v>
      </c>
      <c r="J3883" s="3">
        <v>22.23</v>
      </c>
      <c r="K3883" s="3">
        <v>21.56</v>
      </c>
      <c r="L3883" s="3">
        <v>515.57990664698605</v>
      </c>
    </row>
    <row r="3884" spans="1:12" ht="15" customHeight="1" x14ac:dyDescent="0.2">
      <c r="A3884" s="2">
        <v>40414</v>
      </c>
      <c r="B3884" s="3">
        <v>21.8</v>
      </c>
      <c r="C3884" s="1">
        <v>1312848</v>
      </c>
      <c r="D3884" s="3">
        <v>-0.44999999999999901</v>
      </c>
      <c r="E3884" s="3">
        <v>-2.0224719101123498</v>
      </c>
      <c r="F3884" s="3">
        <v>-2.0224719101123498</v>
      </c>
      <c r="G3884" s="3">
        <v>21.8</v>
      </c>
      <c r="H3884" s="3">
        <v>507.49850452260301</v>
      </c>
      <c r="I3884" s="3">
        <v>22.01</v>
      </c>
      <c r="J3884" s="3">
        <v>22.17</v>
      </c>
      <c r="K3884" s="3">
        <v>21.61</v>
      </c>
      <c r="L3884" s="3">
        <v>507.49850452260301</v>
      </c>
    </row>
    <row r="3885" spans="1:12" ht="15" customHeight="1" x14ac:dyDescent="0.2">
      <c r="A3885" s="2">
        <v>40413</v>
      </c>
      <c r="B3885" s="3">
        <v>22.25</v>
      </c>
      <c r="C3885" s="1">
        <v>1411016</v>
      </c>
      <c r="D3885" s="3">
        <v>-0.48</v>
      </c>
      <c r="E3885" s="3">
        <v>-2.1117465904091501</v>
      </c>
      <c r="F3885" s="3">
        <v>-2.1117465904091501</v>
      </c>
      <c r="G3885" s="3">
        <v>22.25</v>
      </c>
      <c r="H3885" s="3">
        <v>520.03861126733602</v>
      </c>
      <c r="I3885" s="3">
        <v>22.8</v>
      </c>
      <c r="J3885" s="3">
        <v>23.25</v>
      </c>
      <c r="K3885" s="3">
        <v>22.2</v>
      </c>
      <c r="L3885" s="3">
        <v>520.03861126733602</v>
      </c>
    </row>
    <row r="3886" spans="1:12" ht="15" customHeight="1" x14ac:dyDescent="0.2">
      <c r="A3886" s="2">
        <v>40410</v>
      </c>
      <c r="B3886" s="3">
        <v>22.73</v>
      </c>
      <c r="C3886" s="1">
        <v>1079087</v>
      </c>
      <c r="D3886" s="3">
        <v>-0.25</v>
      </c>
      <c r="E3886" s="3">
        <v>-1.08790252393385</v>
      </c>
      <c r="F3886" s="3">
        <v>-1.08790252393385</v>
      </c>
      <c r="G3886" s="3">
        <v>22.73</v>
      </c>
      <c r="H3886" s="3">
        <v>533.41472512838402</v>
      </c>
      <c r="I3886" s="3">
        <v>22.98</v>
      </c>
      <c r="J3886" s="3">
        <v>23.1</v>
      </c>
      <c r="K3886" s="3">
        <v>22.5</v>
      </c>
      <c r="L3886" s="3">
        <v>533.41472512838402</v>
      </c>
    </row>
    <row r="3887" spans="1:12" ht="15" customHeight="1" x14ac:dyDescent="0.2">
      <c r="A3887" s="2">
        <v>40409</v>
      </c>
      <c r="B3887" s="3">
        <v>22.98</v>
      </c>
      <c r="C3887" s="1">
        <v>1325831</v>
      </c>
      <c r="D3887" s="3">
        <v>-0.309999999999998</v>
      </c>
      <c r="E3887" s="3">
        <v>-1.3310433662515999</v>
      </c>
      <c r="F3887" s="3">
        <v>-1.3310433662515999</v>
      </c>
      <c r="G3887" s="3">
        <v>22.98</v>
      </c>
      <c r="H3887" s="3">
        <v>540.38145109768004</v>
      </c>
      <c r="I3887" s="3">
        <v>23.13</v>
      </c>
      <c r="J3887" s="3">
        <v>23.53</v>
      </c>
      <c r="K3887" s="3">
        <v>22.745000000000001</v>
      </c>
      <c r="L3887" s="3">
        <v>540.38145109768004</v>
      </c>
    </row>
    <row r="3888" spans="1:12" ht="15" customHeight="1" x14ac:dyDescent="0.2">
      <c r="A3888" s="2">
        <v>40408</v>
      </c>
      <c r="B3888" s="3">
        <v>23.29</v>
      </c>
      <c r="C3888" s="1">
        <v>895309</v>
      </c>
      <c r="D3888" s="3">
        <v>0.48999999999999799</v>
      </c>
      <c r="E3888" s="3">
        <v>2.1491228070175299</v>
      </c>
      <c r="F3888" s="3">
        <v>2.1491228070175299</v>
      </c>
      <c r="G3888" s="3">
        <v>23.29</v>
      </c>
      <c r="H3888" s="3">
        <v>549.02019129960695</v>
      </c>
      <c r="I3888" s="3">
        <v>22.83</v>
      </c>
      <c r="J3888" s="3">
        <v>23.62</v>
      </c>
      <c r="K3888" s="3">
        <v>22.53</v>
      </c>
      <c r="L3888" s="3">
        <v>549.02019129960695</v>
      </c>
    </row>
    <row r="3889" spans="1:12" ht="15" customHeight="1" x14ac:dyDescent="0.2">
      <c r="A3889" s="2">
        <v>40407</v>
      </c>
      <c r="B3889" s="3">
        <v>22.8</v>
      </c>
      <c r="C3889" s="1">
        <v>912194</v>
      </c>
      <c r="D3889" s="3">
        <v>0.66</v>
      </c>
      <c r="E3889" s="3">
        <v>2.9810298102981001</v>
      </c>
      <c r="F3889" s="3">
        <v>2.9810298102981001</v>
      </c>
      <c r="G3889" s="3">
        <v>22.8</v>
      </c>
      <c r="H3889" s="3">
        <v>535.36540839978704</v>
      </c>
      <c r="I3889" s="3">
        <v>22.48</v>
      </c>
      <c r="J3889" s="3">
        <v>23.14</v>
      </c>
      <c r="K3889" s="3">
        <v>22.16</v>
      </c>
      <c r="L3889" s="3">
        <v>535.36540839978704</v>
      </c>
    </row>
    <row r="3890" spans="1:12" ht="15" customHeight="1" x14ac:dyDescent="0.2">
      <c r="A3890" s="2">
        <v>40406</v>
      </c>
      <c r="B3890" s="3">
        <v>22.14</v>
      </c>
      <c r="C3890" s="1">
        <v>936254</v>
      </c>
      <c r="D3890" s="3">
        <v>0.109999999999999</v>
      </c>
      <c r="E3890" s="3">
        <v>0.49931911030411902</v>
      </c>
      <c r="F3890" s="3">
        <v>0.49931911030411902</v>
      </c>
      <c r="G3890" s="3">
        <v>22.14</v>
      </c>
      <c r="H3890" s="3">
        <v>516.97325184084502</v>
      </c>
      <c r="I3890" s="3">
        <v>22</v>
      </c>
      <c r="J3890" s="3">
        <v>22.36</v>
      </c>
      <c r="K3890" s="3">
        <v>22</v>
      </c>
      <c r="L3890" s="3">
        <v>516.97325184084502</v>
      </c>
    </row>
    <row r="3891" spans="1:12" ht="15" customHeight="1" x14ac:dyDescent="0.2">
      <c r="A3891" s="2">
        <v>40403</v>
      </c>
      <c r="B3891" s="3">
        <v>22.03</v>
      </c>
      <c r="C3891" s="1">
        <v>920299</v>
      </c>
      <c r="D3891" s="3">
        <v>-0.60999999999999899</v>
      </c>
      <c r="E3891" s="3">
        <v>-2.69434628975264</v>
      </c>
      <c r="F3891" s="3">
        <v>-2.69434628975264</v>
      </c>
      <c r="G3891" s="3">
        <v>22.03</v>
      </c>
      <c r="H3891" s="3">
        <v>513.90789241435505</v>
      </c>
      <c r="I3891" s="3">
        <v>22.48</v>
      </c>
      <c r="J3891" s="3">
        <v>22.5002</v>
      </c>
      <c r="K3891" s="3">
        <v>22.02</v>
      </c>
      <c r="L3891" s="3">
        <v>513.90789241435505</v>
      </c>
    </row>
    <row r="3892" spans="1:12" ht="15" customHeight="1" x14ac:dyDescent="0.2">
      <c r="A3892" s="2">
        <v>40402</v>
      </c>
      <c r="B3892" s="3">
        <v>22.64</v>
      </c>
      <c r="C3892" s="1">
        <v>727583</v>
      </c>
      <c r="D3892" s="3">
        <v>-8.9999999999999802E-2</v>
      </c>
      <c r="E3892" s="3">
        <v>-0.39595248570171099</v>
      </c>
      <c r="F3892" s="3">
        <v>-0.39595248570171099</v>
      </c>
      <c r="G3892" s="3">
        <v>22.64</v>
      </c>
      <c r="H3892" s="3">
        <v>530.90670377943695</v>
      </c>
      <c r="I3892" s="3">
        <v>22.51</v>
      </c>
      <c r="J3892" s="3">
        <v>23.04</v>
      </c>
      <c r="K3892" s="3">
        <v>22.41</v>
      </c>
      <c r="L3892" s="3">
        <v>530.90670377943695</v>
      </c>
    </row>
    <row r="3893" spans="1:12" ht="15" customHeight="1" x14ac:dyDescent="0.2">
      <c r="A3893" s="2">
        <v>40401</v>
      </c>
      <c r="B3893" s="3">
        <v>22.73</v>
      </c>
      <c r="C3893" s="1">
        <v>859608</v>
      </c>
      <c r="D3893" s="3">
        <v>-0.73999999999999799</v>
      </c>
      <c r="E3893" s="3">
        <v>-3.1529612270984102</v>
      </c>
      <c r="F3893" s="3">
        <v>-3.1529612270984102</v>
      </c>
      <c r="G3893" s="3">
        <v>22.73</v>
      </c>
      <c r="H3893" s="3">
        <v>533.41472512838402</v>
      </c>
      <c r="I3893" s="3">
        <v>23.02</v>
      </c>
      <c r="J3893" s="3">
        <v>23.12</v>
      </c>
      <c r="K3893" s="3">
        <v>22.58</v>
      </c>
      <c r="L3893" s="3">
        <v>533.41472512838402</v>
      </c>
    </row>
    <row r="3894" spans="1:12" ht="15" customHeight="1" x14ac:dyDescent="0.2">
      <c r="A3894" s="2">
        <v>40400</v>
      </c>
      <c r="B3894" s="3">
        <v>23.47</v>
      </c>
      <c r="C3894" s="1">
        <v>911149</v>
      </c>
      <c r="D3894" s="3">
        <v>-0.53000000000000103</v>
      </c>
      <c r="E3894" s="3">
        <v>-2.2083333333333299</v>
      </c>
      <c r="F3894" s="3">
        <v>-2.2083333333333299</v>
      </c>
      <c r="G3894" s="3">
        <v>23.47</v>
      </c>
      <c r="H3894" s="3">
        <v>554.03623399749995</v>
      </c>
      <c r="I3894" s="3">
        <v>23.66</v>
      </c>
      <c r="J3894" s="3">
        <v>23.84</v>
      </c>
      <c r="K3894" s="3">
        <v>23.28</v>
      </c>
      <c r="L3894" s="3">
        <v>554.03623399749995</v>
      </c>
    </row>
    <row r="3895" spans="1:12" ht="15" customHeight="1" x14ac:dyDescent="0.2">
      <c r="A3895" s="2">
        <v>40399</v>
      </c>
      <c r="B3895" s="3">
        <v>24</v>
      </c>
      <c r="C3895" s="1">
        <v>835049</v>
      </c>
      <c r="D3895" s="3">
        <v>0.64</v>
      </c>
      <c r="E3895" s="3">
        <v>2.7397260273972699</v>
      </c>
      <c r="F3895" s="3">
        <v>2.7397260273972699</v>
      </c>
      <c r="G3895" s="3">
        <v>24</v>
      </c>
      <c r="H3895" s="3">
        <v>568.80569305240704</v>
      </c>
      <c r="I3895" s="3">
        <v>23.57</v>
      </c>
      <c r="J3895" s="3">
        <v>24.04</v>
      </c>
      <c r="K3895" s="3">
        <v>23.33</v>
      </c>
      <c r="L3895" s="3">
        <v>568.80569305240704</v>
      </c>
    </row>
    <row r="3896" spans="1:12" ht="15" customHeight="1" x14ac:dyDescent="0.2">
      <c r="A3896" s="2">
        <v>40396</v>
      </c>
      <c r="B3896" s="3">
        <v>23.36</v>
      </c>
      <c r="C3896" s="1">
        <v>1023389</v>
      </c>
      <c r="D3896" s="3">
        <v>-8.0000000000001806E-2</v>
      </c>
      <c r="E3896" s="3">
        <v>-0.34129692832765002</v>
      </c>
      <c r="F3896" s="3">
        <v>-0.34129692832765002</v>
      </c>
      <c r="G3896" s="3">
        <v>23.36</v>
      </c>
      <c r="H3896" s="3">
        <v>550.97087457100895</v>
      </c>
      <c r="I3896" s="3">
        <v>23.16</v>
      </c>
      <c r="J3896" s="3">
        <v>23.53</v>
      </c>
      <c r="K3896" s="3">
        <v>22.95</v>
      </c>
      <c r="L3896" s="3">
        <v>550.97087457100895</v>
      </c>
    </row>
    <row r="3897" spans="1:12" ht="15" customHeight="1" x14ac:dyDescent="0.2">
      <c r="A3897" s="2">
        <v>40395</v>
      </c>
      <c r="B3897" s="3">
        <v>23.44</v>
      </c>
      <c r="C3897" s="1">
        <v>849077</v>
      </c>
      <c r="D3897" s="3">
        <v>-3.9999999999999099E-2</v>
      </c>
      <c r="E3897" s="3">
        <v>-0.17035775127768299</v>
      </c>
      <c r="F3897" s="3">
        <v>-0.17035775127768299</v>
      </c>
      <c r="G3897" s="3">
        <v>23.44</v>
      </c>
      <c r="H3897" s="3">
        <v>553.20022688118399</v>
      </c>
      <c r="I3897" s="3">
        <v>23.29</v>
      </c>
      <c r="J3897" s="3">
        <v>23.67</v>
      </c>
      <c r="K3897" s="3">
        <v>23.22</v>
      </c>
      <c r="L3897" s="3">
        <v>553.20022688118399</v>
      </c>
    </row>
    <row r="3898" spans="1:12" ht="15" customHeight="1" x14ac:dyDescent="0.2">
      <c r="A3898" s="2">
        <v>40394</v>
      </c>
      <c r="B3898" s="3">
        <v>23.48</v>
      </c>
      <c r="C3898" s="1">
        <v>1398064</v>
      </c>
      <c r="D3898" s="3">
        <v>-0.26999999999999902</v>
      </c>
      <c r="E3898" s="3">
        <v>-1.1368421052631501</v>
      </c>
      <c r="F3898" s="3">
        <v>-1.1368421052631501</v>
      </c>
      <c r="G3898" s="3">
        <v>23.48</v>
      </c>
      <c r="H3898" s="3">
        <v>554.31490303627095</v>
      </c>
      <c r="I3898" s="3">
        <v>23.85</v>
      </c>
      <c r="J3898" s="3">
        <v>24.04</v>
      </c>
      <c r="K3898" s="3">
        <v>23.42</v>
      </c>
      <c r="L3898" s="3">
        <v>554.31490303627095</v>
      </c>
    </row>
    <row r="3899" spans="1:12" ht="15" customHeight="1" x14ac:dyDescent="0.2">
      <c r="A3899" s="2">
        <v>40393</v>
      </c>
      <c r="B3899" s="3">
        <v>23.75</v>
      </c>
      <c r="C3899" s="1">
        <v>863627</v>
      </c>
      <c r="D3899" s="3">
        <v>-1.9999999999999501E-2</v>
      </c>
      <c r="E3899" s="3">
        <v>-8.4139671855276696E-2</v>
      </c>
      <c r="F3899" s="3">
        <v>-8.4139671855276696E-2</v>
      </c>
      <c r="G3899" s="3">
        <v>23.75</v>
      </c>
      <c r="H3899" s="3">
        <v>561.83896708311102</v>
      </c>
      <c r="I3899" s="3">
        <v>23.87</v>
      </c>
      <c r="J3899" s="3">
        <v>24.13</v>
      </c>
      <c r="K3899" s="3">
        <v>23.52</v>
      </c>
      <c r="L3899" s="3">
        <v>561.83896708311102</v>
      </c>
    </row>
    <row r="3900" spans="1:12" ht="15" customHeight="1" x14ac:dyDescent="0.2">
      <c r="A3900" s="2">
        <v>40392</v>
      </c>
      <c r="B3900" s="3">
        <v>23.77</v>
      </c>
      <c r="C3900" s="1">
        <v>1053392</v>
      </c>
      <c r="D3900" s="3">
        <v>0.32999999999999802</v>
      </c>
      <c r="E3900" s="3">
        <v>1.40784982935153</v>
      </c>
      <c r="F3900" s="3">
        <v>1.40784982935153</v>
      </c>
      <c r="G3900" s="3">
        <v>23.77</v>
      </c>
      <c r="H3900" s="3">
        <v>562.39630516065495</v>
      </c>
      <c r="I3900" s="3">
        <v>23.81</v>
      </c>
      <c r="J3900" s="3">
        <v>23.95</v>
      </c>
      <c r="K3900" s="3">
        <v>23.54</v>
      </c>
      <c r="L3900" s="3">
        <v>562.39630516065495</v>
      </c>
    </row>
    <row r="3901" spans="1:12" ht="15" customHeight="1" x14ac:dyDescent="0.2">
      <c r="A3901" s="2">
        <v>40389</v>
      </c>
      <c r="B3901" s="3">
        <v>23.44</v>
      </c>
      <c r="C3901" s="1">
        <v>1247761</v>
      </c>
      <c r="D3901" s="3">
        <v>-1.9999999999999501E-2</v>
      </c>
      <c r="E3901" s="3">
        <v>-8.5251491901105994E-2</v>
      </c>
      <c r="F3901" s="3">
        <v>-8.5251491901105994E-2</v>
      </c>
      <c r="G3901" s="3">
        <v>23.44</v>
      </c>
      <c r="H3901" s="3">
        <v>553.20022688118399</v>
      </c>
      <c r="I3901" s="3">
        <v>23.09</v>
      </c>
      <c r="J3901" s="3">
        <v>23.74</v>
      </c>
      <c r="K3901" s="3">
        <v>22.81</v>
      </c>
      <c r="L3901" s="3">
        <v>553.20022688118399</v>
      </c>
    </row>
    <row r="3902" spans="1:12" ht="15" customHeight="1" x14ac:dyDescent="0.2">
      <c r="A3902" s="2">
        <v>40388</v>
      </c>
      <c r="B3902" s="3">
        <v>23.46</v>
      </c>
      <c r="C3902" s="1">
        <v>1433403</v>
      </c>
      <c r="D3902" s="3">
        <v>-0.55999999999999805</v>
      </c>
      <c r="E3902" s="3">
        <v>-2.3313905079100601</v>
      </c>
      <c r="F3902" s="3">
        <v>-2.3313905079100601</v>
      </c>
      <c r="G3902" s="3">
        <v>23.46</v>
      </c>
      <c r="H3902" s="3">
        <v>553.75756495872804</v>
      </c>
      <c r="I3902" s="3">
        <v>24.25</v>
      </c>
      <c r="J3902" s="3">
        <v>24.4</v>
      </c>
      <c r="K3902" s="3">
        <v>23.16</v>
      </c>
      <c r="L3902" s="3">
        <v>553.75756495872804</v>
      </c>
    </row>
    <row r="3903" spans="1:12" ht="15" customHeight="1" x14ac:dyDescent="0.2">
      <c r="A3903" s="2">
        <v>40387</v>
      </c>
      <c r="B3903" s="3">
        <v>24.02</v>
      </c>
      <c r="C3903" s="1">
        <v>1149563</v>
      </c>
      <c r="D3903" s="3">
        <v>-5.0000000000000697E-2</v>
      </c>
      <c r="E3903" s="3">
        <v>-0.20772746157041699</v>
      </c>
      <c r="F3903" s="3">
        <v>-0.20772746157041699</v>
      </c>
      <c r="G3903" s="3">
        <v>24.02</v>
      </c>
      <c r="H3903" s="3">
        <v>569.36303112995097</v>
      </c>
      <c r="I3903" s="3">
        <v>24.07</v>
      </c>
      <c r="J3903" s="3">
        <v>24.375</v>
      </c>
      <c r="K3903" s="3">
        <v>23.86</v>
      </c>
      <c r="L3903" s="3">
        <v>569.36303112995097</v>
      </c>
    </row>
    <row r="3904" spans="1:12" ht="15" customHeight="1" x14ac:dyDescent="0.2">
      <c r="A3904" s="2">
        <v>40386</v>
      </c>
      <c r="B3904" s="3">
        <v>24.07</v>
      </c>
      <c r="C3904" s="1">
        <v>1239502</v>
      </c>
      <c r="D3904" s="3">
        <v>-0.190000000000001</v>
      </c>
      <c r="E3904" s="3">
        <v>-0.78318219291014701</v>
      </c>
      <c r="F3904" s="3">
        <v>-0.78318219291014701</v>
      </c>
      <c r="G3904" s="3">
        <v>24.07</v>
      </c>
      <c r="H3904" s="3">
        <v>570.75637632380995</v>
      </c>
      <c r="I3904" s="3">
        <v>24.5</v>
      </c>
      <c r="J3904" s="3">
        <v>24.64</v>
      </c>
      <c r="K3904" s="3">
        <v>24</v>
      </c>
      <c r="L3904" s="3">
        <v>570.75637632380995</v>
      </c>
    </row>
    <row r="3905" spans="1:12" ht="15" customHeight="1" x14ac:dyDescent="0.2">
      <c r="A3905" s="2">
        <v>40385</v>
      </c>
      <c r="B3905" s="3">
        <v>24.26</v>
      </c>
      <c r="C3905" s="1">
        <v>1849731</v>
      </c>
      <c r="D3905" s="3">
        <v>0.45000000000000201</v>
      </c>
      <c r="E3905" s="3">
        <v>1.88996220075599</v>
      </c>
      <c r="F3905" s="3">
        <v>1.88996220075599</v>
      </c>
      <c r="G3905" s="3">
        <v>24.26</v>
      </c>
      <c r="H3905" s="3">
        <v>576.05108806047497</v>
      </c>
      <c r="I3905" s="3">
        <v>23.81</v>
      </c>
      <c r="J3905" s="3">
        <v>24.4</v>
      </c>
      <c r="K3905" s="3">
        <v>23.7</v>
      </c>
      <c r="L3905" s="3">
        <v>576.05108806047497</v>
      </c>
    </row>
    <row r="3906" spans="1:12" ht="15" customHeight="1" x14ac:dyDescent="0.2">
      <c r="A3906" s="2">
        <v>40382</v>
      </c>
      <c r="B3906" s="3">
        <v>23.81</v>
      </c>
      <c r="C3906" s="1">
        <v>4391170</v>
      </c>
      <c r="D3906" s="3">
        <v>-1.92</v>
      </c>
      <c r="E3906" s="3">
        <v>-7.4621064904780399</v>
      </c>
      <c r="F3906" s="3">
        <v>-7.4621064904780399</v>
      </c>
      <c r="G3906" s="3">
        <v>23.81</v>
      </c>
      <c r="H3906" s="3">
        <v>563.51098131574201</v>
      </c>
      <c r="I3906" s="3">
        <v>24.26</v>
      </c>
      <c r="J3906" s="3">
        <v>25.05</v>
      </c>
      <c r="K3906" s="3">
        <v>23.52</v>
      </c>
      <c r="L3906" s="3">
        <v>563.51098131574201</v>
      </c>
    </row>
    <row r="3907" spans="1:12" ht="15" customHeight="1" x14ac:dyDescent="0.2">
      <c r="A3907" s="2">
        <v>40381</v>
      </c>
      <c r="B3907" s="3">
        <v>25.73</v>
      </c>
      <c r="C3907" s="1">
        <v>2695003</v>
      </c>
      <c r="D3907" s="3">
        <v>0.98</v>
      </c>
      <c r="E3907" s="3">
        <v>3.9595959595959598</v>
      </c>
      <c r="F3907" s="3">
        <v>3.9595959595959598</v>
      </c>
      <c r="G3907" s="3">
        <v>25.73</v>
      </c>
      <c r="H3907" s="3">
        <v>617.01543675993503</v>
      </c>
      <c r="I3907" s="3">
        <v>25.14</v>
      </c>
      <c r="J3907" s="3">
        <v>25.84</v>
      </c>
      <c r="K3907" s="3">
        <v>24.05</v>
      </c>
      <c r="L3907" s="3">
        <v>617.01543675993503</v>
      </c>
    </row>
    <row r="3908" spans="1:12" ht="15" customHeight="1" x14ac:dyDescent="0.2">
      <c r="A3908" s="2">
        <v>40380</v>
      </c>
      <c r="B3908" s="3">
        <v>24.75</v>
      </c>
      <c r="C3908" s="1">
        <v>1533501</v>
      </c>
      <c r="D3908" s="3">
        <v>-0.53000000000000103</v>
      </c>
      <c r="E3908" s="3">
        <v>-2.0965189873417698</v>
      </c>
      <c r="F3908" s="3">
        <v>-2.0965189873417698</v>
      </c>
      <c r="G3908" s="3">
        <v>24.75</v>
      </c>
      <c r="H3908" s="3">
        <v>589.70587096029499</v>
      </c>
      <c r="I3908" s="3">
        <v>25.52</v>
      </c>
      <c r="J3908" s="3">
        <v>25.52</v>
      </c>
      <c r="K3908" s="3">
        <v>24.57</v>
      </c>
      <c r="L3908" s="3">
        <v>589.70587096029499</v>
      </c>
    </row>
    <row r="3909" spans="1:12" ht="15" customHeight="1" x14ac:dyDescent="0.2">
      <c r="A3909" s="2">
        <v>40379</v>
      </c>
      <c r="B3909" s="3">
        <v>25.28</v>
      </c>
      <c r="C3909" s="1">
        <v>2580702</v>
      </c>
      <c r="D3909" s="3">
        <v>1.54</v>
      </c>
      <c r="E3909" s="3">
        <v>6.4869418702611696</v>
      </c>
      <c r="F3909" s="3">
        <v>6.4869418702611696</v>
      </c>
      <c r="G3909" s="3">
        <v>25.28</v>
      </c>
      <c r="H3909" s="3">
        <v>604.47533001520196</v>
      </c>
      <c r="I3909" s="3">
        <v>23.53</v>
      </c>
      <c r="J3909" s="3">
        <v>25.37</v>
      </c>
      <c r="K3909" s="3">
        <v>23.49</v>
      </c>
      <c r="L3909" s="3">
        <v>604.47533001520196</v>
      </c>
    </row>
    <row r="3910" spans="1:12" ht="15" customHeight="1" x14ac:dyDescent="0.2">
      <c r="A3910" s="2">
        <v>40378</v>
      </c>
      <c r="B3910" s="3">
        <v>23.74</v>
      </c>
      <c r="C3910" s="1">
        <v>2387215</v>
      </c>
      <c r="D3910" s="3">
        <v>-0.47000000000000203</v>
      </c>
      <c r="E3910" s="3">
        <v>-1.9413465510119901</v>
      </c>
      <c r="F3910" s="3">
        <v>-1.9413465510119901</v>
      </c>
      <c r="G3910" s="3">
        <v>23.74</v>
      </c>
      <c r="H3910" s="3">
        <v>561.56029804433899</v>
      </c>
      <c r="I3910" s="3">
        <v>24.2</v>
      </c>
      <c r="J3910" s="3">
        <v>24.31</v>
      </c>
      <c r="K3910" s="3">
        <v>23.47</v>
      </c>
      <c r="L3910" s="3">
        <v>561.56029804433899</v>
      </c>
    </row>
    <row r="3911" spans="1:12" ht="15" customHeight="1" x14ac:dyDescent="0.2">
      <c r="A3911" s="2">
        <v>40375</v>
      </c>
      <c r="B3911" s="3">
        <v>24.21</v>
      </c>
      <c r="C3911" s="1">
        <v>1714616</v>
      </c>
      <c r="D3911" s="3">
        <v>-1.3799999999999899</v>
      </c>
      <c r="E3911" s="3">
        <v>-5.3927315357561403</v>
      </c>
      <c r="F3911" s="3">
        <v>-5.3927315357561403</v>
      </c>
      <c r="G3911" s="3">
        <v>24.21</v>
      </c>
      <c r="H3911" s="3">
        <v>574.65774286661599</v>
      </c>
      <c r="I3911" s="3">
        <v>25.37</v>
      </c>
      <c r="J3911" s="3">
        <v>25.55</v>
      </c>
      <c r="K3911" s="3">
        <v>24.11</v>
      </c>
      <c r="L3911" s="3">
        <v>574.65774286661599</v>
      </c>
    </row>
    <row r="3912" spans="1:12" ht="15" customHeight="1" x14ac:dyDescent="0.2">
      <c r="A3912" s="2">
        <v>40374</v>
      </c>
      <c r="B3912" s="3">
        <v>25.59</v>
      </c>
      <c r="C3912" s="1">
        <v>1095882</v>
      </c>
      <c r="D3912" s="3">
        <v>-0.16</v>
      </c>
      <c r="E3912" s="3">
        <v>-0.62135922330097604</v>
      </c>
      <c r="F3912" s="3">
        <v>-0.62135922330097604</v>
      </c>
      <c r="G3912" s="3">
        <v>25.59</v>
      </c>
      <c r="H3912" s="3">
        <v>613.11407021712898</v>
      </c>
      <c r="I3912" s="3">
        <v>25.7</v>
      </c>
      <c r="J3912" s="3">
        <v>25.81</v>
      </c>
      <c r="K3912" s="3">
        <v>25.02</v>
      </c>
      <c r="L3912" s="3">
        <v>613.11407021712898</v>
      </c>
    </row>
    <row r="3913" spans="1:12" ht="15" customHeight="1" x14ac:dyDescent="0.2">
      <c r="A3913" s="2">
        <v>40373</v>
      </c>
      <c r="B3913" s="3">
        <v>25.75</v>
      </c>
      <c r="C3913" s="1">
        <v>1070310</v>
      </c>
      <c r="D3913" s="3">
        <v>-0.14000000000000001</v>
      </c>
      <c r="E3913" s="3">
        <v>-0.54074932406334897</v>
      </c>
      <c r="F3913" s="3">
        <v>-0.54074932406334897</v>
      </c>
      <c r="G3913" s="3">
        <v>25.75</v>
      </c>
      <c r="H3913" s="3">
        <v>617.57277483747805</v>
      </c>
      <c r="I3913" s="3">
        <v>25.82</v>
      </c>
      <c r="J3913" s="3">
        <v>25.82</v>
      </c>
      <c r="K3913" s="3">
        <v>25.39</v>
      </c>
      <c r="L3913" s="3">
        <v>617.57277483747805</v>
      </c>
    </row>
    <row r="3914" spans="1:12" ht="15" customHeight="1" x14ac:dyDescent="0.2">
      <c r="A3914" s="2">
        <v>40372</v>
      </c>
      <c r="B3914" s="3">
        <v>25.89</v>
      </c>
      <c r="C3914" s="1">
        <v>2002446</v>
      </c>
      <c r="D3914" s="3">
        <v>1.53</v>
      </c>
      <c r="E3914" s="3">
        <v>6.2807881773399004</v>
      </c>
      <c r="F3914" s="3">
        <v>6.2807881773399004</v>
      </c>
      <c r="G3914" s="3">
        <v>25.89</v>
      </c>
      <c r="H3914" s="3">
        <v>621.47414138028398</v>
      </c>
      <c r="I3914" s="3">
        <v>25.09</v>
      </c>
      <c r="J3914" s="3">
        <v>25.97</v>
      </c>
      <c r="K3914" s="3">
        <v>24.97</v>
      </c>
      <c r="L3914" s="3">
        <v>621.47414138028398</v>
      </c>
    </row>
    <row r="3915" spans="1:12" ht="15" customHeight="1" x14ac:dyDescent="0.2">
      <c r="A3915" s="2">
        <v>40371</v>
      </c>
      <c r="B3915" s="3">
        <v>24.36</v>
      </c>
      <c r="C3915" s="1">
        <v>1127785</v>
      </c>
      <c r="D3915" s="3">
        <v>-0.40000000000000202</v>
      </c>
      <c r="E3915" s="3">
        <v>-1.6155088852988699</v>
      </c>
      <c r="F3915" s="3">
        <v>-1.6155088852988699</v>
      </c>
      <c r="G3915" s="3">
        <v>24.36</v>
      </c>
      <c r="H3915" s="3">
        <v>578.83777844819303</v>
      </c>
      <c r="I3915" s="3">
        <v>24.62</v>
      </c>
      <c r="J3915" s="3">
        <v>24.77</v>
      </c>
      <c r="K3915" s="3">
        <v>23.92</v>
      </c>
      <c r="L3915" s="3">
        <v>578.83777844819303</v>
      </c>
    </row>
    <row r="3916" spans="1:12" ht="15" customHeight="1" x14ac:dyDescent="0.2">
      <c r="A3916" s="2">
        <v>40368</v>
      </c>
      <c r="B3916" s="3">
        <v>24.76</v>
      </c>
      <c r="C3916" s="1">
        <v>2117562</v>
      </c>
      <c r="D3916" s="3">
        <v>1.1100000000000001</v>
      </c>
      <c r="E3916" s="3">
        <v>4.6934460887949303</v>
      </c>
      <c r="F3916" s="3">
        <v>4.6934460887949303</v>
      </c>
      <c r="G3916" s="3">
        <v>24.76</v>
      </c>
      <c r="H3916" s="3">
        <v>589.98453999906599</v>
      </c>
      <c r="I3916" s="3">
        <v>23.67</v>
      </c>
      <c r="J3916" s="3">
        <v>24.81</v>
      </c>
      <c r="K3916" s="3">
        <v>23.574999999999999</v>
      </c>
      <c r="L3916" s="3">
        <v>589.98453999906599</v>
      </c>
    </row>
    <row r="3917" spans="1:12" ht="15" customHeight="1" x14ac:dyDescent="0.2">
      <c r="A3917" s="2">
        <v>40367</v>
      </c>
      <c r="B3917" s="3">
        <v>23.65</v>
      </c>
      <c r="C3917" s="1">
        <v>1931026</v>
      </c>
      <c r="D3917" s="3">
        <v>0.83999999999999897</v>
      </c>
      <c r="E3917" s="3">
        <v>3.6825953529153899</v>
      </c>
      <c r="F3917" s="3">
        <v>3.6825953529153899</v>
      </c>
      <c r="G3917" s="3">
        <v>23.65</v>
      </c>
      <c r="H3917" s="3">
        <v>559.05227669539295</v>
      </c>
      <c r="I3917" s="3">
        <v>23.09</v>
      </c>
      <c r="J3917" s="3">
        <v>23.67</v>
      </c>
      <c r="K3917" s="3">
        <v>22.99</v>
      </c>
      <c r="L3917" s="3">
        <v>559.05227669539295</v>
      </c>
    </row>
    <row r="3918" spans="1:12" ht="15" customHeight="1" x14ac:dyDescent="0.2">
      <c r="A3918" s="2">
        <v>40366</v>
      </c>
      <c r="B3918" s="3">
        <v>22.81</v>
      </c>
      <c r="C3918" s="1">
        <v>1203764</v>
      </c>
      <c r="D3918" s="3">
        <v>1.0499999999999901</v>
      </c>
      <c r="E3918" s="3">
        <v>4.8253676470588003</v>
      </c>
      <c r="F3918" s="3">
        <v>4.8253676470588003</v>
      </c>
      <c r="G3918" s="3">
        <v>22.81</v>
      </c>
      <c r="H3918" s="3">
        <v>535.64407743855804</v>
      </c>
      <c r="I3918" s="3">
        <v>21.83</v>
      </c>
      <c r="J3918" s="3">
        <v>22.85</v>
      </c>
      <c r="K3918" s="3">
        <v>21.78</v>
      </c>
      <c r="L3918" s="3">
        <v>535.64407743855804</v>
      </c>
    </row>
    <row r="3919" spans="1:12" ht="15" customHeight="1" x14ac:dyDescent="0.2">
      <c r="A3919" s="2">
        <v>40365</v>
      </c>
      <c r="B3919" s="3">
        <v>21.76</v>
      </c>
      <c r="C3919" s="1">
        <v>1512180</v>
      </c>
      <c r="D3919" s="3">
        <v>-0.39999999999999802</v>
      </c>
      <c r="E3919" s="3">
        <v>-1.80505415162454</v>
      </c>
      <c r="F3919" s="3">
        <v>-1.80505415162454</v>
      </c>
      <c r="G3919" s="3">
        <v>21.76</v>
      </c>
      <c r="H3919" s="3">
        <v>506.383828367516</v>
      </c>
      <c r="I3919" s="3">
        <v>22.39</v>
      </c>
      <c r="J3919" s="3">
        <v>22.89</v>
      </c>
      <c r="K3919" s="3">
        <v>21.71</v>
      </c>
      <c r="L3919" s="3">
        <v>506.383828367516</v>
      </c>
    </row>
    <row r="3920" spans="1:12" ht="15" customHeight="1" x14ac:dyDescent="0.2">
      <c r="A3920" s="2">
        <v>40361</v>
      </c>
      <c r="B3920" s="3">
        <v>22.16</v>
      </c>
      <c r="C3920" s="1">
        <v>1127280</v>
      </c>
      <c r="D3920" s="3">
        <v>-0.3</v>
      </c>
      <c r="E3920" s="3">
        <v>-1.3357079252003501</v>
      </c>
      <c r="F3920" s="3">
        <v>-1.3357079252003501</v>
      </c>
      <c r="G3920" s="3">
        <v>22.16</v>
      </c>
      <c r="H3920" s="3">
        <v>517.53058991838896</v>
      </c>
      <c r="I3920" s="3">
        <v>22.54</v>
      </c>
      <c r="J3920" s="3">
        <v>22.96</v>
      </c>
      <c r="K3920" s="3">
        <v>22.1</v>
      </c>
      <c r="L3920" s="3">
        <v>517.53058991838896</v>
      </c>
    </row>
    <row r="3921" spans="1:12" ht="15" customHeight="1" x14ac:dyDescent="0.2">
      <c r="A3921" s="2">
        <v>40360</v>
      </c>
      <c r="B3921" s="3">
        <v>22.46</v>
      </c>
      <c r="C3921" s="1">
        <v>1412742</v>
      </c>
      <c r="D3921" s="3">
        <v>0.19999999999999901</v>
      </c>
      <c r="E3921" s="3">
        <v>0.89847259658579703</v>
      </c>
      <c r="F3921" s="3">
        <v>0.89847259658579703</v>
      </c>
      <c r="G3921" s="3">
        <v>22.46</v>
      </c>
      <c r="H3921" s="3">
        <v>525.89066108154395</v>
      </c>
      <c r="I3921" s="3">
        <v>22.49</v>
      </c>
      <c r="J3921" s="3">
        <v>22.62</v>
      </c>
      <c r="K3921" s="3">
        <v>21.6</v>
      </c>
      <c r="L3921" s="3">
        <v>525.89066108154395</v>
      </c>
    </row>
    <row r="3922" spans="1:12" ht="15" customHeight="1" x14ac:dyDescent="0.2">
      <c r="A3922" s="2">
        <v>40359</v>
      </c>
      <c r="B3922" s="3">
        <v>22.26</v>
      </c>
      <c r="C3922" s="1">
        <v>1564148</v>
      </c>
      <c r="D3922" s="3">
        <v>6.0000000000002197E-2</v>
      </c>
      <c r="E3922" s="3">
        <v>0.27027027027028899</v>
      </c>
      <c r="F3922" s="3">
        <v>0.27027027027028899</v>
      </c>
      <c r="G3922" s="3">
        <v>22.26</v>
      </c>
      <c r="H3922" s="3">
        <v>520.31728030610702</v>
      </c>
      <c r="I3922" s="3">
        <v>22.23</v>
      </c>
      <c r="J3922" s="3">
        <v>22.76</v>
      </c>
      <c r="K3922" s="3">
        <v>22.08</v>
      </c>
      <c r="L3922" s="3">
        <v>520.31728030610702</v>
      </c>
    </row>
    <row r="3923" spans="1:12" ht="15" customHeight="1" x14ac:dyDescent="0.2">
      <c r="A3923" s="2">
        <v>40358</v>
      </c>
      <c r="B3923" s="3">
        <v>22.2</v>
      </c>
      <c r="C3923" s="1">
        <v>1461608</v>
      </c>
      <c r="D3923" s="3">
        <v>-1.06</v>
      </c>
      <c r="E3923" s="3">
        <v>-4.5571797076526304</v>
      </c>
      <c r="F3923" s="3">
        <v>-4.5571797076526304</v>
      </c>
      <c r="G3923" s="3">
        <v>22.2</v>
      </c>
      <c r="H3923" s="3">
        <v>518.64526607347602</v>
      </c>
      <c r="I3923" s="3">
        <v>22.89</v>
      </c>
      <c r="J3923" s="3">
        <v>23.07</v>
      </c>
      <c r="K3923" s="3">
        <v>22.16</v>
      </c>
      <c r="L3923" s="3">
        <v>518.64526607347602</v>
      </c>
    </row>
    <row r="3924" spans="1:12" ht="15" customHeight="1" x14ac:dyDescent="0.2">
      <c r="A3924" s="2">
        <v>40357</v>
      </c>
      <c r="B3924" s="3">
        <v>23.26</v>
      </c>
      <c r="C3924" s="1">
        <v>781837</v>
      </c>
      <c r="D3924" s="3">
        <v>-0.20999999999999699</v>
      </c>
      <c r="E3924" s="3">
        <v>-0.89475926714953602</v>
      </c>
      <c r="F3924" s="3">
        <v>-0.89475926714953602</v>
      </c>
      <c r="G3924" s="3">
        <v>23.26</v>
      </c>
      <c r="H3924" s="3">
        <v>548.18418418329099</v>
      </c>
      <c r="I3924" s="3">
        <v>23.47</v>
      </c>
      <c r="J3924" s="3">
        <v>23.87</v>
      </c>
      <c r="K3924" s="3">
        <v>23.24</v>
      </c>
      <c r="L3924" s="3">
        <v>548.18418418329099</v>
      </c>
    </row>
    <row r="3925" spans="1:12" ht="15" customHeight="1" x14ac:dyDescent="0.2">
      <c r="A3925" s="2">
        <v>40354</v>
      </c>
      <c r="B3925" s="3">
        <v>23.47</v>
      </c>
      <c r="C3925" s="1">
        <v>1226227</v>
      </c>
      <c r="D3925" s="3">
        <v>0.109999999999999</v>
      </c>
      <c r="E3925" s="3">
        <v>0.47089041095889</v>
      </c>
      <c r="F3925" s="3">
        <v>0.47089041095889</v>
      </c>
      <c r="G3925" s="3">
        <v>23.47</v>
      </c>
      <c r="H3925" s="3">
        <v>554.03623399749995</v>
      </c>
      <c r="I3925" s="3">
        <v>23.37</v>
      </c>
      <c r="J3925" s="3">
        <v>23.74</v>
      </c>
      <c r="K3925" s="3">
        <v>23.16</v>
      </c>
      <c r="L3925" s="3">
        <v>554.03623399749995</v>
      </c>
    </row>
    <row r="3926" spans="1:12" ht="15" customHeight="1" x14ac:dyDescent="0.2">
      <c r="A3926" s="2">
        <v>40353</v>
      </c>
      <c r="B3926" s="3">
        <v>23.36</v>
      </c>
      <c r="C3926" s="1">
        <v>1259239</v>
      </c>
      <c r="D3926" s="3">
        <v>-1</v>
      </c>
      <c r="E3926" s="3">
        <v>-4.1050903119868503</v>
      </c>
      <c r="F3926" s="3">
        <v>-4.1050903119868503</v>
      </c>
      <c r="G3926" s="3">
        <v>23.36</v>
      </c>
      <c r="H3926" s="3">
        <v>550.97087457100895</v>
      </c>
      <c r="I3926" s="3">
        <v>24.15</v>
      </c>
      <c r="J3926" s="3">
        <v>24.27</v>
      </c>
      <c r="K3926" s="3">
        <v>23.31</v>
      </c>
      <c r="L3926" s="3">
        <v>550.97087457100895</v>
      </c>
    </row>
    <row r="3927" spans="1:12" ht="15" customHeight="1" x14ac:dyDescent="0.2">
      <c r="A3927" s="2">
        <v>40352</v>
      </c>
      <c r="B3927" s="3">
        <v>24.36</v>
      </c>
      <c r="C3927" s="1">
        <v>1650860</v>
      </c>
      <c r="D3927" s="3">
        <v>0.53000000000000103</v>
      </c>
      <c r="E3927" s="3">
        <v>2.2240872849349498</v>
      </c>
      <c r="F3927" s="3">
        <v>2.2240872849349498</v>
      </c>
      <c r="G3927" s="3">
        <v>24.36</v>
      </c>
      <c r="H3927" s="3">
        <v>578.83777844819303</v>
      </c>
      <c r="I3927" s="3">
        <v>23.95</v>
      </c>
      <c r="J3927" s="3">
        <v>24.56</v>
      </c>
      <c r="K3927" s="3">
        <v>23.75</v>
      </c>
      <c r="L3927" s="3">
        <v>578.83777844819303</v>
      </c>
    </row>
    <row r="3928" spans="1:12" ht="15" customHeight="1" x14ac:dyDescent="0.2">
      <c r="A3928" s="2">
        <v>40351</v>
      </c>
      <c r="B3928" s="3">
        <v>23.83</v>
      </c>
      <c r="C3928" s="1">
        <v>1587710</v>
      </c>
      <c r="D3928" s="3">
        <v>-0.62000000000000099</v>
      </c>
      <c r="E3928" s="3">
        <v>-2.5357873210633901</v>
      </c>
      <c r="F3928" s="3">
        <v>-2.5357873210633901</v>
      </c>
      <c r="G3928" s="3">
        <v>23.83</v>
      </c>
      <c r="H3928" s="3">
        <v>564.06831939328595</v>
      </c>
      <c r="I3928" s="3">
        <v>24.6</v>
      </c>
      <c r="J3928" s="3">
        <v>24.93</v>
      </c>
      <c r="K3928" s="3">
        <v>23.78</v>
      </c>
      <c r="L3928" s="3">
        <v>564.06831939328595</v>
      </c>
    </row>
    <row r="3929" spans="1:12" ht="15" customHeight="1" x14ac:dyDescent="0.2">
      <c r="A3929" s="2">
        <v>40350</v>
      </c>
      <c r="B3929" s="3">
        <v>24.45</v>
      </c>
      <c r="C3929" s="1">
        <v>2306465</v>
      </c>
      <c r="D3929" s="3">
        <v>-1.03999999999999</v>
      </c>
      <c r="E3929" s="3">
        <v>-4.0800313848567997</v>
      </c>
      <c r="F3929" s="3">
        <v>-4.0800313848567997</v>
      </c>
      <c r="G3929" s="3">
        <v>24.45</v>
      </c>
      <c r="H3929" s="3">
        <v>581.34579979713999</v>
      </c>
      <c r="I3929" s="3">
        <v>25.87</v>
      </c>
      <c r="J3929" s="3">
        <v>25.87</v>
      </c>
      <c r="K3929" s="3">
        <v>24.35</v>
      </c>
      <c r="L3929" s="3">
        <v>581.34579979713999</v>
      </c>
    </row>
    <row r="3930" spans="1:12" ht="15" customHeight="1" x14ac:dyDescent="0.2">
      <c r="A3930" s="2">
        <v>40347</v>
      </c>
      <c r="B3930" s="3">
        <v>25.49</v>
      </c>
      <c r="C3930" s="1">
        <v>989819</v>
      </c>
      <c r="D3930" s="3">
        <v>-0.110000000000002</v>
      </c>
      <c r="E3930" s="3">
        <v>-0.42968750000000799</v>
      </c>
      <c r="F3930" s="3">
        <v>-0.42968750000000799</v>
      </c>
      <c r="G3930" s="3">
        <v>25.49</v>
      </c>
      <c r="H3930" s="3">
        <v>610.32737982941103</v>
      </c>
      <c r="I3930" s="3">
        <v>25.6</v>
      </c>
      <c r="J3930" s="3">
        <v>25.94</v>
      </c>
      <c r="K3930" s="3">
        <v>25.17</v>
      </c>
      <c r="L3930" s="3">
        <v>610.32737982941103</v>
      </c>
    </row>
    <row r="3931" spans="1:12" ht="15" customHeight="1" x14ac:dyDescent="0.2">
      <c r="A3931" s="2">
        <v>40346</v>
      </c>
      <c r="B3931" s="3">
        <v>25.6</v>
      </c>
      <c r="C3931" s="1">
        <v>864502</v>
      </c>
      <c r="D3931" s="3">
        <v>4.00000000000027E-2</v>
      </c>
      <c r="E3931" s="3">
        <v>0.15649452269170799</v>
      </c>
      <c r="F3931" s="3">
        <v>0.15649452269170799</v>
      </c>
      <c r="G3931" s="3">
        <v>25.6</v>
      </c>
      <c r="H3931" s="3">
        <v>613.39273925590101</v>
      </c>
      <c r="I3931" s="3">
        <v>25.7</v>
      </c>
      <c r="J3931" s="3">
        <v>25.74</v>
      </c>
      <c r="K3931" s="3">
        <v>25.18</v>
      </c>
      <c r="L3931" s="3">
        <v>613.39273925590101</v>
      </c>
    </row>
    <row r="3932" spans="1:12" ht="15" customHeight="1" x14ac:dyDescent="0.2">
      <c r="A3932" s="2">
        <v>40345</v>
      </c>
      <c r="B3932" s="3">
        <v>25.56</v>
      </c>
      <c r="C3932" s="1">
        <v>1267575</v>
      </c>
      <c r="D3932" s="3">
        <v>-0.17999999999999899</v>
      </c>
      <c r="E3932" s="3">
        <v>-0.69930069930069705</v>
      </c>
      <c r="F3932" s="3">
        <v>-0.69930069930069705</v>
      </c>
      <c r="G3932" s="3">
        <v>25.56</v>
      </c>
      <c r="H3932" s="3">
        <v>612.27806310081303</v>
      </c>
      <c r="I3932" s="3">
        <v>25.59</v>
      </c>
      <c r="J3932" s="3">
        <v>25.75</v>
      </c>
      <c r="K3932" s="3">
        <v>25.43</v>
      </c>
      <c r="L3932" s="3">
        <v>612.27806310081303</v>
      </c>
    </row>
    <row r="3933" spans="1:12" ht="15" customHeight="1" x14ac:dyDescent="0.2">
      <c r="A3933" s="2">
        <v>40344</v>
      </c>
      <c r="B3933" s="3">
        <v>25.74</v>
      </c>
      <c r="C3933" s="1">
        <v>957682</v>
      </c>
      <c r="D3933" s="3">
        <v>0.25999999999999801</v>
      </c>
      <c r="E3933" s="3">
        <v>1.0204081632652899</v>
      </c>
      <c r="F3933" s="3">
        <v>1.0204081632652899</v>
      </c>
      <c r="G3933" s="3">
        <v>25.74</v>
      </c>
      <c r="H3933" s="3">
        <v>617.29410579870603</v>
      </c>
      <c r="I3933" s="3">
        <v>25.69</v>
      </c>
      <c r="J3933" s="3">
        <v>25.86</v>
      </c>
      <c r="K3933" s="3">
        <v>25.45</v>
      </c>
      <c r="L3933" s="3">
        <v>617.29410579870603</v>
      </c>
    </row>
    <row r="3934" spans="1:12" ht="15" customHeight="1" x14ac:dyDescent="0.2">
      <c r="A3934" s="2">
        <v>40343</v>
      </c>
      <c r="B3934" s="3">
        <v>25.48</v>
      </c>
      <c r="C3934" s="1">
        <v>1293923</v>
      </c>
      <c r="D3934" s="3">
        <v>0.46</v>
      </c>
      <c r="E3934" s="3">
        <v>1.83852917665867</v>
      </c>
      <c r="F3934" s="3">
        <v>1.83852917665867</v>
      </c>
      <c r="G3934" s="3">
        <v>25.48</v>
      </c>
      <c r="H3934" s="3">
        <v>610.04871079063901</v>
      </c>
      <c r="I3934" s="3">
        <v>25.13</v>
      </c>
      <c r="J3934" s="3">
        <v>25.63</v>
      </c>
      <c r="K3934" s="3">
        <v>25.04</v>
      </c>
      <c r="L3934" s="3">
        <v>610.04871079063901</v>
      </c>
    </row>
    <row r="3935" spans="1:12" ht="15" customHeight="1" x14ac:dyDescent="0.2">
      <c r="A3935" s="2">
        <v>40340</v>
      </c>
      <c r="B3935" s="3">
        <v>25.02</v>
      </c>
      <c r="C3935" s="1">
        <v>1447264</v>
      </c>
      <c r="D3935" s="3">
        <v>0.64</v>
      </c>
      <c r="E3935" s="3">
        <v>2.6251025430680901</v>
      </c>
      <c r="F3935" s="3">
        <v>2.6251025430680901</v>
      </c>
      <c r="G3935" s="3">
        <v>25.02</v>
      </c>
      <c r="H3935" s="3">
        <v>597.22993500713403</v>
      </c>
      <c r="I3935" s="3">
        <v>24.06</v>
      </c>
      <c r="J3935" s="3">
        <v>25.03</v>
      </c>
      <c r="K3935" s="3">
        <v>24.03</v>
      </c>
      <c r="L3935" s="3">
        <v>597.22993500713403</v>
      </c>
    </row>
    <row r="3936" spans="1:12" ht="15" customHeight="1" x14ac:dyDescent="0.2">
      <c r="A3936" s="2">
        <v>40339</v>
      </c>
      <c r="B3936" s="3">
        <v>24.38</v>
      </c>
      <c r="C3936" s="1">
        <v>1973779</v>
      </c>
      <c r="D3936" s="3">
        <v>0.109999999999999</v>
      </c>
      <c r="E3936" s="3">
        <v>0.45323444581788402</v>
      </c>
      <c r="F3936" s="3">
        <v>0.45323444581788402</v>
      </c>
      <c r="G3936" s="3">
        <v>24.38</v>
      </c>
      <c r="H3936" s="3">
        <v>579.39511652573697</v>
      </c>
      <c r="I3936" s="3">
        <v>24.67</v>
      </c>
      <c r="J3936" s="3">
        <v>25.02</v>
      </c>
      <c r="K3936" s="3">
        <v>24.08</v>
      </c>
      <c r="L3936" s="3">
        <v>579.39511652573697</v>
      </c>
    </row>
    <row r="3937" spans="1:12" ht="15" customHeight="1" x14ac:dyDescent="0.2">
      <c r="A3937" s="2">
        <v>40338</v>
      </c>
      <c r="B3937" s="3">
        <v>24.27</v>
      </c>
      <c r="C3937" s="1">
        <v>1668164</v>
      </c>
      <c r="D3937" s="3">
        <v>0.35999999999999899</v>
      </c>
      <c r="E3937" s="3">
        <v>1.5056461731492901</v>
      </c>
      <c r="F3937" s="3">
        <v>1.5056461731492901</v>
      </c>
      <c r="G3937" s="3">
        <v>24.27</v>
      </c>
      <c r="H3937" s="3">
        <v>576.32975709924699</v>
      </c>
      <c r="I3937" s="3">
        <v>24.15</v>
      </c>
      <c r="J3937" s="3">
        <v>24.99</v>
      </c>
      <c r="K3937" s="3">
        <v>24</v>
      </c>
      <c r="L3937" s="3">
        <v>576.32975709924699</v>
      </c>
    </row>
    <row r="3938" spans="1:12" ht="15" customHeight="1" x14ac:dyDescent="0.2">
      <c r="A3938" s="2">
        <v>40337</v>
      </c>
      <c r="B3938" s="3">
        <v>23.91</v>
      </c>
      <c r="C3938" s="1">
        <v>1932517</v>
      </c>
      <c r="D3938" s="3">
        <v>0.23</v>
      </c>
      <c r="E3938" s="3">
        <v>0.97128378378379399</v>
      </c>
      <c r="F3938" s="3">
        <v>0.97128378378379399</v>
      </c>
      <c r="G3938" s="3">
        <v>23.91</v>
      </c>
      <c r="H3938" s="3">
        <v>566.29767170345997</v>
      </c>
      <c r="I3938" s="3">
        <v>23.68</v>
      </c>
      <c r="J3938" s="3">
        <v>24.08</v>
      </c>
      <c r="K3938" s="3">
        <v>23.02</v>
      </c>
      <c r="L3938" s="3">
        <v>566.29767170345997</v>
      </c>
    </row>
    <row r="3939" spans="1:12" ht="15" customHeight="1" x14ac:dyDescent="0.2">
      <c r="A3939" s="2">
        <v>40336</v>
      </c>
      <c r="B3939" s="3">
        <v>23.68</v>
      </c>
      <c r="C3939" s="1">
        <v>1633622</v>
      </c>
      <c r="D3939" s="3">
        <v>-1.1799999999999899</v>
      </c>
      <c r="E3939" s="3">
        <v>-4.74658085277553</v>
      </c>
      <c r="F3939" s="3">
        <v>-4.74658085277553</v>
      </c>
      <c r="G3939" s="3">
        <v>23.68</v>
      </c>
      <c r="H3939" s="3">
        <v>559.88828381170799</v>
      </c>
      <c r="I3939" s="3">
        <v>24.87</v>
      </c>
      <c r="J3939" s="3">
        <v>24.92</v>
      </c>
      <c r="K3939" s="3">
        <v>23.61</v>
      </c>
      <c r="L3939" s="3">
        <v>559.88828381170799</v>
      </c>
    </row>
    <row r="3940" spans="1:12" ht="15" customHeight="1" x14ac:dyDescent="0.2">
      <c r="A3940" s="2">
        <v>40333</v>
      </c>
      <c r="B3940" s="3">
        <v>24.86</v>
      </c>
      <c r="C3940" s="1">
        <v>1864641</v>
      </c>
      <c r="D3940" s="3">
        <v>-0.85000000000000098</v>
      </c>
      <c r="E3940" s="3">
        <v>-3.3061065733177699</v>
      </c>
      <c r="F3940" s="3">
        <v>-3.3061065733177699</v>
      </c>
      <c r="G3940" s="3">
        <v>24.86</v>
      </c>
      <c r="H3940" s="3">
        <v>592.77123038678496</v>
      </c>
      <c r="I3940" s="3">
        <v>25.25</v>
      </c>
      <c r="J3940" s="3">
        <v>25.44</v>
      </c>
      <c r="K3940" s="3">
        <v>24.71</v>
      </c>
      <c r="L3940" s="3">
        <v>592.77123038678496</v>
      </c>
    </row>
    <row r="3941" spans="1:12" ht="15" customHeight="1" x14ac:dyDescent="0.2">
      <c r="A3941" s="2">
        <v>40332</v>
      </c>
      <c r="B3941" s="3">
        <v>25.71</v>
      </c>
      <c r="C3941" s="1">
        <v>752525</v>
      </c>
      <c r="D3941" s="3">
        <v>0.190000000000001</v>
      </c>
      <c r="E3941" s="3">
        <v>0.74451410658307104</v>
      </c>
      <c r="F3941" s="3">
        <v>0.74451410658307104</v>
      </c>
      <c r="G3941" s="3">
        <v>25.71</v>
      </c>
      <c r="H3941" s="3">
        <v>616.45809868239098</v>
      </c>
      <c r="I3941" s="3">
        <v>25.46</v>
      </c>
      <c r="J3941" s="3">
        <v>25.83</v>
      </c>
      <c r="K3941" s="3">
        <v>25.31</v>
      </c>
      <c r="L3941" s="3">
        <v>616.45809868239098</v>
      </c>
    </row>
    <row r="3942" spans="1:12" ht="15" customHeight="1" x14ac:dyDescent="0.2">
      <c r="A3942" s="2">
        <v>40331</v>
      </c>
      <c r="B3942" s="3">
        <v>25.52</v>
      </c>
      <c r="C3942" s="1">
        <v>972110</v>
      </c>
      <c r="D3942" s="3">
        <v>0.66999999999999804</v>
      </c>
      <c r="E3942" s="3">
        <v>2.6961770623742298</v>
      </c>
      <c r="F3942" s="3">
        <v>2.6961770623742298</v>
      </c>
      <c r="G3942" s="3">
        <v>25.52</v>
      </c>
      <c r="H3942" s="3">
        <v>611.16338694572596</v>
      </c>
      <c r="I3942" s="3">
        <v>25.06</v>
      </c>
      <c r="J3942" s="3">
        <v>25.52</v>
      </c>
      <c r="K3942" s="3">
        <v>24.38</v>
      </c>
      <c r="L3942" s="3">
        <v>611.16338694572596</v>
      </c>
    </row>
    <row r="3943" spans="1:12" ht="15" customHeight="1" x14ac:dyDescent="0.2">
      <c r="A3943" s="2">
        <v>40330</v>
      </c>
      <c r="B3943" s="3">
        <v>24.85</v>
      </c>
      <c r="C3943" s="1">
        <v>1166624</v>
      </c>
      <c r="D3943" s="3">
        <v>-0.64999999999999802</v>
      </c>
      <c r="E3943" s="3">
        <v>-2.5490196078431202</v>
      </c>
      <c r="F3943" s="3">
        <v>-2.5490196078431202</v>
      </c>
      <c r="G3943" s="3">
        <v>24.85</v>
      </c>
      <c r="H3943" s="3">
        <v>592.49256134801306</v>
      </c>
      <c r="I3943" s="3">
        <v>25.26</v>
      </c>
      <c r="J3943" s="3">
        <v>25.74</v>
      </c>
      <c r="K3943" s="3">
        <v>24.85</v>
      </c>
      <c r="L3943" s="3">
        <v>592.49256134801306</v>
      </c>
    </row>
    <row r="3944" spans="1:12" ht="15" customHeight="1" x14ac:dyDescent="0.2">
      <c r="A3944" s="2">
        <v>40326</v>
      </c>
      <c r="B3944" s="3">
        <v>25.5</v>
      </c>
      <c r="C3944" s="1">
        <v>1102152</v>
      </c>
      <c r="D3944" s="3">
        <v>-0.32999999999999802</v>
      </c>
      <c r="E3944" s="3">
        <v>-1.27758420441346</v>
      </c>
      <c r="F3944" s="3">
        <v>-1.27758420441346</v>
      </c>
      <c r="G3944" s="3">
        <v>25.5</v>
      </c>
      <c r="H3944" s="3">
        <v>610.60604886818203</v>
      </c>
      <c r="I3944" s="3">
        <v>25.72</v>
      </c>
      <c r="J3944" s="3">
        <v>26.25</v>
      </c>
      <c r="K3944" s="3">
        <v>25.33</v>
      </c>
      <c r="L3944" s="3">
        <v>610.60604886818203</v>
      </c>
    </row>
    <row r="3945" spans="1:12" ht="15" customHeight="1" x14ac:dyDescent="0.2">
      <c r="A3945" s="2">
        <v>40325</v>
      </c>
      <c r="B3945" s="3">
        <v>25.83</v>
      </c>
      <c r="C3945" s="1">
        <v>1662949</v>
      </c>
      <c r="D3945" s="3">
        <v>0.58999999999999897</v>
      </c>
      <c r="E3945" s="3">
        <v>2.3375594294770199</v>
      </c>
      <c r="F3945" s="3">
        <v>2.3375594294770199</v>
      </c>
      <c r="G3945" s="3">
        <v>25.83</v>
      </c>
      <c r="H3945" s="3">
        <v>619.80212714765298</v>
      </c>
      <c r="I3945" s="3">
        <v>25.73</v>
      </c>
      <c r="J3945" s="3">
        <v>26.08</v>
      </c>
      <c r="K3945" s="3">
        <v>25.25</v>
      </c>
      <c r="L3945" s="3">
        <v>619.80212714765298</v>
      </c>
    </row>
    <row r="3946" spans="1:12" ht="15" customHeight="1" x14ac:dyDescent="0.2">
      <c r="A3946" s="2">
        <v>40324</v>
      </c>
      <c r="B3946" s="3">
        <v>25.24</v>
      </c>
      <c r="C3946" s="1">
        <v>1000185</v>
      </c>
      <c r="D3946" s="3">
        <v>-0.16</v>
      </c>
      <c r="E3946" s="3">
        <v>-0.62992125984252501</v>
      </c>
      <c r="F3946" s="3">
        <v>-0.62992125984252501</v>
      </c>
      <c r="G3946" s="3">
        <v>25.24</v>
      </c>
      <c r="H3946" s="3">
        <v>603.36065386011501</v>
      </c>
      <c r="I3946" s="3">
        <v>25.47</v>
      </c>
      <c r="J3946" s="3">
        <v>25.87</v>
      </c>
      <c r="K3946" s="3">
        <v>25.15</v>
      </c>
      <c r="L3946" s="3">
        <v>603.36065386011501</v>
      </c>
    </row>
    <row r="3947" spans="1:12" ht="15" customHeight="1" x14ac:dyDescent="0.2">
      <c r="A3947" s="2">
        <v>40323</v>
      </c>
      <c r="B3947" s="3">
        <v>25.4</v>
      </c>
      <c r="C3947" s="1">
        <v>1634147</v>
      </c>
      <c r="D3947" s="3">
        <v>-8.9999999999999802E-2</v>
      </c>
      <c r="E3947" s="3">
        <v>-0.35307963907414902</v>
      </c>
      <c r="F3947" s="3">
        <v>-0.35307963907414902</v>
      </c>
      <c r="G3947" s="3">
        <v>25.4</v>
      </c>
      <c r="H3947" s="3">
        <v>607.81935848046396</v>
      </c>
      <c r="I3947" s="3">
        <v>24.66</v>
      </c>
      <c r="J3947" s="3">
        <v>25.46</v>
      </c>
      <c r="K3947" s="3">
        <v>23.92</v>
      </c>
      <c r="L3947" s="3">
        <v>607.81935848046396</v>
      </c>
    </row>
    <row r="3948" spans="1:12" ht="15" customHeight="1" x14ac:dyDescent="0.2">
      <c r="A3948" s="2">
        <v>40322</v>
      </c>
      <c r="B3948" s="3">
        <v>25.49</v>
      </c>
      <c r="C3948" s="1">
        <v>798152</v>
      </c>
      <c r="D3948" s="3">
        <v>8.9999999999999802E-2</v>
      </c>
      <c r="E3948" s="3">
        <v>0.35433070866142102</v>
      </c>
      <c r="F3948" s="3">
        <v>0.35433070866142102</v>
      </c>
      <c r="G3948" s="3">
        <v>25.49</v>
      </c>
      <c r="H3948" s="3">
        <v>610.32737982941103</v>
      </c>
      <c r="I3948" s="3">
        <v>25.43</v>
      </c>
      <c r="J3948" s="3">
        <v>26.01</v>
      </c>
      <c r="K3948" s="3">
        <v>25.37</v>
      </c>
      <c r="L3948" s="3">
        <v>610.32737982941103</v>
      </c>
    </row>
    <row r="3949" spans="1:12" ht="15" customHeight="1" x14ac:dyDescent="0.2">
      <c r="A3949" s="2">
        <v>40319</v>
      </c>
      <c r="B3949" s="3">
        <v>25.4</v>
      </c>
      <c r="C3949" s="1">
        <v>2150343</v>
      </c>
      <c r="D3949" s="3">
        <v>-0.100000000000001</v>
      </c>
      <c r="E3949" s="3">
        <v>-0.39215686274510703</v>
      </c>
      <c r="F3949" s="3">
        <v>-0.39215686274510703</v>
      </c>
      <c r="G3949" s="3">
        <v>25.4</v>
      </c>
      <c r="H3949" s="3">
        <v>607.81935848046396</v>
      </c>
      <c r="I3949" s="3">
        <v>24.95</v>
      </c>
      <c r="J3949" s="3">
        <v>25.94</v>
      </c>
      <c r="K3949" s="3">
        <v>24.501000000000001</v>
      </c>
      <c r="L3949" s="3">
        <v>607.81935848046396</v>
      </c>
    </row>
    <row r="3950" spans="1:12" ht="15" customHeight="1" x14ac:dyDescent="0.2">
      <c r="A3950" s="2">
        <v>40318</v>
      </c>
      <c r="B3950" s="3">
        <v>25.5</v>
      </c>
      <c r="C3950" s="1">
        <v>1812034</v>
      </c>
      <c r="D3950" s="3">
        <v>-1.19999999999999</v>
      </c>
      <c r="E3950" s="3">
        <v>-4.4943820224719104</v>
      </c>
      <c r="F3950" s="3">
        <v>-4.4943820224719104</v>
      </c>
      <c r="G3950" s="3">
        <v>25.5</v>
      </c>
      <c r="H3950" s="3">
        <v>610.60604886818203</v>
      </c>
      <c r="I3950" s="3">
        <v>26.1</v>
      </c>
      <c r="J3950" s="3">
        <v>26.15</v>
      </c>
      <c r="K3950" s="3">
        <v>25.2</v>
      </c>
      <c r="L3950" s="3">
        <v>610.60604886818203</v>
      </c>
    </row>
    <row r="3951" spans="1:12" ht="15" customHeight="1" x14ac:dyDescent="0.2">
      <c r="A3951" s="2">
        <v>40317</v>
      </c>
      <c r="B3951" s="3">
        <v>26.7</v>
      </c>
      <c r="C3951" s="1">
        <v>1141255</v>
      </c>
      <c r="D3951" s="3">
        <v>-0.17000000000000101</v>
      </c>
      <c r="E3951" s="3">
        <v>-0.63267584666915</v>
      </c>
      <c r="F3951" s="3">
        <v>-0.63267584666915</v>
      </c>
      <c r="G3951" s="3">
        <v>26.7</v>
      </c>
      <c r="H3951" s="3">
        <v>644.04633352080305</v>
      </c>
      <c r="I3951" s="3">
        <v>26.81</v>
      </c>
      <c r="J3951" s="3">
        <v>27.25</v>
      </c>
      <c r="K3951" s="3">
        <v>26.17</v>
      </c>
      <c r="L3951" s="3">
        <v>644.04633352080305</v>
      </c>
    </row>
    <row r="3952" spans="1:12" ht="15" customHeight="1" x14ac:dyDescent="0.2">
      <c r="A3952" s="2">
        <v>40316</v>
      </c>
      <c r="B3952" s="3">
        <v>26.87</v>
      </c>
      <c r="C3952" s="1">
        <v>1380675</v>
      </c>
      <c r="D3952" s="3">
        <v>-2.9999999999997501E-2</v>
      </c>
      <c r="E3952" s="3">
        <v>-0.111524163568765</v>
      </c>
      <c r="F3952" s="3">
        <v>-0.111524163568765</v>
      </c>
      <c r="G3952" s="3">
        <v>26.87</v>
      </c>
      <c r="H3952" s="3">
        <v>648.78370717992402</v>
      </c>
      <c r="I3952" s="3">
        <v>27.2</v>
      </c>
      <c r="J3952" s="3">
        <v>27.45</v>
      </c>
      <c r="K3952" s="3">
        <v>26.67</v>
      </c>
      <c r="L3952" s="3">
        <v>648.78370717992402</v>
      </c>
    </row>
    <row r="3953" spans="1:12" ht="15" customHeight="1" x14ac:dyDescent="0.2">
      <c r="A3953" s="2">
        <v>40315</v>
      </c>
      <c r="B3953" s="3">
        <v>26.9</v>
      </c>
      <c r="C3953" s="1">
        <v>1574396</v>
      </c>
      <c r="D3953" s="3">
        <v>-2.0000000000003099E-2</v>
      </c>
      <c r="E3953" s="3">
        <v>-7.4294205052016699E-2</v>
      </c>
      <c r="F3953" s="3">
        <v>-7.4294205052016699E-2</v>
      </c>
      <c r="G3953" s="3">
        <v>26.9</v>
      </c>
      <c r="H3953" s="3">
        <v>649.61971429623998</v>
      </c>
      <c r="I3953" s="3">
        <v>26.8</v>
      </c>
      <c r="J3953" s="3">
        <v>27.36</v>
      </c>
      <c r="K3953" s="3">
        <v>25.9</v>
      </c>
      <c r="L3953" s="3">
        <v>649.61971429623998</v>
      </c>
    </row>
    <row r="3954" spans="1:12" ht="15" customHeight="1" x14ac:dyDescent="0.2">
      <c r="A3954" s="2">
        <v>40312</v>
      </c>
      <c r="B3954" s="3">
        <v>26.92</v>
      </c>
      <c r="C3954" s="1">
        <v>1019102</v>
      </c>
      <c r="D3954" s="3">
        <v>-0.77999999999999703</v>
      </c>
      <c r="E3954" s="3">
        <v>-2.8158844765342899</v>
      </c>
      <c r="F3954" s="3">
        <v>-2.8158844765342899</v>
      </c>
      <c r="G3954" s="3">
        <v>26.92</v>
      </c>
      <c r="H3954" s="3">
        <v>650.177052373783</v>
      </c>
      <c r="I3954" s="3">
        <v>27.53</v>
      </c>
      <c r="J3954" s="3">
        <v>27.63</v>
      </c>
      <c r="K3954" s="3">
        <v>26.7</v>
      </c>
      <c r="L3954" s="3">
        <v>650.177052373783</v>
      </c>
    </row>
    <row r="3955" spans="1:12" ht="15" customHeight="1" x14ac:dyDescent="0.2">
      <c r="A3955" s="2">
        <v>40311</v>
      </c>
      <c r="B3955" s="3">
        <v>27.7</v>
      </c>
      <c r="C3955" s="1">
        <v>1354646</v>
      </c>
      <c r="D3955" s="3">
        <v>-0.25</v>
      </c>
      <c r="E3955" s="3">
        <v>-0.89445438282647005</v>
      </c>
      <c r="F3955" s="3">
        <v>-0.89445438282647005</v>
      </c>
      <c r="G3955" s="3">
        <v>27.7</v>
      </c>
      <c r="H3955" s="3">
        <v>671.91323739798599</v>
      </c>
      <c r="I3955" s="3">
        <v>27.72</v>
      </c>
      <c r="J3955" s="3">
        <v>28.14</v>
      </c>
      <c r="K3955" s="3">
        <v>27.51</v>
      </c>
      <c r="L3955" s="3">
        <v>671.91323739798599</v>
      </c>
    </row>
    <row r="3956" spans="1:12" ht="15" customHeight="1" x14ac:dyDescent="0.2">
      <c r="A3956" s="2">
        <v>40310</v>
      </c>
      <c r="B3956" s="3">
        <v>27.95</v>
      </c>
      <c r="C3956" s="1">
        <v>1204405</v>
      </c>
      <c r="D3956" s="3">
        <v>0.42999999999999899</v>
      </c>
      <c r="E3956" s="3">
        <v>1.5625</v>
      </c>
      <c r="F3956" s="3">
        <v>1.5625</v>
      </c>
      <c r="G3956" s="3">
        <v>27.95</v>
      </c>
      <c r="H3956" s="3">
        <v>678.87996336728202</v>
      </c>
      <c r="I3956" s="3">
        <v>27.7</v>
      </c>
      <c r="J3956" s="3">
        <v>28.04</v>
      </c>
      <c r="K3956" s="3">
        <v>27.53</v>
      </c>
      <c r="L3956" s="3">
        <v>678.87996336728202</v>
      </c>
    </row>
    <row r="3957" spans="1:12" ht="15" customHeight="1" x14ac:dyDescent="0.2">
      <c r="A3957" s="2">
        <v>40309</v>
      </c>
      <c r="B3957" s="3">
        <v>27.52</v>
      </c>
      <c r="C3957" s="1">
        <v>2383287</v>
      </c>
      <c r="D3957" s="3">
        <v>1.1099999999999901</v>
      </c>
      <c r="E3957" s="3">
        <v>4.2029534267322903</v>
      </c>
      <c r="F3957" s="3">
        <v>4.2029534267322903</v>
      </c>
      <c r="G3957" s="3">
        <v>27.52</v>
      </c>
      <c r="H3957" s="3">
        <v>666.897194700093</v>
      </c>
      <c r="I3957" s="3">
        <v>26.69</v>
      </c>
      <c r="J3957" s="3">
        <v>28.15</v>
      </c>
      <c r="K3957" s="3">
        <v>26.42</v>
      </c>
      <c r="L3957" s="3">
        <v>666.897194700093</v>
      </c>
    </row>
    <row r="3958" spans="1:12" ht="15" customHeight="1" x14ac:dyDescent="0.2">
      <c r="A3958" s="2">
        <v>40308</v>
      </c>
      <c r="B3958" s="3">
        <v>26.41</v>
      </c>
      <c r="C3958" s="1">
        <v>1029438</v>
      </c>
      <c r="D3958" s="3">
        <v>1.21999999999999</v>
      </c>
      <c r="E3958" s="3">
        <v>4.8431917427550397</v>
      </c>
      <c r="F3958" s="3">
        <v>4.8431917427550397</v>
      </c>
      <c r="G3958" s="3">
        <v>26.41</v>
      </c>
      <c r="H3958" s="3">
        <v>635.96493139641996</v>
      </c>
      <c r="I3958" s="3">
        <v>26.1</v>
      </c>
      <c r="J3958" s="3">
        <v>26.45</v>
      </c>
      <c r="K3958" s="3">
        <v>25.84</v>
      </c>
      <c r="L3958" s="3">
        <v>635.96493139641996</v>
      </c>
    </row>
    <row r="3959" spans="1:12" ht="15" customHeight="1" x14ac:dyDescent="0.2">
      <c r="A3959" s="2">
        <v>40305</v>
      </c>
      <c r="B3959" s="3">
        <v>25.19</v>
      </c>
      <c r="C3959" s="1">
        <v>2150059</v>
      </c>
      <c r="D3959" s="3">
        <v>-0.68999999999999695</v>
      </c>
      <c r="E3959" s="3">
        <v>-2.6661514683152898</v>
      </c>
      <c r="F3959" s="3">
        <v>-2.6661514683152898</v>
      </c>
      <c r="G3959" s="3">
        <v>25.19</v>
      </c>
      <c r="H3959" s="3">
        <v>601.96730866625501</v>
      </c>
      <c r="I3959" s="3">
        <v>25.66</v>
      </c>
      <c r="J3959" s="3">
        <v>26.17</v>
      </c>
      <c r="K3959" s="3">
        <v>24.78</v>
      </c>
      <c r="L3959" s="3">
        <v>601.96730866625501</v>
      </c>
    </row>
    <row r="3960" spans="1:12" ht="15" customHeight="1" x14ac:dyDescent="0.2">
      <c r="A3960" s="2">
        <v>40304</v>
      </c>
      <c r="B3960" s="3">
        <v>25.88</v>
      </c>
      <c r="C3960" s="1">
        <v>1801780</v>
      </c>
      <c r="D3960" s="3">
        <v>-0.89</v>
      </c>
      <c r="E3960" s="3">
        <v>-3.3246171087037699</v>
      </c>
      <c r="F3960" s="3">
        <v>-3.3246171087037699</v>
      </c>
      <c r="G3960" s="3">
        <v>25.88</v>
      </c>
      <c r="H3960" s="3">
        <v>621.19547234151196</v>
      </c>
      <c r="I3960" s="3">
        <v>26.7</v>
      </c>
      <c r="J3960" s="3">
        <v>27.06</v>
      </c>
      <c r="K3960" s="3">
        <v>24.35</v>
      </c>
      <c r="L3960" s="3">
        <v>621.19547234151196</v>
      </c>
    </row>
    <row r="3961" spans="1:12" ht="15" customHeight="1" x14ac:dyDescent="0.2">
      <c r="A3961" s="2">
        <v>40303</v>
      </c>
      <c r="B3961" s="3">
        <v>26.77</v>
      </c>
      <c r="C3961" s="1">
        <v>1425745</v>
      </c>
      <c r="D3961" s="3">
        <v>-0.25</v>
      </c>
      <c r="E3961" s="3">
        <v>-0.92524056254625897</v>
      </c>
      <c r="F3961" s="3">
        <v>-0.92524056254625897</v>
      </c>
      <c r="G3961" s="3">
        <v>26.77</v>
      </c>
      <c r="H3961" s="3">
        <v>645.99701679220595</v>
      </c>
      <c r="I3961" s="3">
        <v>26.91</v>
      </c>
      <c r="J3961" s="3">
        <v>27.53</v>
      </c>
      <c r="K3961" s="3">
        <v>26.41</v>
      </c>
      <c r="L3961" s="3">
        <v>645.99701679220595</v>
      </c>
    </row>
    <row r="3962" spans="1:12" ht="15" customHeight="1" x14ac:dyDescent="0.2">
      <c r="A3962" s="2">
        <v>40302</v>
      </c>
      <c r="B3962" s="3">
        <v>27.02</v>
      </c>
      <c r="C3962" s="1">
        <v>1157536</v>
      </c>
      <c r="D3962" s="3">
        <v>-1.1000000000000001</v>
      </c>
      <c r="E3962" s="3">
        <v>-3.9118065433854898</v>
      </c>
      <c r="F3962" s="3">
        <v>-3.9118065433854898</v>
      </c>
      <c r="G3962" s="3">
        <v>27.02</v>
      </c>
      <c r="H3962" s="3">
        <v>652.96374276150198</v>
      </c>
      <c r="I3962" s="3">
        <v>27.85</v>
      </c>
      <c r="J3962" s="3">
        <v>27.85</v>
      </c>
      <c r="K3962" s="3">
        <v>26.9</v>
      </c>
      <c r="L3962" s="3">
        <v>652.96374276150198</v>
      </c>
    </row>
    <row r="3963" spans="1:12" ht="15" customHeight="1" x14ac:dyDescent="0.2">
      <c r="A3963" s="2">
        <v>40301</v>
      </c>
      <c r="B3963" s="3">
        <v>28.12</v>
      </c>
      <c r="C3963" s="1">
        <v>1014722</v>
      </c>
      <c r="D3963" s="3">
        <v>0.94999999999999896</v>
      </c>
      <c r="E3963" s="3">
        <v>3.4965034965034998</v>
      </c>
      <c r="F3963" s="3">
        <v>3.4965034965034998</v>
      </c>
      <c r="G3963" s="3">
        <v>28.12</v>
      </c>
      <c r="H3963" s="3">
        <v>683.61733702640402</v>
      </c>
      <c r="I3963" s="3">
        <v>27.36</v>
      </c>
      <c r="J3963" s="3">
        <v>28.28</v>
      </c>
      <c r="K3963" s="3">
        <v>27.22</v>
      </c>
      <c r="L3963" s="3">
        <v>683.61733702640402</v>
      </c>
    </row>
    <row r="3964" spans="1:12" ht="15" customHeight="1" x14ac:dyDescent="0.2">
      <c r="A3964" s="2">
        <v>40298</v>
      </c>
      <c r="B3964" s="3">
        <v>27.17</v>
      </c>
      <c r="C3964" s="1">
        <v>1512953</v>
      </c>
      <c r="D3964" s="3">
        <v>-0.91999999999999804</v>
      </c>
      <c r="E3964" s="3">
        <v>-3.27518689925239</v>
      </c>
      <c r="F3964" s="3">
        <v>-3.27518689925239</v>
      </c>
      <c r="G3964" s="3">
        <v>27.17</v>
      </c>
      <c r="H3964" s="3">
        <v>657.14377834307902</v>
      </c>
      <c r="I3964" s="3">
        <v>28.19</v>
      </c>
      <c r="J3964" s="3">
        <v>28.36</v>
      </c>
      <c r="K3964" s="3">
        <v>27.16</v>
      </c>
      <c r="L3964" s="3">
        <v>657.14377834307902</v>
      </c>
    </row>
    <row r="3965" spans="1:12" ht="15" customHeight="1" x14ac:dyDescent="0.2">
      <c r="A3965" s="2">
        <v>40297</v>
      </c>
      <c r="B3965" s="3">
        <v>28.09</v>
      </c>
      <c r="C3965" s="1">
        <v>1974972</v>
      </c>
      <c r="D3965" s="3">
        <v>0.62999999999999901</v>
      </c>
      <c r="E3965" s="3">
        <v>2.2942461762563702</v>
      </c>
      <c r="F3965" s="3">
        <v>2.2942461762563702</v>
      </c>
      <c r="G3965" s="3">
        <v>28.09</v>
      </c>
      <c r="H3965" s="3">
        <v>682.78132991008795</v>
      </c>
      <c r="I3965" s="3">
        <v>27.96</v>
      </c>
      <c r="J3965" s="3">
        <v>28.45</v>
      </c>
      <c r="K3965" s="3">
        <v>27.9</v>
      </c>
      <c r="L3965" s="3">
        <v>682.78132991008795</v>
      </c>
    </row>
    <row r="3966" spans="1:12" ht="15" customHeight="1" x14ac:dyDescent="0.2">
      <c r="A3966" s="2">
        <v>40296</v>
      </c>
      <c r="B3966" s="3">
        <v>27.46</v>
      </c>
      <c r="C3966" s="1">
        <v>3660242</v>
      </c>
      <c r="D3966" s="3">
        <v>-2.0799999999999899</v>
      </c>
      <c r="E3966" s="3">
        <v>-7.0412999322951801</v>
      </c>
      <c r="F3966" s="3">
        <v>-7.0412999322951801</v>
      </c>
      <c r="G3966" s="3">
        <v>27.46</v>
      </c>
      <c r="H3966" s="3">
        <v>665.225180467462</v>
      </c>
      <c r="I3966" s="3">
        <v>29</v>
      </c>
      <c r="J3966" s="3">
        <v>29.05</v>
      </c>
      <c r="K3966" s="3">
        <v>27.27</v>
      </c>
      <c r="L3966" s="3">
        <v>665.225180467462</v>
      </c>
    </row>
    <row r="3967" spans="1:12" ht="15" customHeight="1" x14ac:dyDescent="0.2">
      <c r="A3967" s="2">
        <v>40295</v>
      </c>
      <c r="B3967" s="3">
        <v>29.54</v>
      </c>
      <c r="C3967" s="1">
        <v>2380309</v>
      </c>
      <c r="D3967" s="3">
        <v>-0.310000000000002</v>
      </c>
      <c r="E3967" s="3">
        <v>-1.03852596314908</v>
      </c>
      <c r="F3967" s="3">
        <v>-1.03852596314908</v>
      </c>
      <c r="G3967" s="3">
        <v>29.54</v>
      </c>
      <c r="H3967" s="3">
        <v>723.18834053200396</v>
      </c>
      <c r="I3967" s="3">
        <v>29.67</v>
      </c>
      <c r="J3967" s="3">
        <v>30.72</v>
      </c>
      <c r="K3967" s="3">
        <v>29.42</v>
      </c>
      <c r="L3967" s="3">
        <v>723.18834053200396</v>
      </c>
    </row>
    <row r="3968" spans="1:12" ht="15" customHeight="1" x14ac:dyDescent="0.2">
      <c r="A3968" s="2">
        <v>40294</v>
      </c>
      <c r="B3968" s="3">
        <v>29.85</v>
      </c>
      <c r="C3968" s="1">
        <v>1734071</v>
      </c>
      <c r="D3968" s="3">
        <v>0.28000000000000103</v>
      </c>
      <c r="E3968" s="3">
        <v>0.94690564761583595</v>
      </c>
      <c r="F3968" s="3">
        <v>0.94690564761583595</v>
      </c>
      <c r="G3968" s="3">
        <v>29.85</v>
      </c>
      <c r="H3968" s="3">
        <v>731.82708073393098</v>
      </c>
      <c r="I3968" s="3">
        <v>29.72</v>
      </c>
      <c r="J3968" s="3">
        <v>30.27</v>
      </c>
      <c r="K3968" s="3">
        <v>29.71</v>
      </c>
      <c r="L3968" s="3">
        <v>731.82708073393098</v>
      </c>
    </row>
    <row r="3969" spans="1:12" ht="15" customHeight="1" x14ac:dyDescent="0.2">
      <c r="A3969" s="2">
        <v>40291</v>
      </c>
      <c r="B3969" s="3">
        <v>29.57</v>
      </c>
      <c r="C3969" s="1">
        <v>3117475</v>
      </c>
      <c r="D3969" s="3">
        <v>-0.89</v>
      </c>
      <c r="E3969" s="3">
        <v>-2.9218647406434601</v>
      </c>
      <c r="F3969" s="3">
        <v>-2.9218647406434601</v>
      </c>
      <c r="G3969" s="3">
        <v>29.57</v>
      </c>
      <c r="H3969" s="3">
        <v>724.02434764832003</v>
      </c>
      <c r="I3969" s="3">
        <v>28.99</v>
      </c>
      <c r="J3969" s="3">
        <v>29.97</v>
      </c>
      <c r="K3969" s="3">
        <v>28.92</v>
      </c>
      <c r="L3969" s="3">
        <v>724.02434764832003</v>
      </c>
    </row>
    <row r="3970" spans="1:12" ht="15" customHeight="1" x14ac:dyDescent="0.2">
      <c r="A3970" s="2">
        <v>40290</v>
      </c>
      <c r="B3970" s="3">
        <v>30.46</v>
      </c>
      <c r="C3970" s="1">
        <v>2982670</v>
      </c>
      <c r="D3970" s="3">
        <v>1.4299999999999899</v>
      </c>
      <c r="E3970" s="3">
        <v>4.9259386841198696</v>
      </c>
      <c r="F3970" s="3">
        <v>4.9259386841198696</v>
      </c>
      <c r="G3970" s="3">
        <v>30.46</v>
      </c>
      <c r="H3970" s="3">
        <v>748.825892099013</v>
      </c>
      <c r="I3970" s="3">
        <v>28.96</v>
      </c>
      <c r="J3970" s="3">
        <v>30.75</v>
      </c>
      <c r="K3970" s="3">
        <v>28.934999999999999</v>
      </c>
      <c r="L3970" s="3">
        <v>748.825892099013</v>
      </c>
    </row>
    <row r="3971" spans="1:12" ht="15" customHeight="1" x14ac:dyDescent="0.2">
      <c r="A3971" s="2">
        <v>40289</v>
      </c>
      <c r="B3971" s="3">
        <v>29.03</v>
      </c>
      <c r="C3971" s="1">
        <v>880321</v>
      </c>
      <c r="D3971" s="3">
        <v>0.24000000000000199</v>
      </c>
      <c r="E3971" s="3">
        <v>0.83362278568948001</v>
      </c>
      <c r="F3971" s="3">
        <v>0.83362278568948001</v>
      </c>
      <c r="G3971" s="3">
        <v>29.03</v>
      </c>
      <c r="H3971" s="3">
        <v>708.97621955464103</v>
      </c>
      <c r="I3971" s="3">
        <v>28.71</v>
      </c>
      <c r="J3971" s="3">
        <v>29.08</v>
      </c>
      <c r="K3971" s="3">
        <v>28.53</v>
      </c>
      <c r="L3971" s="3">
        <v>708.97621955464103</v>
      </c>
    </row>
    <row r="3972" spans="1:12" ht="15" customHeight="1" x14ac:dyDescent="0.2">
      <c r="A3972" s="2">
        <v>40288</v>
      </c>
      <c r="B3972" s="3">
        <v>28.79</v>
      </c>
      <c r="C3972" s="1">
        <v>746631</v>
      </c>
      <c r="D3972" s="3">
        <v>0.27999999999999697</v>
      </c>
      <c r="E3972" s="3">
        <v>0.98211153981058097</v>
      </c>
      <c r="F3972" s="3">
        <v>0.98211153981058097</v>
      </c>
      <c r="G3972" s="3">
        <v>28.79</v>
      </c>
      <c r="H3972" s="3">
        <v>702.28816262411704</v>
      </c>
      <c r="I3972" s="3">
        <v>28.5</v>
      </c>
      <c r="J3972" s="3">
        <v>28.89</v>
      </c>
      <c r="K3972" s="3">
        <v>28.22</v>
      </c>
      <c r="L3972" s="3">
        <v>702.28816262411704</v>
      </c>
    </row>
    <row r="3973" spans="1:12" ht="15" customHeight="1" x14ac:dyDescent="0.2">
      <c r="A3973" s="2">
        <v>40287</v>
      </c>
      <c r="B3973" s="3">
        <v>28.51</v>
      </c>
      <c r="C3973" s="1">
        <v>1032378.99999999</v>
      </c>
      <c r="D3973" s="3">
        <v>-0.22999999999999601</v>
      </c>
      <c r="E3973" s="3">
        <v>-0.80027835768962097</v>
      </c>
      <c r="F3973" s="3">
        <v>-0.80027835768962097</v>
      </c>
      <c r="G3973" s="3">
        <v>28.51</v>
      </c>
      <c r="H3973" s="3">
        <v>694.48542953850495</v>
      </c>
      <c r="I3973" s="3">
        <v>28.55</v>
      </c>
      <c r="J3973" s="3">
        <v>29</v>
      </c>
      <c r="K3973" s="3">
        <v>28.05</v>
      </c>
      <c r="L3973" s="3">
        <v>694.48542953850495</v>
      </c>
    </row>
    <row r="3974" spans="1:12" ht="15" customHeight="1" x14ac:dyDescent="0.2">
      <c r="A3974" s="2">
        <v>40284</v>
      </c>
      <c r="B3974" s="3">
        <v>28.74</v>
      </c>
      <c r="C3974" s="1">
        <v>1305856</v>
      </c>
      <c r="D3974" s="3"/>
      <c r="E3974" s="3"/>
      <c r="F3974" s="3"/>
      <c r="G3974" s="3">
        <v>28.74</v>
      </c>
      <c r="H3974" s="3">
        <v>700.89481743025704</v>
      </c>
      <c r="I3974" s="3">
        <v>28.64</v>
      </c>
      <c r="J3974" s="3">
        <v>28.95</v>
      </c>
      <c r="K3974" s="3">
        <v>28.37</v>
      </c>
      <c r="L3974" s="3">
        <v>700.89481743025704</v>
      </c>
    </row>
    <row r="3975" spans="1:12" ht="15" customHeight="1" x14ac:dyDescent="0.2">
      <c r="A3975" s="2">
        <v>40283</v>
      </c>
      <c r="B3975" s="3">
        <v>28.74</v>
      </c>
      <c r="C3975" s="1">
        <v>1039883</v>
      </c>
      <c r="D3975" s="3">
        <v>-0.14000000000000001</v>
      </c>
      <c r="E3975" s="3">
        <v>-0.48476454293628901</v>
      </c>
      <c r="F3975" s="3">
        <v>-0.48476454293628901</v>
      </c>
      <c r="G3975" s="3">
        <v>28.74</v>
      </c>
      <c r="H3975" s="3">
        <v>700.89481743025704</v>
      </c>
      <c r="I3975" s="3">
        <v>28.91</v>
      </c>
      <c r="J3975" s="3">
        <v>28.99</v>
      </c>
      <c r="K3975" s="3">
        <v>28.4</v>
      </c>
      <c r="L3975" s="3">
        <v>700.89481743025704</v>
      </c>
    </row>
    <row r="3976" spans="1:12" ht="15" customHeight="1" x14ac:dyDescent="0.2">
      <c r="A3976" s="2">
        <v>40282</v>
      </c>
      <c r="B3976" s="3">
        <v>28.88</v>
      </c>
      <c r="C3976" s="1">
        <v>782436</v>
      </c>
      <c r="D3976" s="3">
        <v>0.58999999999999897</v>
      </c>
      <c r="E3976" s="3">
        <v>2.0855425945563701</v>
      </c>
      <c r="F3976" s="3">
        <v>2.0855425945563701</v>
      </c>
      <c r="G3976" s="3">
        <v>28.88</v>
      </c>
      <c r="H3976" s="3">
        <v>704.79618397306297</v>
      </c>
      <c r="I3976" s="3">
        <v>28.42</v>
      </c>
      <c r="J3976" s="3">
        <v>28.88</v>
      </c>
      <c r="K3976" s="3">
        <v>28.346</v>
      </c>
      <c r="L3976" s="3">
        <v>704.79618397306297</v>
      </c>
    </row>
    <row r="3977" spans="1:12" ht="15" customHeight="1" x14ac:dyDescent="0.2">
      <c r="A3977" s="2">
        <v>40281</v>
      </c>
      <c r="B3977" s="3">
        <v>28.29</v>
      </c>
      <c r="C3977" s="1">
        <v>945907</v>
      </c>
      <c r="D3977" s="3">
        <v>-8.9999999999999802E-2</v>
      </c>
      <c r="E3977" s="3">
        <v>-0.31712473572938998</v>
      </c>
      <c r="F3977" s="3">
        <v>-0.31712473572938998</v>
      </c>
      <c r="G3977" s="3">
        <v>28.29</v>
      </c>
      <c r="H3977" s="3">
        <v>688.35471068552499</v>
      </c>
      <c r="I3977" s="3">
        <v>27.9</v>
      </c>
      <c r="J3977" s="3">
        <v>28.3</v>
      </c>
      <c r="K3977" s="3">
        <v>27.83</v>
      </c>
      <c r="L3977" s="3">
        <v>688.35471068552499</v>
      </c>
    </row>
    <row r="3978" spans="1:12" ht="15" customHeight="1" x14ac:dyDescent="0.2">
      <c r="A3978" s="2">
        <v>40280</v>
      </c>
      <c r="B3978" s="3">
        <v>28.38</v>
      </c>
      <c r="C3978" s="1">
        <v>992757</v>
      </c>
      <c r="D3978" s="3">
        <v>0.19999999999999901</v>
      </c>
      <c r="E3978" s="3">
        <v>0.70972320794888599</v>
      </c>
      <c r="F3978" s="3">
        <v>0.70972320794888599</v>
      </c>
      <c r="G3978" s="3">
        <v>28.38</v>
      </c>
      <c r="H3978" s="3">
        <v>690.86273203447104</v>
      </c>
      <c r="I3978" s="3">
        <v>28.3</v>
      </c>
      <c r="J3978" s="3">
        <v>28.71</v>
      </c>
      <c r="K3978" s="3">
        <v>28.15</v>
      </c>
      <c r="L3978" s="3">
        <v>690.86273203447104</v>
      </c>
    </row>
    <row r="3979" spans="1:12" ht="15" customHeight="1" x14ac:dyDescent="0.2">
      <c r="A3979" s="2">
        <v>40277</v>
      </c>
      <c r="B3979" s="3">
        <v>28.18</v>
      </c>
      <c r="C3979" s="1">
        <v>1253117</v>
      </c>
      <c r="D3979" s="3">
        <v>-0.17000000000000101</v>
      </c>
      <c r="E3979" s="3">
        <v>-0.59964726631394005</v>
      </c>
      <c r="F3979" s="3">
        <v>-0.59964726631394005</v>
      </c>
      <c r="G3979" s="3">
        <v>28.18</v>
      </c>
      <c r="H3979" s="3">
        <v>685.28935125903502</v>
      </c>
      <c r="I3979" s="3">
        <v>28.43</v>
      </c>
      <c r="J3979" s="3">
        <v>28.43</v>
      </c>
      <c r="K3979" s="3">
        <v>27.91</v>
      </c>
      <c r="L3979" s="3">
        <v>685.28935125903502</v>
      </c>
    </row>
    <row r="3980" spans="1:12" ht="15" customHeight="1" x14ac:dyDescent="0.2">
      <c r="A3980" s="2">
        <v>40276</v>
      </c>
      <c r="B3980" s="3">
        <v>28.35</v>
      </c>
      <c r="C3980" s="1">
        <v>994423</v>
      </c>
      <c r="D3980" s="3">
        <v>0.25</v>
      </c>
      <c r="E3980" s="3">
        <v>0.88967971530249301</v>
      </c>
      <c r="F3980" s="3">
        <v>0.88967971530249301</v>
      </c>
      <c r="G3980" s="3">
        <v>28.35</v>
      </c>
      <c r="H3980" s="3">
        <v>690.02672491815599</v>
      </c>
      <c r="I3980" s="3">
        <v>28</v>
      </c>
      <c r="J3980" s="3">
        <v>28.49</v>
      </c>
      <c r="K3980" s="3">
        <v>27.88</v>
      </c>
      <c r="L3980" s="3">
        <v>690.02672491815599</v>
      </c>
    </row>
    <row r="3981" spans="1:12" ht="15" customHeight="1" x14ac:dyDescent="0.2">
      <c r="A3981" s="2">
        <v>40275</v>
      </c>
      <c r="B3981" s="3">
        <v>28.1</v>
      </c>
      <c r="C3981" s="1">
        <v>1364194</v>
      </c>
      <c r="D3981" s="3">
        <v>0.5</v>
      </c>
      <c r="E3981" s="3">
        <v>1.8115942028985501</v>
      </c>
      <c r="F3981" s="3">
        <v>1.8115942028985501</v>
      </c>
      <c r="G3981" s="3">
        <v>28.1</v>
      </c>
      <c r="H3981" s="3">
        <v>683.05999894885997</v>
      </c>
      <c r="I3981" s="3">
        <v>27.74</v>
      </c>
      <c r="J3981" s="3">
        <v>28.187999999999999</v>
      </c>
      <c r="K3981" s="3">
        <v>27.66</v>
      </c>
      <c r="L3981" s="3">
        <v>683.05999894885997</v>
      </c>
    </row>
    <row r="3982" spans="1:12" ht="15" customHeight="1" x14ac:dyDescent="0.2">
      <c r="A3982" s="2">
        <v>40274</v>
      </c>
      <c r="B3982" s="3">
        <v>27.6</v>
      </c>
      <c r="C3982" s="1">
        <v>897356</v>
      </c>
      <c r="D3982" s="3">
        <v>-1.9999999999999501E-2</v>
      </c>
      <c r="E3982" s="3">
        <v>-7.2411296162200295E-2</v>
      </c>
      <c r="F3982" s="3">
        <v>-7.2411296162200295E-2</v>
      </c>
      <c r="G3982" s="3">
        <v>27.6</v>
      </c>
      <c r="H3982" s="3">
        <v>669.12654701026804</v>
      </c>
      <c r="I3982" s="3">
        <v>27.48</v>
      </c>
      <c r="J3982" s="3">
        <v>27.689</v>
      </c>
      <c r="K3982" s="3">
        <v>27.32</v>
      </c>
      <c r="L3982" s="3">
        <v>669.12654701026804</v>
      </c>
    </row>
    <row r="3983" spans="1:12" ht="15" customHeight="1" x14ac:dyDescent="0.2">
      <c r="A3983" s="2">
        <v>40273</v>
      </c>
      <c r="B3983" s="3">
        <v>27.62</v>
      </c>
      <c r="C3983" s="1">
        <v>825187</v>
      </c>
      <c r="D3983" s="3">
        <v>0.47000000000000203</v>
      </c>
      <c r="E3983" s="3">
        <v>1.7311233885819599</v>
      </c>
      <c r="F3983" s="3">
        <v>1.7311233885819599</v>
      </c>
      <c r="G3983" s="3">
        <v>27.62</v>
      </c>
      <c r="H3983" s="3">
        <v>669.68388508781197</v>
      </c>
      <c r="I3983" s="3">
        <v>27.15</v>
      </c>
      <c r="J3983" s="3">
        <v>27.88</v>
      </c>
      <c r="K3983" s="3">
        <v>27.15</v>
      </c>
      <c r="L3983" s="3">
        <v>669.68388508781197</v>
      </c>
    </row>
    <row r="3984" spans="1:12" ht="15" customHeight="1" x14ac:dyDescent="0.2">
      <c r="A3984" s="2">
        <v>40269</v>
      </c>
      <c r="B3984" s="3">
        <v>27.15</v>
      </c>
      <c r="C3984" s="1">
        <v>853629</v>
      </c>
      <c r="D3984" s="3">
        <v>8.9999999999999802E-2</v>
      </c>
      <c r="E3984" s="3">
        <v>0.33259423503326702</v>
      </c>
      <c r="F3984" s="3">
        <v>0.33259423503326702</v>
      </c>
      <c r="G3984" s="3">
        <v>27.15</v>
      </c>
      <c r="H3984" s="3">
        <v>656.586440265536</v>
      </c>
      <c r="I3984" s="3">
        <v>27.07</v>
      </c>
      <c r="J3984" s="3">
        <v>27.49</v>
      </c>
      <c r="K3984" s="3">
        <v>26.81</v>
      </c>
      <c r="L3984" s="3">
        <v>656.586440265536</v>
      </c>
    </row>
    <row r="3985" spans="1:12" ht="15" customHeight="1" x14ac:dyDescent="0.2">
      <c r="A3985" s="2">
        <v>40268</v>
      </c>
      <c r="B3985" s="3">
        <v>27.06</v>
      </c>
      <c r="C3985" s="1">
        <v>1131647</v>
      </c>
      <c r="D3985" s="3">
        <v>-0.33999999999999903</v>
      </c>
      <c r="E3985" s="3">
        <v>-1.2408759124087501</v>
      </c>
      <c r="F3985" s="3">
        <v>-1.2408759124087501</v>
      </c>
      <c r="G3985" s="3">
        <v>27.06</v>
      </c>
      <c r="H3985" s="3">
        <v>654.07841891658904</v>
      </c>
      <c r="I3985" s="3">
        <v>27.24</v>
      </c>
      <c r="J3985" s="3">
        <v>27.64</v>
      </c>
      <c r="K3985" s="3">
        <v>26.99</v>
      </c>
      <c r="L3985" s="3">
        <v>654.07841891658904</v>
      </c>
    </row>
    <row r="3986" spans="1:12" ht="15" customHeight="1" x14ac:dyDescent="0.2">
      <c r="A3986" s="2">
        <v>40267</v>
      </c>
      <c r="B3986" s="3">
        <v>27.4</v>
      </c>
      <c r="C3986" s="1">
        <v>824530</v>
      </c>
      <c r="D3986" s="3">
        <v>9.9999999999997799E-2</v>
      </c>
      <c r="E3986" s="3">
        <v>0.366300366300365</v>
      </c>
      <c r="F3986" s="3">
        <v>0.366300366300365</v>
      </c>
      <c r="G3986" s="3">
        <v>27.4</v>
      </c>
      <c r="H3986" s="3">
        <v>663.553166234831</v>
      </c>
      <c r="I3986" s="3">
        <v>27.3</v>
      </c>
      <c r="J3986" s="3">
        <v>27.95</v>
      </c>
      <c r="K3986" s="3">
        <v>27.3</v>
      </c>
      <c r="L3986" s="3">
        <v>663.553166234831</v>
      </c>
    </row>
    <row r="3987" spans="1:12" ht="15" customHeight="1" x14ac:dyDescent="0.2">
      <c r="A3987" s="2">
        <v>40266</v>
      </c>
      <c r="B3987" s="3">
        <v>27.3</v>
      </c>
      <c r="C3987" s="1">
        <v>781037</v>
      </c>
      <c r="D3987" s="3">
        <v>-2.9999999999997501E-2</v>
      </c>
      <c r="E3987" s="3">
        <v>-0.10976948408341</v>
      </c>
      <c r="F3987" s="3">
        <v>-0.10976948408341</v>
      </c>
      <c r="G3987" s="3">
        <v>27.3</v>
      </c>
      <c r="H3987" s="3">
        <v>660.76647584711304</v>
      </c>
      <c r="I3987" s="3">
        <v>27.39</v>
      </c>
      <c r="J3987" s="3">
        <v>27.68</v>
      </c>
      <c r="K3987" s="3">
        <v>27.05</v>
      </c>
      <c r="L3987" s="3">
        <v>660.76647584711304</v>
      </c>
    </row>
    <row r="3988" spans="1:12" ht="15" customHeight="1" x14ac:dyDescent="0.2">
      <c r="A3988" s="2">
        <v>40263</v>
      </c>
      <c r="B3988" s="3">
        <v>27.33</v>
      </c>
      <c r="C3988" s="1">
        <v>1556108</v>
      </c>
      <c r="D3988" s="3">
        <v>7.9999999999998295E-2</v>
      </c>
      <c r="E3988" s="3">
        <v>0.293577981651371</v>
      </c>
      <c r="F3988" s="3">
        <v>0.293577981651371</v>
      </c>
      <c r="G3988" s="3">
        <v>27.33</v>
      </c>
      <c r="H3988" s="3">
        <v>661.60248296342797</v>
      </c>
      <c r="I3988" s="3">
        <v>27.75</v>
      </c>
      <c r="J3988" s="3">
        <v>27.81</v>
      </c>
      <c r="K3988" s="3">
        <v>27.22</v>
      </c>
      <c r="L3988" s="3">
        <v>661.60248296342797</v>
      </c>
    </row>
    <row r="3989" spans="1:12" ht="15" customHeight="1" x14ac:dyDescent="0.2">
      <c r="A3989" s="2">
        <v>40262</v>
      </c>
      <c r="B3989" s="3">
        <v>27.25</v>
      </c>
      <c r="C3989" s="1">
        <v>1332911</v>
      </c>
      <c r="D3989" s="3">
        <v>-0.35000000000000098</v>
      </c>
      <c r="E3989" s="3">
        <v>-1.26811594202899</v>
      </c>
      <c r="F3989" s="3">
        <v>-1.26811594202899</v>
      </c>
      <c r="G3989" s="3">
        <v>27.25</v>
      </c>
      <c r="H3989" s="3">
        <v>659.37313065325395</v>
      </c>
      <c r="I3989" s="3">
        <v>27.8</v>
      </c>
      <c r="J3989" s="3">
        <v>27.83</v>
      </c>
      <c r="K3989" s="3">
        <v>27.19</v>
      </c>
      <c r="L3989" s="3">
        <v>659.37313065325395</v>
      </c>
    </row>
    <row r="3990" spans="1:12" ht="15" customHeight="1" x14ac:dyDescent="0.2">
      <c r="A3990" s="2">
        <v>40261</v>
      </c>
      <c r="B3990" s="3">
        <v>27.6</v>
      </c>
      <c r="C3990" s="1">
        <v>1636902</v>
      </c>
      <c r="D3990" s="3">
        <v>-5.99999999999987E-2</v>
      </c>
      <c r="E3990" s="3">
        <v>-0.21691973969630801</v>
      </c>
      <c r="F3990" s="3">
        <v>-0.21691973969630801</v>
      </c>
      <c r="G3990" s="3">
        <v>27.6</v>
      </c>
      <c r="H3990" s="3">
        <v>669.12654701026804</v>
      </c>
      <c r="I3990" s="3">
        <v>27.52</v>
      </c>
      <c r="J3990" s="3">
        <v>27.74</v>
      </c>
      <c r="K3990" s="3">
        <v>27.42</v>
      </c>
      <c r="L3990" s="3">
        <v>669.12654701026804</v>
      </c>
    </row>
    <row r="3991" spans="1:12" ht="15" customHeight="1" x14ac:dyDescent="0.2">
      <c r="A3991" s="2">
        <v>40260</v>
      </c>
      <c r="B3991" s="3">
        <v>27.66</v>
      </c>
      <c r="C3991" s="1">
        <v>1514002</v>
      </c>
      <c r="D3991" s="3">
        <v>7.0000000000000201E-2</v>
      </c>
      <c r="E3991" s="3">
        <v>0.25371511417180398</v>
      </c>
      <c r="F3991" s="3">
        <v>0.25371511417180398</v>
      </c>
      <c r="G3991" s="3">
        <v>27.66</v>
      </c>
      <c r="H3991" s="3">
        <v>670.79856124289904</v>
      </c>
      <c r="I3991" s="3">
        <v>27.7</v>
      </c>
      <c r="J3991" s="3">
        <v>27.77</v>
      </c>
      <c r="K3991" s="3">
        <v>27.43</v>
      </c>
      <c r="L3991" s="3">
        <v>670.79856124289904</v>
      </c>
    </row>
    <row r="3992" spans="1:12" ht="15" customHeight="1" x14ac:dyDescent="0.2">
      <c r="A3992" s="2">
        <v>40259</v>
      </c>
      <c r="B3992" s="3">
        <v>27.59</v>
      </c>
      <c r="C3992" s="1">
        <v>908857</v>
      </c>
      <c r="D3992" s="3">
        <v>0.44999999999999901</v>
      </c>
      <c r="E3992" s="3">
        <v>1.6580692704495099</v>
      </c>
      <c r="F3992" s="3">
        <v>1.6580692704495099</v>
      </c>
      <c r="G3992" s="3">
        <v>27.59</v>
      </c>
      <c r="H3992" s="3">
        <v>668.84787797149602</v>
      </c>
      <c r="I3992" s="3">
        <v>26.96</v>
      </c>
      <c r="J3992" s="3">
        <v>27.69</v>
      </c>
      <c r="K3992" s="3">
        <v>26.85</v>
      </c>
      <c r="L3992" s="3">
        <v>668.84787797149602</v>
      </c>
    </row>
    <row r="3993" spans="1:12" ht="15" customHeight="1" x14ac:dyDescent="0.2">
      <c r="A3993" s="2">
        <v>40256</v>
      </c>
      <c r="B3993" s="3">
        <v>27.14</v>
      </c>
      <c r="C3993" s="1">
        <v>2237263</v>
      </c>
      <c r="D3993" s="3">
        <v>3.9999999999999099E-2</v>
      </c>
      <c r="E3993" s="3">
        <v>0.14760147601475801</v>
      </c>
      <c r="F3993" s="3">
        <v>0.14760147601475801</v>
      </c>
      <c r="G3993" s="3">
        <v>27.14</v>
      </c>
      <c r="H3993" s="3">
        <v>656.30777122676398</v>
      </c>
      <c r="I3993" s="3">
        <v>27.23</v>
      </c>
      <c r="J3993" s="3">
        <v>27.4</v>
      </c>
      <c r="K3993" s="3">
        <v>26.97</v>
      </c>
      <c r="L3993" s="3">
        <v>656.30777122676398</v>
      </c>
    </row>
    <row r="3994" spans="1:12" ht="15" customHeight="1" x14ac:dyDescent="0.2">
      <c r="A3994" s="2">
        <v>40255</v>
      </c>
      <c r="B3994" s="3">
        <v>27.1</v>
      </c>
      <c r="C3994" s="1">
        <v>1288423</v>
      </c>
      <c r="D3994" s="3">
        <v>0.24000000000000199</v>
      </c>
      <c r="E3994" s="3">
        <v>0.89352196574832199</v>
      </c>
      <c r="F3994" s="3">
        <v>0.89352196574832199</v>
      </c>
      <c r="G3994" s="3">
        <v>27.1</v>
      </c>
      <c r="H3994" s="3">
        <v>655.193095071676</v>
      </c>
      <c r="I3994" s="3">
        <v>26.88</v>
      </c>
      <c r="J3994" s="3">
        <v>27.14</v>
      </c>
      <c r="K3994" s="3">
        <v>26.82</v>
      </c>
      <c r="L3994" s="3">
        <v>655.193095071676</v>
      </c>
    </row>
    <row r="3995" spans="1:12" ht="15" customHeight="1" x14ac:dyDescent="0.2">
      <c r="A3995" s="2">
        <v>40254</v>
      </c>
      <c r="B3995" s="3">
        <v>26.86</v>
      </c>
      <c r="C3995" s="1">
        <v>1386031</v>
      </c>
      <c r="D3995" s="3">
        <v>0.109999999999999</v>
      </c>
      <c r="E3995" s="3">
        <v>0.41121495327103202</v>
      </c>
      <c r="F3995" s="3">
        <v>0.41121495327103202</v>
      </c>
      <c r="G3995" s="3">
        <v>26.86</v>
      </c>
      <c r="H3995" s="3">
        <v>648.505038141152</v>
      </c>
      <c r="I3995" s="3">
        <v>26.78</v>
      </c>
      <c r="J3995" s="3">
        <v>26.94</v>
      </c>
      <c r="K3995" s="3">
        <v>26.69</v>
      </c>
      <c r="L3995" s="3">
        <v>648.505038141152</v>
      </c>
    </row>
    <row r="3996" spans="1:12" ht="15" customHeight="1" x14ac:dyDescent="0.2">
      <c r="A3996" s="2">
        <v>40253</v>
      </c>
      <c r="B3996" s="3">
        <v>26.75</v>
      </c>
      <c r="C3996" s="1">
        <v>1912981</v>
      </c>
      <c r="D3996" s="3">
        <v>-1.9999999999999501E-2</v>
      </c>
      <c r="E3996" s="3">
        <v>-7.4710496824803505E-2</v>
      </c>
      <c r="F3996" s="3">
        <v>-7.4710496824803505E-2</v>
      </c>
      <c r="G3996" s="3">
        <v>26.75</v>
      </c>
      <c r="H3996" s="3">
        <v>645.43967871466202</v>
      </c>
      <c r="I3996" s="3">
        <v>26.36</v>
      </c>
      <c r="J3996" s="3">
        <v>26.79</v>
      </c>
      <c r="K3996" s="3">
        <v>26.25</v>
      </c>
      <c r="L3996" s="3">
        <v>645.43967871466202</v>
      </c>
    </row>
    <row r="3997" spans="1:12" ht="15" customHeight="1" x14ac:dyDescent="0.2">
      <c r="A3997" s="2">
        <v>40252</v>
      </c>
      <c r="B3997" s="3">
        <v>26.77</v>
      </c>
      <c r="C3997" s="1">
        <v>1567738</v>
      </c>
      <c r="D3997" s="3">
        <v>-0.14000000000000001</v>
      </c>
      <c r="E3997" s="3">
        <v>-0.52025269416573405</v>
      </c>
      <c r="F3997" s="3">
        <v>-0.52025269416573405</v>
      </c>
      <c r="G3997" s="3">
        <v>26.77</v>
      </c>
      <c r="H3997" s="3">
        <v>645.99701679220595</v>
      </c>
      <c r="I3997" s="3">
        <v>26.91</v>
      </c>
      <c r="J3997" s="3">
        <v>27.05</v>
      </c>
      <c r="K3997" s="3">
        <v>26.51</v>
      </c>
      <c r="L3997" s="3">
        <v>645.99701679220595</v>
      </c>
    </row>
    <row r="3998" spans="1:12" ht="15" customHeight="1" x14ac:dyDescent="0.2">
      <c r="A3998" s="2">
        <v>40249</v>
      </c>
      <c r="B3998" s="3">
        <v>26.91</v>
      </c>
      <c r="C3998" s="1">
        <v>2068762</v>
      </c>
      <c r="D3998" s="3">
        <v>-5.0000000000000697E-2</v>
      </c>
      <c r="E3998" s="3">
        <v>-0.18545994065282101</v>
      </c>
      <c r="F3998" s="3">
        <v>-0.18545994065282101</v>
      </c>
      <c r="G3998" s="3">
        <v>26.91</v>
      </c>
      <c r="H3998" s="3">
        <v>649.89838333501098</v>
      </c>
      <c r="I3998" s="3">
        <v>26.89</v>
      </c>
      <c r="J3998" s="3">
        <v>27</v>
      </c>
      <c r="K3998" s="3">
        <v>26.59</v>
      </c>
      <c r="L3998" s="3">
        <v>649.89838333501098</v>
      </c>
    </row>
    <row r="3999" spans="1:12" ht="15" customHeight="1" x14ac:dyDescent="0.2">
      <c r="A3999" s="2">
        <v>40248</v>
      </c>
      <c r="B3999" s="3">
        <v>26.96</v>
      </c>
      <c r="C3999" s="1">
        <v>2611574</v>
      </c>
      <c r="D3999" s="3">
        <v>0.92999999999999905</v>
      </c>
      <c r="E3999" s="3">
        <v>3.5728006146753701</v>
      </c>
      <c r="F3999" s="3">
        <v>3.5728006146753701</v>
      </c>
      <c r="G3999" s="3">
        <v>26.96</v>
      </c>
      <c r="H3999" s="3">
        <v>651.29172852887098</v>
      </c>
      <c r="I3999" s="3">
        <v>25.86</v>
      </c>
      <c r="J3999" s="3">
        <v>27.08</v>
      </c>
      <c r="K3999" s="3">
        <v>25.86</v>
      </c>
      <c r="L3999" s="3">
        <v>651.29172852887098</v>
      </c>
    </row>
    <row r="4000" spans="1:12" ht="15" customHeight="1" x14ac:dyDescent="0.2">
      <c r="A4000" s="2">
        <v>40247</v>
      </c>
      <c r="B4000" s="3">
        <v>26.03</v>
      </c>
      <c r="C4000" s="1">
        <v>1215080</v>
      </c>
      <c r="D4000" s="3">
        <v>0.380000000000002</v>
      </c>
      <c r="E4000" s="3">
        <v>1.4814814814814801</v>
      </c>
      <c r="F4000" s="3">
        <v>1.4814814814814801</v>
      </c>
      <c r="G4000" s="3">
        <v>26.03</v>
      </c>
      <c r="H4000" s="3">
        <v>625.37550792309003</v>
      </c>
      <c r="I4000" s="3">
        <v>25.65</v>
      </c>
      <c r="J4000" s="3">
        <v>26.06</v>
      </c>
      <c r="K4000" s="3">
        <v>25.49</v>
      </c>
      <c r="L4000" s="3">
        <v>625.37550792309003</v>
      </c>
    </row>
    <row r="4001" spans="1:12" ht="15" customHeight="1" x14ac:dyDescent="0.2">
      <c r="A4001" s="2">
        <v>40246</v>
      </c>
      <c r="B4001" s="3">
        <v>25.65</v>
      </c>
      <c r="C4001" s="1">
        <v>1948524</v>
      </c>
      <c r="D4001" s="3">
        <v>-0.190000000000001</v>
      </c>
      <c r="E4001" s="3">
        <v>-0.73529411764706698</v>
      </c>
      <c r="F4001" s="3">
        <v>-0.73529411764706698</v>
      </c>
      <c r="G4001" s="3">
        <v>25.65</v>
      </c>
      <c r="H4001" s="3">
        <v>614.78608444975998</v>
      </c>
      <c r="I4001" s="3">
        <v>25.37</v>
      </c>
      <c r="J4001" s="3">
        <v>26.03</v>
      </c>
      <c r="K4001" s="3">
        <v>25.332999999999998</v>
      </c>
      <c r="L4001" s="3">
        <v>614.78608444975998</v>
      </c>
    </row>
    <row r="4002" spans="1:12" ht="15" customHeight="1" x14ac:dyDescent="0.2">
      <c r="A4002" s="2">
        <v>40245</v>
      </c>
      <c r="B4002" s="3">
        <v>25.84</v>
      </c>
      <c r="C4002" s="1">
        <v>853778</v>
      </c>
      <c r="D4002" s="3">
        <v>0.12999999999999901</v>
      </c>
      <c r="E4002" s="3">
        <v>0.50563982886035996</v>
      </c>
      <c r="F4002" s="3">
        <v>0.50563982886035996</v>
      </c>
      <c r="G4002" s="3">
        <v>25.84</v>
      </c>
      <c r="H4002" s="3">
        <v>620.080796186425</v>
      </c>
      <c r="I4002" s="3">
        <v>25.74</v>
      </c>
      <c r="J4002" s="3">
        <v>26.1</v>
      </c>
      <c r="K4002" s="3">
        <v>25.7</v>
      </c>
      <c r="L4002" s="3">
        <v>620.080796186425</v>
      </c>
    </row>
    <row r="4003" spans="1:12" ht="15" customHeight="1" x14ac:dyDescent="0.2">
      <c r="A4003" s="2">
        <v>40242</v>
      </c>
      <c r="B4003" s="3">
        <v>25.71</v>
      </c>
      <c r="C4003" s="1">
        <v>1729763</v>
      </c>
      <c r="D4003" s="3">
        <v>1.01999999999999</v>
      </c>
      <c r="E4003" s="3">
        <v>4.13122721749696</v>
      </c>
      <c r="F4003" s="3">
        <v>4.13122721749696</v>
      </c>
      <c r="G4003" s="3">
        <v>25.71</v>
      </c>
      <c r="H4003" s="3">
        <v>616.45809868239098</v>
      </c>
      <c r="I4003" s="3">
        <v>24.93</v>
      </c>
      <c r="J4003" s="3">
        <v>25.71</v>
      </c>
      <c r="K4003" s="3">
        <v>24.87</v>
      </c>
      <c r="L4003" s="3">
        <v>616.45809868239098</v>
      </c>
    </row>
    <row r="4004" spans="1:12" ht="15" customHeight="1" x14ac:dyDescent="0.2">
      <c r="A4004" s="2">
        <v>40241</v>
      </c>
      <c r="B4004" s="3">
        <v>24.69</v>
      </c>
      <c r="C4004" s="1">
        <v>979826</v>
      </c>
      <c r="D4004" s="3">
        <v>-1.9999999999999501E-2</v>
      </c>
      <c r="E4004" s="3">
        <v>-8.0938891137194394E-2</v>
      </c>
      <c r="F4004" s="3">
        <v>-8.0938891137194394E-2</v>
      </c>
      <c r="G4004" s="3">
        <v>24.69</v>
      </c>
      <c r="H4004" s="3">
        <v>588.03385672766399</v>
      </c>
      <c r="I4004" s="3">
        <v>24.7</v>
      </c>
      <c r="J4004" s="3">
        <v>24.79</v>
      </c>
      <c r="K4004" s="3">
        <v>24.51</v>
      </c>
      <c r="L4004" s="3">
        <v>588.03385672766399</v>
      </c>
    </row>
    <row r="4005" spans="1:12" ht="15" customHeight="1" x14ac:dyDescent="0.2">
      <c r="A4005" s="2">
        <v>40240</v>
      </c>
      <c r="B4005" s="3">
        <v>24.71</v>
      </c>
      <c r="C4005" s="1">
        <v>1285129</v>
      </c>
      <c r="D4005" s="3">
        <v>-7.9999999999998295E-2</v>
      </c>
      <c r="E4005" s="3">
        <v>-0.32271077047195601</v>
      </c>
      <c r="F4005" s="3">
        <v>-0.32271077047195601</v>
      </c>
      <c r="G4005" s="3">
        <v>24.71</v>
      </c>
      <c r="H4005" s="3">
        <v>588.59119480520701</v>
      </c>
      <c r="I4005" s="3">
        <v>24.91</v>
      </c>
      <c r="J4005" s="3">
        <v>25.178000000000001</v>
      </c>
      <c r="K4005" s="3">
        <v>24.56</v>
      </c>
      <c r="L4005" s="3">
        <v>588.59119480520701</v>
      </c>
    </row>
    <row r="4006" spans="1:12" ht="15" customHeight="1" x14ac:dyDescent="0.2">
      <c r="A4006" s="2">
        <v>40239</v>
      </c>
      <c r="B4006" s="3">
        <v>24.79</v>
      </c>
      <c r="C4006" s="1">
        <v>1661813</v>
      </c>
      <c r="D4006" s="3">
        <v>0.55000000000000004</v>
      </c>
      <c r="E4006" s="3">
        <v>2.2689768976897602</v>
      </c>
      <c r="F4006" s="3">
        <v>2.2689768976897602</v>
      </c>
      <c r="G4006" s="3">
        <v>24.79</v>
      </c>
      <c r="H4006" s="3">
        <v>590.82054711538206</v>
      </c>
      <c r="I4006" s="3">
        <v>24.27</v>
      </c>
      <c r="J4006" s="3">
        <v>24.85</v>
      </c>
      <c r="K4006" s="3">
        <v>24.27</v>
      </c>
      <c r="L4006" s="3">
        <v>590.82054711538206</v>
      </c>
    </row>
    <row r="4007" spans="1:12" ht="15" customHeight="1" x14ac:dyDescent="0.2">
      <c r="A4007" s="2">
        <v>40238</v>
      </c>
      <c r="B4007" s="3">
        <v>24.24</v>
      </c>
      <c r="C4007" s="1">
        <v>1132641</v>
      </c>
      <c r="D4007" s="3">
        <v>0.58999999999999897</v>
      </c>
      <c r="E4007" s="3">
        <v>2.4947145877378398</v>
      </c>
      <c r="F4007" s="3">
        <v>2.4947145877378398</v>
      </c>
      <c r="G4007" s="3">
        <v>24.24</v>
      </c>
      <c r="H4007" s="3">
        <v>575.49374998293104</v>
      </c>
      <c r="I4007" s="3">
        <v>23.8</v>
      </c>
      <c r="J4007" s="3">
        <v>24.26</v>
      </c>
      <c r="K4007" s="3">
        <v>23.51</v>
      </c>
      <c r="L4007" s="3">
        <v>575.49374998293104</v>
      </c>
    </row>
    <row r="4008" spans="1:12" ht="15" customHeight="1" x14ac:dyDescent="0.2">
      <c r="A4008" s="2">
        <v>40235</v>
      </c>
      <c r="B4008" s="3">
        <v>23.65</v>
      </c>
      <c r="C4008" s="1">
        <v>834381</v>
      </c>
      <c r="D4008" s="3">
        <v>-3.0000000000001099E-2</v>
      </c>
      <c r="E4008" s="3">
        <v>-0.12668918918918801</v>
      </c>
      <c r="F4008" s="3">
        <v>-0.12668918918918801</v>
      </c>
      <c r="G4008" s="3">
        <v>23.65</v>
      </c>
      <c r="H4008" s="3">
        <v>559.05227669539295</v>
      </c>
      <c r="I4008" s="3">
        <v>23.83</v>
      </c>
      <c r="J4008" s="3">
        <v>24.1</v>
      </c>
      <c r="K4008" s="3">
        <v>23.6</v>
      </c>
      <c r="L4008" s="3">
        <v>559.05227669539295</v>
      </c>
    </row>
    <row r="4009" spans="1:12" ht="15" customHeight="1" x14ac:dyDescent="0.2">
      <c r="A4009" s="2">
        <v>40234</v>
      </c>
      <c r="B4009" s="3">
        <v>23.68</v>
      </c>
      <c r="C4009" s="1">
        <v>869777</v>
      </c>
      <c r="D4009" s="3">
        <v>3.9999999999999099E-2</v>
      </c>
      <c r="E4009" s="3">
        <v>0.16920473773265299</v>
      </c>
      <c r="F4009" s="3">
        <v>0.16920473773265299</v>
      </c>
      <c r="G4009" s="3">
        <v>23.68</v>
      </c>
      <c r="H4009" s="3">
        <v>559.88828381170799</v>
      </c>
      <c r="I4009" s="3">
        <v>23.33</v>
      </c>
      <c r="J4009" s="3">
        <v>23.7</v>
      </c>
      <c r="K4009" s="3">
        <v>23.26</v>
      </c>
      <c r="L4009" s="3">
        <v>559.88828381170799</v>
      </c>
    </row>
    <row r="4010" spans="1:12" ht="15" customHeight="1" x14ac:dyDescent="0.2">
      <c r="A4010" s="2">
        <v>40233</v>
      </c>
      <c r="B4010" s="3">
        <v>23.64</v>
      </c>
      <c r="C4010" s="1">
        <v>1075268</v>
      </c>
      <c r="D4010" s="3">
        <v>0.3</v>
      </c>
      <c r="E4010" s="3">
        <v>1.2853470437018</v>
      </c>
      <c r="F4010" s="3">
        <v>1.2853470437018</v>
      </c>
      <c r="G4010" s="3">
        <v>23.64</v>
      </c>
      <c r="H4010" s="3">
        <v>558.77360765662104</v>
      </c>
      <c r="I4010" s="3">
        <v>23.43</v>
      </c>
      <c r="J4010" s="3">
        <v>23.734999999999999</v>
      </c>
      <c r="K4010" s="3">
        <v>23.3</v>
      </c>
      <c r="L4010" s="3">
        <v>558.77360765662104</v>
      </c>
    </row>
    <row r="4011" spans="1:12" ht="15" customHeight="1" x14ac:dyDescent="0.2">
      <c r="A4011" s="2">
        <v>40232</v>
      </c>
      <c r="B4011" s="3">
        <v>23.34</v>
      </c>
      <c r="C4011" s="1">
        <v>941508</v>
      </c>
      <c r="D4011" s="3">
        <v>-0.42000000000000098</v>
      </c>
      <c r="E4011" s="3">
        <v>-1.76767676767677</v>
      </c>
      <c r="F4011" s="3">
        <v>-1.76767676767677</v>
      </c>
      <c r="G4011" s="3">
        <v>23.34</v>
      </c>
      <c r="H4011" s="3">
        <v>550.41353649346604</v>
      </c>
      <c r="I4011" s="3">
        <v>23.75</v>
      </c>
      <c r="J4011" s="3">
        <v>24</v>
      </c>
      <c r="K4011" s="3">
        <v>23.32</v>
      </c>
      <c r="L4011" s="3">
        <v>550.41353649346604</v>
      </c>
    </row>
    <row r="4012" spans="1:12" ht="15" customHeight="1" x14ac:dyDescent="0.2">
      <c r="A4012" s="2">
        <v>40231</v>
      </c>
      <c r="B4012" s="3">
        <v>23.76</v>
      </c>
      <c r="C4012" s="1">
        <v>723591</v>
      </c>
      <c r="D4012" s="3">
        <v>0.110000000000002</v>
      </c>
      <c r="E4012" s="3">
        <v>0.46511627906977698</v>
      </c>
      <c r="F4012" s="3">
        <v>0.46511627906977698</v>
      </c>
      <c r="G4012" s="3">
        <v>23.76</v>
      </c>
      <c r="H4012" s="3">
        <v>562.11763612188304</v>
      </c>
      <c r="I4012" s="3">
        <v>23.74</v>
      </c>
      <c r="J4012" s="3">
        <v>23.94</v>
      </c>
      <c r="K4012" s="3">
        <v>23.61</v>
      </c>
      <c r="L4012" s="3">
        <v>562.11763612188304</v>
      </c>
    </row>
    <row r="4013" spans="1:12" ht="15" customHeight="1" x14ac:dyDescent="0.2">
      <c r="A4013" s="2">
        <v>40228</v>
      </c>
      <c r="B4013" s="3">
        <v>23.65</v>
      </c>
      <c r="C4013" s="1">
        <v>1365727</v>
      </c>
      <c r="D4013" s="3">
        <v>9.9999999999997799E-2</v>
      </c>
      <c r="E4013" s="3">
        <v>0.42462845010615702</v>
      </c>
      <c r="F4013" s="3">
        <v>0.42462845010615702</v>
      </c>
      <c r="G4013" s="3">
        <v>23.65</v>
      </c>
      <c r="H4013" s="3">
        <v>559.05227669539295</v>
      </c>
      <c r="I4013" s="3">
        <v>23.5</v>
      </c>
      <c r="J4013" s="3">
        <v>23.7775</v>
      </c>
      <c r="K4013" s="3">
        <v>23.22</v>
      </c>
      <c r="L4013" s="3">
        <v>559.05227669539295</v>
      </c>
    </row>
    <row r="4014" spans="1:12" ht="15" customHeight="1" x14ac:dyDescent="0.2">
      <c r="A4014" s="2">
        <v>40227</v>
      </c>
      <c r="B4014" s="3">
        <v>23.55</v>
      </c>
      <c r="C4014" s="1">
        <v>947319</v>
      </c>
      <c r="D4014" s="3">
        <v>0.15000000000000199</v>
      </c>
      <c r="E4014" s="3">
        <v>0.64102564102566095</v>
      </c>
      <c r="F4014" s="3">
        <v>0.64102564102566095</v>
      </c>
      <c r="G4014" s="3">
        <v>23.55</v>
      </c>
      <c r="H4014" s="3">
        <v>556.26558630767397</v>
      </c>
      <c r="I4014" s="3">
        <v>23.47</v>
      </c>
      <c r="J4014" s="3">
        <v>23.6</v>
      </c>
      <c r="K4014" s="3">
        <v>23.31</v>
      </c>
      <c r="L4014" s="3">
        <v>556.26558630767397</v>
      </c>
    </row>
    <row r="4015" spans="1:12" ht="15" customHeight="1" x14ac:dyDescent="0.2">
      <c r="A4015" s="2">
        <v>40226</v>
      </c>
      <c r="B4015" s="3">
        <v>23.4</v>
      </c>
      <c r="C4015" s="1">
        <v>1473992</v>
      </c>
      <c r="D4015" s="3">
        <v>-0.41</v>
      </c>
      <c r="E4015" s="3">
        <v>-1.72196556068878</v>
      </c>
      <c r="F4015" s="3">
        <v>-1.72196556068878</v>
      </c>
      <c r="G4015" s="3">
        <v>23.4</v>
      </c>
      <c r="H4015" s="3">
        <v>552.08555072609704</v>
      </c>
      <c r="I4015" s="3">
        <v>23.96</v>
      </c>
      <c r="J4015" s="3">
        <v>24.08</v>
      </c>
      <c r="K4015" s="3">
        <v>23.33</v>
      </c>
      <c r="L4015" s="3">
        <v>552.08555072609704</v>
      </c>
    </row>
    <row r="4016" spans="1:12" ht="15" customHeight="1" x14ac:dyDescent="0.2">
      <c r="A4016" s="2">
        <v>40225</v>
      </c>
      <c r="B4016" s="3">
        <v>23.81</v>
      </c>
      <c r="C4016" s="1">
        <v>1390704</v>
      </c>
      <c r="D4016" s="3">
        <v>0.16999999999999801</v>
      </c>
      <c r="E4016" s="3">
        <v>0.71912013536379304</v>
      </c>
      <c r="F4016" s="3">
        <v>0.71912013536379304</v>
      </c>
      <c r="G4016" s="3">
        <v>23.81</v>
      </c>
      <c r="H4016" s="3">
        <v>563.51098131574201</v>
      </c>
      <c r="I4016" s="3">
        <v>23.7</v>
      </c>
      <c r="J4016" s="3">
        <v>24.15</v>
      </c>
      <c r="K4016" s="3">
        <v>23.7</v>
      </c>
      <c r="L4016" s="3">
        <v>563.51098131574201</v>
      </c>
    </row>
    <row r="4017" spans="1:12" ht="15" customHeight="1" x14ac:dyDescent="0.2">
      <c r="A4017" s="2">
        <v>40221</v>
      </c>
      <c r="B4017" s="3">
        <v>23.64</v>
      </c>
      <c r="C4017" s="1">
        <v>4538397</v>
      </c>
      <c r="D4017" s="3">
        <v>0.98</v>
      </c>
      <c r="E4017" s="3">
        <v>4.32480141218005</v>
      </c>
      <c r="F4017" s="3">
        <v>4.32480141218005</v>
      </c>
      <c r="G4017" s="3">
        <v>23.64</v>
      </c>
      <c r="H4017" s="3">
        <v>558.77360765662104</v>
      </c>
      <c r="I4017" s="3">
        <v>22.32</v>
      </c>
      <c r="J4017" s="3">
        <v>23.71</v>
      </c>
      <c r="K4017" s="3">
        <v>22.03</v>
      </c>
      <c r="L4017" s="3">
        <v>558.77360765662104</v>
      </c>
    </row>
    <row r="4018" spans="1:12" ht="15" customHeight="1" x14ac:dyDescent="0.2">
      <c r="A4018" s="2">
        <v>40220</v>
      </c>
      <c r="B4018" s="3">
        <v>22.66</v>
      </c>
      <c r="C4018" s="1">
        <v>2367555</v>
      </c>
      <c r="D4018" s="3">
        <v>0.46</v>
      </c>
      <c r="E4018" s="3">
        <v>2.07207207207207</v>
      </c>
      <c r="F4018" s="3">
        <v>2.07207207207207</v>
      </c>
      <c r="G4018" s="3">
        <v>22.66</v>
      </c>
      <c r="H4018" s="3">
        <v>531.464041856981</v>
      </c>
      <c r="I4018" s="3">
        <v>22.16</v>
      </c>
      <c r="J4018" s="3">
        <v>22.71</v>
      </c>
      <c r="K4018" s="3">
        <v>21.94</v>
      </c>
      <c r="L4018" s="3">
        <v>531.464041856981</v>
      </c>
    </row>
    <row r="4019" spans="1:12" ht="15" customHeight="1" x14ac:dyDescent="0.2">
      <c r="A4019" s="2">
        <v>40219</v>
      </c>
      <c r="B4019" s="3">
        <v>22.2</v>
      </c>
      <c r="C4019" s="1">
        <v>1788968</v>
      </c>
      <c r="D4019" s="3">
        <v>0.55999999999999805</v>
      </c>
      <c r="E4019" s="3">
        <v>2.5878003696857501</v>
      </c>
      <c r="F4019" s="3">
        <v>2.5878003696857501</v>
      </c>
      <c r="G4019" s="3">
        <v>22.2</v>
      </c>
      <c r="H4019" s="3">
        <v>518.64526607347602</v>
      </c>
      <c r="I4019" s="3">
        <v>21.21</v>
      </c>
      <c r="J4019" s="3">
        <v>22.24</v>
      </c>
      <c r="K4019" s="3">
        <v>21.21</v>
      </c>
      <c r="L4019" s="3">
        <v>518.64526607347602</v>
      </c>
    </row>
    <row r="4020" spans="1:12" ht="15" customHeight="1" x14ac:dyDescent="0.2">
      <c r="A4020" s="2">
        <v>40218</v>
      </c>
      <c r="B4020" s="3">
        <v>21.64</v>
      </c>
      <c r="C4020" s="1">
        <v>1176536</v>
      </c>
      <c r="D4020" s="3">
        <v>0.3</v>
      </c>
      <c r="E4020" s="3">
        <v>1.4058106841612099</v>
      </c>
      <c r="F4020" s="3">
        <v>1.4058106841612099</v>
      </c>
      <c r="G4020" s="3">
        <v>21.64</v>
      </c>
      <c r="H4020" s="3">
        <v>503.039799902254</v>
      </c>
      <c r="I4020" s="3">
        <v>21.65</v>
      </c>
      <c r="J4020" s="3">
        <v>21.85</v>
      </c>
      <c r="K4020" s="3">
        <v>21.34</v>
      </c>
      <c r="L4020" s="3">
        <v>503.039799902254</v>
      </c>
    </row>
    <row r="4021" spans="1:12" ht="15" customHeight="1" x14ac:dyDescent="0.2">
      <c r="A4021" s="2">
        <v>40217</v>
      </c>
      <c r="B4021" s="3">
        <v>21.34</v>
      </c>
      <c r="C4021" s="1">
        <v>992988</v>
      </c>
      <c r="D4021" s="3">
        <v>7.9999999999998295E-2</v>
      </c>
      <c r="E4021" s="3">
        <v>0.37629350893695301</v>
      </c>
      <c r="F4021" s="3">
        <v>0.37629350893695301</v>
      </c>
      <c r="G4021" s="3">
        <v>21.34</v>
      </c>
      <c r="H4021" s="3">
        <v>494.67972873909798</v>
      </c>
      <c r="I4021" s="3">
        <v>21.29</v>
      </c>
      <c r="J4021" s="3">
        <v>21.67</v>
      </c>
      <c r="K4021" s="3">
        <v>21.13</v>
      </c>
      <c r="L4021" s="3">
        <v>494.67972873909798</v>
      </c>
    </row>
    <row r="4022" spans="1:12" ht="15" customHeight="1" x14ac:dyDescent="0.2">
      <c r="A4022" s="2">
        <v>40214</v>
      </c>
      <c r="B4022" s="3">
        <v>21.26</v>
      </c>
      <c r="C4022" s="1">
        <v>1327358</v>
      </c>
      <c r="D4022" s="3">
        <v>8.9999999999999802E-2</v>
      </c>
      <c r="E4022" s="3">
        <v>0.425129900803011</v>
      </c>
      <c r="F4022" s="3">
        <v>0.425129900803011</v>
      </c>
      <c r="G4022" s="3">
        <v>21.26</v>
      </c>
      <c r="H4022" s="3">
        <v>492.45037642892402</v>
      </c>
      <c r="I4022" s="3">
        <v>21.73</v>
      </c>
      <c r="J4022" s="3">
        <v>21.77</v>
      </c>
      <c r="K4022" s="3">
        <v>20.86</v>
      </c>
      <c r="L4022" s="3">
        <v>492.45037642892402</v>
      </c>
    </row>
    <row r="4023" spans="1:12" ht="15" customHeight="1" x14ac:dyDescent="0.2">
      <c r="A4023" s="2">
        <v>40213</v>
      </c>
      <c r="B4023" s="3">
        <v>21.17</v>
      </c>
      <c r="C4023" s="1">
        <v>794875</v>
      </c>
      <c r="D4023" s="3">
        <v>-0.60999999999999899</v>
      </c>
      <c r="E4023" s="3">
        <v>-2.8007346189164299</v>
      </c>
      <c r="F4023" s="3">
        <v>-2.8007346189164299</v>
      </c>
      <c r="G4023" s="3">
        <v>21.17</v>
      </c>
      <c r="H4023" s="3">
        <v>489.94235507997701</v>
      </c>
      <c r="I4023" s="3">
        <v>21.58</v>
      </c>
      <c r="J4023" s="3">
        <v>21.78</v>
      </c>
      <c r="K4023" s="3">
        <v>21.15</v>
      </c>
      <c r="L4023" s="3">
        <v>489.94235507997701</v>
      </c>
    </row>
    <row r="4024" spans="1:12" ht="15" customHeight="1" x14ac:dyDescent="0.2">
      <c r="A4024" s="2">
        <v>40212</v>
      </c>
      <c r="B4024" s="3">
        <v>21.78</v>
      </c>
      <c r="C4024" s="1">
        <v>542463</v>
      </c>
      <c r="D4024" s="3">
        <v>-0.16999999999999801</v>
      </c>
      <c r="E4024" s="3">
        <v>-0.77448747152618602</v>
      </c>
      <c r="F4024" s="3">
        <v>-0.77448747152618602</v>
      </c>
      <c r="G4024" s="3">
        <v>21.78</v>
      </c>
      <c r="H4024" s="3">
        <v>506.94116644505903</v>
      </c>
      <c r="I4024" s="3">
        <v>21.8</v>
      </c>
      <c r="J4024" s="3">
        <v>22.1</v>
      </c>
      <c r="K4024" s="3">
        <v>21.67</v>
      </c>
      <c r="L4024" s="3">
        <v>506.94116644505903</v>
      </c>
    </row>
    <row r="4025" spans="1:12" ht="15" customHeight="1" x14ac:dyDescent="0.2">
      <c r="A4025" s="2">
        <v>40211</v>
      </c>
      <c r="B4025" s="3">
        <v>21.95</v>
      </c>
      <c r="C4025" s="1">
        <v>878016</v>
      </c>
      <c r="D4025" s="3">
        <v>-0.100000000000001</v>
      </c>
      <c r="E4025" s="3">
        <v>-0.45351473922903202</v>
      </c>
      <c r="F4025" s="3">
        <v>-0.45351473922903202</v>
      </c>
      <c r="G4025" s="3">
        <v>21.95</v>
      </c>
      <c r="H4025" s="3">
        <v>511.67854010418</v>
      </c>
      <c r="I4025" s="3">
        <v>22.05</v>
      </c>
      <c r="J4025" s="3">
        <v>22.24</v>
      </c>
      <c r="K4025" s="3">
        <v>21.88</v>
      </c>
      <c r="L4025" s="3">
        <v>511.67854010418</v>
      </c>
    </row>
    <row r="4026" spans="1:12" ht="15" customHeight="1" x14ac:dyDescent="0.2">
      <c r="A4026" s="2">
        <v>40210</v>
      </c>
      <c r="B4026" s="3">
        <v>22.05</v>
      </c>
      <c r="C4026" s="1">
        <v>1975647</v>
      </c>
      <c r="D4026" s="3">
        <v>0.91</v>
      </c>
      <c r="E4026" s="3">
        <v>4.3046357615894104</v>
      </c>
      <c r="F4026" s="3">
        <v>4.3046357615894104</v>
      </c>
      <c r="G4026" s="3">
        <v>22.05</v>
      </c>
      <c r="H4026" s="3">
        <v>514.46523049189898</v>
      </c>
      <c r="I4026" s="3">
        <v>21.22</v>
      </c>
      <c r="J4026" s="3">
        <v>22.15</v>
      </c>
      <c r="K4026" s="3">
        <v>21.22</v>
      </c>
      <c r="L4026" s="3">
        <v>514.46523049189898</v>
      </c>
    </row>
    <row r="4027" spans="1:12" ht="15" customHeight="1" x14ac:dyDescent="0.2">
      <c r="A4027" s="2">
        <v>40207</v>
      </c>
      <c r="B4027" s="3">
        <v>21.14</v>
      </c>
      <c r="C4027" s="1">
        <v>1558594</v>
      </c>
      <c r="D4027" s="3">
        <v>8.0000000000001806E-2</v>
      </c>
      <c r="E4027" s="3">
        <v>0.379867046533721</v>
      </c>
      <c r="F4027" s="3">
        <v>0.379867046533721</v>
      </c>
      <c r="G4027" s="3">
        <v>21.14</v>
      </c>
      <c r="H4027" s="3">
        <v>489.10634796366202</v>
      </c>
      <c r="I4027" s="3">
        <v>21.18</v>
      </c>
      <c r="J4027" s="3">
        <v>21.8</v>
      </c>
      <c r="K4027" s="3">
        <v>21.14</v>
      </c>
      <c r="L4027" s="3">
        <v>489.10634796366202</v>
      </c>
    </row>
    <row r="4028" spans="1:12" ht="15" customHeight="1" x14ac:dyDescent="0.2">
      <c r="A4028" s="2">
        <v>40206</v>
      </c>
      <c r="B4028" s="3">
        <v>21.06</v>
      </c>
      <c r="C4028" s="1">
        <v>1218593</v>
      </c>
      <c r="D4028" s="3">
        <v>0.119999999999997</v>
      </c>
      <c r="E4028" s="3">
        <v>0.57306590257877299</v>
      </c>
      <c r="F4028" s="3">
        <v>0.57306590257877299</v>
      </c>
      <c r="G4028" s="3">
        <v>21.06</v>
      </c>
      <c r="H4028" s="3">
        <v>486.87699565348697</v>
      </c>
      <c r="I4028" s="3">
        <v>20.93</v>
      </c>
      <c r="J4028" s="3">
        <v>21.21</v>
      </c>
      <c r="K4028" s="3">
        <v>20.85</v>
      </c>
      <c r="L4028" s="3">
        <v>486.87699565348697</v>
      </c>
    </row>
    <row r="4029" spans="1:12" ht="15" customHeight="1" x14ac:dyDescent="0.2">
      <c r="A4029" s="2">
        <v>40205</v>
      </c>
      <c r="B4029" s="3">
        <v>20.94</v>
      </c>
      <c r="C4029" s="1">
        <v>1469498</v>
      </c>
      <c r="D4029" s="3">
        <v>-0.29999999999999699</v>
      </c>
      <c r="E4029" s="3">
        <v>-1.41242937853105</v>
      </c>
      <c r="F4029" s="3">
        <v>-1.41242937853105</v>
      </c>
      <c r="G4029" s="3">
        <v>20.94</v>
      </c>
      <c r="H4029" s="3">
        <v>483.53296718822497</v>
      </c>
      <c r="I4029" s="3">
        <v>21.1</v>
      </c>
      <c r="J4029" s="3">
        <v>21.36</v>
      </c>
      <c r="K4029" s="3">
        <v>20.83</v>
      </c>
      <c r="L4029" s="3">
        <v>483.53296718822497</v>
      </c>
    </row>
    <row r="4030" spans="1:12" ht="15" customHeight="1" x14ac:dyDescent="0.2">
      <c r="A4030" s="2">
        <v>40204</v>
      </c>
      <c r="B4030" s="3">
        <v>21.24</v>
      </c>
      <c r="C4030" s="1">
        <v>1071742</v>
      </c>
      <c r="D4030" s="3">
        <v>5.99999999999987E-2</v>
      </c>
      <c r="E4030" s="3">
        <v>0.28328611898016298</v>
      </c>
      <c r="F4030" s="3">
        <v>0.28328611898016298</v>
      </c>
      <c r="G4030" s="3">
        <v>21.24</v>
      </c>
      <c r="H4030" s="3">
        <v>491.89303835138003</v>
      </c>
      <c r="I4030" s="3">
        <v>21.11</v>
      </c>
      <c r="J4030" s="3">
        <v>21.35</v>
      </c>
      <c r="K4030" s="3">
        <v>20.91</v>
      </c>
      <c r="L4030" s="3">
        <v>491.89303835138003</v>
      </c>
    </row>
    <row r="4031" spans="1:12" ht="15" customHeight="1" x14ac:dyDescent="0.2">
      <c r="A4031" s="2">
        <v>40203</v>
      </c>
      <c r="B4031" s="3">
        <v>21.18</v>
      </c>
      <c r="C4031" s="1">
        <v>1073479</v>
      </c>
      <c r="D4031" s="3">
        <v>-0.100000000000001</v>
      </c>
      <c r="E4031" s="3">
        <v>-0.46992481203008601</v>
      </c>
      <c r="F4031" s="3">
        <v>-0.46992481203008601</v>
      </c>
      <c r="G4031" s="3">
        <v>21.18</v>
      </c>
      <c r="H4031" s="3">
        <v>490.22102411874903</v>
      </c>
      <c r="I4031" s="3">
        <v>21.57</v>
      </c>
      <c r="J4031" s="3">
        <v>21.7</v>
      </c>
      <c r="K4031" s="3">
        <v>21.04</v>
      </c>
      <c r="L4031" s="3">
        <v>490.22102411874903</v>
      </c>
    </row>
    <row r="4032" spans="1:12" ht="15" customHeight="1" x14ac:dyDescent="0.2">
      <c r="A4032" s="2">
        <v>40200</v>
      </c>
      <c r="B4032" s="3">
        <v>21.28</v>
      </c>
      <c r="C4032" s="1">
        <v>2381749</v>
      </c>
      <c r="D4032" s="3">
        <v>-1.0999999999999901</v>
      </c>
      <c r="E4032" s="3">
        <v>-4.9151027703306402</v>
      </c>
      <c r="F4032" s="3">
        <v>-4.9151027703306402</v>
      </c>
      <c r="G4032" s="3">
        <v>21.28</v>
      </c>
      <c r="H4032" s="3">
        <v>493.00771450646801</v>
      </c>
      <c r="I4032" s="3">
        <v>22.31</v>
      </c>
      <c r="J4032" s="3">
        <v>22.37</v>
      </c>
      <c r="K4032" s="3">
        <v>20.99</v>
      </c>
      <c r="L4032" s="3">
        <v>493.00771450646801</v>
      </c>
    </row>
    <row r="4033" spans="1:12" ht="15" customHeight="1" x14ac:dyDescent="0.2">
      <c r="A4033" s="2">
        <v>40199</v>
      </c>
      <c r="B4033" s="3">
        <v>22.38</v>
      </c>
      <c r="C4033" s="1">
        <v>1451542</v>
      </c>
      <c r="D4033" s="3">
        <v>-0.28000000000000103</v>
      </c>
      <c r="E4033" s="3">
        <v>-1.23565754633716</v>
      </c>
      <c r="F4033" s="3">
        <v>-1.23565754633716</v>
      </c>
      <c r="G4033" s="3">
        <v>22.38</v>
      </c>
      <c r="H4033" s="3">
        <v>523.66130877136902</v>
      </c>
      <c r="I4033" s="3">
        <v>22.79</v>
      </c>
      <c r="J4033" s="3">
        <v>23.09</v>
      </c>
      <c r="K4033" s="3">
        <v>22.16</v>
      </c>
      <c r="L4033" s="3">
        <v>523.66130877136902</v>
      </c>
    </row>
    <row r="4034" spans="1:12" ht="15" customHeight="1" x14ac:dyDescent="0.2">
      <c r="A4034" s="2">
        <v>40198</v>
      </c>
      <c r="B4034" s="3">
        <v>22.66</v>
      </c>
      <c r="C4034" s="1">
        <v>1480937</v>
      </c>
      <c r="D4034" s="3">
        <v>8.0000000000001806E-2</v>
      </c>
      <c r="E4034" s="3">
        <v>0.35429583702393203</v>
      </c>
      <c r="F4034" s="3">
        <v>0.35429583702393203</v>
      </c>
      <c r="G4034" s="3">
        <v>22.66</v>
      </c>
      <c r="H4034" s="3">
        <v>531.464041856981</v>
      </c>
      <c r="I4034" s="3">
        <v>22.58</v>
      </c>
      <c r="J4034" s="3">
        <v>22.98</v>
      </c>
      <c r="K4034" s="3">
        <v>22.35</v>
      </c>
      <c r="L4034" s="3">
        <v>531.464041856981</v>
      </c>
    </row>
    <row r="4035" spans="1:12" ht="15" customHeight="1" x14ac:dyDescent="0.2">
      <c r="A4035" s="2">
        <v>40197</v>
      </c>
      <c r="B4035" s="3">
        <v>22.58</v>
      </c>
      <c r="C4035" s="1">
        <v>1012466</v>
      </c>
      <c r="D4035" s="3">
        <v>0.12999999999999901</v>
      </c>
      <c r="E4035" s="3">
        <v>0.57906458797327698</v>
      </c>
      <c r="F4035" s="3">
        <v>0.57906458797327698</v>
      </c>
      <c r="G4035" s="3">
        <v>22.58</v>
      </c>
      <c r="H4035" s="3">
        <v>529.23468954680595</v>
      </c>
      <c r="I4035" s="3">
        <v>22.4</v>
      </c>
      <c r="J4035" s="3">
        <v>22.7</v>
      </c>
      <c r="K4035" s="3">
        <v>22.16</v>
      </c>
      <c r="L4035" s="3">
        <v>529.23468954680595</v>
      </c>
    </row>
    <row r="4036" spans="1:12" ht="15" customHeight="1" x14ac:dyDescent="0.2">
      <c r="A4036" s="2">
        <v>40193</v>
      </c>
      <c r="B4036" s="3">
        <v>22.45</v>
      </c>
      <c r="C4036" s="1">
        <v>1380228</v>
      </c>
      <c r="D4036" s="3">
        <v>-0.35000000000000098</v>
      </c>
      <c r="E4036" s="3">
        <v>-1.5350877192982499</v>
      </c>
      <c r="F4036" s="3">
        <v>-1.5350877192982499</v>
      </c>
      <c r="G4036" s="3">
        <v>22.45</v>
      </c>
      <c r="H4036" s="3">
        <v>525.61199204277204</v>
      </c>
      <c r="I4036" s="3">
        <v>22.88</v>
      </c>
      <c r="J4036" s="3">
        <v>22.9</v>
      </c>
      <c r="K4036" s="3">
        <v>22.18</v>
      </c>
      <c r="L4036" s="3">
        <v>525.61199204277204</v>
      </c>
    </row>
    <row r="4037" spans="1:12" ht="15" customHeight="1" x14ac:dyDescent="0.2">
      <c r="A4037" s="2">
        <v>40192</v>
      </c>
      <c r="B4037" s="3">
        <v>22.8</v>
      </c>
      <c r="C4037" s="1">
        <v>1320300</v>
      </c>
      <c r="D4037" s="3">
        <v>0.37000000000000099</v>
      </c>
      <c r="E4037" s="3">
        <v>1.64957646009809</v>
      </c>
      <c r="F4037" s="3">
        <v>1.64957646009809</v>
      </c>
      <c r="G4037" s="3">
        <v>22.8</v>
      </c>
      <c r="H4037" s="3">
        <v>535.36540839978704</v>
      </c>
      <c r="I4037" s="3">
        <v>22.32</v>
      </c>
      <c r="J4037" s="3">
        <v>22.82</v>
      </c>
      <c r="K4037" s="3">
        <v>22.32</v>
      </c>
      <c r="L4037" s="3">
        <v>535.36540839978704</v>
      </c>
    </row>
    <row r="4038" spans="1:12" ht="15" customHeight="1" x14ac:dyDescent="0.2">
      <c r="A4038" s="2">
        <v>40191</v>
      </c>
      <c r="B4038" s="3">
        <v>22.43</v>
      </c>
      <c r="C4038" s="1">
        <v>2154482</v>
      </c>
      <c r="D4038" s="3">
        <v>-5.99999999999987E-2</v>
      </c>
      <c r="E4038" s="3">
        <v>-0.26678523788349301</v>
      </c>
      <c r="F4038" s="3">
        <v>-0.26678523788349301</v>
      </c>
      <c r="G4038" s="3">
        <v>22.43</v>
      </c>
      <c r="H4038" s="3">
        <v>525.05465396522902</v>
      </c>
      <c r="I4038" s="3">
        <v>22.63</v>
      </c>
      <c r="J4038" s="3">
        <v>22.63</v>
      </c>
      <c r="K4038" s="3">
        <v>22.08</v>
      </c>
      <c r="L4038" s="3">
        <v>525.05465396522902</v>
      </c>
    </row>
    <row r="4039" spans="1:12" ht="15" customHeight="1" x14ac:dyDescent="0.2">
      <c r="A4039" s="2">
        <v>40190</v>
      </c>
      <c r="B4039" s="3">
        <v>22.49</v>
      </c>
      <c r="C4039" s="1">
        <v>3686096</v>
      </c>
      <c r="D4039" s="3">
        <v>1.22999999999999</v>
      </c>
      <c r="E4039" s="3">
        <v>5.7855126999059001</v>
      </c>
      <c r="F4039" s="3">
        <v>5.7855126999059001</v>
      </c>
      <c r="G4039" s="3">
        <v>22.49</v>
      </c>
      <c r="H4039" s="3">
        <v>526.72666819786002</v>
      </c>
      <c r="I4039" s="3">
        <v>21.97</v>
      </c>
      <c r="J4039" s="3">
        <v>22.76</v>
      </c>
      <c r="K4039" s="3">
        <v>21.75</v>
      </c>
      <c r="L4039" s="3">
        <v>526.72666819786002</v>
      </c>
    </row>
    <row r="4040" spans="1:12" ht="15" customHeight="1" x14ac:dyDescent="0.2">
      <c r="A4040" s="2">
        <v>40189</v>
      </c>
      <c r="B4040" s="3">
        <v>21.26</v>
      </c>
      <c r="C4040" s="1">
        <v>1674690</v>
      </c>
      <c r="D4040" s="3">
        <v>-0.16</v>
      </c>
      <c r="E4040" s="3">
        <v>-0.74696545284780302</v>
      </c>
      <c r="F4040" s="3">
        <v>-0.74696545284780302</v>
      </c>
      <c r="G4040" s="3">
        <v>21.26</v>
      </c>
      <c r="H4040" s="3">
        <v>492.45037642892402</v>
      </c>
      <c r="I4040" s="3">
        <v>21.21</v>
      </c>
      <c r="J4040" s="3">
        <v>21.39</v>
      </c>
      <c r="K4040" s="3">
        <v>20.75</v>
      </c>
      <c r="L4040" s="3">
        <v>492.45037642892402</v>
      </c>
    </row>
    <row r="4041" spans="1:12" ht="15" customHeight="1" x14ac:dyDescent="0.2">
      <c r="A4041" s="2">
        <v>40186</v>
      </c>
      <c r="B4041" s="3">
        <v>21.42</v>
      </c>
      <c r="C4041" s="1">
        <v>991742</v>
      </c>
      <c r="D4041" s="3"/>
      <c r="E4041" s="3"/>
      <c r="F4041" s="3"/>
      <c r="G4041" s="3">
        <v>21.42</v>
      </c>
      <c r="H4041" s="3">
        <v>496.90908104927303</v>
      </c>
      <c r="I4041" s="3">
        <v>21.43</v>
      </c>
      <c r="J4041" s="3">
        <v>21.48</v>
      </c>
      <c r="K4041" s="3">
        <v>21.16</v>
      </c>
      <c r="L4041" s="3">
        <v>496.90908104927303</v>
      </c>
    </row>
    <row r="4042" spans="1:12" ht="15" customHeight="1" x14ac:dyDescent="0.2">
      <c r="A4042" s="2">
        <v>40185</v>
      </c>
      <c r="B4042" s="3">
        <v>21.42</v>
      </c>
      <c r="C4042" s="1">
        <v>1004392</v>
      </c>
      <c r="D4042" s="3">
        <v>0.33000000000000101</v>
      </c>
      <c r="E4042" s="3">
        <v>1.5647226173541999</v>
      </c>
      <c r="F4042" s="3">
        <v>1.5647226173541999</v>
      </c>
      <c r="G4042" s="3">
        <v>21.42</v>
      </c>
      <c r="H4042" s="3">
        <v>496.90908104927303</v>
      </c>
      <c r="I4042" s="3">
        <v>21.12</v>
      </c>
      <c r="J4042" s="3">
        <v>21.49</v>
      </c>
      <c r="K4042" s="3">
        <v>21.08</v>
      </c>
      <c r="L4042" s="3">
        <v>496.90908104927303</v>
      </c>
    </row>
    <row r="4043" spans="1:12" ht="15" customHeight="1" x14ac:dyDescent="0.2">
      <c r="A4043" s="2">
        <v>40184</v>
      </c>
      <c r="B4043" s="3">
        <v>21.09</v>
      </c>
      <c r="C4043" s="1">
        <v>2278913</v>
      </c>
      <c r="D4043" s="3">
        <v>-0.58000000000000096</v>
      </c>
      <c r="E4043" s="3">
        <v>-2.6765113059529302</v>
      </c>
      <c r="F4043" s="3">
        <v>-2.6765113059529302</v>
      </c>
      <c r="G4043" s="3">
        <v>21.09</v>
      </c>
      <c r="H4043" s="3">
        <v>487.71300276980298</v>
      </c>
      <c r="I4043" s="3">
        <v>21.6</v>
      </c>
      <c r="J4043" s="3">
        <v>21.7</v>
      </c>
      <c r="K4043" s="3">
        <v>20.9</v>
      </c>
      <c r="L4043" s="3">
        <v>487.71300276980298</v>
      </c>
    </row>
    <row r="4044" spans="1:12" ht="15" customHeight="1" x14ac:dyDescent="0.2">
      <c r="A4044" s="2">
        <v>40183</v>
      </c>
      <c r="B4044" s="3">
        <v>21.67</v>
      </c>
      <c r="C4044" s="1">
        <v>1744241</v>
      </c>
      <c r="D4044" s="3">
        <v>-0.15999999999999601</v>
      </c>
      <c r="E4044" s="3">
        <v>-0.73293632615665205</v>
      </c>
      <c r="F4044" s="3">
        <v>-0.73293632615665205</v>
      </c>
      <c r="G4044" s="3">
        <v>21.67</v>
      </c>
      <c r="H4044" s="3">
        <v>503.87580701856899</v>
      </c>
      <c r="I4044" s="3">
        <v>21.83</v>
      </c>
      <c r="J4044" s="3">
        <v>21.9</v>
      </c>
      <c r="K4044" s="3">
        <v>21.54</v>
      </c>
      <c r="L4044" s="3">
        <v>503.87580701856899</v>
      </c>
    </row>
    <row r="4045" spans="1:12" ht="15" customHeight="1" x14ac:dyDescent="0.2">
      <c r="A4045" s="2">
        <v>40182</v>
      </c>
      <c r="B4045" s="3">
        <v>21.83</v>
      </c>
      <c r="C4045" s="1">
        <v>1288361</v>
      </c>
      <c r="D4045" s="3">
        <v>0.23999999999999799</v>
      </c>
      <c r="E4045" s="3">
        <v>1.11162575266325</v>
      </c>
      <c r="F4045" s="3">
        <v>1.11162575266325</v>
      </c>
      <c r="G4045" s="3">
        <v>21.83</v>
      </c>
      <c r="H4045" s="3">
        <v>508.334511638918</v>
      </c>
      <c r="I4045" s="3">
        <v>21.83</v>
      </c>
      <c r="J4045" s="3">
        <v>21.95</v>
      </c>
      <c r="K4045" s="3">
        <v>21.63</v>
      </c>
      <c r="L4045" s="3">
        <v>508.334511638918</v>
      </c>
    </row>
    <row r="4046" spans="1:12" ht="15" customHeight="1" x14ac:dyDescent="0.2">
      <c r="A4046" s="2">
        <v>40178</v>
      </c>
      <c r="B4046" s="3">
        <v>21.59</v>
      </c>
      <c r="C4046" s="1">
        <v>536394</v>
      </c>
      <c r="D4046" s="3">
        <v>-0.41</v>
      </c>
      <c r="E4046" s="3">
        <v>-1.86363636363636</v>
      </c>
      <c r="F4046" s="3">
        <v>-1.86363636363636</v>
      </c>
      <c r="G4046" s="3">
        <v>21.59</v>
      </c>
      <c r="H4046" s="3">
        <v>501.646454708394</v>
      </c>
      <c r="I4046" s="3">
        <v>21.96</v>
      </c>
      <c r="J4046" s="3">
        <v>22.04</v>
      </c>
      <c r="K4046" s="3">
        <v>21.58</v>
      </c>
      <c r="L4046" s="3">
        <v>501.646454708394</v>
      </c>
    </row>
    <row r="4047" spans="1:12" ht="15" customHeight="1" x14ac:dyDescent="0.2">
      <c r="A4047" s="2">
        <v>40177</v>
      </c>
      <c r="B4047" s="3">
        <v>22</v>
      </c>
      <c r="C4047" s="1">
        <v>841975</v>
      </c>
      <c r="D4047" s="3">
        <v>-0.39999999999999802</v>
      </c>
      <c r="E4047" s="3">
        <v>-1.78571428571427</v>
      </c>
      <c r="F4047" s="3">
        <v>-1.78571428571427</v>
      </c>
      <c r="G4047" s="3">
        <v>22</v>
      </c>
      <c r="H4047" s="3">
        <v>513.07188529804</v>
      </c>
      <c r="I4047" s="3">
        <v>22.32</v>
      </c>
      <c r="J4047" s="3">
        <v>22.47</v>
      </c>
      <c r="K4047" s="3">
        <v>21.78</v>
      </c>
      <c r="L4047" s="3">
        <v>513.07188529804</v>
      </c>
    </row>
    <row r="4048" spans="1:12" ht="15" customHeight="1" x14ac:dyDescent="0.2">
      <c r="A4048" s="2">
        <v>40176</v>
      </c>
      <c r="B4048" s="3">
        <v>22.4</v>
      </c>
      <c r="C4048" s="1">
        <v>590202</v>
      </c>
      <c r="D4048" s="3">
        <v>1.9999999999999501E-2</v>
      </c>
      <c r="E4048" s="3">
        <v>8.9365504915095401E-2</v>
      </c>
      <c r="F4048" s="3">
        <v>8.9365504915095401E-2</v>
      </c>
      <c r="G4048" s="3">
        <v>22.4</v>
      </c>
      <c r="H4048" s="3">
        <v>524.21864684891295</v>
      </c>
      <c r="I4048" s="3">
        <v>22.38</v>
      </c>
      <c r="J4048" s="3">
        <v>22.539899999999999</v>
      </c>
      <c r="K4048" s="3">
        <v>22.25</v>
      </c>
      <c r="L4048" s="3">
        <v>524.21864684891295</v>
      </c>
    </row>
    <row r="4049" spans="1:12" ht="15" customHeight="1" x14ac:dyDescent="0.2">
      <c r="A4049" s="2">
        <v>40175</v>
      </c>
      <c r="B4049" s="3">
        <v>22.38</v>
      </c>
      <c r="C4049" s="1">
        <v>610062</v>
      </c>
      <c r="D4049" s="3">
        <v>-0.130000000000002</v>
      </c>
      <c r="E4049" s="3">
        <v>-0.57752110173256899</v>
      </c>
      <c r="F4049" s="3">
        <v>-0.57752110173256899</v>
      </c>
      <c r="G4049" s="3">
        <v>22.38</v>
      </c>
      <c r="H4049" s="3">
        <v>523.66130877136902</v>
      </c>
      <c r="I4049" s="3">
        <v>22.5</v>
      </c>
      <c r="J4049" s="3">
        <v>22.6312</v>
      </c>
      <c r="K4049" s="3">
        <v>22.3</v>
      </c>
      <c r="L4049" s="3">
        <v>523.66130877136902</v>
      </c>
    </row>
    <row r="4050" spans="1:12" ht="15" customHeight="1" x14ac:dyDescent="0.2">
      <c r="A4050" s="2">
        <v>40171</v>
      </c>
      <c r="B4050" s="3">
        <v>22.51</v>
      </c>
      <c r="C4050" s="1">
        <v>316063</v>
      </c>
      <c r="D4050" s="3">
        <v>0.190000000000001</v>
      </c>
      <c r="E4050" s="3">
        <v>0.85125448028673301</v>
      </c>
      <c r="F4050" s="3">
        <v>0.85125448028673301</v>
      </c>
      <c r="G4050" s="3">
        <v>22.51</v>
      </c>
      <c r="H4050" s="3">
        <v>527.28400627540304</v>
      </c>
      <c r="I4050" s="3">
        <v>22.32</v>
      </c>
      <c r="J4050" s="3">
        <v>22.52</v>
      </c>
      <c r="K4050" s="3">
        <v>22.27</v>
      </c>
      <c r="L4050" s="3">
        <v>527.28400627540304</v>
      </c>
    </row>
    <row r="4051" spans="1:12" ht="15" customHeight="1" x14ac:dyDescent="0.2">
      <c r="A4051" s="2">
        <v>40170</v>
      </c>
      <c r="B4051" s="3">
        <v>22.32</v>
      </c>
      <c r="C4051" s="1">
        <v>973185</v>
      </c>
      <c r="D4051" s="3">
        <v>0.21</v>
      </c>
      <c r="E4051" s="3">
        <v>0.949796472184538</v>
      </c>
      <c r="F4051" s="3">
        <v>0.949796472184538</v>
      </c>
      <c r="G4051" s="3">
        <v>22.32</v>
      </c>
      <c r="H4051" s="3">
        <v>521.98929453873802</v>
      </c>
      <c r="I4051" s="3">
        <v>22.2</v>
      </c>
      <c r="J4051" s="3">
        <v>22.4</v>
      </c>
      <c r="K4051" s="3">
        <v>22.03</v>
      </c>
      <c r="L4051" s="3">
        <v>521.98929453873802</v>
      </c>
    </row>
    <row r="4052" spans="1:12" ht="15" customHeight="1" x14ac:dyDescent="0.2">
      <c r="A4052" s="2">
        <v>40169</v>
      </c>
      <c r="B4052" s="3">
        <v>22.11</v>
      </c>
      <c r="C4052" s="1">
        <v>945803</v>
      </c>
      <c r="D4052" s="3">
        <v>0.219999999999998</v>
      </c>
      <c r="E4052" s="3">
        <v>1.0050251256281399</v>
      </c>
      <c r="F4052" s="3">
        <v>1.0050251256281399</v>
      </c>
      <c r="G4052" s="3">
        <v>22.11</v>
      </c>
      <c r="H4052" s="3">
        <v>516.13724472452998</v>
      </c>
      <c r="I4052" s="3">
        <v>21.9</v>
      </c>
      <c r="J4052" s="3">
        <v>22.36</v>
      </c>
      <c r="K4052" s="3">
        <v>21.85</v>
      </c>
      <c r="L4052" s="3">
        <v>516.13724472452998</v>
      </c>
    </row>
    <row r="4053" spans="1:12" ht="15" customHeight="1" x14ac:dyDescent="0.2">
      <c r="A4053" s="2">
        <v>40168</v>
      </c>
      <c r="B4053" s="3">
        <v>21.89</v>
      </c>
      <c r="C4053" s="1">
        <v>1005255</v>
      </c>
      <c r="D4053" s="3">
        <v>0.219999999999998</v>
      </c>
      <c r="E4053" s="3">
        <v>1.0152284263959399</v>
      </c>
      <c r="F4053" s="3">
        <v>1.0152284263959399</v>
      </c>
      <c r="G4053" s="3">
        <v>21.89</v>
      </c>
      <c r="H4053" s="3">
        <v>510.00652587155002</v>
      </c>
      <c r="I4053" s="3">
        <v>21.76</v>
      </c>
      <c r="J4053" s="3">
        <v>22.03</v>
      </c>
      <c r="K4053" s="3">
        <v>21.6</v>
      </c>
      <c r="L4053" s="3">
        <v>510.00652587155002</v>
      </c>
    </row>
    <row r="4054" spans="1:12" ht="15" customHeight="1" x14ac:dyDescent="0.2">
      <c r="A4054" s="2">
        <v>40165</v>
      </c>
      <c r="B4054" s="3">
        <v>21.67</v>
      </c>
      <c r="C4054" s="1">
        <v>2928132</v>
      </c>
      <c r="D4054" s="3">
        <v>0.72000000000000197</v>
      </c>
      <c r="E4054" s="3">
        <v>3.4367541766110001</v>
      </c>
      <c r="F4054" s="3">
        <v>3.4367541766110001</v>
      </c>
      <c r="G4054" s="3">
        <v>21.67</v>
      </c>
      <c r="H4054" s="3">
        <v>503.87580701856899</v>
      </c>
      <c r="I4054" s="3">
        <v>21.13</v>
      </c>
      <c r="J4054" s="3">
        <v>21.68</v>
      </c>
      <c r="K4054" s="3">
        <v>21.04</v>
      </c>
      <c r="L4054" s="3">
        <v>503.87580701856899</v>
      </c>
    </row>
    <row r="4055" spans="1:12" ht="15" customHeight="1" x14ac:dyDescent="0.2">
      <c r="A4055" s="2">
        <v>40164</v>
      </c>
      <c r="B4055" s="3">
        <v>20.95</v>
      </c>
      <c r="C4055" s="1">
        <v>1194594</v>
      </c>
      <c r="D4055" s="3">
        <v>7.0000000000000201E-2</v>
      </c>
      <c r="E4055" s="3">
        <v>0.33524904214559098</v>
      </c>
      <c r="F4055" s="3">
        <v>0.33524904214559098</v>
      </c>
      <c r="G4055" s="3">
        <v>20.95</v>
      </c>
      <c r="H4055" s="3">
        <v>483.811636226997</v>
      </c>
      <c r="I4055" s="3">
        <v>20.61</v>
      </c>
      <c r="J4055" s="3">
        <v>20.988</v>
      </c>
      <c r="K4055" s="3">
        <v>20.51</v>
      </c>
      <c r="L4055" s="3">
        <v>483.811636226997</v>
      </c>
    </row>
    <row r="4056" spans="1:12" ht="15" customHeight="1" x14ac:dyDescent="0.2">
      <c r="A4056" s="2">
        <v>40163</v>
      </c>
      <c r="B4056" s="3">
        <v>20.88</v>
      </c>
      <c r="C4056" s="1">
        <v>1166555</v>
      </c>
      <c r="D4056" s="3">
        <v>0.35999999999999899</v>
      </c>
      <c r="E4056" s="3">
        <v>1.7543859649122799</v>
      </c>
      <c r="F4056" s="3">
        <v>1.7543859649122799</v>
      </c>
      <c r="G4056" s="3">
        <v>20.88</v>
      </c>
      <c r="H4056" s="3">
        <v>481.86095295559397</v>
      </c>
      <c r="I4056" s="3">
        <v>20.7</v>
      </c>
      <c r="J4056" s="3">
        <v>21.1</v>
      </c>
      <c r="K4056" s="3">
        <v>20.63</v>
      </c>
      <c r="L4056" s="3">
        <v>481.86095295559397</v>
      </c>
    </row>
    <row r="4057" spans="1:12" ht="15" customHeight="1" x14ac:dyDescent="0.2">
      <c r="A4057" s="2">
        <v>40162</v>
      </c>
      <c r="B4057" s="3">
        <v>20.52</v>
      </c>
      <c r="C4057" s="1">
        <v>1199630</v>
      </c>
      <c r="D4057" s="3">
        <v>-1.0000000000001501E-2</v>
      </c>
      <c r="E4057" s="3">
        <v>-4.87092060399541E-2</v>
      </c>
      <c r="F4057" s="3">
        <v>-4.87092060399541E-2</v>
      </c>
      <c r="G4057" s="3">
        <v>20.52</v>
      </c>
      <c r="H4057" s="3">
        <v>471.82886755980797</v>
      </c>
      <c r="I4057" s="3">
        <v>20.47</v>
      </c>
      <c r="J4057" s="3">
        <v>20.83</v>
      </c>
      <c r="K4057" s="3">
        <v>20.47</v>
      </c>
      <c r="L4057" s="3">
        <v>471.82886755980797</v>
      </c>
    </row>
    <row r="4058" spans="1:12" ht="15" customHeight="1" x14ac:dyDescent="0.2">
      <c r="A4058" s="2">
        <v>40161</v>
      </c>
      <c r="B4058" s="3">
        <v>20.53</v>
      </c>
      <c r="C4058" s="1">
        <v>2043270</v>
      </c>
      <c r="D4058" s="3">
        <v>0.23</v>
      </c>
      <c r="E4058" s="3">
        <v>1.1330049261083699</v>
      </c>
      <c r="F4058" s="3">
        <v>1.1330049261083699</v>
      </c>
      <c r="G4058" s="3">
        <v>20.53</v>
      </c>
      <c r="H4058" s="3">
        <v>472.10753659858</v>
      </c>
      <c r="I4058" s="3">
        <v>20.309999999999999</v>
      </c>
      <c r="J4058" s="3">
        <v>20.59</v>
      </c>
      <c r="K4058" s="3">
        <v>20.149999999999999</v>
      </c>
      <c r="L4058" s="3">
        <v>472.10753659858</v>
      </c>
    </row>
    <row r="4059" spans="1:12" ht="15" customHeight="1" x14ac:dyDescent="0.2">
      <c r="A4059" s="2">
        <v>40158</v>
      </c>
      <c r="B4059" s="3">
        <v>20.3</v>
      </c>
      <c r="C4059" s="1">
        <v>1652494</v>
      </c>
      <c r="D4059" s="3">
        <v>0.49000000000000199</v>
      </c>
      <c r="E4059" s="3">
        <v>2.4734982332155599</v>
      </c>
      <c r="F4059" s="3">
        <v>2.4734982332155599</v>
      </c>
      <c r="G4059" s="3">
        <v>20.3</v>
      </c>
      <c r="H4059" s="3">
        <v>465.698148706827</v>
      </c>
      <c r="I4059" s="3">
        <v>19.97</v>
      </c>
      <c r="J4059" s="3">
        <v>20.37</v>
      </c>
      <c r="K4059" s="3">
        <v>19.82</v>
      </c>
      <c r="L4059" s="3">
        <v>465.698148706827</v>
      </c>
    </row>
    <row r="4060" spans="1:12" ht="15" customHeight="1" x14ac:dyDescent="0.2">
      <c r="A4060" s="2">
        <v>40157</v>
      </c>
      <c r="B4060" s="3">
        <v>19.809999999999999</v>
      </c>
      <c r="C4060" s="1">
        <v>936587</v>
      </c>
      <c r="D4060" s="3">
        <v>0.25</v>
      </c>
      <c r="E4060" s="3">
        <v>1.2781186094069601</v>
      </c>
      <c r="F4060" s="3">
        <v>1.2781186094069601</v>
      </c>
      <c r="G4060" s="3">
        <v>19.809999999999999</v>
      </c>
      <c r="H4060" s="3">
        <v>452.04336580700698</v>
      </c>
      <c r="I4060" s="3">
        <v>19.73</v>
      </c>
      <c r="J4060" s="3">
        <v>19.920000000000002</v>
      </c>
      <c r="K4060" s="3">
        <v>19.600000000000001</v>
      </c>
      <c r="L4060" s="3">
        <v>452.04336580700698</v>
      </c>
    </row>
    <row r="4061" spans="1:12" ht="15" customHeight="1" x14ac:dyDescent="0.2">
      <c r="A4061" s="2">
        <v>40156</v>
      </c>
      <c r="B4061" s="3">
        <v>19.559999999999999</v>
      </c>
      <c r="C4061" s="1">
        <v>1003434</v>
      </c>
      <c r="D4061" s="3">
        <v>0.13999999999999699</v>
      </c>
      <c r="E4061" s="3">
        <v>0.72090628218330899</v>
      </c>
      <c r="F4061" s="3">
        <v>0.72090628218330899</v>
      </c>
      <c r="G4061" s="3">
        <v>19.559999999999999</v>
      </c>
      <c r="H4061" s="3">
        <v>445.07663983771198</v>
      </c>
      <c r="I4061" s="3">
        <v>19.39</v>
      </c>
      <c r="J4061" s="3">
        <v>19.63</v>
      </c>
      <c r="K4061" s="3">
        <v>19.25</v>
      </c>
      <c r="L4061" s="3">
        <v>445.07663983771198</v>
      </c>
    </row>
    <row r="4062" spans="1:12" ht="15" customHeight="1" x14ac:dyDescent="0.2">
      <c r="A4062" s="2">
        <v>40155</v>
      </c>
      <c r="B4062" s="3">
        <v>19.420000000000002</v>
      </c>
      <c r="C4062" s="1">
        <v>818704</v>
      </c>
      <c r="D4062" s="3">
        <v>-0.12999999999999901</v>
      </c>
      <c r="E4062" s="3">
        <v>-0.66496163682864196</v>
      </c>
      <c r="F4062" s="3">
        <v>-0.66496163682864196</v>
      </c>
      <c r="G4062" s="3">
        <v>19.420000000000002</v>
      </c>
      <c r="H4062" s="3">
        <v>441.17527329490599</v>
      </c>
      <c r="I4062" s="3">
        <v>19.32</v>
      </c>
      <c r="J4062" s="3">
        <v>19.53</v>
      </c>
      <c r="K4062" s="3">
        <v>19.02</v>
      </c>
      <c r="L4062" s="3">
        <v>441.17527329490599</v>
      </c>
    </row>
    <row r="4063" spans="1:12" ht="15" customHeight="1" x14ac:dyDescent="0.2">
      <c r="A4063" s="2">
        <v>40154</v>
      </c>
      <c r="B4063" s="3">
        <v>19.55</v>
      </c>
      <c r="C4063" s="1">
        <v>630880</v>
      </c>
      <c r="D4063" s="3">
        <v>6.0000000000002197E-2</v>
      </c>
      <c r="E4063" s="3">
        <v>0.30785017957928301</v>
      </c>
      <c r="F4063" s="3">
        <v>0.30785017957928301</v>
      </c>
      <c r="G4063" s="3">
        <v>19.55</v>
      </c>
      <c r="H4063" s="3">
        <v>444.79797079894001</v>
      </c>
      <c r="I4063" s="3">
        <v>19.45</v>
      </c>
      <c r="J4063" s="3">
        <v>19.82</v>
      </c>
      <c r="K4063" s="3">
        <v>19.45</v>
      </c>
      <c r="L4063" s="3">
        <v>444.79797079894001</v>
      </c>
    </row>
    <row r="4064" spans="1:12" ht="15" customHeight="1" x14ac:dyDescent="0.2">
      <c r="A4064" s="2">
        <v>40151</v>
      </c>
      <c r="B4064" s="3">
        <v>19.489999999999998</v>
      </c>
      <c r="C4064" s="1">
        <v>985849</v>
      </c>
      <c r="D4064" s="3">
        <v>0.53999999999999904</v>
      </c>
      <c r="E4064" s="3">
        <v>2.8496042216358699</v>
      </c>
      <c r="F4064" s="3">
        <v>2.8496042216358699</v>
      </c>
      <c r="G4064" s="3">
        <v>19.489999999999998</v>
      </c>
      <c r="H4064" s="3">
        <v>443.12595656630901</v>
      </c>
      <c r="I4064" s="3">
        <v>19.39</v>
      </c>
      <c r="J4064" s="3">
        <v>19.8</v>
      </c>
      <c r="K4064" s="3">
        <v>19.05</v>
      </c>
      <c r="L4064" s="3">
        <v>443.12595656630901</v>
      </c>
    </row>
    <row r="4065" spans="1:12" ht="15" customHeight="1" x14ac:dyDescent="0.2">
      <c r="A4065" s="2">
        <v>40150</v>
      </c>
      <c r="B4065" s="3">
        <v>18.95</v>
      </c>
      <c r="C4065" s="1">
        <v>690059</v>
      </c>
      <c r="D4065" s="3">
        <v>-0.310000000000002</v>
      </c>
      <c r="E4065" s="3">
        <v>-1.60955347871236</v>
      </c>
      <c r="F4065" s="3">
        <v>-1.60955347871236</v>
      </c>
      <c r="G4065" s="3">
        <v>18.95</v>
      </c>
      <c r="H4065" s="3">
        <v>428.07782847263002</v>
      </c>
      <c r="I4065" s="3">
        <v>19.36</v>
      </c>
      <c r="J4065" s="3">
        <v>19.48</v>
      </c>
      <c r="K4065" s="3">
        <v>18.91</v>
      </c>
      <c r="L4065" s="3">
        <v>428.07782847263002</v>
      </c>
    </row>
    <row r="4066" spans="1:12" ht="15" customHeight="1" x14ac:dyDescent="0.2">
      <c r="A4066" s="2">
        <v>40149</v>
      </c>
      <c r="B4066" s="3">
        <v>19.260000000000002</v>
      </c>
      <c r="C4066" s="1">
        <v>823528</v>
      </c>
      <c r="D4066" s="3">
        <v>0.3</v>
      </c>
      <c r="E4066" s="3">
        <v>1.58227848101266</v>
      </c>
      <c r="F4066" s="3">
        <v>1.58227848101266</v>
      </c>
      <c r="G4066" s="3">
        <v>19.260000000000002</v>
      </c>
      <c r="H4066" s="3">
        <v>436.71656867455698</v>
      </c>
      <c r="I4066" s="3">
        <v>18.920000000000002</v>
      </c>
      <c r="J4066" s="3">
        <v>19.64</v>
      </c>
      <c r="K4066" s="3">
        <v>18.920000000000002</v>
      </c>
      <c r="L4066" s="3">
        <v>436.71656867455698</v>
      </c>
    </row>
    <row r="4067" spans="1:12" ht="15" customHeight="1" x14ac:dyDescent="0.2">
      <c r="A4067" s="2">
        <v>40148</v>
      </c>
      <c r="B4067" s="3">
        <v>18.96</v>
      </c>
      <c r="C4067" s="1">
        <v>1232416</v>
      </c>
      <c r="D4067" s="3">
        <v>0.130000000000002</v>
      </c>
      <c r="E4067" s="3">
        <v>0.69038767923528199</v>
      </c>
      <c r="F4067" s="3">
        <v>0.69038767923528199</v>
      </c>
      <c r="G4067" s="3">
        <v>18.96</v>
      </c>
      <c r="H4067" s="3">
        <v>428.35649751140102</v>
      </c>
      <c r="I4067" s="3">
        <v>18.920000000000002</v>
      </c>
      <c r="J4067" s="3">
        <v>19.079999999999998</v>
      </c>
      <c r="K4067" s="3">
        <v>18.73</v>
      </c>
      <c r="L4067" s="3">
        <v>428.35649751140102</v>
      </c>
    </row>
    <row r="4068" spans="1:12" ht="15" customHeight="1" x14ac:dyDescent="0.2">
      <c r="A4068" s="2">
        <v>40147</v>
      </c>
      <c r="B4068" s="3">
        <v>18.829999999999998</v>
      </c>
      <c r="C4068" s="1">
        <v>1736935</v>
      </c>
      <c r="D4068" s="3">
        <v>0.19999999999999901</v>
      </c>
      <c r="E4068" s="3">
        <v>1.0735373054213599</v>
      </c>
      <c r="F4068" s="3">
        <v>1.0735373054213599</v>
      </c>
      <c r="G4068" s="3">
        <v>18.829999999999998</v>
      </c>
      <c r="H4068" s="3">
        <v>424.73380000736699</v>
      </c>
      <c r="I4068" s="3">
        <v>18.52</v>
      </c>
      <c r="J4068" s="3">
        <v>18.91</v>
      </c>
      <c r="K4068" s="3">
        <v>18.260000000000002</v>
      </c>
      <c r="L4068" s="3">
        <v>424.73380000736699</v>
      </c>
    </row>
    <row r="4069" spans="1:12" ht="15" customHeight="1" x14ac:dyDescent="0.2">
      <c r="A4069" s="2">
        <v>40144</v>
      </c>
      <c r="B4069" s="3">
        <v>18.63</v>
      </c>
      <c r="C4069" s="1">
        <v>311382</v>
      </c>
      <c r="D4069" s="3">
        <v>-0.24000000000000199</v>
      </c>
      <c r="E4069" s="3">
        <v>-1.2718600953895201</v>
      </c>
      <c r="F4069" s="3">
        <v>-1.2718600953895201</v>
      </c>
      <c r="G4069" s="3">
        <v>18.63</v>
      </c>
      <c r="H4069" s="3">
        <v>419.16041923193097</v>
      </c>
      <c r="I4069" s="3">
        <v>18.399999999999999</v>
      </c>
      <c r="J4069" s="3">
        <v>18.82</v>
      </c>
      <c r="K4069" s="3">
        <v>18.2</v>
      </c>
      <c r="L4069" s="3">
        <v>419.16041923193097</v>
      </c>
    </row>
    <row r="4070" spans="1:12" ht="15" customHeight="1" x14ac:dyDescent="0.2">
      <c r="A4070" s="2">
        <v>40142</v>
      </c>
      <c r="B4070" s="3">
        <v>18.87</v>
      </c>
      <c r="C4070" s="1">
        <v>778039</v>
      </c>
      <c r="D4070" s="3">
        <v>3.0000000000001099E-2</v>
      </c>
      <c r="E4070" s="3">
        <v>0.15923566878981399</v>
      </c>
      <c r="F4070" s="3">
        <v>0.15923566878981399</v>
      </c>
      <c r="G4070" s="3">
        <v>18.87</v>
      </c>
      <c r="H4070" s="3">
        <v>425.84847616245497</v>
      </c>
      <c r="I4070" s="3">
        <v>18.84</v>
      </c>
      <c r="J4070" s="3">
        <v>19.02</v>
      </c>
      <c r="K4070" s="3">
        <v>18.63</v>
      </c>
      <c r="L4070" s="3">
        <v>425.84847616245497</v>
      </c>
    </row>
    <row r="4071" spans="1:12" ht="15" customHeight="1" x14ac:dyDescent="0.2">
      <c r="A4071" s="2">
        <v>40141</v>
      </c>
      <c r="B4071" s="3">
        <v>18.84</v>
      </c>
      <c r="C4071" s="1">
        <v>1134242</v>
      </c>
      <c r="D4071" s="3">
        <v>-0.17999999999999899</v>
      </c>
      <c r="E4071" s="3">
        <v>-0.94637223974762796</v>
      </c>
      <c r="F4071" s="3">
        <v>-0.94637223974762796</v>
      </c>
      <c r="G4071" s="3">
        <v>18.84</v>
      </c>
      <c r="H4071" s="3">
        <v>425.01246904613902</v>
      </c>
      <c r="I4071" s="3">
        <v>19.079999999999998</v>
      </c>
      <c r="J4071" s="3">
        <v>19.079999999999998</v>
      </c>
      <c r="K4071" s="3">
        <v>18.5</v>
      </c>
      <c r="L4071" s="3">
        <v>425.01246904613902</v>
      </c>
    </row>
    <row r="4072" spans="1:12" ht="15" customHeight="1" x14ac:dyDescent="0.2">
      <c r="A4072" s="2">
        <v>40140</v>
      </c>
      <c r="B4072" s="3">
        <v>19.02</v>
      </c>
      <c r="C4072" s="1">
        <v>775663</v>
      </c>
      <c r="D4072" s="3">
        <v>0.219999999999998</v>
      </c>
      <c r="E4072" s="3">
        <v>1.17021276595743</v>
      </c>
      <c r="F4072" s="3">
        <v>1.17021276595743</v>
      </c>
      <c r="G4072" s="3">
        <v>19.02</v>
      </c>
      <c r="H4072" s="3">
        <v>430.02851174403202</v>
      </c>
      <c r="I4072" s="3">
        <v>19</v>
      </c>
      <c r="J4072" s="3">
        <v>19.420000000000002</v>
      </c>
      <c r="K4072" s="3">
        <v>18.899999999999999</v>
      </c>
      <c r="L4072" s="3">
        <v>430.02851174403202</v>
      </c>
    </row>
    <row r="4073" spans="1:12" ht="15" customHeight="1" x14ac:dyDescent="0.2">
      <c r="A4073" s="2">
        <v>40137</v>
      </c>
      <c r="B4073" s="3">
        <v>18.8</v>
      </c>
      <c r="C4073" s="1">
        <v>1111428</v>
      </c>
      <c r="D4073" s="3">
        <v>-0.28999999999999898</v>
      </c>
      <c r="E4073" s="3">
        <v>-1.51911995809324</v>
      </c>
      <c r="F4073" s="3">
        <v>-1.51911995809324</v>
      </c>
      <c r="G4073" s="3">
        <v>18.8</v>
      </c>
      <c r="H4073" s="3">
        <v>423.89779289105201</v>
      </c>
      <c r="I4073" s="3">
        <v>19.02</v>
      </c>
      <c r="J4073" s="3">
        <v>19.28</v>
      </c>
      <c r="K4073" s="3">
        <v>18.559999999999999</v>
      </c>
      <c r="L4073" s="3">
        <v>423.89779289105201</v>
      </c>
    </row>
    <row r="4074" spans="1:12" ht="15" customHeight="1" x14ac:dyDescent="0.2">
      <c r="A4074" s="2">
        <v>40136</v>
      </c>
      <c r="B4074" s="3">
        <v>19.09</v>
      </c>
      <c r="C4074" s="1">
        <v>1005874</v>
      </c>
      <c r="D4074" s="3">
        <v>-0.62999999999999901</v>
      </c>
      <c r="E4074" s="3">
        <v>-3.1947261663285902</v>
      </c>
      <c r="F4074" s="3">
        <v>-3.1947261663285902</v>
      </c>
      <c r="G4074" s="3">
        <v>19.09</v>
      </c>
      <c r="H4074" s="3">
        <v>431.97919501543498</v>
      </c>
      <c r="I4074" s="3">
        <v>19.53</v>
      </c>
      <c r="J4074" s="3">
        <v>19.66</v>
      </c>
      <c r="K4074" s="3">
        <v>19</v>
      </c>
      <c r="L4074" s="3">
        <v>431.97919501543498</v>
      </c>
    </row>
    <row r="4075" spans="1:12" ht="15" customHeight="1" x14ac:dyDescent="0.2">
      <c r="A4075" s="2">
        <v>40135</v>
      </c>
      <c r="B4075" s="3">
        <v>19.72</v>
      </c>
      <c r="C4075" s="1">
        <v>1746185</v>
      </c>
      <c r="D4075" s="3">
        <v>0.77999999999999703</v>
      </c>
      <c r="E4075" s="3">
        <v>4.11826821541709</v>
      </c>
      <c r="F4075" s="3">
        <v>4.11826821541709</v>
      </c>
      <c r="G4075" s="3">
        <v>19.72</v>
      </c>
      <c r="H4075" s="3">
        <v>449.53534445806099</v>
      </c>
      <c r="I4075" s="3">
        <v>19.63</v>
      </c>
      <c r="J4075" s="3">
        <v>20</v>
      </c>
      <c r="K4075" s="3">
        <v>19.470199999999998</v>
      </c>
      <c r="L4075" s="3">
        <v>449.53534445806099</v>
      </c>
    </row>
    <row r="4076" spans="1:12" ht="15" customHeight="1" x14ac:dyDescent="0.2">
      <c r="A4076" s="2">
        <v>40134</v>
      </c>
      <c r="B4076" s="3">
        <v>18.940000000000001</v>
      </c>
      <c r="C4076" s="1">
        <v>466027</v>
      </c>
      <c r="D4076" s="3">
        <v>-0.16999999999999801</v>
      </c>
      <c r="E4076" s="3">
        <v>-0.88958660387230504</v>
      </c>
      <c r="F4076" s="3">
        <v>-0.88958660387230504</v>
      </c>
      <c r="G4076" s="3">
        <v>18.940000000000001</v>
      </c>
      <c r="H4076" s="3">
        <v>427.79915943385799</v>
      </c>
      <c r="I4076" s="3">
        <v>18.989999999999998</v>
      </c>
      <c r="J4076" s="3">
        <v>19.48</v>
      </c>
      <c r="K4076" s="3">
        <v>18.89</v>
      </c>
      <c r="L4076" s="3">
        <v>427.79915943385799</v>
      </c>
    </row>
    <row r="4077" spans="1:12" ht="15" customHeight="1" x14ac:dyDescent="0.2">
      <c r="A4077" s="2">
        <v>40133</v>
      </c>
      <c r="B4077" s="3">
        <v>19.11</v>
      </c>
      <c r="C4077" s="1">
        <v>785998</v>
      </c>
      <c r="D4077" s="3">
        <v>0.62999999999999901</v>
      </c>
      <c r="E4077" s="3">
        <v>3.4090909090908901</v>
      </c>
      <c r="F4077" s="3">
        <v>3.4090909090908901</v>
      </c>
      <c r="G4077" s="3">
        <v>19.11</v>
      </c>
      <c r="H4077" s="3">
        <v>432.53653309297903</v>
      </c>
      <c r="I4077" s="3">
        <v>18.61</v>
      </c>
      <c r="J4077" s="3">
        <v>19.170000000000002</v>
      </c>
      <c r="K4077" s="3">
        <v>18.61</v>
      </c>
      <c r="L4077" s="3">
        <v>432.53653309297903</v>
      </c>
    </row>
    <row r="4078" spans="1:12" ht="15" customHeight="1" x14ac:dyDescent="0.2">
      <c r="A4078" s="2">
        <v>40130</v>
      </c>
      <c r="B4078" s="3">
        <v>18.48</v>
      </c>
      <c r="C4078" s="1">
        <v>697992</v>
      </c>
      <c r="D4078" s="3">
        <v>0.109999999999999</v>
      </c>
      <c r="E4078" s="3">
        <v>0.59880239520957401</v>
      </c>
      <c r="F4078" s="3">
        <v>0.59880239520957401</v>
      </c>
      <c r="G4078" s="3">
        <v>18.48</v>
      </c>
      <c r="H4078" s="3">
        <v>414.98038365035302</v>
      </c>
      <c r="I4078" s="3">
        <v>18.47</v>
      </c>
      <c r="J4078" s="3">
        <v>18.55</v>
      </c>
      <c r="K4078" s="3">
        <v>18.2</v>
      </c>
      <c r="L4078" s="3">
        <v>414.98038365035302</v>
      </c>
    </row>
    <row r="4079" spans="1:12" ht="15" customHeight="1" x14ac:dyDescent="0.2">
      <c r="A4079" s="2">
        <v>40129</v>
      </c>
      <c r="B4079" s="3">
        <v>18.37</v>
      </c>
      <c r="C4079" s="1">
        <v>767500</v>
      </c>
      <c r="D4079" s="3">
        <v>-0.44999999999999901</v>
      </c>
      <c r="E4079" s="3">
        <v>-2.3910733262486699</v>
      </c>
      <c r="F4079" s="3">
        <v>-2.3910733262486699</v>
      </c>
      <c r="G4079" s="3">
        <v>18.37</v>
      </c>
      <c r="H4079" s="3">
        <v>411.91502422386299</v>
      </c>
      <c r="I4079" s="3">
        <v>18.88</v>
      </c>
      <c r="J4079" s="3">
        <v>18.9999</v>
      </c>
      <c r="K4079" s="3">
        <v>18.27</v>
      </c>
      <c r="L4079" s="3">
        <v>411.91502422386299</v>
      </c>
    </row>
    <row r="4080" spans="1:12" ht="15" customHeight="1" x14ac:dyDescent="0.2">
      <c r="A4080" s="2">
        <v>40128</v>
      </c>
      <c r="B4080" s="3">
        <v>18.82</v>
      </c>
      <c r="C4080" s="1">
        <v>845803</v>
      </c>
      <c r="D4080" s="3">
        <v>1.0000000000001501E-2</v>
      </c>
      <c r="E4080" s="3">
        <v>5.3163211057949397E-2</v>
      </c>
      <c r="F4080" s="3">
        <v>5.3163211057949397E-2</v>
      </c>
      <c r="G4080" s="3">
        <v>18.82</v>
      </c>
      <c r="H4080" s="3">
        <v>424.455130968596</v>
      </c>
      <c r="I4080" s="3">
        <v>18.989999999999998</v>
      </c>
      <c r="J4080" s="3">
        <v>19.239999999999998</v>
      </c>
      <c r="K4080" s="3">
        <v>18.46</v>
      </c>
      <c r="L4080" s="3">
        <v>424.455130968596</v>
      </c>
    </row>
    <row r="4081" spans="1:12" ht="15" customHeight="1" x14ac:dyDescent="0.2">
      <c r="A4081" s="2">
        <v>40127</v>
      </c>
      <c r="B4081" s="3">
        <v>18.809999999999999</v>
      </c>
      <c r="C4081" s="1">
        <v>936271</v>
      </c>
      <c r="D4081" s="3">
        <v>-5.0000000000000697E-2</v>
      </c>
      <c r="E4081" s="3">
        <v>-0.26511134676564502</v>
      </c>
      <c r="F4081" s="3">
        <v>-0.26511134676564502</v>
      </c>
      <c r="G4081" s="3">
        <v>18.809999999999999</v>
      </c>
      <c r="H4081" s="3">
        <v>424.17646192982397</v>
      </c>
      <c r="I4081" s="3">
        <v>18.79</v>
      </c>
      <c r="J4081" s="3">
        <v>18.989999999999998</v>
      </c>
      <c r="K4081" s="3">
        <v>18.670000000000002</v>
      </c>
      <c r="L4081" s="3">
        <v>424.17646192982397</v>
      </c>
    </row>
    <row r="4082" spans="1:12" ht="15" customHeight="1" x14ac:dyDescent="0.2">
      <c r="A4082" s="2">
        <v>40126</v>
      </c>
      <c r="B4082" s="3">
        <v>18.86</v>
      </c>
      <c r="C4082" s="1">
        <v>1077258</v>
      </c>
      <c r="D4082" s="3">
        <v>0.48999999999999799</v>
      </c>
      <c r="E4082" s="3">
        <v>2.6673924877517599</v>
      </c>
      <c r="F4082" s="3">
        <v>2.6673924877517599</v>
      </c>
      <c r="G4082" s="3">
        <v>18.86</v>
      </c>
      <c r="H4082" s="3">
        <v>425.56980712368301</v>
      </c>
      <c r="I4082" s="3">
        <v>18.48</v>
      </c>
      <c r="J4082" s="3">
        <v>18.91</v>
      </c>
      <c r="K4082" s="3">
        <v>18.47</v>
      </c>
      <c r="L4082" s="3">
        <v>425.56980712368301</v>
      </c>
    </row>
    <row r="4083" spans="1:12" ht="15" customHeight="1" x14ac:dyDescent="0.2">
      <c r="A4083" s="2">
        <v>40123</v>
      </c>
      <c r="B4083" s="3">
        <v>18.37</v>
      </c>
      <c r="C4083" s="1">
        <v>820301</v>
      </c>
      <c r="D4083" s="3">
        <v>-3.9999999999999099E-2</v>
      </c>
      <c r="E4083" s="3">
        <v>-0.21727322107549701</v>
      </c>
      <c r="F4083" s="3">
        <v>-0.21727322107549701</v>
      </c>
      <c r="G4083" s="3">
        <v>18.37</v>
      </c>
      <c r="H4083" s="3">
        <v>411.91502422386299</v>
      </c>
      <c r="I4083" s="3">
        <v>18.23</v>
      </c>
      <c r="J4083" s="3">
        <v>18.63</v>
      </c>
      <c r="K4083" s="3">
        <v>18.100000000000001</v>
      </c>
      <c r="L4083" s="3">
        <v>411.91502422386299</v>
      </c>
    </row>
    <row r="4084" spans="1:12" ht="15" customHeight="1" x14ac:dyDescent="0.2">
      <c r="A4084" s="2">
        <v>40122</v>
      </c>
      <c r="B4084" s="3">
        <v>18.41</v>
      </c>
      <c r="C4084" s="1">
        <v>1066850</v>
      </c>
      <c r="D4084" s="3">
        <v>0.39999999999999802</v>
      </c>
      <c r="E4084" s="3">
        <v>2.22098833981121</v>
      </c>
      <c r="F4084" s="3">
        <v>2.22098833981121</v>
      </c>
      <c r="G4084" s="3">
        <v>18.41</v>
      </c>
      <c r="H4084" s="3">
        <v>413.02970037895</v>
      </c>
      <c r="I4084" s="3">
        <v>18.22</v>
      </c>
      <c r="J4084" s="3">
        <v>18.579999999999998</v>
      </c>
      <c r="K4084" s="3">
        <v>18.010000000000002</v>
      </c>
      <c r="L4084" s="3">
        <v>413.02970037895</v>
      </c>
    </row>
    <row r="4085" spans="1:12" ht="15" customHeight="1" x14ac:dyDescent="0.2">
      <c r="A4085" s="2">
        <v>40121</v>
      </c>
      <c r="B4085" s="3">
        <v>18.010000000000002</v>
      </c>
      <c r="C4085" s="1">
        <v>1265313</v>
      </c>
      <c r="D4085" s="3">
        <v>-0.12999999999999901</v>
      </c>
      <c r="E4085" s="3">
        <v>-0.71664829106945405</v>
      </c>
      <c r="F4085" s="3">
        <v>-0.71664829106945405</v>
      </c>
      <c r="G4085" s="3">
        <v>18.010000000000002</v>
      </c>
      <c r="H4085" s="3">
        <v>401.88293882807699</v>
      </c>
      <c r="I4085" s="3">
        <v>18.05</v>
      </c>
      <c r="J4085" s="3">
        <v>18.440000000000001</v>
      </c>
      <c r="K4085" s="3">
        <v>17.96</v>
      </c>
      <c r="L4085" s="3">
        <v>401.88293882807699</v>
      </c>
    </row>
    <row r="4086" spans="1:12" ht="15" customHeight="1" x14ac:dyDescent="0.2">
      <c r="A4086" s="2">
        <v>40120</v>
      </c>
      <c r="B4086" s="3">
        <v>18.14</v>
      </c>
      <c r="C4086" s="1">
        <v>1386260</v>
      </c>
      <c r="D4086" s="3">
        <v>0.24000000000000199</v>
      </c>
      <c r="E4086" s="3">
        <v>1.3407821229050401</v>
      </c>
      <c r="F4086" s="3">
        <v>1.3407821229050401</v>
      </c>
      <c r="G4086" s="3">
        <v>18.14</v>
      </c>
      <c r="H4086" s="3">
        <v>405.50563633211101</v>
      </c>
      <c r="I4086" s="3">
        <v>17.8</v>
      </c>
      <c r="J4086" s="3">
        <v>18.34</v>
      </c>
      <c r="K4086" s="3">
        <v>17.8</v>
      </c>
      <c r="L4086" s="3">
        <v>405.50563633211101</v>
      </c>
    </row>
    <row r="4087" spans="1:12" ht="15" customHeight="1" x14ac:dyDescent="0.2">
      <c r="A4087" s="2">
        <v>40119</v>
      </c>
      <c r="B4087" s="3">
        <v>17.899999999999999</v>
      </c>
      <c r="C4087" s="1">
        <v>1409499</v>
      </c>
      <c r="D4087" s="3">
        <v>-0.28000000000000103</v>
      </c>
      <c r="E4087" s="3">
        <v>-1.5401540154015501</v>
      </c>
      <c r="F4087" s="3">
        <v>-1.5401540154015501</v>
      </c>
      <c r="G4087" s="3">
        <v>17.899999999999999</v>
      </c>
      <c r="H4087" s="3">
        <v>398.81757940158701</v>
      </c>
      <c r="I4087" s="3">
        <v>18.239999999999998</v>
      </c>
      <c r="J4087" s="3">
        <v>18.46</v>
      </c>
      <c r="K4087" s="3">
        <v>17.61</v>
      </c>
      <c r="L4087" s="3">
        <v>398.81757940158701</v>
      </c>
    </row>
    <row r="4088" spans="1:12" ht="15" customHeight="1" x14ac:dyDescent="0.2">
      <c r="A4088" s="2">
        <v>40116</v>
      </c>
      <c r="B4088" s="3">
        <v>18.18</v>
      </c>
      <c r="C4088" s="1">
        <v>1424084</v>
      </c>
      <c r="D4088" s="3">
        <v>-0.89</v>
      </c>
      <c r="E4088" s="3">
        <v>-4.6670162558993198</v>
      </c>
      <c r="F4088" s="3">
        <v>-4.6670162558993198</v>
      </c>
      <c r="G4088" s="3">
        <v>18.18</v>
      </c>
      <c r="H4088" s="3">
        <v>406.62031248719802</v>
      </c>
      <c r="I4088" s="3">
        <v>19.02</v>
      </c>
      <c r="J4088" s="3">
        <v>19.420000000000002</v>
      </c>
      <c r="K4088" s="3">
        <v>18.16</v>
      </c>
      <c r="L4088" s="3">
        <v>406.62031248719802</v>
      </c>
    </row>
    <row r="4089" spans="1:12" ht="15" customHeight="1" x14ac:dyDescent="0.2">
      <c r="A4089" s="2">
        <v>40115</v>
      </c>
      <c r="B4089" s="3">
        <v>19.07</v>
      </c>
      <c r="C4089" s="1">
        <v>1279470</v>
      </c>
      <c r="D4089" s="3">
        <v>0.55999999999999805</v>
      </c>
      <c r="E4089" s="3">
        <v>3.0253916801728602</v>
      </c>
      <c r="F4089" s="3">
        <v>3.0253916801728602</v>
      </c>
      <c r="G4089" s="3">
        <v>19.07</v>
      </c>
      <c r="H4089" s="3">
        <v>431.42185693789202</v>
      </c>
      <c r="I4089" s="3">
        <v>18.63</v>
      </c>
      <c r="J4089" s="3">
        <v>19.149999999999999</v>
      </c>
      <c r="K4089" s="3">
        <v>18.600000000000001</v>
      </c>
      <c r="L4089" s="3">
        <v>431.42185693789202</v>
      </c>
    </row>
    <row r="4090" spans="1:12" ht="15" customHeight="1" x14ac:dyDescent="0.2">
      <c r="A4090" s="2">
        <v>40114</v>
      </c>
      <c r="B4090" s="3">
        <v>18.510000000000002</v>
      </c>
      <c r="C4090" s="1">
        <v>1913719</v>
      </c>
      <c r="D4090" s="3">
        <v>-0.31999999999999601</v>
      </c>
      <c r="E4090" s="3">
        <v>-1.69941582580985</v>
      </c>
      <c r="F4090" s="3">
        <v>-1.69941582580985</v>
      </c>
      <c r="G4090" s="3">
        <v>18.510000000000002</v>
      </c>
      <c r="H4090" s="3">
        <v>415.81639076666897</v>
      </c>
      <c r="I4090" s="3">
        <v>18.739999999999998</v>
      </c>
      <c r="J4090" s="3">
        <v>19.350000000000001</v>
      </c>
      <c r="K4090" s="3">
        <v>18.48</v>
      </c>
      <c r="L4090" s="3">
        <v>415.81639076666897</v>
      </c>
    </row>
    <row r="4091" spans="1:12" ht="15" customHeight="1" x14ac:dyDescent="0.2">
      <c r="A4091" s="2">
        <v>40113</v>
      </c>
      <c r="B4091" s="3">
        <v>18.829999999999998</v>
      </c>
      <c r="C4091" s="1">
        <v>2168280</v>
      </c>
      <c r="D4091" s="3">
        <v>-0.110000000000002</v>
      </c>
      <c r="E4091" s="3">
        <v>-0.58078141499473501</v>
      </c>
      <c r="F4091" s="3">
        <v>-0.58078141499473501</v>
      </c>
      <c r="G4091" s="3">
        <v>18.829999999999998</v>
      </c>
      <c r="H4091" s="3">
        <v>424.73380000736699</v>
      </c>
      <c r="I4091" s="3">
        <v>19.670000000000002</v>
      </c>
      <c r="J4091" s="3">
        <v>19.8</v>
      </c>
      <c r="K4091" s="3">
        <v>18.82</v>
      </c>
      <c r="L4091" s="3">
        <v>424.73380000736699</v>
      </c>
    </row>
    <row r="4092" spans="1:12" ht="15" customHeight="1" x14ac:dyDescent="0.2">
      <c r="A4092" s="2">
        <v>40112</v>
      </c>
      <c r="B4092" s="3">
        <v>18.940000000000001</v>
      </c>
      <c r="C4092" s="1">
        <v>1868675</v>
      </c>
      <c r="D4092" s="3">
        <v>-5.99999999999987E-2</v>
      </c>
      <c r="E4092" s="3">
        <v>-0.31578947368420202</v>
      </c>
      <c r="F4092" s="3">
        <v>-0.31578947368420202</v>
      </c>
      <c r="G4092" s="3">
        <v>18.940000000000001</v>
      </c>
      <c r="H4092" s="3">
        <v>427.79915943385799</v>
      </c>
      <c r="I4092" s="3">
        <v>19.14</v>
      </c>
      <c r="J4092" s="3">
        <v>19.75</v>
      </c>
      <c r="K4092" s="3">
        <v>18.87</v>
      </c>
      <c r="L4092" s="3">
        <v>427.79915943385799</v>
      </c>
    </row>
    <row r="4093" spans="1:12" ht="15" customHeight="1" x14ac:dyDescent="0.2">
      <c r="A4093" s="2">
        <v>40109</v>
      </c>
      <c r="B4093" s="3">
        <v>19</v>
      </c>
      <c r="C4093" s="1">
        <v>3663090</v>
      </c>
      <c r="D4093" s="3">
        <v>0.85999999999999899</v>
      </c>
      <c r="E4093" s="3">
        <v>4.7409040793825596</v>
      </c>
      <c r="F4093" s="3">
        <v>4.7409040793825596</v>
      </c>
      <c r="G4093" s="3">
        <v>19</v>
      </c>
      <c r="H4093" s="3">
        <v>429.47117366648899</v>
      </c>
      <c r="I4093" s="3">
        <v>18.73</v>
      </c>
      <c r="J4093" s="3">
        <v>19.5</v>
      </c>
      <c r="K4093" s="3">
        <v>18.649999999999999</v>
      </c>
      <c r="L4093" s="3">
        <v>429.47117366648899</v>
      </c>
    </row>
    <row r="4094" spans="1:12" ht="15" customHeight="1" x14ac:dyDescent="0.2">
      <c r="A4094" s="2">
        <v>40108</v>
      </c>
      <c r="B4094" s="3">
        <v>18.14</v>
      </c>
      <c r="C4094" s="1">
        <v>2166295</v>
      </c>
      <c r="D4094" s="3">
        <v>0.26000000000000101</v>
      </c>
      <c r="E4094" s="3">
        <v>1.4541387024608401</v>
      </c>
      <c r="F4094" s="3">
        <v>1.4541387024608401</v>
      </c>
      <c r="G4094" s="3">
        <v>18.14</v>
      </c>
      <c r="H4094" s="3">
        <v>405.50563633211101</v>
      </c>
      <c r="I4094" s="3">
        <v>18.07</v>
      </c>
      <c r="J4094" s="3">
        <v>18.48</v>
      </c>
      <c r="K4094" s="3">
        <v>18.07</v>
      </c>
      <c r="L4094" s="3">
        <v>405.50563633211101</v>
      </c>
    </row>
    <row r="4095" spans="1:12" ht="15" customHeight="1" x14ac:dyDescent="0.2">
      <c r="A4095" s="2">
        <v>40107</v>
      </c>
      <c r="B4095" s="3">
        <v>17.88</v>
      </c>
      <c r="C4095" s="1">
        <v>2459565</v>
      </c>
      <c r="D4095" s="3">
        <v>-1.1000000000000001</v>
      </c>
      <c r="E4095" s="3">
        <v>-5.7955742887249801</v>
      </c>
      <c r="F4095" s="3">
        <v>-5.7955742887249801</v>
      </c>
      <c r="G4095" s="3">
        <v>17.88</v>
      </c>
      <c r="H4095" s="3">
        <v>398.26024132404302</v>
      </c>
      <c r="I4095" s="3">
        <v>18.63</v>
      </c>
      <c r="J4095" s="3">
        <v>18.879899999999999</v>
      </c>
      <c r="K4095" s="3">
        <v>17.82</v>
      </c>
      <c r="L4095" s="3">
        <v>398.26024132404302</v>
      </c>
    </row>
    <row r="4096" spans="1:12" ht="15" customHeight="1" x14ac:dyDescent="0.2">
      <c r="A4096" s="2">
        <v>40106</v>
      </c>
      <c r="B4096" s="3">
        <v>18.98</v>
      </c>
      <c r="C4096" s="1">
        <v>1545137</v>
      </c>
      <c r="D4096" s="3">
        <v>-0.78000000000000103</v>
      </c>
      <c r="E4096" s="3">
        <v>-3.9473684210526301</v>
      </c>
      <c r="F4096" s="3">
        <v>-3.9473684210526301</v>
      </c>
      <c r="G4096" s="3">
        <v>18.98</v>
      </c>
      <c r="H4096" s="3">
        <v>428.91383558894501</v>
      </c>
      <c r="I4096" s="3">
        <v>19.760000000000002</v>
      </c>
      <c r="J4096" s="3">
        <v>19.760000000000002</v>
      </c>
      <c r="K4096" s="3">
        <v>18.72</v>
      </c>
      <c r="L4096" s="3">
        <v>428.91383558894501</v>
      </c>
    </row>
    <row r="4097" spans="1:12" ht="15" customHeight="1" x14ac:dyDescent="0.2">
      <c r="A4097" s="2">
        <v>40105</v>
      </c>
      <c r="B4097" s="3">
        <v>19.760000000000002</v>
      </c>
      <c r="C4097" s="1">
        <v>2131067</v>
      </c>
      <c r="D4097" s="3">
        <v>0.61000000000000298</v>
      </c>
      <c r="E4097" s="3">
        <v>3.18537859007834</v>
      </c>
      <c r="F4097" s="3">
        <v>3.18537859007834</v>
      </c>
      <c r="G4097" s="3">
        <v>19.760000000000002</v>
      </c>
      <c r="H4097" s="3">
        <v>450.650020613148</v>
      </c>
      <c r="I4097" s="3">
        <v>19.28</v>
      </c>
      <c r="J4097" s="3">
        <v>19.93</v>
      </c>
      <c r="K4097" s="3">
        <v>19.12</v>
      </c>
      <c r="L4097" s="3">
        <v>450.650020613148</v>
      </c>
    </row>
    <row r="4098" spans="1:12" ht="15" customHeight="1" x14ac:dyDescent="0.2">
      <c r="A4098" s="2">
        <v>40102</v>
      </c>
      <c r="B4098" s="3">
        <v>19.149999999999999</v>
      </c>
      <c r="C4098" s="1">
        <v>2231604</v>
      </c>
      <c r="D4098" s="3">
        <v>0.63999999999999702</v>
      </c>
      <c r="E4098" s="3">
        <v>3.45759049162612</v>
      </c>
      <c r="F4098" s="3">
        <v>3.45759049162612</v>
      </c>
      <c r="G4098" s="3">
        <v>19.149999999999999</v>
      </c>
      <c r="H4098" s="3">
        <v>433.65120924806598</v>
      </c>
      <c r="I4098" s="3">
        <v>18.38</v>
      </c>
      <c r="J4098" s="3">
        <v>19.27</v>
      </c>
      <c r="K4098" s="3">
        <v>18.36</v>
      </c>
      <c r="L4098" s="3">
        <v>433.65120924806598</v>
      </c>
    </row>
    <row r="4099" spans="1:12" ht="15" customHeight="1" x14ac:dyDescent="0.2">
      <c r="A4099" s="2">
        <v>40101</v>
      </c>
      <c r="B4099" s="3">
        <v>18.510000000000002</v>
      </c>
      <c r="C4099" s="1">
        <v>1731347</v>
      </c>
      <c r="D4099" s="3">
        <v>0.17000000000000101</v>
      </c>
      <c r="E4099" s="3">
        <v>0.92693565976009695</v>
      </c>
      <c r="F4099" s="3">
        <v>0.92693565976009695</v>
      </c>
      <c r="G4099" s="3">
        <v>18.510000000000002</v>
      </c>
      <c r="H4099" s="3">
        <v>415.81639076666897</v>
      </c>
      <c r="I4099" s="3">
        <v>18.079999999999998</v>
      </c>
      <c r="J4099" s="3">
        <v>18.63</v>
      </c>
      <c r="K4099" s="3">
        <v>18.079999999999998</v>
      </c>
      <c r="L4099" s="3">
        <v>415.81639076666897</v>
      </c>
    </row>
    <row r="4100" spans="1:12" ht="15" customHeight="1" x14ac:dyDescent="0.2">
      <c r="A4100" s="2">
        <v>40100</v>
      </c>
      <c r="B4100" s="3">
        <v>18.34</v>
      </c>
      <c r="C4100" s="1">
        <v>1467552</v>
      </c>
      <c r="D4100" s="3">
        <v>-0.25</v>
      </c>
      <c r="E4100" s="3">
        <v>-1.3448090371167301</v>
      </c>
      <c r="F4100" s="3">
        <v>-1.3448090371167301</v>
      </c>
      <c r="G4100" s="3">
        <v>18.34</v>
      </c>
      <c r="H4100" s="3">
        <v>411.079017107548</v>
      </c>
      <c r="I4100" s="3">
        <v>18.86</v>
      </c>
      <c r="J4100" s="3">
        <v>18.88</v>
      </c>
      <c r="K4100" s="3">
        <v>18.260000000000002</v>
      </c>
      <c r="L4100" s="3">
        <v>411.079017107548</v>
      </c>
    </row>
    <row r="4101" spans="1:12" ht="15" customHeight="1" x14ac:dyDescent="0.2">
      <c r="A4101" s="2">
        <v>40099</v>
      </c>
      <c r="B4101" s="3">
        <v>18.59</v>
      </c>
      <c r="C4101" s="1">
        <v>1163066</v>
      </c>
      <c r="D4101" s="3">
        <v>-0.23999999999999799</v>
      </c>
      <c r="E4101" s="3">
        <v>-1.2745618693573999</v>
      </c>
      <c r="F4101" s="3">
        <v>-1.2745618693573999</v>
      </c>
      <c r="G4101" s="3">
        <v>18.59</v>
      </c>
      <c r="H4101" s="3">
        <v>418.045743076843</v>
      </c>
      <c r="I4101" s="3">
        <v>18.82</v>
      </c>
      <c r="J4101" s="3">
        <v>18.850000000000001</v>
      </c>
      <c r="K4101" s="3">
        <v>18.420000000000002</v>
      </c>
      <c r="L4101" s="3">
        <v>418.045743076843</v>
      </c>
    </row>
    <row r="4102" spans="1:12" ht="15" customHeight="1" x14ac:dyDescent="0.2">
      <c r="A4102" s="2">
        <v>40098</v>
      </c>
      <c r="B4102" s="3">
        <v>18.829999999999998</v>
      </c>
      <c r="C4102" s="1">
        <v>1424677</v>
      </c>
      <c r="D4102" s="3">
        <v>0.75</v>
      </c>
      <c r="E4102" s="3">
        <v>4.1482300884955796</v>
      </c>
      <c r="F4102" s="3">
        <v>4.1482300884955796</v>
      </c>
      <c r="G4102" s="3">
        <v>18.829999999999998</v>
      </c>
      <c r="H4102" s="3">
        <v>424.73380000736699</v>
      </c>
      <c r="I4102" s="3">
        <v>18.25</v>
      </c>
      <c r="J4102" s="3">
        <v>18.89</v>
      </c>
      <c r="K4102" s="3">
        <v>18.21</v>
      </c>
      <c r="L4102" s="3">
        <v>424.73380000736699</v>
      </c>
    </row>
    <row r="4103" spans="1:12" ht="15" customHeight="1" x14ac:dyDescent="0.2">
      <c r="A4103" s="2">
        <v>40095</v>
      </c>
      <c r="B4103" s="3">
        <v>18.079999999999998</v>
      </c>
      <c r="C4103" s="1">
        <v>916661</v>
      </c>
      <c r="D4103" s="3"/>
      <c r="E4103" s="3"/>
      <c r="F4103" s="3"/>
      <c r="G4103" s="3">
        <v>18.079999999999998</v>
      </c>
      <c r="H4103" s="3">
        <v>403.83362209948001</v>
      </c>
      <c r="I4103" s="3">
        <v>18.010000000000002</v>
      </c>
      <c r="J4103" s="3">
        <v>18.25</v>
      </c>
      <c r="K4103" s="3">
        <v>17.84</v>
      </c>
      <c r="L4103" s="3">
        <v>403.83362209948001</v>
      </c>
    </row>
    <row r="4104" spans="1:12" ht="15" customHeight="1" x14ac:dyDescent="0.2">
      <c r="A4104" s="2">
        <v>40094</v>
      </c>
      <c r="B4104" s="3">
        <v>18.079999999999998</v>
      </c>
      <c r="C4104" s="1">
        <v>1299685</v>
      </c>
      <c r="D4104" s="3">
        <v>0.28999999999999898</v>
      </c>
      <c r="E4104" s="3">
        <v>1.6301292861157799</v>
      </c>
      <c r="F4104" s="3">
        <v>1.6301292861157799</v>
      </c>
      <c r="G4104" s="3">
        <v>18.079999999999998</v>
      </c>
      <c r="H4104" s="3">
        <v>403.83362209948001</v>
      </c>
      <c r="I4104" s="3">
        <v>17.86</v>
      </c>
      <c r="J4104" s="3">
        <v>18.45</v>
      </c>
      <c r="K4104" s="3">
        <v>17.86</v>
      </c>
      <c r="L4104" s="3">
        <v>403.83362209948001</v>
      </c>
    </row>
    <row r="4105" spans="1:12" ht="15" customHeight="1" x14ac:dyDescent="0.2">
      <c r="A4105" s="2">
        <v>40093</v>
      </c>
      <c r="B4105" s="3">
        <v>17.79</v>
      </c>
      <c r="C4105" s="1">
        <v>846380</v>
      </c>
      <c r="D4105" s="3">
        <v>-0.19999999999999901</v>
      </c>
      <c r="E4105" s="3">
        <v>-1.11172873818787</v>
      </c>
      <c r="F4105" s="3">
        <v>-1.11172873818787</v>
      </c>
      <c r="G4105" s="3">
        <v>17.79</v>
      </c>
      <c r="H4105" s="3">
        <v>395.75221997509601</v>
      </c>
      <c r="I4105" s="3">
        <v>17.89</v>
      </c>
      <c r="J4105" s="3">
        <v>18</v>
      </c>
      <c r="K4105" s="3">
        <v>17.63</v>
      </c>
      <c r="L4105" s="3">
        <v>395.75221997509601</v>
      </c>
    </row>
    <row r="4106" spans="1:12" ht="15" customHeight="1" x14ac:dyDescent="0.2">
      <c r="A4106" s="2">
        <v>40092</v>
      </c>
      <c r="B4106" s="3">
        <v>17.989999999999998</v>
      </c>
      <c r="C4106" s="1">
        <v>1074568</v>
      </c>
      <c r="D4106" s="3">
        <v>-5.0000000000000697E-2</v>
      </c>
      <c r="E4106" s="3">
        <v>-0.27716186252771902</v>
      </c>
      <c r="F4106" s="3">
        <v>-0.27716186252771902</v>
      </c>
      <c r="G4106" s="3">
        <v>17.989999999999998</v>
      </c>
      <c r="H4106" s="3">
        <v>401.325600750533</v>
      </c>
      <c r="I4106" s="3">
        <v>18.22</v>
      </c>
      <c r="J4106" s="3">
        <v>18.37</v>
      </c>
      <c r="K4106" s="3">
        <v>17.8</v>
      </c>
      <c r="L4106" s="3">
        <v>401.325600750533</v>
      </c>
    </row>
    <row r="4107" spans="1:12" ht="15" customHeight="1" x14ac:dyDescent="0.2">
      <c r="A4107" s="2">
        <v>40091</v>
      </c>
      <c r="B4107" s="3">
        <v>18.04</v>
      </c>
      <c r="C4107" s="1">
        <v>1205211</v>
      </c>
      <c r="D4107" s="3">
        <v>0.26999999999999902</v>
      </c>
      <c r="E4107" s="3">
        <v>1.5194147439504699</v>
      </c>
      <c r="F4107" s="3">
        <v>1.5194147439504699</v>
      </c>
      <c r="G4107" s="3">
        <v>18.04</v>
      </c>
      <c r="H4107" s="3">
        <v>402.71894594439198</v>
      </c>
      <c r="I4107" s="3">
        <v>17.829999999999998</v>
      </c>
      <c r="J4107" s="3">
        <v>18.25</v>
      </c>
      <c r="K4107" s="3">
        <v>17.8</v>
      </c>
      <c r="L4107" s="3">
        <v>402.71894594439198</v>
      </c>
    </row>
    <row r="4108" spans="1:12" ht="15" customHeight="1" x14ac:dyDescent="0.2">
      <c r="A4108" s="2">
        <v>40088</v>
      </c>
      <c r="B4108" s="3">
        <v>17.77</v>
      </c>
      <c r="C4108" s="1">
        <v>1168997</v>
      </c>
      <c r="D4108" s="3">
        <v>-8.0000000000001806E-2</v>
      </c>
      <c r="E4108" s="3">
        <v>-0.44817927170869298</v>
      </c>
      <c r="F4108" s="3">
        <v>-0.44817927170869298</v>
      </c>
      <c r="G4108" s="3">
        <v>17.77</v>
      </c>
      <c r="H4108" s="3">
        <v>395.19488189755299</v>
      </c>
      <c r="I4108" s="3">
        <v>17.75</v>
      </c>
      <c r="J4108" s="3">
        <v>18.02</v>
      </c>
      <c r="K4108" s="3">
        <v>17.55</v>
      </c>
      <c r="L4108" s="3">
        <v>395.19488189755299</v>
      </c>
    </row>
    <row r="4109" spans="1:12" ht="15" customHeight="1" x14ac:dyDescent="0.2">
      <c r="A4109" s="2">
        <v>40087</v>
      </c>
      <c r="B4109" s="3">
        <v>17.850000000000001</v>
      </c>
      <c r="C4109" s="1">
        <v>1658237</v>
      </c>
      <c r="D4109" s="3">
        <v>-0.66999999999999804</v>
      </c>
      <c r="E4109" s="3">
        <v>-3.6177105831533298</v>
      </c>
      <c r="F4109" s="3">
        <v>-3.6177105831533298</v>
      </c>
      <c r="G4109" s="3">
        <v>17.850000000000001</v>
      </c>
      <c r="H4109" s="3">
        <v>397.42423420772798</v>
      </c>
      <c r="I4109" s="3">
        <v>18.600000000000001</v>
      </c>
      <c r="J4109" s="3">
        <v>18.62</v>
      </c>
      <c r="K4109" s="3">
        <v>17.829999999999998</v>
      </c>
      <c r="L4109" s="3">
        <v>397.42423420772798</v>
      </c>
    </row>
    <row r="4110" spans="1:12" ht="15" customHeight="1" x14ac:dyDescent="0.2">
      <c r="A4110" s="2">
        <v>40086</v>
      </c>
      <c r="B4110" s="3">
        <v>18.52</v>
      </c>
      <c r="C4110" s="1">
        <v>2758429</v>
      </c>
      <c r="D4110" s="3">
        <v>-1.08</v>
      </c>
      <c r="E4110" s="3">
        <v>-5.5102040816326596</v>
      </c>
      <c r="F4110" s="3">
        <v>-5.5102040816326596</v>
      </c>
      <c r="G4110" s="3">
        <v>18.52</v>
      </c>
      <c r="H4110" s="3">
        <v>416.095059805441</v>
      </c>
      <c r="I4110" s="3">
        <v>19.2</v>
      </c>
      <c r="J4110" s="3">
        <v>19.2</v>
      </c>
      <c r="K4110" s="3">
        <v>18.45</v>
      </c>
      <c r="L4110" s="3">
        <v>416.095059805441</v>
      </c>
    </row>
    <row r="4111" spans="1:12" ht="15" customHeight="1" x14ac:dyDescent="0.2">
      <c r="A4111" s="2">
        <v>40085</v>
      </c>
      <c r="B4111" s="3">
        <v>19.600000000000001</v>
      </c>
      <c r="C4111" s="1">
        <v>1303049</v>
      </c>
      <c r="D4111" s="3">
        <v>0.42999999999999899</v>
      </c>
      <c r="E4111" s="3">
        <v>2.2430881585811102</v>
      </c>
      <c r="F4111" s="3">
        <v>2.2430881585811102</v>
      </c>
      <c r="G4111" s="3">
        <v>19.600000000000001</v>
      </c>
      <c r="H4111" s="3">
        <v>446.19131599279899</v>
      </c>
      <c r="I4111" s="3">
        <v>19.100000000000001</v>
      </c>
      <c r="J4111" s="3">
        <v>19.82</v>
      </c>
      <c r="K4111" s="3">
        <v>19.100000000000001</v>
      </c>
      <c r="L4111" s="3">
        <v>446.19131599279899</v>
      </c>
    </row>
    <row r="4112" spans="1:12" ht="15" customHeight="1" x14ac:dyDescent="0.2">
      <c r="A4112" s="2">
        <v>40084</v>
      </c>
      <c r="B4112" s="3">
        <v>19.170000000000002</v>
      </c>
      <c r="C4112" s="1">
        <v>739704</v>
      </c>
      <c r="D4112" s="3">
        <v>0.220000000000002</v>
      </c>
      <c r="E4112" s="3">
        <v>1.1609498680738899</v>
      </c>
      <c r="F4112" s="3">
        <v>1.1609498680738899</v>
      </c>
      <c r="G4112" s="3">
        <v>19.170000000000002</v>
      </c>
      <c r="H4112" s="3">
        <v>434.20854732561003</v>
      </c>
      <c r="I4112" s="3">
        <v>19</v>
      </c>
      <c r="J4112" s="3">
        <v>19.399999999999999</v>
      </c>
      <c r="K4112" s="3">
        <v>18.95</v>
      </c>
      <c r="L4112" s="3">
        <v>434.20854732561003</v>
      </c>
    </row>
    <row r="4113" spans="1:12" ht="15" customHeight="1" x14ac:dyDescent="0.2">
      <c r="A4113" s="2">
        <v>40081</v>
      </c>
      <c r="B4113" s="3">
        <v>18.95</v>
      </c>
      <c r="C4113" s="1">
        <v>863288</v>
      </c>
      <c r="D4113" s="3">
        <v>-0.32</v>
      </c>
      <c r="E4113" s="3">
        <v>-1.66061235080435</v>
      </c>
      <c r="F4113" s="3">
        <v>-1.66061235080435</v>
      </c>
      <c r="G4113" s="3">
        <v>18.95</v>
      </c>
      <c r="H4113" s="3">
        <v>428.07782847263002</v>
      </c>
      <c r="I4113" s="3">
        <v>19.100000000000001</v>
      </c>
      <c r="J4113" s="3">
        <v>19.36</v>
      </c>
      <c r="K4113" s="3">
        <v>18.87</v>
      </c>
      <c r="L4113" s="3">
        <v>428.07782847263002</v>
      </c>
    </row>
    <row r="4114" spans="1:12" ht="15" customHeight="1" x14ac:dyDescent="0.2">
      <c r="A4114" s="2">
        <v>40080</v>
      </c>
      <c r="B4114" s="3">
        <v>19.27</v>
      </c>
      <c r="C4114" s="1">
        <v>1253217</v>
      </c>
      <c r="D4114" s="3">
        <v>-0.33000000000000101</v>
      </c>
      <c r="E4114" s="3">
        <v>-1.68367346938776</v>
      </c>
      <c r="F4114" s="3">
        <v>-1.68367346938776</v>
      </c>
      <c r="G4114" s="3">
        <v>19.27</v>
      </c>
      <c r="H4114" s="3">
        <v>436.99523771332798</v>
      </c>
      <c r="I4114" s="3">
        <v>19.71</v>
      </c>
      <c r="J4114" s="3">
        <v>19.899999999999999</v>
      </c>
      <c r="K4114" s="3">
        <v>19.11</v>
      </c>
      <c r="L4114" s="3">
        <v>436.99523771332798</v>
      </c>
    </row>
    <row r="4115" spans="1:12" ht="15" customHeight="1" x14ac:dyDescent="0.2">
      <c r="A4115" s="2">
        <v>40079</v>
      </c>
      <c r="B4115" s="3">
        <v>19.600000000000001</v>
      </c>
      <c r="C4115" s="1">
        <v>1561514</v>
      </c>
      <c r="D4115" s="3">
        <v>-0.96999999999999797</v>
      </c>
      <c r="E4115" s="3">
        <v>-4.7156052503646002</v>
      </c>
      <c r="F4115" s="3">
        <v>-4.7156052503646002</v>
      </c>
      <c r="G4115" s="3">
        <v>19.600000000000001</v>
      </c>
      <c r="H4115" s="3">
        <v>446.19131599279899</v>
      </c>
      <c r="I4115" s="3">
        <v>20.58</v>
      </c>
      <c r="J4115" s="3">
        <v>20.68</v>
      </c>
      <c r="K4115" s="3">
        <v>19.600000000000001</v>
      </c>
      <c r="L4115" s="3">
        <v>446.19131599279899</v>
      </c>
    </row>
    <row r="4116" spans="1:12" ht="15" customHeight="1" x14ac:dyDescent="0.2">
      <c r="A4116" s="2">
        <v>40078</v>
      </c>
      <c r="B4116" s="3">
        <v>20.57</v>
      </c>
      <c r="C4116" s="1">
        <v>1552434</v>
      </c>
      <c r="D4116" s="3">
        <v>-8.9999999999999802E-2</v>
      </c>
      <c r="E4116" s="3">
        <v>-0.43562439496611599</v>
      </c>
      <c r="F4116" s="3">
        <v>-0.43562439496611599</v>
      </c>
      <c r="G4116" s="3">
        <v>20.57</v>
      </c>
      <c r="H4116" s="3">
        <v>473.22221275366701</v>
      </c>
      <c r="I4116" s="3">
        <v>20.8</v>
      </c>
      <c r="J4116" s="3">
        <v>20.94</v>
      </c>
      <c r="K4116" s="3">
        <v>20.37</v>
      </c>
      <c r="L4116" s="3">
        <v>473.22221275366701</v>
      </c>
    </row>
    <row r="4117" spans="1:12" ht="15" customHeight="1" x14ac:dyDescent="0.2">
      <c r="A4117" s="2">
        <v>40077</v>
      </c>
      <c r="B4117" s="3">
        <v>20.66</v>
      </c>
      <c r="C4117" s="1">
        <v>1520516</v>
      </c>
      <c r="D4117" s="3">
        <v>-0.12000000000000099</v>
      </c>
      <c r="E4117" s="3">
        <v>-0.57747834456208702</v>
      </c>
      <c r="F4117" s="3">
        <v>-0.57747834456208702</v>
      </c>
      <c r="G4117" s="3">
        <v>20.66</v>
      </c>
      <c r="H4117" s="3">
        <v>475.73023410261402</v>
      </c>
      <c r="I4117" s="3">
        <v>20.58</v>
      </c>
      <c r="J4117" s="3">
        <v>21.01</v>
      </c>
      <c r="K4117" s="3">
        <v>20.39</v>
      </c>
      <c r="L4117" s="3">
        <v>475.73023410261402</v>
      </c>
    </row>
    <row r="4118" spans="1:12" ht="15" customHeight="1" x14ac:dyDescent="0.2">
      <c r="A4118" s="2">
        <v>40074</v>
      </c>
      <c r="B4118" s="3">
        <v>20.78</v>
      </c>
      <c r="C4118" s="1">
        <v>2056123</v>
      </c>
      <c r="D4118" s="3">
        <v>0.51999999999999902</v>
      </c>
      <c r="E4118" s="3">
        <v>2.56663376110561</v>
      </c>
      <c r="F4118" s="3">
        <v>2.56663376110561</v>
      </c>
      <c r="G4118" s="3">
        <v>20.78</v>
      </c>
      <c r="H4118" s="3">
        <v>479.07426256787602</v>
      </c>
      <c r="I4118" s="3">
        <v>20.02</v>
      </c>
      <c r="J4118" s="3">
        <v>20.92</v>
      </c>
      <c r="K4118" s="3">
        <v>20.02</v>
      </c>
      <c r="L4118" s="3">
        <v>479.07426256787602</v>
      </c>
    </row>
    <row r="4119" spans="1:12" ht="15" customHeight="1" x14ac:dyDescent="0.2">
      <c r="A4119" s="2">
        <v>40073</v>
      </c>
      <c r="B4119" s="3">
        <v>20.260000000000002</v>
      </c>
      <c r="C4119" s="1">
        <v>1754098</v>
      </c>
      <c r="D4119" s="3">
        <v>0.33999999999999903</v>
      </c>
      <c r="E4119" s="3">
        <v>1.7068273092369399</v>
      </c>
      <c r="F4119" s="3">
        <v>1.7068273092369399</v>
      </c>
      <c r="G4119" s="3">
        <v>20.260000000000002</v>
      </c>
      <c r="H4119" s="3">
        <v>464.58347255173999</v>
      </c>
      <c r="I4119" s="3">
        <v>19.850000000000001</v>
      </c>
      <c r="J4119" s="3">
        <v>20.37</v>
      </c>
      <c r="K4119" s="3">
        <v>19.829999999999998</v>
      </c>
      <c r="L4119" s="3">
        <v>464.58347255173999</v>
      </c>
    </row>
    <row r="4120" spans="1:12" ht="15" customHeight="1" x14ac:dyDescent="0.2">
      <c r="A4120" s="2">
        <v>40072</v>
      </c>
      <c r="B4120" s="3">
        <v>19.920000000000002</v>
      </c>
      <c r="C4120" s="1">
        <v>2115122</v>
      </c>
      <c r="D4120" s="3">
        <v>0.47000000000000203</v>
      </c>
      <c r="E4120" s="3">
        <v>2.4164524421593998</v>
      </c>
      <c r="F4120" s="3">
        <v>2.4164524421593998</v>
      </c>
      <c r="G4120" s="3">
        <v>19.920000000000002</v>
      </c>
      <c r="H4120" s="3">
        <v>455.10872523349798</v>
      </c>
      <c r="I4120" s="3">
        <v>19.510000000000002</v>
      </c>
      <c r="J4120" s="3">
        <v>19.95</v>
      </c>
      <c r="K4120" s="3">
        <v>19.3508</v>
      </c>
      <c r="L4120" s="3">
        <v>455.10872523349798</v>
      </c>
    </row>
    <row r="4121" spans="1:12" ht="15" customHeight="1" x14ac:dyDescent="0.2">
      <c r="A4121" s="2">
        <v>40071</v>
      </c>
      <c r="B4121" s="3">
        <v>19.45</v>
      </c>
      <c r="C4121" s="1">
        <v>1346169</v>
      </c>
      <c r="D4121" s="3">
        <v>-0.19999999999999901</v>
      </c>
      <c r="E4121" s="3">
        <v>-1.0178117048346</v>
      </c>
      <c r="F4121" s="3">
        <v>-1.0178117048346</v>
      </c>
      <c r="G4121" s="3">
        <v>19.45</v>
      </c>
      <c r="H4121" s="3">
        <v>442.01128041122098</v>
      </c>
      <c r="I4121" s="3">
        <v>19.45</v>
      </c>
      <c r="J4121" s="3">
        <v>19.760000000000002</v>
      </c>
      <c r="K4121" s="3">
        <v>19.190000000000001</v>
      </c>
      <c r="L4121" s="3">
        <v>442.01128041122098</v>
      </c>
    </row>
    <row r="4122" spans="1:12" ht="15" customHeight="1" x14ac:dyDescent="0.2">
      <c r="A4122" s="2">
        <v>40070</v>
      </c>
      <c r="B4122" s="3">
        <v>19.649999999999999</v>
      </c>
      <c r="C4122" s="1">
        <v>1165881</v>
      </c>
      <c r="D4122" s="3">
        <v>0.219999999999998</v>
      </c>
      <c r="E4122" s="3">
        <v>1.1322696860524799</v>
      </c>
      <c r="F4122" s="3">
        <v>1.1322696860524799</v>
      </c>
      <c r="G4122" s="3">
        <v>19.649999999999999</v>
      </c>
      <c r="H4122" s="3">
        <v>447.58466118665802</v>
      </c>
      <c r="I4122" s="3">
        <v>19.23</v>
      </c>
      <c r="J4122" s="3">
        <v>19.68</v>
      </c>
      <c r="K4122" s="3">
        <v>19.149999999999999</v>
      </c>
      <c r="L4122" s="3">
        <v>447.58466118665802</v>
      </c>
    </row>
    <row r="4123" spans="1:12" ht="15" customHeight="1" x14ac:dyDescent="0.2">
      <c r="A4123" s="2">
        <v>40067</v>
      </c>
      <c r="B4123" s="3">
        <v>19.43</v>
      </c>
      <c r="C4123" s="1">
        <v>1233560</v>
      </c>
      <c r="D4123" s="3">
        <v>-0.100000000000001</v>
      </c>
      <c r="E4123" s="3">
        <v>-0.51203277009729198</v>
      </c>
      <c r="F4123" s="3">
        <v>-0.51203277009729198</v>
      </c>
      <c r="G4123" s="3">
        <v>19.43</v>
      </c>
      <c r="H4123" s="3">
        <v>441.45394233367801</v>
      </c>
      <c r="I4123" s="3">
        <v>19.55</v>
      </c>
      <c r="J4123" s="3">
        <v>19.670000000000002</v>
      </c>
      <c r="K4123" s="3">
        <v>19.18</v>
      </c>
      <c r="L4123" s="3">
        <v>441.45394233367801</v>
      </c>
    </row>
    <row r="4124" spans="1:12" ht="15" customHeight="1" x14ac:dyDescent="0.2">
      <c r="A4124" s="2">
        <v>40066</v>
      </c>
      <c r="B4124" s="3">
        <v>19.53</v>
      </c>
      <c r="C4124" s="1">
        <v>1360921</v>
      </c>
      <c r="D4124" s="3">
        <v>0.21</v>
      </c>
      <c r="E4124" s="3">
        <v>1.0869565217391299</v>
      </c>
      <c r="F4124" s="3">
        <v>1.0869565217391299</v>
      </c>
      <c r="G4124" s="3">
        <v>19.53</v>
      </c>
      <c r="H4124" s="3">
        <v>444.24063272139603</v>
      </c>
      <c r="I4124" s="3">
        <v>19.28</v>
      </c>
      <c r="J4124" s="3">
        <v>19.57</v>
      </c>
      <c r="K4124" s="3">
        <v>19</v>
      </c>
      <c r="L4124" s="3">
        <v>444.24063272139603</v>
      </c>
    </row>
    <row r="4125" spans="1:12" ht="15" customHeight="1" x14ac:dyDescent="0.2">
      <c r="A4125" s="2">
        <v>40065</v>
      </c>
      <c r="B4125" s="3">
        <v>19.32</v>
      </c>
      <c r="C4125" s="1">
        <v>1668770</v>
      </c>
      <c r="D4125" s="3">
        <v>0.37999999999999901</v>
      </c>
      <c r="E4125" s="3">
        <v>2.0063357972544802</v>
      </c>
      <c r="F4125" s="3">
        <v>2.0063357972544802</v>
      </c>
      <c r="G4125" s="3">
        <v>19.32</v>
      </c>
      <c r="H4125" s="3">
        <v>438.38858290718798</v>
      </c>
      <c r="I4125" s="3">
        <v>18.899999999999999</v>
      </c>
      <c r="J4125" s="3">
        <v>19.41</v>
      </c>
      <c r="K4125" s="3">
        <v>18.75</v>
      </c>
      <c r="L4125" s="3">
        <v>438.38858290718798</v>
      </c>
    </row>
    <row r="4126" spans="1:12" ht="15" customHeight="1" x14ac:dyDescent="0.2">
      <c r="A4126" s="2">
        <v>40064</v>
      </c>
      <c r="B4126" s="3">
        <v>18.940000000000001</v>
      </c>
      <c r="C4126" s="1">
        <v>751923</v>
      </c>
      <c r="D4126" s="3">
        <v>-7.9999999999998295E-2</v>
      </c>
      <c r="E4126" s="3">
        <v>-0.42060988433226798</v>
      </c>
      <c r="F4126" s="3">
        <v>-0.42060988433226798</v>
      </c>
      <c r="G4126" s="3">
        <v>18.940000000000001</v>
      </c>
      <c r="H4126" s="3">
        <v>427.79915943385799</v>
      </c>
      <c r="I4126" s="3">
        <v>19.18</v>
      </c>
      <c r="J4126" s="3">
        <v>19.239699999999999</v>
      </c>
      <c r="K4126" s="3">
        <v>18.829999999999998</v>
      </c>
      <c r="L4126" s="3">
        <v>427.79915943385799</v>
      </c>
    </row>
    <row r="4127" spans="1:12" ht="15" customHeight="1" x14ac:dyDescent="0.2">
      <c r="A4127" s="2">
        <v>40060</v>
      </c>
      <c r="B4127" s="3">
        <v>19.02</v>
      </c>
      <c r="C4127" s="1">
        <v>1350089</v>
      </c>
      <c r="D4127" s="3">
        <v>0.56999999999999995</v>
      </c>
      <c r="E4127" s="3">
        <v>3.0894308943089501</v>
      </c>
      <c r="F4127" s="3">
        <v>3.0894308943089501</v>
      </c>
      <c r="G4127" s="3">
        <v>19.02</v>
      </c>
      <c r="H4127" s="3">
        <v>430.02851174403202</v>
      </c>
      <c r="I4127" s="3">
        <v>18.39</v>
      </c>
      <c r="J4127" s="3">
        <v>19.03</v>
      </c>
      <c r="K4127" s="3">
        <v>18.38</v>
      </c>
      <c r="L4127" s="3">
        <v>430.02851174403202</v>
      </c>
    </row>
    <row r="4128" spans="1:12" ht="15" customHeight="1" x14ac:dyDescent="0.2">
      <c r="A4128" s="2">
        <v>40059</v>
      </c>
      <c r="B4128" s="3">
        <v>18.45</v>
      </c>
      <c r="C4128" s="1">
        <v>1248000</v>
      </c>
      <c r="D4128" s="3">
        <v>0.37000000000000099</v>
      </c>
      <c r="E4128" s="3">
        <v>2.0464601769911401</v>
      </c>
      <c r="F4128" s="3">
        <v>2.0464601769911401</v>
      </c>
      <c r="G4128" s="3">
        <v>18.45</v>
      </c>
      <c r="H4128" s="3">
        <v>414.14437653403797</v>
      </c>
      <c r="I4128" s="3">
        <v>18.21</v>
      </c>
      <c r="J4128" s="3">
        <v>18.47</v>
      </c>
      <c r="K4128" s="3">
        <v>17.876000000000001</v>
      </c>
      <c r="L4128" s="3">
        <v>414.14437653403797</v>
      </c>
    </row>
    <row r="4129" spans="1:12" ht="15" customHeight="1" x14ac:dyDescent="0.2">
      <c r="A4129" s="2">
        <v>40058</v>
      </c>
      <c r="B4129" s="3">
        <v>18.079999999999998</v>
      </c>
      <c r="C4129" s="1">
        <v>1051798</v>
      </c>
      <c r="D4129" s="3">
        <v>-4.00000000000027E-2</v>
      </c>
      <c r="E4129" s="3">
        <v>-0.220750551876391</v>
      </c>
      <c r="F4129" s="3">
        <v>-0.220750551876391</v>
      </c>
      <c r="G4129" s="3">
        <v>18.079999999999998</v>
      </c>
      <c r="H4129" s="3">
        <v>403.83362209948001</v>
      </c>
      <c r="I4129" s="3">
        <v>18.149999999999999</v>
      </c>
      <c r="J4129" s="3">
        <v>18.329999999999998</v>
      </c>
      <c r="K4129" s="3">
        <v>17.989999999999998</v>
      </c>
      <c r="L4129" s="3">
        <v>403.83362209948001</v>
      </c>
    </row>
    <row r="4130" spans="1:12" ht="15" customHeight="1" x14ac:dyDescent="0.2">
      <c r="A4130" s="2">
        <v>40057</v>
      </c>
      <c r="B4130" s="3">
        <v>18.12</v>
      </c>
      <c r="C4130" s="1">
        <v>1577772</v>
      </c>
      <c r="D4130" s="3">
        <v>-0.25</v>
      </c>
      <c r="E4130" s="3">
        <v>-1.36091453456722</v>
      </c>
      <c r="F4130" s="3">
        <v>-1.36091453456722</v>
      </c>
      <c r="G4130" s="3">
        <v>18.12</v>
      </c>
      <c r="H4130" s="3">
        <v>404.94829825456702</v>
      </c>
      <c r="I4130" s="3">
        <v>18.21</v>
      </c>
      <c r="J4130" s="3">
        <v>18.72</v>
      </c>
      <c r="K4130" s="3">
        <v>18</v>
      </c>
      <c r="L4130" s="3">
        <v>404.94829825456702</v>
      </c>
    </row>
    <row r="4131" spans="1:12" ht="15" customHeight="1" x14ac:dyDescent="0.2">
      <c r="A4131" s="2">
        <v>40056</v>
      </c>
      <c r="B4131" s="3">
        <v>18.37</v>
      </c>
      <c r="C4131" s="1">
        <v>830845</v>
      </c>
      <c r="D4131" s="3">
        <v>-0.3</v>
      </c>
      <c r="E4131" s="3">
        <v>-1.6068559185859601</v>
      </c>
      <c r="F4131" s="3">
        <v>-1.6068559185859601</v>
      </c>
      <c r="G4131" s="3">
        <v>18.37</v>
      </c>
      <c r="H4131" s="3">
        <v>411.91502422386299</v>
      </c>
      <c r="I4131" s="3">
        <v>18.63</v>
      </c>
      <c r="J4131" s="3">
        <v>18.75</v>
      </c>
      <c r="K4131" s="3">
        <v>18.2</v>
      </c>
      <c r="L4131" s="3">
        <v>411.91502422386299</v>
      </c>
    </row>
    <row r="4132" spans="1:12" ht="15" customHeight="1" x14ac:dyDescent="0.2">
      <c r="A4132" s="2">
        <v>40053</v>
      </c>
      <c r="B4132" s="3">
        <v>18.670000000000002</v>
      </c>
      <c r="C4132" s="1">
        <v>833420</v>
      </c>
      <c r="D4132" s="3">
        <v>-0.26999999999999902</v>
      </c>
      <c r="E4132" s="3">
        <v>-1.4255543822597601</v>
      </c>
      <c r="F4132" s="3">
        <v>-1.4255543822597601</v>
      </c>
      <c r="G4132" s="3">
        <v>18.670000000000002</v>
      </c>
      <c r="H4132" s="3">
        <v>420.27509538701798</v>
      </c>
      <c r="I4132" s="3">
        <v>19.02</v>
      </c>
      <c r="J4132" s="3">
        <v>19.22</v>
      </c>
      <c r="K4132" s="3">
        <v>18.579799999999999</v>
      </c>
      <c r="L4132" s="3">
        <v>420.27509538701798</v>
      </c>
    </row>
    <row r="4133" spans="1:12" ht="15" customHeight="1" x14ac:dyDescent="0.2">
      <c r="A4133" s="2">
        <v>40052</v>
      </c>
      <c r="B4133" s="3">
        <v>18.940000000000001</v>
      </c>
      <c r="C4133" s="1">
        <v>896864</v>
      </c>
      <c r="D4133" s="3">
        <v>0.130000000000002</v>
      </c>
      <c r="E4133" s="3">
        <v>0.69112174375334201</v>
      </c>
      <c r="F4133" s="3">
        <v>0.69112174375334201</v>
      </c>
      <c r="G4133" s="3">
        <v>18.940000000000001</v>
      </c>
      <c r="H4133" s="3">
        <v>427.79915943385799</v>
      </c>
      <c r="I4133" s="3">
        <v>18.71</v>
      </c>
      <c r="J4133" s="3">
        <v>19.03</v>
      </c>
      <c r="K4133" s="3">
        <v>18.45</v>
      </c>
      <c r="L4133" s="3">
        <v>427.79915943385799</v>
      </c>
    </row>
    <row r="4134" spans="1:12" ht="15" customHeight="1" x14ac:dyDescent="0.2">
      <c r="A4134" s="2">
        <v>40051</v>
      </c>
      <c r="B4134" s="3">
        <v>18.809999999999999</v>
      </c>
      <c r="C4134" s="1">
        <v>1584405</v>
      </c>
      <c r="D4134" s="3">
        <v>-0.37000000000000099</v>
      </c>
      <c r="E4134" s="3">
        <v>-1.9290928050052101</v>
      </c>
      <c r="F4134" s="3">
        <v>-1.9290928050052101</v>
      </c>
      <c r="G4134" s="3">
        <v>18.809999999999999</v>
      </c>
      <c r="H4134" s="3">
        <v>424.17646192982397</v>
      </c>
      <c r="I4134" s="3">
        <v>19.11</v>
      </c>
      <c r="J4134" s="3">
        <v>19.399999999999999</v>
      </c>
      <c r="K4134" s="3">
        <v>18.64</v>
      </c>
      <c r="L4134" s="3">
        <v>424.17646192982397</v>
      </c>
    </row>
    <row r="4135" spans="1:12" ht="15" customHeight="1" x14ac:dyDescent="0.2">
      <c r="A4135" s="2">
        <v>40050</v>
      </c>
      <c r="B4135" s="3">
        <v>19.18</v>
      </c>
      <c r="C4135" s="1">
        <v>1137290</v>
      </c>
      <c r="D4135" s="3">
        <v>0.21</v>
      </c>
      <c r="E4135" s="3">
        <v>1.1070110701107001</v>
      </c>
      <c r="F4135" s="3">
        <v>1.1070110701107001</v>
      </c>
      <c r="G4135" s="3">
        <v>19.18</v>
      </c>
      <c r="H4135" s="3">
        <v>434.48721636438199</v>
      </c>
      <c r="I4135" s="3">
        <v>19.170000000000002</v>
      </c>
      <c r="J4135" s="3">
        <v>19.59</v>
      </c>
      <c r="K4135" s="3">
        <v>18.98</v>
      </c>
      <c r="L4135" s="3">
        <v>434.48721636438199</v>
      </c>
    </row>
    <row r="4136" spans="1:12" ht="15" customHeight="1" x14ac:dyDescent="0.2">
      <c r="A4136" s="2">
        <v>40049</v>
      </c>
      <c r="B4136" s="3">
        <v>18.97</v>
      </c>
      <c r="C4136" s="1">
        <v>1535496</v>
      </c>
      <c r="D4136" s="3">
        <v>-0.310000000000002</v>
      </c>
      <c r="E4136" s="3">
        <v>-1.6078838174273999</v>
      </c>
      <c r="F4136" s="3">
        <v>-1.6078838174273999</v>
      </c>
      <c r="G4136" s="3">
        <v>18.97</v>
      </c>
      <c r="H4136" s="3">
        <v>428.63516655017298</v>
      </c>
      <c r="I4136" s="3">
        <v>19.649999999999999</v>
      </c>
      <c r="J4136" s="3">
        <v>19.670000000000002</v>
      </c>
      <c r="K4136" s="3">
        <v>18.87</v>
      </c>
      <c r="L4136" s="3">
        <v>428.63516655017298</v>
      </c>
    </row>
    <row r="4137" spans="1:12" ht="15" customHeight="1" x14ac:dyDescent="0.2">
      <c r="A4137" s="2">
        <v>40046</v>
      </c>
      <c r="B4137" s="3">
        <v>19.28</v>
      </c>
      <c r="C4137" s="1">
        <v>2957305</v>
      </c>
      <c r="D4137" s="3">
        <v>1.0899999999999901</v>
      </c>
      <c r="E4137" s="3">
        <v>5.9923034634414396</v>
      </c>
      <c r="F4137" s="3">
        <v>5.9923034634414396</v>
      </c>
      <c r="G4137" s="3">
        <v>19.28</v>
      </c>
      <c r="H4137" s="3">
        <v>437.2739067521</v>
      </c>
      <c r="I4137" s="3">
        <v>18.420000000000002</v>
      </c>
      <c r="J4137" s="3">
        <v>19.36</v>
      </c>
      <c r="K4137" s="3">
        <v>18.2</v>
      </c>
      <c r="L4137" s="3">
        <v>437.2739067521</v>
      </c>
    </row>
    <row r="4138" spans="1:12" ht="15" customHeight="1" x14ac:dyDescent="0.2">
      <c r="A4138" s="2">
        <v>40045</v>
      </c>
      <c r="B4138" s="3">
        <v>18.190000000000001</v>
      </c>
      <c r="C4138" s="1">
        <v>1720606</v>
      </c>
      <c r="D4138" s="3">
        <v>0.130000000000002</v>
      </c>
      <c r="E4138" s="3">
        <v>0.71982281284608196</v>
      </c>
      <c r="F4138" s="3">
        <v>0.71982281284608196</v>
      </c>
      <c r="G4138" s="3">
        <v>18.190000000000001</v>
      </c>
      <c r="H4138" s="3">
        <v>406.89898152596999</v>
      </c>
      <c r="I4138" s="3">
        <v>18.03</v>
      </c>
      <c r="J4138" s="3">
        <v>18.399000000000001</v>
      </c>
      <c r="K4138" s="3">
        <v>17.989999999999998</v>
      </c>
      <c r="L4138" s="3">
        <v>406.89898152596999</v>
      </c>
    </row>
    <row r="4139" spans="1:12" ht="15" customHeight="1" x14ac:dyDescent="0.2">
      <c r="A4139" s="2">
        <v>40044</v>
      </c>
      <c r="B4139" s="3">
        <v>18.059999999999999</v>
      </c>
      <c r="C4139" s="1">
        <v>788861</v>
      </c>
      <c r="D4139" s="3">
        <v>-0.130000000000002</v>
      </c>
      <c r="E4139" s="3">
        <v>-0.71467839472239003</v>
      </c>
      <c r="F4139" s="3">
        <v>-0.71467839472239003</v>
      </c>
      <c r="G4139" s="3">
        <v>18.059999999999999</v>
      </c>
      <c r="H4139" s="3">
        <v>403.27628402193602</v>
      </c>
      <c r="I4139" s="3">
        <v>17.95</v>
      </c>
      <c r="J4139" s="3">
        <v>18.149999999999999</v>
      </c>
      <c r="K4139" s="3">
        <v>17.79</v>
      </c>
      <c r="L4139" s="3">
        <v>403.27628402193602</v>
      </c>
    </row>
    <row r="4140" spans="1:12" ht="15" customHeight="1" x14ac:dyDescent="0.2">
      <c r="A4140" s="2">
        <v>40043</v>
      </c>
      <c r="B4140" s="3">
        <v>18.190000000000001</v>
      </c>
      <c r="C4140" s="1">
        <v>1008955</v>
      </c>
      <c r="D4140" s="3">
        <v>0.440000000000001</v>
      </c>
      <c r="E4140" s="3">
        <v>2.47887323943662</v>
      </c>
      <c r="F4140" s="3">
        <v>2.47887323943662</v>
      </c>
      <c r="G4140" s="3">
        <v>18.190000000000001</v>
      </c>
      <c r="H4140" s="3">
        <v>406.89898152596999</v>
      </c>
      <c r="I4140" s="3">
        <v>17.91</v>
      </c>
      <c r="J4140" s="3">
        <v>18.329999999999998</v>
      </c>
      <c r="K4140" s="3">
        <v>17.670000000000002</v>
      </c>
      <c r="L4140" s="3">
        <v>406.89898152596999</v>
      </c>
    </row>
    <row r="4141" spans="1:12" ht="15" customHeight="1" x14ac:dyDescent="0.2">
      <c r="A4141" s="2">
        <v>40042</v>
      </c>
      <c r="B4141" s="3">
        <v>17.75</v>
      </c>
      <c r="C4141" s="1">
        <v>1589414</v>
      </c>
      <c r="D4141" s="3">
        <v>-0.8</v>
      </c>
      <c r="E4141" s="3">
        <v>-4.3126684636118604</v>
      </c>
      <c r="F4141" s="3">
        <v>-4.3126684636118604</v>
      </c>
      <c r="G4141" s="3">
        <v>17.75</v>
      </c>
      <c r="H4141" s="3">
        <v>394.637543820009</v>
      </c>
      <c r="I4141" s="3">
        <v>18.14</v>
      </c>
      <c r="J4141" s="3">
        <v>18.3</v>
      </c>
      <c r="K4141" s="3">
        <v>17.62</v>
      </c>
      <c r="L4141" s="3">
        <v>394.637543820009</v>
      </c>
    </row>
    <row r="4142" spans="1:12" ht="15" customHeight="1" x14ac:dyDescent="0.2">
      <c r="A4142" s="2">
        <v>40039</v>
      </c>
      <c r="B4142" s="3">
        <v>18.55</v>
      </c>
      <c r="C4142" s="1">
        <v>1692871</v>
      </c>
      <c r="D4142" s="3">
        <v>-0.39</v>
      </c>
      <c r="E4142" s="3">
        <v>-2.0591341077085601</v>
      </c>
      <c r="F4142" s="3">
        <v>-2.0591341077085601</v>
      </c>
      <c r="G4142" s="3">
        <v>18.55</v>
      </c>
      <c r="H4142" s="3">
        <v>416.93106692175598</v>
      </c>
      <c r="I4142" s="3">
        <v>18.93</v>
      </c>
      <c r="J4142" s="3">
        <v>19.03</v>
      </c>
      <c r="K4142" s="3">
        <v>18.29</v>
      </c>
      <c r="L4142" s="3">
        <v>416.93106692175598</v>
      </c>
    </row>
    <row r="4143" spans="1:12" ht="15" customHeight="1" x14ac:dyDescent="0.2">
      <c r="A4143" s="2">
        <v>40038</v>
      </c>
      <c r="B4143" s="3">
        <v>18.940000000000001</v>
      </c>
      <c r="C4143" s="1">
        <v>1947417</v>
      </c>
      <c r="D4143" s="3">
        <v>7.0000000000000201E-2</v>
      </c>
      <c r="E4143" s="3">
        <v>0.37095919448861803</v>
      </c>
      <c r="F4143" s="3">
        <v>0.37095919448861803</v>
      </c>
      <c r="G4143" s="3">
        <v>18.940000000000001</v>
      </c>
      <c r="H4143" s="3">
        <v>427.79915943385799</v>
      </c>
      <c r="I4143" s="3">
        <v>18.989999999999998</v>
      </c>
      <c r="J4143" s="3">
        <v>19.02</v>
      </c>
      <c r="K4143" s="3">
        <v>18.481999999999999</v>
      </c>
      <c r="L4143" s="3">
        <v>427.79915943385799</v>
      </c>
    </row>
    <row r="4144" spans="1:12" ht="15" customHeight="1" x14ac:dyDescent="0.2">
      <c r="A4144" s="2">
        <v>40037</v>
      </c>
      <c r="B4144" s="3">
        <v>18.87</v>
      </c>
      <c r="C4144" s="1">
        <v>1439051</v>
      </c>
      <c r="D4144" s="3">
        <v>0.190000000000001</v>
      </c>
      <c r="E4144" s="3">
        <v>1.017130620985</v>
      </c>
      <c r="F4144" s="3">
        <v>1.017130620985</v>
      </c>
      <c r="G4144" s="3">
        <v>18.87</v>
      </c>
      <c r="H4144" s="3">
        <v>425.84847616245497</v>
      </c>
      <c r="I4144" s="3">
        <v>18.73</v>
      </c>
      <c r="J4144" s="3">
        <v>19.16</v>
      </c>
      <c r="K4144" s="3">
        <v>18.670000000000002</v>
      </c>
      <c r="L4144" s="3">
        <v>425.84847616245497</v>
      </c>
    </row>
    <row r="4145" spans="1:12" ht="15" customHeight="1" x14ac:dyDescent="0.2">
      <c r="A4145" s="2">
        <v>40036</v>
      </c>
      <c r="B4145" s="3">
        <v>18.68</v>
      </c>
      <c r="C4145" s="1">
        <v>1421580</v>
      </c>
      <c r="D4145" s="3">
        <v>-0.32</v>
      </c>
      <c r="E4145" s="3">
        <v>-1.6842105263157801</v>
      </c>
      <c r="F4145" s="3">
        <v>-1.6842105263157801</v>
      </c>
      <c r="G4145" s="3">
        <v>18.68</v>
      </c>
      <c r="H4145" s="3">
        <v>420.55376442579001</v>
      </c>
      <c r="I4145" s="3">
        <v>18.96</v>
      </c>
      <c r="J4145" s="3">
        <v>19.05</v>
      </c>
      <c r="K4145" s="3">
        <v>18.5</v>
      </c>
      <c r="L4145" s="3">
        <v>420.55376442579001</v>
      </c>
    </row>
    <row r="4146" spans="1:12" ht="15" customHeight="1" x14ac:dyDescent="0.2">
      <c r="A4146" s="2">
        <v>40035</v>
      </c>
      <c r="B4146" s="3">
        <v>19</v>
      </c>
      <c r="C4146" s="1">
        <v>1415010</v>
      </c>
      <c r="D4146" s="3">
        <v>5.99999999999987E-2</v>
      </c>
      <c r="E4146" s="3">
        <v>0.31678986272438697</v>
      </c>
      <c r="F4146" s="3">
        <v>0.31678986272438697</v>
      </c>
      <c r="G4146" s="3">
        <v>19</v>
      </c>
      <c r="H4146" s="3">
        <v>429.47117366648899</v>
      </c>
      <c r="I4146" s="3">
        <v>18.77</v>
      </c>
      <c r="J4146" s="3">
        <v>19.16</v>
      </c>
      <c r="K4146" s="3">
        <v>18.71</v>
      </c>
      <c r="L4146" s="3">
        <v>429.47117366648899</v>
      </c>
    </row>
    <row r="4147" spans="1:12" ht="15" customHeight="1" x14ac:dyDescent="0.2">
      <c r="A4147" s="2">
        <v>40032</v>
      </c>
      <c r="B4147" s="3">
        <v>18.940000000000001</v>
      </c>
      <c r="C4147" s="1">
        <v>2485937</v>
      </c>
      <c r="D4147" s="3">
        <v>0.33999999999999903</v>
      </c>
      <c r="E4147" s="3">
        <v>1.82795698924731</v>
      </c>
      <c r="F4147" s="3">
        <v>1.82795698924731</v>
      </c>
      <c r="G4147" s="3">
        <v>18.940000000000001</v>
      </c>
      <c r="H4147" s="3">
        <v>427.79915943385799</v>
      </c>
      <c r="I4147" s="3">
        <v>19.100000000000001</v>
      </c>
      <c r="J4147" s="3">
        <v>19.2</v>
      </c>
      <c r="K4147" s="3">
        <v>18.66</v>
      </c>
      <c r="L4147" s="3">
        <v>427.79915943385799</v>
      </c>
    </row>
    <row r="4148" spans="1:12" ht="15" customHeight="1" x14ac:dyDescent="0.2">
      <c r="A4148" s="2">
        <v>40031</v>
      </c>
      <c r="B4148" s="3">
        <v>18.600000000000001</v>
      </c>
      <c r="C4148" s="1">
        <v>1886311</v>
      </c>
      <c r="D4148" s="3">
        <v>-1.1599999999999999</v>
      </c>
      <c r="E4148" s="3">
        <v>-5.8704453441295597</v>
      </c>
      <c r="F4148" s="3">
        <v>-5.8704453441295597</v>
      </c>
      <c r="G4148" s="3">
        <v>18.600000000000001</v>
      </c>
      <c r="H4148" s="3">
        <v>418.32441211561502</v>
      </c>
      <c r="I4148" s="3">
        <v>19.420000000000002</v>
      </c>
      <c r="J4148" s="3">
        <v>19.55</v>
      </c>
      <c r="K4148" s="3">
        <v>18.579999999999998</v>
      </c>
      <c r="L4148" s="3">
        <v>418.32441211561502</v>
      </c>
    </row>
    <row r="4149" spans="1:12" ht="15" customHeight="1" x14ac:dyDescent="0.2">
      <c r="A4149" s="2">
        <v>40030</v>
      </c>
      <c r="B4149" s="3">
        <v>19.760000000000002</v>
      </c>
      <c r="C4149" s="1">
        <v>1092094</v>
      </c>
      <c r="D4149" s="3">
        <v>-9.9999999999980105E-3</v>
      </c>
      <c r="E4149" s="3">
        <v>-5.0581689428419403E-2</v>
      </c>
      <c r="F4149" s="3">
        <v>-5.0581689428419403E-2</v>
      </c>
      <c r="G4149" s="3">
        <v>19.760000000000002</v>
      </c>
      <c r="H4149" s="3">
        <v>450.650020613148</v>
      </c>
      <c r="I4149" s="3">
        <v>19.78</v>
      </c>
      <c r="J4149" s="3">
        <v>20.03</v>
      </c>
      <c r="K4149" s="3">
        <v>19.41</v>
      </c>
      <c r="L4149" s="3">
        <v>450.650020613148</v>
      </c>
    </row>
    <row r="4150" spans="1:12" ht="15" customHeight="1" x14ac:dyDescent="0.2">
      <c r="A4150" s="2">
        <v>40029</v>
      </c>
      <c r="B4150" s="3">
        <v>19.77</v>
      </c>
      <c r="C4150" s="1">
        <v>1530243</v>
      </c>
      <c r="D4150" s="3">
        <v>-8.9999999999999802E-2</v>
      </c>
      <c r="E4150" s="3">
        <v>-0.45317220543806802</v>
      </c>
      <c r="F4150" s="3">
        <v>-0.45317220543806802</v>
      </c>
      <c r="G4150" s="3">
        <v>19.77</v>
      </c>
      <c r="H4150" s="3">
        <v>450.92868965192002</v>
      </c>
      <c r="I4150" s="3">
        <v>19.7</v>
      </c>
      <c r="J4150" s="3">
        <v>20.04</v>
      </c>
      <c r="K4150" s="3">
        <v>19.36</v>
      </c>
      <c r="L4150" s="3">
        <v>450.92868965192002</v>
      </c>
    </row>
    <row r="4151" spans="1:12" ht="15" customHeight="1" x14ac:dyDescent="0.2">
      <c r="A4151" s="2">
        <v>40028</v>
      </c>
      <c r="B4151" s="3">
        <v>19.86</v>
      </c>
      <c r="C4151" s="1">
        <v>1662185</v>
      </c>
      <c r="D4151" s="3">
        <v>0.48999999999999799</v>
      </c>
      <c r="E4151" s="3">
        <v>2.5296850800206401</v>
      </c>
      <c r="F4151" s="3">
        <v>2.5296850800206401</v>
      </c>
      <c r="G4151" s="3">
        <v>19.86</v>
      </c>
      <c r="H4151" s="3">
        <v>453.43671100086698</v>
      </c>
      <c r="I4151" s="3">
        <v>19.5</v>
      </c>
      <c r="J4151" s="3">
        <v>19.88</v>
      </c>
      <c r="K4151" s="3">
        <v>19.41</v>
      </c>
      <c r="L4151" s="3">
        <v>453.43671100086698</v>
      </c>
    </row>
    <row r="4152" spans="1:12" ht="15" customHeight="1" x14ac:dyDescent="0.2">
      <c r="A4152" s="2">
        <v>40025</v>
      </c>
      <c r="B4152" s="3">
        <v>19.37</v>
      </c>
      <c r="C4152" s="1">
        <v>2561915</v>
      </c>
      <c r="D4152" s="3">
        <v>0.60000000000000098</v>
      </c>
      <c r="E4152" s="3">
        <v>3.1965903036760901</v>
      </c>
      <c r="F4152" s="3">
        <v>3.1965903036760901</v>
      </c>
      <c r="G4152" s="3">
        <v>19.37</v>
      </c>
      <c r="H4152" s="3">
        <v>439.78192810104701</v>
      </c>
      <c r="I4152" s="3">
        <v>18.79</v>
      </c>
      <c r="J4152" s="3">
        <v>19.465</v>
      </c>
      <c r="K4152" s="3">
        <v>18.670000000000002</v>
      </c>
      <c r="L4152" s="3">
        <v>439.78192810104701</v>
      </c>
    </row>
    <row r="4153" spans="1:12" ht="15" customHeight="1" x14ac:dyDescent="0.2">
      <c r="A4153" s="2">
        <v>40024</v>
      </c>
      <c r="B4153" s="3">
        <v>18.77</v>
      </c>
      <c r="C4153" s="1">
        <v>1417425</v>
      </c>
      <c r="D4153" s="3">
        <v>0.39999999999999802</v>
      </c>
      <c r="E4153" s="3">
        <v>2.1774632553075599</v>
      </c>
      <c r="F4153" s="3">
        <v>2.1774632553075599</v>
      </c>
      <c r="G4153" s="3">
        <v>18.77</v>
      </c>
      <c r="H4153" s="3">
        <v>423.06178577473599</v>
      </c>
      <c r="I4153" s="3">
        <v>18.690000000000001</v>
      </c>
      <c r="J4153" s="3">
        <v>19.09</v>
      </c>
      <c r="K4153" s="3">
        <v>18.47</v>
      </c>
      <c r="L4153" s="3">
        <v>423.06178577473599</v>
      </c>
    </row>
    <row r="4154" spans="1:12" ht="15" customHeight="1" x14ac:dyDescent="0.2">
      <c r="A4154" s="2">
        <v>40023</v>
      </c>
      <c r="B4154" s="3">
        <v>18.37</v>
      </c>
      <c r="C4154" s="1">
        <v>1614807</v>
      </c>
      <c r="D4154" s="3">
        <v>-0.41</v>
      </c>
      <c r="E4154" s="3">
        <v>-2.1831735889243902</v>
      </c>
      <c r="F4154" s="3">
        <v>-2.1831735889243902</v>
      </c>
      <c r="G4154" s="3">
        <v>18.37</v>
      </c>
      <c r="H4154" s="3">
        <v>411.91502422386299</v>
      </c>
      <c r="I4154" s="3">
        <v>18.57</v>
      </c>
      <c r="J4154" s="3">
        <v>18.98</v>
      </c>
      <c r="K4154" s="3">
        <v>18.190000000000001</v>
      </c>
      <c r="L4154" s="3">
        <v>411.91502422386299</v>
      </c>
    </row>
    <row r="4155" spans="1:12" ht="15" customHeight="1" x14ac:dyDescent="0.2">
      <c r="A4155" s="2">
        <v>40022</v>
      </c>
      <c r="B4155" s="3">
        <v>18.78</v>
      </c>
      <c r="C4155" s="1">
        <v>1569331</v>
      </c>
      <c r="D4155" s="3">
        <v>0.40000000000000202</v>
      </c>
      <c r="E4155" s="3">
        <v>2.1762785636561599</v>
      </c>
      <c r="F4155" s="3">
        <v>2.1762785636561599</v>
      </c>
      <c r="G4155" s="3">
        <v>18.78</v>
      </c>
      <c r="H4155" s="3">
        <v>423.34045481350802</v>
      </c>
      <c r="I4155" s="3">
        <v>18.170000000000002</v>
      </c>
      <c r="J4155" s="3">
        <v>18.89</v>
      </c>
      <c r="K4155" s="3">
        <v>18.02</v>
      </c>
      <c r="L4155" s="3">
        <v>423.34045481350802</v>
      </c>
    </row>
    <row r="4156" spans="1:12" ht="15" customHeight="1" x14ac:dyDescent="0.2">
      <c r="A4156" s="2">
        <v>40021</v>
      </c>
      <c r="B4156" s="3">
        <v>18.38</v>
      </c>
      <c r="C4156" s="1">
        <v>1461034</v>
      </c>
      <c r="D4156" s="3">
        <v>7.9999999999998295E-2</v>
      </c>
      <c r="E4156" s="3">
        <v>0.43715846994534202</v>
      </c>
      <c r="F4156" s="3">
        <v>0.43715846994534202</v>
      </c>
      <c r="G4156" s="3">
        <v>18.38</v>
      </c>
      <c r="H4156" s="3">
        <v>412.19369326263501</v>
      </c>
      <c r="I4156" s="3">
        <v>18.170000000000002</v>
      </c>
      <c r="J4156" s="3">
        <v>18.440000000000001</v>
      </c>
      <c r="K4156" s="3">
        <v>17.75</v>
      </c>
      <c r="L4156" s="3">
        <v>412.19369326263501</v>
      </c>
    </row>
    <row r="4157" spans="1:12" ht="15" customHeight="1" x14ac:dyDescent="0.2">
      <c r="A4157" s="2">
        <v>40018</v>
      </c>
      <c r="B4157" s="3">
        <v>18.3</v>
      </c>
      <c r="C4157" s="1">
        <v>4679290</v>
      </c>
      <c r="D4157" s="3">
        <v>-0.80999999999999805</v>
      </c>
      <c r="E4157" s="3">
        <v>-4.2386185243328001</v>
      </c>
      <c r="F4157" s="3">
        <v>-4.2386185243328001</v>
      </c>
      <c r="G4157" s="3">
        <v>18.3</v>
      </c>
      <c r="H4157" s="3">
        <v>409.96434095246002</v>
      </c>
      <c r="I4157" s="3">
        <v>18.260000000000002</v>
      </c>
      <c r="J4157" s="3">
        <v>18.77</v>
      </c>
      <c r="K4157" s="3">
        <v>17.7</v>
      </c>
      <c r="L4157" s="3">
        <v>409.96434095246002</v>
      </c>
    </row>
    <row r="4158" spans="1:12" ht="15" customHeight="1" x14ac:dyDescent="0.2">
      <c r="A4158" s="2">
        <v>40017</v>
      </c>
      <c r="B4158" s="3">
        <v>19.11</v>
      </c>
      <c r="C4158" s="1">
        <v>3607026</v>
      </c>
      <c r="D4158" s="3">
        <v>0.75</v>
      </c>
      <c r="E4158" s="3">
        <v>4.0849673202614403</v>
      </c>
      <c r="F4158" s="3">
        <v>4.0849673202614403</v>
      </c>
      <c r="G4158" s="3">
        <v>19.11</v>
      </c>
      <c r="H4158" s="3">
        <v>432.53653309297903</v>
      </c>
      <c r="I4158" s="3">
        <v>18.27</v>
      </c>
      <c r="J4158" s="3">
        <v>19.25</v>
      </c>
      <c r="K4158" s="3">
        <v>18.04</v>
      </c>
      <c r="L4158" s="3">
        <v>432.53653309297903</v>
      </c>
    </row>
    <row r="4159" spans="1:12" ht="15" customHeight="1" x14ac:dyDescent="0.2">
      <c r="A4159" s="2">
        <v>40016</v>
      </c>
      <c r="B4159" s="3">
        <v>18.36</v>
      </c>
      <c r="C4159" s="1">
        <v>3496836</v>
      </c>
      <c r="D4159" s="3">
        <v>0.53000000000000103</v>
      </c>
      <c r="E4159" s="3">
        <v>2.9725182277061202</v>
      </c>
      <c r="F4159" s="3">
        <v>2.9725182277061202</v>
      </c>
      <c r="G4159" s="3">
        <v>18.36</v>
      </c>
      <c r="H4159" s="3">
        <v>411.63635518509102</v>
      </c>
      <c r="I4159" s="3">
        <v>17.649999999999999</v>
      </c>
      <c r="J4159" s="3">
        <v>18.77</v>
      </c>
      <c r="K4159" s="3">
        <v>17.61</v>
      </c>
      <c r="L4159" s="3">
        <v>411.63635518509102</v>
      </c>
    </row>
    <row r="4160" spans="1:12" ht="15" customHeight="1" x14ac:dyDescent="0.2">
      <c r="A4160" s="2">
        <v>40015</v>
      </c>
      <c r="B4160" s="3">
        <v>17.829999999999998</v>
      </c>
      <c r="C4160" s="1">
        <v>1858612</v>
      </c>
      <c r="D4160" s="3">
        <v>0.15999999999999601</v>
      </c>
      <c r="E4160" s="3">
        <v>0.90548953027729195</v>
      </c>
      <c r="F4160" s="3">
        <v>0.90548953027729195</v>
      </c>
      <c r="G4160" s="3">
        <v>17.829999999999998</v>
      </c>
      <c r="H4160" s="3">
        <v>396.86689613018399</v>
      </c>
      <c r="I4160" s="3">
        <v>17.95</v>
      </c>
      <c r="J4160" s="3">
        <v>17.95</v>
      </c>
      <c r="K4160" s="3">
        <v>17.430399999999999</v>
      </c>
      <c r="L4160" s="3">
        <v>396.86689613018399</v>
      </c>
    </row>
    <row r="4161" spans="1:12" ht="15" customHeight="1" x14ac:dyDescent="0.2">
      <c r="A4161" s="2">
        <v>40014</v>
      </c>
      <c r="B4161" s="3">
        <v>17.670000000000002</v>
      </c>
      <c r="C4161" s="1">
        <v>1881480</v>
      </c>
      <c r="D4161" s="3">
        <v>0.130000000000002</v>
      </c>
      <c r="E4161" s="3">
        <v>0.74116305587230702</v>
      </c>
      <c r="F4161" s="3">
        <v>0.74116305587230702</v>
      </c>
      <c r="G4161" s="3">
        <v>17.670000000000002</v>
      </c>
      <c r="H4161" s="3">
        <v>392.40819150983498</v>
      </c>
      <c r="I4161" s="3">
        <v>17.579999999999998</v>
      </c>
      <c r="J4161" s="3">
        <v>17.8</v>
      </c>
      <c r="K4161" s="3">
        <v>17.329999999999998</v>
      </c>
      <c r="L4161" s="3">
        <v>392.40819150983498</v>
      </c>
    </row>
    <row r="4162" spans="1:12" ht="15" customHeight="1" x14ac:dyDescent="0.2">
      <c r="A4162" s="2">
        <v>40011</v>
      </c>
      <c r="B4162" s="3">
        <v>17.54</v>
      </c>
      <c r="C4162" s="1">
        <v>1551995</v>
      </c>
      <c r="D4162" s="3">
        <v>-0.190000000000001</v>
      </c>
      <c r="E4162" s="3">
        <v>-1.07163000564016</v>
      </c>
      <c r="F4162" s="3">
        <v>-1.07163000564016</v>
      </c>
      <c r="G4162" s="3">
        <v>17.54</v>
      </c>
      <c r="H4162" s="3">
        <v>388.78549400580101</v>
      </c>
      <c r="I4162" s="3">
        <v>17.66</v>
      </c>
      <c r="J4162" s="3">
        <v>17.68</v>
      </c>
      <c r="K4162" s="3">
        <v>17.23</v>
      </c>
      <c r="L4162" s="3">
        <v>388.78549400580101</v>
      </c>
    </row>
    <row r="4163" spans="1:12" ht="15" customHeight="1" x14ac:dyDescent="0.2">
      <c r="A4163" s="2">
        <v>40010</v>
      </c>
      <c r="B4163" s="3">
        <v>17.73</v>
      </c>
      <c r="C4163" s="1">
        <v>2182092</v>
      </c>
      <c r="D4163" s="3">
        <v>0.19999999999999901</v>
      </c>
      <c r="E4163" s="3">
        <v>1.1409013120364999</v>
      </c>
      <c r="F4163" s="3">
        <v>1.1409013120364999</v>
      </c>
      <c r="G4163" s="3">
        <v>17.73</v>
      </c>
      <c r="H4163" s="3">
        <v>394.08020574246598</v>
      </c>
      <c r="I4163" s="3">
        <v>17.71</v>
      </c>
      <c r="J4163" s="3">
        <v>17.82</v>
      </c>
      <c r="K4163" s="3">
        <v>17.16</v>
      </c>
      <c r="L4163" s="3">
        <v>394.08020574246598</v>
      </c>
    </row>
    <row r="4164" spans="1:12" ht="15" customHeight="1" x14ac:dyDescent="0.2">
      <c r="A4164" s="2">
        <v>40009</v>
      </c>
      <c r="B4164" s="3">
        <v>17.53</v>
      </c>
      <c r="C4164" s="1">
        <v>1925576</v>
      </c>
      <c r="D4164" s="3">
        <v>0.42999999999999899</v>
      </c>
      <c r="E4164" s="3">
        <v>2.5146198830409299</v>
      </c>
      <c r="F4164" s="3">
        <v>2.5146198830409299</v>
      </c>
      <c r="G4164" s="3">
        <v>17.53</v>
      </c>
      <c r="H4164" s="3">
        <v>388.50682496702899</v>
      </c>
      <c r="I4164" s="3">
        <v>17.36</v>
      </c>
      <c r="J4164" s="3">
        <v>17.55</v>
      </c>
      <c r="K4164" s="3">
        <v>16.8</v>
      </c>
      <c r="L4164" s="3">
        <v>388.50682496702899</v>
      </c>
    </row>
    <row r="4165" spans="1:12" ht="15" customHeight="1" x14ac:dyDescent="0.2">
      <c r="A4165" s="2">
        <v>40008</v>
      </c>
      <c r="B4165" s="3">
        <v>17.100000000000001</v>
      </c>
      <c r="C4165" s="1">
        <v>1016656</v>
      </c>
      <c r="D4165" s="3">
        <v>0.26000000000000101</v>
      </c>
      <c r="E4165" s="3">
        <v>1.54394299287412</v>
      </c>
      <c r="F4165" s="3">
        <v>1.54394299287412</v>
      </c>
      <c r="G4165" s="3">
        <v>17.100000000000001</v>
      </c>
      <c r="H4165" s="3">
        <v>376.52405629984003</v>
      </c>
      <c r="I4165" s="3">
        <v>16.93</v>
      </c>
      <c r="J4165" s="3">
        <v>17.149999999999999</v>
      </c>
      <c r="K4165" s="3">
        <v>16.55</v>
      </c>
      <c r="L4165" s="3">
        <v>376.52405629984003</v>
      </c>
    </row>
    <row r="4166" spans="1:12" ht="15" customHeight="1" x14ac:dyDescent="0.2">
      <c r="A4166" s="2">
        <v>40007</v>
      </c>
      <c r="B4166" s="3">
        <v>16.84</v>
      </c>
      <c r="C4166" s="1">
        <v>1448070</v>
      </c>
      <c r="D4166" s="3">
        <v>0.23999999999999799</v>
      </c>
      <c r="E4166" s="3">
        <v>1.44578313253012</v>
      </c>
      <c r="F4166" s="3">
        <v>1.44578313253012</v>
      </c>
      <c r="G4166" s="3">
        <v>16.84</v>
      </c>
      <c r="H4166" s="3">
        <v>369.27866129177198</v>
      </c>
      <c r="I4166" s="3">
        <v>16.7</v>
      </c>
      <c r="J4166" s="3">
        <v>16.850000000000001</v>
      </c>
      <c r="K4166" s="3">
        <v>16.04</v>
      </c>
      <c r="L4166" s="3">
        <v>369.27866129177198</v>
      </c>
    </row>
    <row r="4167" spans="1:12" ht="15" customHeight="1" x14ac:dyDescent="0.2">
      <c r="A4167" s="2">
        <v>40004</v>
      </c>
      <c r="B4167" s="3">
        <v>16.600000000000001</v>
      </c>
      <c r="C4167" s="1">
        <v>1619909</v>
      </c>
      <c r="D4167" s="3">
        <v>0.20000000000000201</v>
      </c>
      <c r="E4167" s="3">
        <v>1.2195121951219701</v>
      </c>
      <c r="F4167" s="3">
        <v>1.2195121951219701</v>
      </c>
      <c r="G4167" s="3">
        <v>16.600000000000001</v>
      </c>
      <c r="H4167" s="3">
        <v>362.59060436124798</v>
      </c>
      <c r="I4167" s="3">
        <v>16.399999999999999</v>
      </c>
      <c r="J4167" s="3">
        <v>17.18</v>
      </c>
      <c r="K4167" s="3">
        <v>16.25</v>
      </c>
      <c r="L4167" s="3">
        <v>362.59060436124798</v>
      </c>
    </row>
    <row r="4168" spans="1:12" ht="15" customHeight="1" x14ac:dyDescent="0.2">
      <c r="A4168" s="2">
        <v>40003</v>
      </c>
      <c r="B4168" s="3">
        <v>16.399999999999999</v>
      </c>
      <c r="C4168" s="1">
        <v>1236880</v>
      </c>
      <c r="D4168" s="3">
        <v>0.28999999999999898</v>
      </c>
      <c r="E4168" s="3">
        <v>1.8001241464928599</v>
      </c>
      <c r="F4168" s="3">
        <v>1.8001241464928599</v>
      </c>
      <c r="G4168" s="3">
        <v>16.399999999999999</v>
      </c>
      <c r="H4168" s="3">
        <v>357.017223585811</v>
      </c>
      <c r="I4168" s="3">
        <v>16.27</v>
      </c>
      <c r="J4168" s="3">
        <v>16.53</v>
      </c>
      <c r="K4168" s="3">
        <v>15.81</v>
      </c>
      <c r="L4168" s="3">
        <v>357.017223585811</v>
      </c>
    </row>
    <row r="4169" spans="1:12" ht="15" customHeight="1" x14ac:dyDescent="0.2">
      <c r="A4169" s="2">
        <v>40002</v>
      </c>
      <c r="B4169" s="3">
        <v>16.11</v>
      </c>
      <c r="C4169" s="1">
        <v>1751667</v>
      </c>
      <c r="D4169" s="3">
        <v>7.9999999999998295E-2</v>
      </c>
      <c r="E4169" s="3">
        <v>0.49906425452275099</v>
      </c>
      <c r="F4169" s="3">
        <v>0.49906425452275099</v>
      </c>
      <c r="G4169" s="3">
        <v>16.11</v>
      </c>
      <c r="H4169" s="3">
        <v>348.93582146142802</v>
      </c>
      <c r="I4169" s="3">
        <v>16.03</v>
      </c>
      <c r="J4169" s="3">
        <v>16.46</v>
      </c>
      <c r="K4169" s="3">
        <v>15.69</v>
      </c>
      <c r="L4169" s="3">
        <v>348.93582146142802</v>
      </c>
    </row>
    <row r="4170" spans="1:12" ht="15" customHeight="1" x14ac:dyDescent="0.2">
      <c r="A4170" s="2">
        <v>40001</v>
      </c>
      <c r="B4170" s="3">
        <v>16.03</v>
      </c>
      <c r="C4170" s="1">
        <v>1597164</v>
      </c>
      <c r="D4170" s="3">
        <v>-0.56999999999999995</v>
      </c>
      <c r="E4170" s="3">
        <v>-3.43373493975903</v>
      </c>
      <c r="F4170" s="3">
        <v>-3.43373493975903</v>
      </c>
      <c r="G4170" s="3">
        <v>16.03</v>
      </c>
      <c r="H4170" s="3">
        <v>346.70646915125297</v>
      </c>
      <c r="I4170" s="3">
        <v>16.53</v>
      </c>
      <c r="J4170" s="3">
        <v>16.690000000000001</v>
      </c>
      <c r="K4170" s="3">
        <v>15.96</v>
      </c>
      <c r="L4170" s="3">
        <v>346.70646915125297</v>
      </c>
    </row>
    <row r="4171" spans="1:12" ht="15" customHeight="1" x14ac:dyDescent="0.2">
      <c r="A4171" s="2">
        <v>40000</v>
      </c>
      <c r="B4171" s="3">
        <v>16.600000000000001</v>
      </c>
      <c r="C4171" s="1">
        <v>1652718</v>
      </c>
      <c r="D4171" s="3">
        <v>-0.29999999999999699</v>
      </c>
      <c r="E4171" s="3">
        <v>-1.7751479289940599</v>
      </c>
      <c r="F4171" s="3">
        <v>-1.7751479289940599</v>
      </c>
      <c r="G4171" s="3">
        <v>16.600000000000001</v>
      </c>
      <c r="H4171" s="3">
        <v>362.59060436124798</v>
      </c>
      <c r="I4171" s="3">
        <v>16.72</v>
      </c>
      <c r="J4171" s="3">
        <v>16.88</v>
      </c>
      <c r="K4171" s="3">
        <v>16.170000000000002</v>
      </c>
      <c r="L4171" s="3">
        <v>362.59060436124798</v>
      </c>
    </row>
    <row r="4172" spans="1:12" ht="15" customHeight="1" x14ac:dyDescent="0.2">
      <c r="A4172" s="2">
        <v>39996</v>
      </c>
      <c r="B4172" s="3">
        <v>16.899999999999999</v>
      </c>
      <c r="C4172" s="1">
        <v>1872436</v>
      </c>
      <c r="D4172" s="3">
        <v>-0.94000000000000095</v>
      </c>
      <c r="E4172" s="3">
        <v>-5.2690582959641299</v>
      </c>
      <c r="F4172" s="3">
        <v>-5.2690582959641299</v>
      </c>
      <c r="G4172" s="3">
        <v>16.899999999999999</v>
      </c>
      <c r="H4172" s="3">
        <v>370.95067552440298</v>
      </c>
      <c r="I4172" s="3">
        <v>17.43</v>
      </c>
      <c r="J4172" s="3">
        <v>17.475999999999999</v>
      </c>
      <c r="K4172" s="3">
        <v>16.809999999999999</v>
      </c>
      <c r="L4172" s="3">
        <v>370.95067552440298</v>
      </c>
    </row>
    <row r="4173" spans="1:12" ht="15" customHeight="1" x14ac:dyDescent="0.2">
      <c r="A4173" s="2">
        <v>39995</v>
      </c>
      <c r="B4173" s="3">
        <v>17.84</v>
      </c>
      <c r="C4173" s="1">
        <v>2274191</v>
      </c>
      <c r="D4173" s="3">
        <v>0.53999999999999904</v>
      </c>
      <c r="E4173" s="3">
        <v>3.12138728323698</v>
      </c>
      <c r="F4173" s="3">
        <v>3.12138728323698</v>
      </c>
      <c r="G4173" s="3">
        <v>17.84</v>
      </c>
      <c r="H4173" s="3">
        <v>397.14556516895601</v>
      </c>
      <c r="I4173" s="3">
        <v>17.54</v>
      </c>
      <c r="J4173" s="3">
        <v>17.91</v>
      </c>
      <c r="K4173" s="3">
        <v>17.32</v>
      </c>
      <c r="L4173" s="3">
        <v>397.14556516895601</v>
      </c>
    </row>
    <row r="4174" spans="1:12" ht="15" customHeight="1" x14ac:dyDescent="0.2">
      <c r="A4174" s="2">
        <v>39994</v>
      </c>
      <c r="B4174" s="3">
        <v>17.3</v>
      </c>
      <c r="C4174" s="1">
        <v>3665948</v>
      </c>
      <c r="D4174" s="3">
        <v>0.83000000000000096</v>
      </c>
      <c r="E4174" s="3">
        <v>5.0394656952034103</v>
      </c>
      <c r="F4174" s="3">
        <v>5.0394656952034103</v>
      </c>
      <c r="G4174" s="3">
        <v>17.3</v>
      </c>
      <c r="H4174" s="3">
        <v>382.09743707527701</v>
      </c>
      <c r="I4174" s="3">
        <v>16.53</v>
      </c>
      <c r="J4174" s="3">
        <v>17.5</v>
      </c>
      <c r="K4174" s="3">
        <v>16.53</v>
      </c>
      <c r="L4174" s="3">
        <v>382.09743707527701</v>
      </c>
    </row>
    <row r="4175" spans="1:12" ht="15" customHeight="1" x14ac:dyDescent="0.2">
      <c r="A4175" s="2">
        <v>39993</v>
      </c>
      <c r="B4175" s="3">
        <v>16.47</v>
      </c>
      <c r="C4175" s="1">
        <v>1428150</v>
      </c>
      <c r="D4175" s="3">
        <v>4.9999999999997102E-2</v>
      </c>
      <c r="E4175" s="3">
        <v>0.304506699147366</v>
      </c>
      <c r="F4175" s="3">
        <v>0.304506699147366</v>
      </c>
      <c r="G4175" s="3">
        <v>16.47</v>
      </c>
      <c r="H4175" s="3">
        <v>358.96790685721402</v>
      </c>
      <c r="I4175" s="3">
        <v>16.38</v>
      </c>
      <c r="J4175" s="3">
        <v>16.934999999999999</v>
      </c>
      <c r="K4175" s="3">
        <v>16.059999999999999</v>
      </c>
      <c r="L4175" s="3">
        <v>358.96790685721402</v>
      </c>
    </row>
    <row r="4176" spans="1:12" ht="15" customHeight="1" x14ac:dyDescent="0.2">
      <c r="A4176" s="2">
        <v>39990</v>
      </c>
      <c r="B4176" s="3">
        <v>16.420000000000002</v>
      </c>
      <c r="C4176" s="1">
        <v>2041080</v>
      </c>
      <c r="D4176" s="3">
        <v>0.12000000000000099</v>
      </c>
      <c r="E4176" s="3">
        <v>0.73619631901839999</v>
      </c>
      <c r="F4176" s="3">
        <v>0.73619631901839999</v>
      </c>
      <c r="G4176" s="3">
        <v>16.420000000000002</v>
      </c>
      <c r="H4176" s="3">
        <v>357.57456166335498</v>
      </c>
      <c r="I4176" s="3">
        <v>16.2</v>
      </c>
      <c r="J4176" s="3">
        <v>16.54</v>
      </c>
      <c r="K4176" s="3">
        <v>16.03</v>
      </c>
      <c r="L4176" s="3">
        <v>357.57456166335498</v>
      </c>
    </row>
    <row r="4177" spans="1:12" ht="15" customHeight="1" x14ac:dyDescent="0.2">
      <c r="A4177" s="2">
        <v>39989</v>
      </c>
      <c r="B4177" s="3">
        <v>16.3</v>
      </c>
      <c r="C4177" s="1">
        <v>1687945</v>
      </c>
      <c r="D4177" s="3">
        <v>0.49</v>
      </c>
      <c r="E4177" s="3">
        <v>3.09930423782416</v>
      </c>
      <c r="F4177" s="3">
        <v>3.09930423782416</v>
      </c>
      <c r="G4177" s="3">
        <v>16.3</v>
      </c>
      <c r="H4177" s="3">
        <v>354.23053319809299</v>
      </c>
      <c r="I4177" s="3">
        <v>15.68</v>
      </c>
      <c r="J4177" s="3">
        <v>16.600000000000001</v>
      </c>
      <c r="K4177" s="3">
        <v>15.68</v>
      </c>
      <c r="L4177" s="3">
        <v>354.23053319809299</v>
      </c>
    </row>
    <row r="4178" spans="1:12" ht="15" customHeight="1" x14ac:dyDescent="0.2">
      <c r="A4178" s="2">
        <v>39988</v>
      </c>
      <c r="B4178" s="3">
        <v>15.81</v>
      </c>
      <c r="C4178" s="1">
        <v>2051664</v>
      </c>
      <c r="D4178" s="3">
        <v>0.13</v>
      </c>
      <c r="E4178" s="3">
        <v>0.829081632653072</v>
      </c>
      <c r="F4178" s="3">
        <v>0.829081632653072</v>
      </c>
      <c r="G4178" s="3">
        <v>15.81</v>
      </c>
      <c r="H4178" s="3">
        <v>340.57575029827302</v>
      </c>
      <c r="I4178" s="3">
        <v>15.82</v>
      </c>
      <c r="J4178" s="3">
        <v>16.092500000000001</v>
      </c>
      <c r="K4178" s="3">
        <v>15.59</v>
      </c>
      <c r="L4178" s="3">
        <v>340.57575029827302</v>
      </c>
    </row>
    <row r="4179" spans="1:12" ht="15" customHeight="1" x14ac:dyDescent="0.2">
      <c r="A4179" s="2">
        <v>39987</v>
      </c>
      <c r="B4179" s="3">
        <v>15.68</v>
      </c>
      <c r="C4179" s="1">
        <v>2434765</v>
      </c>
      <c r="D4179" s="3">
        <v>-0.8</v>
      </c>
      <c r="E4179" s="3">
        <v>-4.8543689320388399</v>
      </c>
      <c r="F4179" s="3">
        <v>-4.8543689320388399</v>
      </c>
      <c r="G4179" s="3">
        <v>15.68</v>
      </c>
      <c r="H4179" s="3">
        <v>336.953052794239</v>
      </c>
      <c r="I4179" s="3">
        <v>16.5</v>
      </c>
      <c r="J4179" s="3">
        <v>16.739999999999998</v>
      </c>
      <c r="K4179" s="3">
        <v>15.65</v>
      </c>
      <c r="L4179" s="3">
        <v>336.953052794239</v>
      </c>
    </row>
    <row r="4180" spans="1:12" ht="15" customHeight="1" x14ac:dyDescent="0.2">
      <c r="A4180" s="2">
        <v>39986</v>
      </c>
      <c r="B4180" s="3">
        <v>16.48</v>
      </c>
      <c r="C4180" s="1">
        <v>2566915</v>
      </c>
      <c r="D4180" s="3">
        <v>-1.1099999999999901</v>
      </c>
      <c r="E4180" s="3">
        <v>-6.3104036384309197</v>
      </c>
      <c r="F4180" s="3">
        <v>-6.3104036384309197</v>
      </c>
      <c r="G4180" s="3">
        <v>16.48</v>
      </c>
      <c r="H4180" s="3">
        <v>359.24657589598598</v>
      </c>
      <c r="I4180" s="3">
        <v>17.350000000000001</v>
      </c>
      <c r="J4180" s="3">
        <v>17.510000000000002</v>
      </c>
      <c r="K4180" s="3">
        <v>16.43</v>
      </c>
      <c r="L4180" s="3">
        <v>359.24657589598598</v>
      </c>
    </row>
    <row r="4181" spans="1:12" ht="15" customHeight="1" x14ac:dyDescent="0.2">
      <c r="A4181" s="2">
        <v>39983</v>
      </c>
      <c r="B4181" s="3">
        <v>17.59</v>
      </c>
      <c r="C4181" s="1">
        <v>2080487.99999999</v>
      </c>
      <c r="D4181" s="3">
        <v>0.26000000000000101</v>
      </c>
      <c r="E4181" s="3">
        <v>1.5002885170225</v>
      </c>
      <c r="F4181" s="3">
        <v>1.5002885170225</v>
      </c>
      <c r="G4181" s="3">
        <v>17.59</v>
      </c>
      <c r="H4181" s="3">
        <v>390.17883919965999</v>
      </c>
      <c r="I4181" s="3">
        <v>17.649999999999999</v>
      </c>
      <c r="J4181" s="3">
        <v>18.13</v>
      </c>
      <c r="K4181" s="3">
        <v>17.36</v>
      </c>
      <c r="L4181" s="3">
        <v>390.17883919965999</v>
      </c>
    </row>
    <row r="4182" spans="1:12" ht="15" customHeight="1" x14ac:dyDescent="0.2">
      <c r="A4182" s="2">
        <v>39982</v>
      </c>
      <c r="B4182" s="3">
        <v>17.329999999999998</v>
      </c>
      <c r="C4182" s="1">
        <v>2088722</v>
      </c>
      <c r="D4182" s="3">
        <v>0.31999999999999601</v>
      </c>
      <c r="E4182" s="3">
        <v>1.8812463256907499</v>
      </c>
      <c r="F4182" s="3">
        <v>1.8812463256907499</v>
      </c>
      <c r="G4182" s="3">
        <v>17.329999999999998</v>
      </c>
      <c r="H4182" s="3">
        <v>382.933444191592</v>
      </c>
      <c r="I4182" s="3">
        <v>16.97</v>
      </c>
      <c r="J4182" s="3">
        <v>17.489999999999998</v>
      </c>
      <c r="K4182" s="3">
        <v>16.940000000000001</v>
      </c>
      <c r="L4182" s="3">
        <v>382.933444191592</v>
      </c>
    </row>
    <row r="4183" spans="1:12" ht="15" customHeight="1" x14ac:dyDescent="0.2">
      <c r="A4183" s="2">
        <v>39981</v>
      </c>
      <c r="B4183" s="3">
        <v>17.010000000000002</v>
      </c>
      <c r="C4183" s="1">
        <v>3169492</v>
      </c>
      <c r="D4183" s="3">
        <v>0.61000000000000298</v>
      </c>
      <c r="E4183" s="3">
        <v>3.7195121951219599</v>
      </c>
      <c r="F4183" s="3">
        <v>3.7195121951219599</v>
      </c>
      <c r="G4183" s="3">
        <v>17.010000000000002</v>
      </c>
      <c r="H4183" s="3">
        <v>374.01603495089302</v>
      </c>
      <c r="I4183" s="3">
        <v>16.489999999999998</v>
      </c>
      <c r="J4183" s="3">
        <v>17.34</v>
      </c>
      <c r="K4183" s="3">
        <v>16.295000000000002</v>
      </c>
      <c r="L4183" s="3">
        <v>374.01603495089302</v>
      </c>
    </row>
    <row r="4184" spans="1:12" ht="15" customHeight="1" x14ac:dyDescent="0.2">
      <c r="A4184" s="2">
        <v>39980</v>
      </c>
      <c r="B4184" s="3">
        <v>16.399999999999999</v>
      </c>
      <c r="C4184" s="1">
        <v>4008069</v>
      </c>
      <c r="D4184" s="3">
        <v>0.109999999999999</v>
      </c>
      <c r="E4184" s="3">
        <v>0.67526089625535801</v>
      </c>
      <c r="F4184" s="3">
        <v>0.67526089625535801</v>
      </c>
      <c r="G4184" s="3">
        <v>16.399999999999999</v>
      </c>
      <c r="H4184" s="3">
        <v>357.017223585811</v>
      </c>
      <c r="I4184" s="3">
        <v>16.53</v>
      </c>
      <c r="J4184" s="3">
        <v>16.89</v>
      </c>
      <c r="K4184" s="3">
        <v>15.81</v>
      </c>
      <c r="L4184" s="3">
        <v>357.017223585811</v>
      </c>
    </row>
    <row r="4185" spans="1:12" ht="15" customHeight="1" x14ac:dyDescent="0.2">
      <c r="A4185" s="2">
        <v>39979</v>
      </c>
      <c r="B4185" s="3">
        <v>16.29</v>
      </c>
      <c r="C4185" s="1">
        <v>1871025</v>
      </c>
      <c r="D4185" s="3">
        <v>-0.19999999999999901</v>
      </c>
      <c r="E4185" s="3">
        <v>-1.2128562765312201</v>
      </c>
      <c r="F4185" s="3">
        <v>-1.2128562765312201</v>
      </c>
      <c r="G4185" s="3">
        <v>16.29</v>
      </c>
      <c r="H4185" s="3">
        <v>353.95186415932102</v>
      </c>
      <c r="I4185" s="3">
        <v>16.260000000000002</v>
      </c>
      <c r="J4185" s="3">
        <v>16.46</v>
      </c>
      <c r="K4185" s="3">
        <v>15.75</v>
      </c>
      <c r="L4185" s="3">
        <v>353.95186415932102</v>
      </c>
    </row>
    <row r="4186" spans="1:12" ht="15" customHeight="1" x14ac:dyDescent="0.2">
      <c r="A4186" s="2">
        <v>39976</v>
      </c>
      <c r="B4186" s="3">
        <v>16.489999999999998</v>
      </c>
      <c r="C4186" s="1">
        <v>2101384</v>
      </c>
      <c r="D4186" s="3">
        <v>0.58999999999999797</v>
      </c>
      <c r="E4186" s="3">
        <v>3.7106918238993498</v>
      </c>
      <c r="F4186" s="3">
        <v>3.7106918238993498</v>
      </c>
      <c r="G4186" s="3">
        <v>16.489999999999998</v>
      </c>
      <c r="H4186" s="3">
        <v>359.52524493475801</v>
      </c>
      <c r="I4186" s="3">
        <v>16.78</v>
      </c>
      <c r="J4186" s="3">
        <v>16.850000000000001</v>
      </c>
      <c r="K4186" s="3">
        <v>15.92</v>
      </c>
      <c r="L4186" s="3">
        <v>359.52524493475801</v>
      </c>
    </row>
    <row r="4187" spans="1:12" ht="15" customHeight="1" x14ac:dyDescent="0.2">
      <c r="A4187" s="2">
        <v>39975</v>
      </c>
      <c r="B4187" s="3">
        <v>15.9</v>
      </c>
      <c r="C4187" s="1">
        <v>1557033</v>
      </c>
      <c r="D4187" s="3">
        <v>-0.77000000000000102</v>
      </c>
      <c r="E4187" s="3">
        <v>-4.6190761847630597</v>
      </c>
      <c r="F4187" s="3">
        <v>-4.6190761847630597</v>
      </c>
      <c r="G4187" s="3">
        <v>15.9</v>
      </c>
      <c r="H4187" s="3">
        <v>343.08377164721901</v>
      </c>
      <c r="I4187" s="3">
        <v>16.690000000000001</v>
      </c>
      <c r="J4187" s="3">
        <v>16.78</v>
      </c>
      <c r="K4187" s="3">
        <v>15.86</v>
      </c>
      <c r="L4187" s="3">
        <v>343.08377164721901</v>
      </c>
    </row>
    <row r="4188" spans="1:12" ht="15" customHeight="1" x14ac:dyDescent="0.2">
      <c r="A4188" s="2">
        <v>39974</v>
      </c>
      <c r="B4188" s="3">
        <v>16.670000000000002</v>
      </c>
      <c r="C4188" s="1">
        <v>3757579</v>
      </c>
      <c r="D4188" s="3">
        <v>-0.40999999999999598</v>
      </c>
      <c r="E4188" s="3">
        <v>-2.4004683840749101</v>
      </c>
      <c r="F4188" s="3">
        <v>-2.4004683840749101</v>
      </c>
      <c r="G4188" s="3">
        <v>16.670000000000002</v>
      </c>
      <c r="H4188" s="3">
        <v>364.54128763265101</v>
      </c>
      <c r="I4188" s="3">
        <v>17.559999999999999</v>
      </c>
      <c r="J4188" s="3">
        <v>17.57</v>
      </c>
      <c r="K4188" s="3">
        <v>16.329999999999998</v>
      </c>
      <c r="L4188" s="3">
        <v>364.54128763265101</v>
      </c>
    </row>
    <row r="4189" spans="1:12" ht="15" customHeight="1" x14ac:dyDescent="0.2">
      <c r="A4189" s="2">
        <v>39973</v>
      </c>
      <c r="B4189" s="3">
        <v>17.079999999999998</v>
      </c>
      <c r="C4189" s="1">
        <v>1852839</v>
      </c>
      <c r="D4189" s="3">
        <v>-0.26000000000000101</v>
      </c>
      <c r="E4189" s="3">
        <v>-1.4994232987312599</v>
      </c>
      <c r="F4189" s="3">
        <v>-1.4994232987312599</v>
      </c>
      <c r="G4189" s="3">
        <v>17.079999999999998</v>
      </c>
      <c r="H4189" s="3">
        <v>375.96671822229598</v>
      </c>
      <c r="I4189" s="3">
        <v>17.45</v>
      </c>
      <c r="J4189" s="3">
        <v>17.600000000000001</v>
      </c>
      <c r="K4189" s="3">
        <v>16.98</v>
      </c>
      <c r="L4189" s="3">
        <v>375.96671822229598</v>
      </c>
    </row>
    <row r="4190" spans="1:12" ht="15" customHeight="1" x14ac:dyDescent="0.2">
      <c r="A4190" s="2">
        <v>39972</v>
      </c>
      <c r="B4190" s="3">
        <v>17.34</v>
      </c>
      <c r="C4190" s="1">
        <v>1896357</v>
      </c>
      <c r="D4190" s="3">
        <v>-0.23</v>
      </c>
      <c r="E4190" s="3">
        <v>-1.30904951622082</v>
      </c>
      <c r="F4190" s="3">
        <v>-1.30904951622082</v>
      </c>
      <c r="G4190" s="3">
        <v>17.34</v>
      </c>
      <c r="H4190" s="3">
        <v>383.21211323036403</v>
      </c>
      <c r="I4190" s="3">
        <v>17.27</v>
      </c>
      <c r="J4190" s="3">
        <v>17.48</v>
      </c>
      <c r="K4190" s="3">
        <v>16.79</v>
      </c>
      <c r="L4190" s="3">
        <v>383.21211323036403</v>
      </c>
    </row>
    <row r="4191" spans="1:12" ht="15" customHeight="1" x14ac:dyDescent="0.2">
      <c r="A4191" s="2">
        <v>39969</v>
      </c>
      <c r="B4191" s="3">
        <v>17.57</v>
      </c>
      <c r="C4191" s="1">
        <v>1789370</v>
      </c>
      <c r="D4191" s="3">
        <v>-9.9999999999980105E-3</v>
      </c>
      <c r="E4191" s="3">
        <v>-5.6882821387926802E-2</v>
      </c>
      <c r="F4191" s="3">
        <v>-5.6882821387926802E-2</v>
      </c>
      <c r="G4191" s="3">
        <v>17.57</v>
      </c>
      <c r="H4191" s="3">
        <v>389.621501122116</v>
      </c>
      <c r="I4191" s="3">
        <v>17.670000000000002</v>
      </c>
      <c r="J4191" s="3">
        <v>17.899999999999999</v>
      </c>
      <c r="K4191" s="3">
        <v>17.149999999999999</v>
      </c>
      <c r="L4191" s="3">
        <v>389.621501122116</v>
      </c>
    </row>
    <row r="4192" spans="1:12" ht="15" customHeight="1" x14ac:dyDescent="0.2">
      <c r="A4192" s="2">
        <v>39968</v>
      </c>
      <c r="B4192" s="3">
        <v>17.579999999999998</v>
      </c>
      <c r="C4192" s="1">
        <v>1521232</v>
      </c>
      <c r="D4192" s="3">
        <v>-0.130000000000002</v>
      </c>
      <c r="E4192" s="3">
        <v>-0.73404856013553599</v>
      </c>
      <c r="F4192" s="3">
        <v>-0.73404856013553599</v>
      </c>
      <c r="G4192" s="3">
        <v>17.579999999999998</v>
      </c>
      <c r="H4192" s="3">
        <v>389.90017016088802</v>
      </c>
      <c r="I4192" s="3">
        <v>17.940000000000001</v>
      </c>
      <c r="J4192" s="3">
        <v>17.95</v>
      </c>
      <c r="K4192" s="3">
        <v>17.309999999999999</v>
      </c>
      <c r="L4192" s="3">
        <v>389.90017016088802</v>
      </c>
    </row>
    <row r="4193" spans="1:12" ht="15" customHeight="1" x14ac:dyDescent="0.2">
      <c r="A4193" s="2">
        <v>39967</v>
      </c>
      <c r="B4193" s="3">
        <v>17.71</v>
      </c>
      <c r="C4193" s="1">
        <v>2392060</v>
      </c>
      <c r="D4193" s="3">
        <v>0.21</v>
      </c>
      <c r="E4193" s="3">
        <v>1.2</v>
      </c>
      <c r="F4193" s="3">
        <v>1.2</v>
      </c>
      <c r="G4193" s="3">
        <v>17.71</v>
      </c>
      <c r="H4193" s="3">
        <v>393.52286766492199</v>
      </c>
      <c r="I4193" s="3">
        <v>17.25</v>
      </c>
      <c r="J4193" s="3">
        <v>17.899999999999999</v>
      </c>
      <c r="K4193" s="3">
        <v>17</v>
      </c>
      <c r="L4193" s="3">
        <v>393.52286766492199</v>
      </c>
    </row>
    <row r="4194" spans="1:12" ht="15" customHeight="1" x14ac:dyDescent="0.2">
      <c r="A4194" s="2">
        <v>39966</v>
      </c>
      <c r="B4194" s="3">
        <v>17.5</v>
      </c>
      <c r="C4194" s="1">
        <v>1636660</v>
      </c>
      <c r="D4194" s="3">
        <v>-5.0000000000000697E-2</v>
      </c>
      <c r="E4194" s="3">
        <v>-0.28490028490029101</v>
      </c>
      <c r="F4194" s="3">
        <v>-0.28490028490029101</v>
      </c>
      <c r="G4194" s="3">
        <v>17.5</v>
      </c>
      <c r="H4194" s="3">
        <v>387.67081785071298</v>
      </c>
      <c r="I4194" s="3">
        <v>17.5</v>
      </c>
      <c r="J4194" s="3">
        <v>17.61</v>
      </c>
      <c r="K4194" s="3">
        <v>16.920000000000002</v>
      </c>
      <c r="L4194" s="3">
        <v>387.67081785071298</v>
      </c>
    </row>
    <row r="4195" spans="1:12" ht="15" customHeight="1" x14ac:dyDescent="0.2">
      <c r="A4195" s="2">
        <v>39965</v>
      </c>
      <c r="B4195" s="3">
        <v>17.55</v>
      </c>
      <c r="C4195" s="1">
        <v>2441195</v>
      </c>
      <c r="D4195" s="3">
        <v>0.49000000000000199</v>
      </c>
      <c r="E4195" s="3">
        <v>2.8722157092614302</v>
      </c>
      <c r="F4195" s="3">
        <v>2.8722157092614302</v>
      </c>
      <c r="G4195" s="3">
        <v>17.55</v>
      </c>
      <c r="H4195" s="3">
        <v>389.06416304457201</v>
      </c>
      <c r="I4195" s="3">
        <v>17.079999999999998</v>
      </c>
      <c r="J4195" s="3">
        <v>18.05</v>
      </c>
      <c r="K4195" s="3">
        <v>17.059999999999999</v>
      </c>
      <c r="L4195" s="3">
        <v>389.06416304457201</v>
      </c>
    </row>
    <row r="4196" spans="1:12" ht="15" customHeight="1" x14ac:dyDescent="0.2">
      <c r="A4196" s="2">
        <v>39962</v>
      </c>
      <c r="B4196" s="3">
        <v>17.059999999999999</v>
      </c>
      <c r="C4196" s="1">
        <v>2161842</v>
      </c>
      <c r="D4196" s="3">
        <v>0.83999999999999897</v>
      </c>
      <c r="E4196" s="3">
        <v>5.1787916152897502</v>
      </c>
      <c r="F4196" s="3">
        <v>5.1787916152897502</v>
      </c>
      <c r="G4196" s="3">
        <v>17.059999999999999</v>
      </c>
      <c r="H4196" s="3">
        <v>375.40938014475199</v>
      </c>
      <c r="I4196" s="3">
        <v>17</v>
      </c>
      <c r="J4196" s="3">
        <v>17.13</v>
      </c>
      <c r="K4196" s="3">
        <v>16.319700000000001</v>
      </c>
      <c r="L4196" s="3">
        <v>375.40938014475199</v>
      </c>
    </row>
    <row r="4197" spans="1:12" ht="15" customHeight="1" x14ac:dyDescent="0.2">
      <c r="A4197" s="2">
        <v>39961</v>
      </c>
      <c r="B4197" s="3">
        <v>16.22</v>
      </c>
      <c r="C4197" s="1">
        <v>1609458</v>
      </c>
      <c r="D4197" s="3">
        <v>0.17999999999999899</v>
      </c>
      <c r="E4197" s="3">
        <v>1.1221945137157101</v>
      </c>
      <c r="F4197" s="3">
        <v>1.1221945137157101</v>
      </c>
      <c r="G4197" s="3">
        <v>16.22</v>
      </c>
      <c r="H4197" s="3">
        <v>352.001180887918</v>
      </c>
      <c r="I4197" s="3">
        <v>16.27</v>
      </c>
      <c r="J4197" s="3">
        <v>16.68</v>
      </c>
      <c r="K4197" s="3">
        <v>15.73</v>
      </c>
      <c r="L4197" s="3">
        <v>352.001180887918</v>
      </c>
    </row>
    <row r="4198" spans="1:12" ht="15" customHeight="1" x14ac:dyDescent="0.2">
      <c r="A4198" s="2">
        <v>39960</v>
      </c>
      <c r="B4198" s="3">
        <v>16.04</v>
      </c>
      <c r="C4198" s="1">
        <v>1719761</v>
      </c>
      <c r="D4198" s="3">
        <v>-0.109999999999999</v>
      </c>
      <c r="E4198" s="3">
        <v>-0.68111455108358299</v>
      </c>
      <c r="F4198" s="3">
        <v>-0.68111455108358299</v>
      </c>
      <c r="G4198" s="3">
        <v>16.04</v>
      </c>
      <c r="H4198" s="3">
        <v>346.985138190025</v>
      </c>
      <c r="I4198" s="3">
        <v>16.09</v>
      </c>
      <c r="J4198" s="3">
        <v>16.62</v>
      </c>
      <c r="K4198" s="3">
        <v>15.75</v>
      </c>
      <c r="L4198" s="3">
        <v>346.985138190025</v>
      </c>
    </row>
    <row r="4199" spans="1:12" ht="15" customHeight="1" x14ac:dyDescent="0.2">
      <c r="A4199" s="2">
        <v>39959</v>
      </c>
      <c r="B4199" s="3">
        <v>16.149999999999999</v>
      </c>
      <c r="C4199" s="1">
        <v>1570380</v>
      </c>
      <c r="D4199" s="3">
        <v>0.98999999999999799</v>
      </c>
      <c r="E4199" s="3">
        <v>6.5303430079155502</v>
      </c>
      <c r="F4199" s="3">
        <v>6.5303430079155502</v>
      </c>
      <c r="G4199" s="3">
        <v>16.149999999999999</v>
      </c>
      <c r="H4199" s="3">
        <v>350.05049761651497</v>
      </c>
      <c r="I4199" s="3">
        <v>15.04</v>
      </c>
      <c r="J4199" s="3">
        <v>16.3</v>
      </c>
      <c r="K4199" s="3">
        <v>15.04</v>
      </c>
      <c r="L4199" s="3">
        <v>350.05049761651497</v>
      </c>
    </row>
    <row r="4200" spans="1:12" ht="15" customHeight="1" x14ac:dyDescent="0.2">
      <c r="A4200" s="2">
        <v>39955</v>
      </c>
      <c r="B4200" s="3">
        <v>15.16</v>
      </c>
      <c r="C4200" s="1">
        <v>1389202</v>
      </c>
      <c r="D4200" s="3">
        <v>-0.33999999999999903</v>
      </c>
      <c r="E4200" s="3">
        <v>-2.19354838709677</v>
      </c>
      <c r="F4200" s="3">
        <v>-2.19354838709677</v>
      </c>
      <c r="G4200" s="3">
        <v>15.16</v>
      </c>
      <c r="H4200" s="3">
        <v>322.46226277810399</v>
      </c>
      <c r="I4200" s="3">
        <v>15.52</v>
      </c>
      <c r="J4200" s="3">
        <v>15.52</v>
      </c>
      <c r="K4200" s="3">
        <v>15.01</v>
      </c>
      <c r="L4200" s="3">
        <v>322.46226277810399</v>
      </c>
    </row>
    <row r="4201" spans="1:12" ht="15" customHeight="1" x14ac:dyDescent="0.2">
      <c r="A4201" s="2">
        <v>39954</v>
      </c>
      <c r="B4201" s="3">
        <v>15.5</v>
      </c>
      <c r="C4201" s="1">
        <v>1533388</v>
      </c>
      <c r="D4201" s="3">
        <v>-0.39</v>
      </c>
      <c r="E4201" s="3">
        <v>-2.45437382001258</v>
      </c>
      <c r="F4201" s="3">
        <v>-2.45437382001258</v>
      </c>
      <c r="G4201" s="3">
        <v>15.5</v>
      </c>
      <c r="H4201" s="3">
        <v>331.937010096346</v>
      </c>
      <c r="I4201" s="3">
        <v>15.72</v>
      </c>
      <c r="J4201" s="3">
        <v>15.97</v>
      </c>
      <c r="K4201" s="3">
        <v>15.28</v>
      </c>
      <c r="L4201" s="3">
        <v>331.937010096346</v>
      </c>
    </row>
    <row r="4202" spans="1:12" ht="15" customHeight="1" x14ac:dyDescent="0.2">
      <c r="A4202" s="2">
        <v>39953</v>
      </c>
      <c r="B4202" s="3">
        <v>15.89</v>
      </c>
      <c r="C4202" s="1">
        <v>2340791</v>
      </c>
      <c r="D4202" s="3">
        <v>-0.19999999999999901</v>
      </c>
      <c r="E4202" s="3">
        <v>-1.24300807955251</v>
      </c>
      <c r="F4202" s="3">
        <v>-1.24300807955251</v>
      </c>
      <c r="G4202" s="3">
        <v>15.89</v>
      </c>
      <c r="H4202" s="3">
        <v>342.80510260844801</v>
      </c>
      <c r="I4202" s="3">
        <v>16.28</v>
      </c>
      <c r="J4202" s="3">
        <v>16.989999999999998</v>
      </c>
      <c r="K4202" s="3">
        <v>15.75</v>
      </c>
      <c r="L4202" s="3">
        <v>342.80510260844801</v>
      </c>
    </row>
    <row r="4203" spans="1:12" ht="15" customHeight="1" x14ac:dyDescent="0.2">
      <c r="A4203" s="2">
        <v>39952</v>
      </c>
      <c r="B4203" s="3">
        <v>16.09</v>
      </c>
      <c r="C4203" s="1">
        <v>1713838</v>
      </c>
      <c r="D4203" s="3">
        <v>1.0000000000001501E-2</v>
      </c>
      <c r="E4203" s="3">
        <v>6.2189054726369201E-2</v>
      </c>
      <c r="F4203" s="3">
        <v>6.2189054726369201E-2</v>
      </c>
      <c r="G4203" s="3">
        <v>16.09</v>
      </c>
      <c r="H4203" s="3">
        <v>348.37848338388397</v>
      </c>
      <c r="I4203" s="3">
        <v>15.89</v>
      </c>
      <c r="J4203" s="3">
        <v>16.38</v>
      </c>
      <c r="K4203" s="3">
        <v>15.68</v>
      </c>
      <c r="L4203" s="3">
        <v>348.37848338388397</v>
      </c>
    </row>
    <row r="4204" spans="1:12" ht="15" customHeight="1" x14ac:dyDescent="0.2">
      <c r="A4204" s="2">
        <v>39951</v>
      </c>
      <c r="B4204" s="3">
        <v>16.079999999999998</v>
      </c>
      <c r="C4204" s="1">
        <v>2158060</v>
      </c>
      <c r="D4204" s="3">
        <v>0.98999999999999799</v>
      </c>
      <c r="E4204" s="3">
        <v>6.5606361829025603</v>
      </c>
      <c r="F4204" s="3">
        <v>6.5606361829025603</v>
      </c>
      <c r="G4204" s="3">
        <v>16.079999999999998</v>
      </c>
      <c r="H4204" s="3">
        <v>348.09981434511201</v>
      </c>
      <c r="I4204" s="3">
        <v>15.32</v>
      </c>
      <c r="J4204" s="3">
        <v>16.11</v>
      </c>
      <c r="K4204" s="3">
        <v>15.22</v>
      </c>
      <c r="L4204" s="3">
        <v>348.09981434511201</v>
      </c>
    </row>
    <row r="4205" spans="1:12" ht="15" customHeight="1" x14ac:dyDescent="0.2">
      <c r="A4205" s="2">
        <v>39948</v>
      </c>
      <c r="B4205" s="3">
        <v>15.09</v>
      </c>
      <c r="C4205" s="1">
        <v>1996049</v>
      </c>
      <c r="D4205" s="3">
        <v>-0.21</v>
      </c>
      <c r="E4205" s="3">
        <v>-1.37254901960784</v>
      </c>
      <c r="F4205" s="3">
        <v>-1.37254901960784</v>
      </c>
      <c r="G4205" s="3">
        <v>15.09</v>
      </c>
      <c r="H4205" s="3">
        <v>320.51157950670103</v>
      </c>
      <c r="I4205" s="3">
        <v>15.33</v>
      </c>
      <c r="J4205" s="3">
        <v>15.63</v>
      </c>
      <c r="K4205" s="3">
        <v>14.94</v>
      </c>
      <c r="L4205" s="3">
        <v>320.51157950670103</v>
      </c>
    </row>
    <row r="4206" spans="1:12" ht="15" customHeight="1" x14ac:dyDescent="0.2">
      <c r="A4206" s="2">
        <v>39947</v>
      </c>
      <c r="B4206" s="3">
        <v>15.3</v>
      </c>
      <c r="C4206" s="1">
        <v>3434625</v>
      </c>
      <c r="D4206" s="3">
        <v>1.1499999999999999</v>
      </c>
      <c r="E4206" s="3">
        <v>8.1272084805653808</v>
      </c>
      <c r="F4206" s="3">
        <v>8.1272084805653808</v>
      </c>
      <c r="G4206" s="3">
        <v>15.3</v>
      </c>
      <c r="H4206" s="3">
        <v>326.36362932090901</v>
      </c>
      <c r="I4206" s="3">
        <v>14.39</v>
      </c>
      <c r="J4206" s="3">
        <v>15.54</v>
      </c>
      <c r="K4206" s="3">
        <v>14.32</v>
      </c>
      <c r="L4206" s="3">
        <v>326.36362932090901</v>
      </c>
    </row>
    <row r="4207" spans="1:12" ht="15" customHeight="1" x14ac:dyDescent="0.2">
      <c r="A4207" s="2">
        <v>39946</v>
      </c>
      <c r="B4207" s="3">
        <v>14.15</v>
      </c>
      <c r="C4207" s="1">
        <v>1945480</v>
      </c>
      <c r="D4207" s="3">
        <v>-0.91</v>
      </c>
      <c r="E4207" s="3">
        <v>-6.04249667994688</v>
      </c>
      <c r="F4207" s="3">
        <v>-6.04249667994688</v>
      </c>
      <c r="G4207" s="3">
        <v>14.15</v>
      </c>
      <c r="H4207" s="3">
        <v>294.316689862148</v>
      </c>
      <c r="I4207" s="3">
        <v>14.8</v>
      </c>
      <c r="J4207" s="3">
        <v>14.97</v>
      </c>
      <c r="K4207" s="3">
        <v>14.09</v>
      </c>
      <c r="L4207" s="3">
        <v>294.316689862148</v>
      </c>
    </row>
    <row r="4208" spans="1:12" ht="15" customHeight="1" x14ac:dyDescent="0.2">
      <c r="A4208" s="2">
        <v>39945</v>
      </c>
      <c r="B4208" s="3">
        <v>15.06</v>
      </c>
      <c r="C4208" s="1">
        <v>2393915</v>
      </c>
      <c r="D4208" s="3">
        <v>-0.78999999999999904</v>
      </c>
      <c r="E4208" s="3">
        <v>-4.9842271293375298</v>
      </c>
      <c r="F4208" s="3">
        <v>-4.9842271293375298</v>
      </c>
      <c r="G4208" s="3">
        <v>15.06</v>
      </c>
      <c r="H4208" s="3">
        <v>319.67557239038501</v>
      </c>
      <c r="I4208" s="3">
        <v>16.100000000000001</v>
      </c>
      <c r="J4208" s="3">
        <v>16.100000000000001</v>
      </c>
      <c r="K4208" s="3">
        <v>14.58</v>
      </c>
      <c r="L4208" s="3">
        <v>319.67557239038501</v>
      </c>
    </row>
    <row r="4209" spans="1:12" ht="15" customHeight="1" x14ac:dyDescent="0.2">
      <c r="A4209" s="2">
        <v>39944</v>
      </c>
      <c r="B4209" s="3">
        <v>15.85</v>
      </c>
      <c r="C4209" s="1">
        <v>2179796</v>
      </c>
      <c r="D4209" s="3">
        <v>-0.41999999999999899</v>
      </c>
      <c r="E4209" s="3">
        <v>-2.58143822987092</v>
      </c>
      <c r="F4209" s="3">
        <v>-2.58143822987092</v>
      </c>
      <c r="G4209" s="3">
        <v>15.85</v>
      </c>
      <c r="H4209" s="3">
        <v>341.69042645335998</v>
      </c>
      <c r="I4209" s="3">
        <v>16.12</v>
      </c>
      <c r="J4209" s="3">
        <v>16.22</v>
      </c>
      <c r="K4209" s="3">
        <v>15.54</v>
      </c>
      <c r="L4209" s="3">
        <v>341.69042645335998</v>
      </c>
    </row>
    <row r="4210" spans="1:12" ht="15" customHeight="1" x14ac:dyDescent="0.2">
      <c r="A4210" s="2">
        <v>39941</v>
      </c>
      <c r="B4210" s="3">
        <v>16.27</v>
      </c>
      <c r="C4210" s="1">
        <v>2223857</v>
      </c>
      <c r="D4210" s="3">
        <v>-0.21</v>
      </c>
      <c r="E4210" s="3">
        <v>-1.2742718446601999</v>
      </c>
      <c r="F4210" s="3">
        <v>-1.2742718446601999</v>
      </c>
      <c r="G4210" s="3">
        <v>16.27</v>
      </c>
      <c r="H4210" s="3">
        <v>353.39452608177697</v>
      </c>
      <c r="I4210" s="3">
        <v>16.62</v>
      </c>
      <c r="J4210" s="3">
        <v>17.170000000000002</v>
      </c>
      <c r="K4210" s="3">
        <v>15.75</v>
      </c>
      <c r="L4210" s="3">
        <v>353.39452608177697</v>
      </c>
    </row>
    <row r="4211" spans="1:12" ht="15" customHeight="1" x14ac:dyDescent="0.2">
      <c r="A4211" s="2">
        <v>39940</v>
      </c>
      <c r="B4211" s="3">
        <v>16.48</v>
      </c>
      <c r="C4211" s="1">
        <v>3002225</v>
      </c>
      <c r="D4211" s="3">
        <v>-0.98099999999999798</v>
      </c>
      <c r="E4211" s="3">
        <v>-5.6182349235438798</v>
      </c>
      <c r="F4211" s="3">
        <v>-5.6182349235438798</v>
      </c>
      <c r="G4211" s="3">
        <v>16.48</v>
      </c>
      <c r="H4211" s="3">
        <v>359.24657589598598</v>
      </c>
      <c r="I4211" s="3">
        <v>17.79</v>
      </c>
      <c r="J4211" s="3">
        <v>18</v>
      </c>
      <c r="K4211" s="3">
        <v>16.36</v>
      </c>
      <c r="L4211" s="3">
        <v>359.24657589598598</v>
      </c>
    </row>
    <row r="4212" spans="1:12" ht="15" customHeight="1" x14ac:dyDescent="0.2">
      <c r="A4212" s="2">
        <v>39939</v>
      </c>
      <c r="B4212" s="3">
        <v>17.460999999999999</v>
      </c>
      <c r="C4212" s="1">
        <v>1684981</v>
      </c>
      <c r="D4212" s="3">
        <v>-0.48899999999999999</v>
      </c>
      <c r="E4212" s="3">
        <v>-2.72423398328691</v>
      </c>
      <c r="F4212" s="3">
        <v>-2.72423398328691</v>
      </c>
      <c r="G4212" s="3">
        <v>17.460999999999999</v>
      </c>
      <c r="H4212" s="3">
        <v>386.58400859950302</v>
      </c>
      <c r="I4212" s="3">
        <v>18.149999999999999</v>
      </c>
      <c r="J4212" s="3">
        <v>18.23</v>
      </c>
      <c r="K4212" s="3">
        <v>17.295000000000002</v>
      </c>
      <c r="L4212" s="3">
        <v>386.58400859950302</v>
      </c>
    </row>
    <row r="4213" spans="1:12" ht="15" customHeight="1" x14ac:dyDescent="0.2">
      <c r="A4213" s="2">
        <v>39938</v>
      </c>
      <c r="B4213" s="3">
        <v>17.95</v>
      </c>
      <c r="C4213" s="1">
        <v>1968396</v>
      </c>
      <c r="D4213" s="3">
        <v>0.19999999999999901</v>
      </c>
      <c r="E4213" s="3">
        <v>1.12676056338028</v>
      </c>
      <c r="F4213" s="3">
        <v>1.12676056338028</v>
      </c>
      <c r="G4213" s="3">
        <v>17.95</v>
      </c>
      <c r="H4213" s="3">
        <v>400.21092459544599</v>
      </c>
      <c r="I4213" s="3">
        <v>17.66</v>
      </c>
      <c r="J4213" s="3">
        <v>18.05</v>
      </c>
      <c r="K4213" s="3">
        <v>17.38</v>
      </c>
      <c r="L4213" s="3">
        <v>400.21092459544599</v>
      </c>
    </row>
    <row r="4214" spans="1:12" ht="15" customHeight="1" x14ac:dyDescent="0.2">
      <c r="A4214" s="2">
        <v>39937</v>
      </c>
      <c r="B4214" s="3">
        <v>17.75</v>
      </c>
      <c r="C4214" s="1">
        <v>1646626</v>
      </c>
      <c r="D4214" s="3">
        <v>0.82</v>
      </c>
      <c r="E4214" s="3">
        <v>4.8434731246308198</v>
      </c>
      <c r="F4214" s="3">
        <v>4.8434731246308198</v>
      </c>
      <c r="G4214" s="3">
        <v>17.75</v>
      </c>
      <c r="H4214" s="3">
        <v>394.637543820009</v>
      </c>
      <c r="I4214" s="3">
        <v>16.77</v>
      </c>
      <c r="J4214" s="3">
        <v>17.940000000000001</v>
      </c>
      <c r="K4214" s="3">
        <v>16.75</v>
      </c>
      <c r="L4214" s="3">
        <v>394.637543820009</v>
      </c>
    </row>
    <row r="4215" spans="1:12" ht="15" customHeight="1" x14ac:dyDescent="0.2">
      <c r="A4215" s="2">
        <v>39934</v>
      </c>
      <c r="B4215" s="3">
        <v>16.93</v>
      </c>
      <c r="C4215" s="1">
        <v>2028468</v>
      </c>
      <c r="D4215" s="3">
        <v>-0.440000000000001</v>
      </c>
      <c r="E4215" s="3">
        <v>-2.5331030512377701</v>
      </c>
      <c r="F4215" s="3">
        <v>-2.5331030512377701</v>
      </c>
      <c r="G4215" s="3">
        <v>16.93</v>
      </c>
      <c r="H4215" s="3">
        <v>371.78668264071899</v>
      </c>
      <c r="I4215" s="3">
        <v>17.5</v>
      </c>
      <c r="J4215" s="3">
        <v>17.600000000000001</v>
      </c>
      <c r="K4215" s="3">
        <v>16.78</v>
      </c>
      <c r="L4215" s="3">
        <v>371.78668264071899</v>
      </c>
    </row>
    <row r="4216" spans="1:12" ht="15" customHeight="1" x14ac:dyDescent="0.2">
      <c r="A4216" s="2">
        <v>39933</v>
      </c>
      <c r="B4216" s="3">
        <v>17.37</v>
      </c>
      <c r="C4216" s="1">
        <v>2996270</v>
      </c>
      <c r="D4216" s="3">
        <v>-0.27999999999999697</v>
      </c>
      <c r="E4216" s="3">
        <v>-1.5864022662889301</v>
      </c>
      <c r="F4216" s="3">
        <v>-1.5864022662889301</v>
      </c>
      <c r="G4216" s="3">
        <v>17.37</v>
      </c>
      <c r="H4216" s="3">
        <v>384.04812034667901</v>
      </c>
      <c r="I4216" s="3">
        <v>17.899999999999999</v>
      </c>
      <c r="J4216" s="3">
        <v>18.53</v>
      </c>
      <c r="K4216" s="3">
        <v>17.34</v>
      </c>
      <c r="L4216" s="3">
        <v>384.04812034667901</v>
      </c>
    </row>
    <row r="4217" spans="1:12" ht="15" customHeight="1" x14ac:dyDescent="0.2">
      <c r="A4217" s="2">
        <v>39932</v>
      </c>
      <c r="B4217" s="3">
        <v>17.649999999999999</v>
      </c>
      <c r="C4217" s="1">
        <v>3940999</v>
      </c>
      <c r="D4217" s="3">
        <v>0.60999999999999899</v>
      </c>
      <c r="E4217" s="3">
        <v>3.57981220657277</v>
      </c>
      <c r="F4217" s="3">
        <v>3.57981220657277</v>
      </c>
      <c r="G4217" s="3">
        <v>17.649999999999999</v>
      </c>
      <c r="H4217" s="3">
        <v>391.85085343229099</v>
      </c>
      <c r="I4217" s="3">
        <v>16.98</v>
      </c>
      <c r="J4217" s="3">
        <v>18.29</v>
      </c>
      <c r="K4217" s="3">
        <v>16.79</v>
      </c>
      <c r="L4217" s="3">
        <v>391.85085343229099</v>
      </c>
    </row>
    <row r="4218" spans="1:12" ht="15" customHeight="1" x14ac:dyDescent="0.2">
      <c r="A4218" s="2">
        <v>39931</v>
      </c>
      <c r="B4218" s="3">
        <v>17.04</v>
      </c>
      <c r="C4218" s="1">
        <v>4147022</v>
      </c>
      <c r="D4218" s="3">
        <v>0.219999999999998</v>
      </c>
      <c r="E4218" s="3">
        <v>1.3079667063020199</v>
      </c>
      <c r="F4218" s="3">
        <v>1.3079667063020199</v>
      </c>
      <c r="G4218" s="3">
        <v>17.04</v>
      </c>
      <c r="H4218" s="3">
        <v>374.85204206720903</v>
      </c>
      <c r="I4218" s="3">
        <v>16.63</v>
      </c>
      <c r="J4218" s="3">
        <v>17.86</v>
      </c>
      <c r="K4218" s="3">
        <v>16.63</v>
      </c>
      <c r="L4218" s="3">
        <v>374.85204206720903</v>
      </c>
    </row>
    <row r="4219" spans="1:12" ht="15" customHeight="1" x14ac:dyDescent="0.2">
      <c r="A4219" s="2">
        <v>39930</v>
      </c>
      <c r="B4219" s="3">
        <v>16.82</v>
      </c>
      <c r="C4219" s="1">
        <v>3968506</v>
      </c>
      <c r="D4219" s="3">
        <v>-0.98999999999999799</v>
      </c>
      <c r="E4219" s="3">
        <v>-5.5586749017405896</v>
      </c>
      <c r="F4219" s="3">
        <v>-5.5586749017405896</v>
      </c>
      <c r="G4219" s="3">
        <v>16.82</v>
      </c>
      <c r="H4219" s="3">
        <v>368.72132321422799</v>
      </c>
      <c r="I4219" s="3">
        <v>17.41</v>
      </c>
      <c r="J4219" s="3">
        <v>17.77</v>
      </c>
      <c r="K4219" s="3">
        <v>16.61</v>
      </c>
      <c r="L4219" s="3">
        <v>368.72132321422799</v>
      </c>
    </row>
    <row r="4220" spans="1:12" ht="15" customHeight="1" x14ac:dyDescent="0.2">
      <c r="A4220" s="2">
        <v>39927</v>
      </c>
      <c r="B4220" s="3">
        <v>17.809999999999999</v>
      </c>
      <c r="C4220" s="1">
        <v>8721321</v>
      </c>
      <c r="D4220" s="3">
        <v>2.8899999999999899</v>
      </c>
      <c r="E4220" s="3">
        <v>19.3699731903485</v>
      </c>
      <c r="F4220" s="3">
        <v>19.3699731903485</v>
      </c>
      <c r="G4220" s="3">
        <v>17.809999999999999</v>
      </c>
      <c r="H4220" s="3">
        <v>396.30955805264</v>
      </c>
      <c r="I4220" s="3">
        <v>16.850000000000001</v>
      </c>
      <c r="J4220" s="3">
        <v>18.11</v>
      </c>
      <c r="K4220" s="3">
        <v>16.52</v>
      </c>
      <c r="L4220" s="3">
        <v>396.30955805264</v>
      </c>
    </row>
    <row r="4221" spans="1:12" ht="15" customHeight="1" x14ac:dyDescent="0.2">
      <c r="A4221" s="2">
        <v>39926</v>
      </c>
      <c r="B4221" s="3">
        <v>14.92</v>
      </c>
      <c r="C4221" s="1">
        <v>4157881</v>
      </c>
      <c r="D4221" s="3">
        <v>-0.109999999999999</v>
      </c>
      <c r="E4221" s="3">
        <v>-0.73186959414504005</v>
      </c>
      <c r="F4221" s="3">
        <v>-0.73186959414504005</v>
      </c>
      <c r="G4221" s="3">
        <v>14.92</v>
      </c>
      <c r="H4221" s="3">
        <v>315.77420584757903</v>
      </c>
      <c r="I4221" s="3">
        <v>15.54</v>
      </c>
      <c r="J4221" s="3">
        <v>15.62</v>
      </c>
      <c r="K4221" s="3">
        <v>14.475</v>
      </c>
      <c r="L4221" s="3">
        <v>315.77420584757903</v>
      </c>
    </row>
    <row r="4222" spans="1:12" ht="15" customHeight="1" x14ac:dyDescent="0.2">
      <c r="A4222" s="2">
        <v>39925</v>
      </c>
      <c r="B4222" s="3">
        <v>15.03</v>
      </c>
      <c r="C4222" s="1">
        <v>5675338</v>
      </c>
      <c r="D4222" s="3">
        <v>1.27999999999999</v>
      </c>
      <c r="E4222" s="3">
        <v>9.3090909090909104</v>
      </c>
      <c r="F4222" s="3">
        <v>9.3090909090909104</v>
      </c>
      <c r="G4222" s="3">
        <v>15.03</v>
      </c>
      <c r="H4222" s="3">
        <v>318.83956527407003</v>
      </c>
      <c r="I4222" s="3">
        <v>14.02</v>
      </c>
      <c r="J4222" s="3">
        <v>15.55</v>
      </c>
      <c r="K4222" s="3">
        <v>14.02</v>
      </c>
      <c r="L4222" s="3">
        <v>318.83956527407003</v>
      </c>
    </row>
    <row r="4223" spans="1:12" ht="15" customHeight="1" x14ac:dyDescent="0.2">
      <c r="A4223" s="2">
        <v>39924</v>
      </c>
      <c r="B4223" s="3">
        <v>13.75</v>
      </c>
      <c r="C4223" s="1">
        <v>1799149</v>
      </c>
      <c r="D4223" s="3">
        <v>0.4</v>
      </c>
      <c r="E4223" s="3">
        <v>2.9962546816479398</v>
      </c>
      <c r="F4223" s="3">
        <v>2.9962546816479398</v>
      </c>
      <c r="G4223" s="3">
        <v>13.75</v>
      </c>
      <c r="H4223" s="3">
        <v>283.16992831127499</v>
      </c>
      <c r="I4223" s="3">
        <v>13.31</v>
      </c>
      <c r="J4223" s="3">
        <v>13.94</v>
      </c>
      <c r="K4223" s="3">
        <v>13.2</v>
      </c>
      <c r="L4223" s="3">
        <v>283.16992831127499</v>
      </c>
    </row>
    <row r="4224" spans="1:12" ht="15" customHeight="1" x14ac:dyDescent="0.2">
      <c r="A4224" s="2">
        <v>39923</v>
      </c>
      <c r="B4224" s="3">
        <v>13.35</v>
      </c>
      <c r="C4224" s="1">
        <v>2085091</v>
      </c>
      <c r="D4224" s="3">
        <v>-0.98</v>
      </c>
      <c r="E4224" s="3">
        <v>-6.8387997208653104</v>
      </c>
      <c r="F4224" s="3">
        <v>-6.8387997208653104</v>
      </c>
      <c r="G4224" s="3">
        <v>13.35</v>
      </c>
      <c r="H4224" s="3">
        <v>272.02316676040101</v>
      </c>
      <c r="I4224" s="3">
        <v>13.69</v>
      </c>
      <c r="J4224" s="3">
        <v>13.93</v>
      </c>
      <c r="K4224" s="3">
        <v>13.25</v>
      </c>
      <c r="L4224" s="3">
        <v>272.02316676040101</v>
      </c>
    </row>
    <row r="4225" spans="1:12" ht="15" customHeight="1" x14ac:dyDescent="0.2">
      <c r="A4225" s="2">
        <v>39920</v>
      </c>
      <c r="B4225" s="3">
        <v>14.33</v>
      </c>
      <c r="C4225" s="1">
        <v>2436116</v>
      </c>
      <c r="D4225" s="3">
        <v>-0.32</v>
      </c>
      <c r="E4225" s="3">
        <v>-2.18430034129692</v>
      </c>
      <c r="F4225" s="3">
        <v>-2.18430034129692</v>
      </c>
      <c r="G4225" s="3">
        <v>14.33</v>
      </c>
      <c r="H4225" s="3">
        <v>299.33273256004099</v>
      </c>
      <c r="I4225" s="3">
        <v>14.64</v>
      </c>
      <c r="J4225" s="3">
        <v>14.83</v>
      </c>
      <c r="K4225" s="3">
        <v>14.25</v>
      </c>
      <c r="L4225" s="3">
        <v>299.33273256004099</v>
      </c>
    </row>
    <row r="4226" spans="1:12" ht="15" customHeight="1" x14ac:dyDescent="0.2">
      <c r="A4226" s="2">
        <v>39919</v>
      </c>
      <c r="B4226" s="3">
        <v>14.65</v>
      </c>
      <c r="C4226" s="1">
        <v>3579060</v>
      </c>
      <c r="D4226" s="3">
        <v>1.26999999999999</v>
      </c>
      <c r="E4226" s="3">
        <v>9.4917787742899709</v>
      </c>
      <c r="F4226" s="3">
        <v>9.4917787742899709</v>
      </c>
      <c r="G4226" s="3">
        <v>14.65</v>
      </c>
      <c r="H4226" s="3">
        <v>308.25014180073998</v>
      </c>
      <c r="I4226" s="3">
        <v>14.1</v>
      </c>
      <c r="J4226" s="3">
        <v>14.95</v>
      </c>
      <c r="K4226" s="3">
        <v>14.07</v>
      </c>
      <c r="L4226" s="3">
        <v>308.25014180073998</v>
      </c>
    </row>
    <row r="4227" spans="1:12" ht="15" customHeight="1" x14ac:dyDescent="0.2">
      <c r="A4227" s="2">
        <v>39918</v>
      </c>
      <c r="B4227" s="3">
        <v>13.38</v>
      </c>
      <c r="C4227" s="1">
        <v>1607338</v>
      </c>
      <c r="D4227" s="3">
        <v>-9.9999999999999603E-2</v>
      </c>
      <c r="E4227" s="3">
        <v>-0.74183976261127305</v>
      </c>
      <c r="F4227" s="3">
        <v>-0.74183976261127305</v>
      </c>
      <c r="G4227" s="3">
        <v>13.38</v>
      </c>
      <c r="H4227" s="3">
        <v>272.85917387671702</v>
      </c>
      <c r="I4227" s="3">
        <v>13.18</v>
      </c>
      <c r="J4227" s="3">
        <v>13.4</v>
      </c>
      <c r="K4227" s="3">
        <v>12.93</v>
      </c>
      <c r="L4227" s="3">
        <v>272.85917387671702</v>
      </c>
    </row>
    <row r="4228" spans="1:12" ht="15" customHeight="1" x14ac:dyDescent="0.2">
      <c r="A4228" s="2">
        <v>39917</v>
      </c>
      <c r="B4228" s="3">
        <v>13.48</v>
      </c>
      <c r="C4228" s="1">
        <v>1215136</v>
      </c>
      <c r="D4228" s="3">
        <v>-0.369999999999999</v>
      </c>
      <c r="E4228" s="3">
        <v>-2.6714801444043199</v>
      </c>
      <c r="F4228" s="3">
        <v>-2.6714801444043199</v>
      </c>
      <c r="G4228" s="3">
        <v>13.48</v>
      </c>
      <c r="H4228" s="3">
        <v>275.64586426443498</v>
      </c>
      <c r="I4228" s="3">
        <v>13.6</v>
      </c>
      <c r="J4228" s="3">
        <v>13.71</v>
      </c>
      <c r="K4228" s="3">
        <v>13.23</v>
      </c>
      <c r="L4228" s="3">
        <v>275.64586426443498</v>
      </c>
    </row>
    <row r="4229" spans="1:12" ht="15" customHeight="1" x14ac:dyDescent="0.2">
      <c r="A4229" s="2">
        <v>39916</v>
      </c>
      <c r="B4229" s="3">
        <v>13.85</v>
      </c>
      <c r="C4229" s="1">
        <v>1543287</v>
      </c>
      <c r="D4229" s="3">
        <v>-0.28000000000000103</v>
      </c>
      <c r="E4229" s="3">
        <v>-1.9815994338287399</v>
      </c>
      <c r="F4229" s="3">
        <v>-1.9815994338287399</v>
      </c>
      <c r="G4229" s="3">
        <v>13.85</v>
      </c>
      <c r="H4229" s="3">
        <v>285.956618698993</v>
      </c>
      <c r="I4229" s="3">
        <v>14</v>
      </c>
      <c r="J4229" s="3">
        <v>14.14</v>
      </c>
      <c r="K4229" s="3">
        <v>13.61</v>
      </c>
      <c r="L4229" s="3">
        <v>285.956618698993</v>
      </c>
    </row>
    <row r="4230" spans="1:12" ht="15" customHeight="1" x14ac:dyDescent="0.2">
      <c r="A4230" s="2">
        <v>39912</v>
      </c>
      <c r="B4230" s="3">
        <v>14.13</v>
      </c>
      <c r="C4230" s="1">
        <v>1969152</v>
      </c>
      <c r="D4230" s="3">
        <v>0.95000000000000095</v>
      </c>
      <c r="E4230" s="3">
        <v>7.2078907435508297</v>
      </c>
      <c r="F4230" s="3">
        <v>7.2078907435508297</v>
      </c>
      <c r="G4230" s="3">
        <v>14.13</v>
      </c>
      <c r="H4230" s="3">
        <v>293.75935178460401</v>
      </c>
      <c r="I4230" s="3">
        <v>13.37</v>
      </c>
      <c r="J4230" s="3">
        <v>14.32</v>
      </c>
      <c r="K4230" s="3">
        <v>13.3</v>
      </c>
      <c r="L4230" s="3">
        <v>293.75935178460401</v>
      </c>
    </row>
    <row r="4231" spans="1:12" ht="15" customHeight="1" x14ac:dyDescent="0.2">
      <c r="A4231" s="2">
        <v>39911</v>
      </c>
      <c r="B4231" s="3">
        <v>13.18</v>
      </c>
      <c r="C4231" s="1">
        <v>1708214</v>
      </c>
      <c r="D4231" s="3">
        <v>1.1299999999999899</v>
      </c>
      <c r="E4231" s="3">
        <v>9.3775933609958297</v>
      </c>
      <c r="F4231" s="3">
        <v>9.3775933609958297</v>
      </c>
      <c r="G4231" s="3">
        <v>13.18</v>
      </c>
      <c r="H4231" s="3">
        <v>267.28579310127998</v>
      </c>
      <c r="I4231" s="3">
        <v>12.24</v>
      </c>
      <c r="J4231" s="3">
        <v>13.2</v>
      </c>
      <c r="K4231" s="3">
        <v>11.87</v>
      </c>
      <c r="L4231" s="3">
        <v>267.28579310127998</v>
      </c>
    </row>
    <row r="4232" spans="1:12" ht="15" customHeight="1" x14ac:dyDescent="0.2">
      <c r="A4232" s="2">
        <v>39910</v>
      </c>
      <c r="B4232" s="3">
        <v>12.05</v>
      </c>
      <c r="C4232" s="1">
        <v>1730663</v>
      </c>
      <c r="D4232" s="3">
        <v>-0.41999999999999899</v>
      </c>
      <c r="E4232" s="3">
        <v>-3.3680834001603799</v>
      </c>
      <c r="F4232" s="3">
        <v>-3.3680834001603799</v>
      </c>
      <c r="G4232" s="3">
        <v>12.05</v>
      </c>
      <c r="H4232" s="3">
        <v>235.79619172006201</v>
      </c>
      <c r="I4232" s="3">
        <v>12.77</v>
      </c>
      <c r="J4232" s="3">
        <v>12.96</v>
      </c>
      <c r="K4232" s="3">
        <v>12</v>
      </c>
      <c r="L4232" s="3">
        <v>235.79619172006201</v>
      </c>
    </row>
    <row r="4233" spans="1:12" ht="15" customHeight="1" x14ac:dyDescent="0.2">
      <c r="A4233" s="2">
        <v>39909</v>
      </c>
      <c r="B4233" s="3">
        <v>12.47</v>
      </c>
      <c r="C4233" s="1">
        <v>1164065</v>
      </c>
      <c r="D4233" s="3">
        <v>-0.53999999999999904</v>
      </c>
      <c r="E4233" s="3">
        <v>-4.1506533435818502</v>
      </c>
      <c r="F4233" s="3">
        <v>-4.1506533435818502</v>
      </c>
      <c r="G4233" s="3">
        <v>12.47</v>
      </c>
      <c r="H4233" s="3">
        <v>247.50029134848</v>
      </c>
      <c r="I4233" s="3">
        <v>12.81</v>
      </c>
      <c r="J4233" s="3">
        <v>12.89</v>
      </c>
      <c r="K4233" s="3">
        <v>12.35</v>
      </c>
      <c r="L4233" s="3">
        <v>247.50029134848</v>
      </c>
    </row>
    <row r="4234" spans="1:12" ht="15" customHeight="1" x14ac:dyDescent="0.2">
      <c r="A4234" s="2">
        <v>39906</v>
      </c>
      <c r="B4234" s="3">
        <v>13.01</v>
      </c>
      <c r="C4234" s="1">
        <v>1454834</v>
      </c>
      <c r="D4234" s="3">
        <v>0.56999999999999995</v>
      </c>
      <c r="E4234" s="3">
        <v>4.5819935691318197</v>
      </c>
      <c r="F4234" s="3">
        <v>4.5819935691318197</v>
      </c>
      <c r="G4234" s="3">
        <v>13.01</v>
      </c>
      <c r="H4234" s="3">
        <v>262.548419442159</v>
      </c>
      <c r="I4234" s="3">
        <v>12.33</v>
      </c>
      <c r="J4234" s="3">
        <v>13.02</v>
      </c>
      <c r="K4234" s="3">
        <v>12.11</v>
      </c>
      <c r="L4234" s="3">
        <v>262.548419442159</v>
      </c>
    </row>
    <row r="4235" spans="1:12" ht="15" customHeight="1" x14ac:dyDescent="0.2">
      <c r="A4235" s="2">
        <v>39905</v>
      </c>
      <c r="B4235" s="3">
        <v>12.44</v>
      </c>
      <c r="C4235" s="1">
        <v>2268196</v>
      </c>
      <c r="D4235" s="3">
        <v>1.02999999999999</v>
      </c>
      <c r="E4235" s="3">
        <v>9.0271691498685396</v>
      </c>
      <c r="F4235" s="3">
        <v>9.0271691498685396</v>
      </c>
      <c r="G4235" s="3">
        <v>12.44</v>
      </c>
      <c r="H4235" s="3">
        <v>246.66428423216399</v>
      </c>
      <c r="I4235" s="3">
        <v>11.74</v>
      </c>
      <c r="J4235" s="3">
        <v>12.91</v>
      </c>
      <c r="K4235" s="3">
        <v>11.74</v>
      </c>
      <c r="L4235" s="3">
        <v>246.66428423216399</v>
      </c>
    </row>
    <row r="4236" spans="1:12" ht="15" customHeight="1" x14ac:dyDescent="0.2">
      <c r="A4236" s="2">
        <v>39904</v>
      </c>
      <c r="B4236" s="3">
        <v>11.41</v>
      </c>
      <c r="C4236" s="1">
        <v>1652011</v>
      </c>
      <c r="D4236" s="3">
        <v>-3.9999999999999099E-2</v>
      </c>
      <c r="E4236" s="3">
        <v>-0.34934497816593302</v>
      </c>
      <c r="F4236" s="3">
        <v>-0.34934497816593302</v>
      </c>
      <c r="G4236" s="3">
        <v>11.41</v>
      </c>
      <c r="H4236" s="3">
        <v>217.961373238665</v>
      </c>
      <c r="I4236" s="3">
        <v>11.22</v>
      </c>
      <c r="J4236" s="3">
        <v>11.58</v>
      </c>
      <c r="K4236" s="3">
        <v>11.14</v>
      </c>
      <c r="L4236" s="3">
        <v>217.961373238665</v>
      </c>
    </row>
    <row r="4237" spans="1:12" ht="15" customHeight="1" x14ac:dyDescent="0.2">
      <c r="A4237" s="2">
        <v>39903</v>
      </c>
      <c r="B4237" s="3">
        <v>11.45</v>
      </c>
      <c r="C4237" s="1">
        <v>1292880</v>
      </c>
      <c r="D4237" s="3">
        <v>-0.190000000000001</v>
      </c>
      <c r="E4237" s="3">
        <v>-1.63230240549829</v>
      </c>
      <c r="F4237" s="3">
        <v>-1.63230240549829</v>
      </c>
      <c r="G4237" s="3">
        <v>11.45</v>
      </c>
      <c r="H4237" s="3">
        <v>219.07604939375199</v>
      </c>
      <c r="I4237" s="3">
        <v>11.79</v>
      </c>
      <c r="J4237" s="3">
        <v>11.97</v>
      </c>
      <c r="K4237" s="3">
        <v>11.25</v>
      </c>
      <c r="L4237" s="3">
        <v>219.07604939375199</v>
      </c>
    </row>
    <row r="4238" spans="1:12" ht="15" customHeight="1" x14ac:dyDescent="0.2">
      <c r="A4238" s="2">
        <v>39902</v>
      </c>
      <c r="B4238" s="3">
        <v>11.64</v>
      </c>
      <c r="C4238" s="1">
        <v>1550490</v>
      </c>
      <c r="D4238" s="3">
        <v>-0.58999999999999897</v>
      </c>
      <c r="E4238" s="3">
        <v>-4.8242027800490499</v>
      </c>
      <c r="F4238" s="3">
        <v>-4.8242027800490499</v>
      </c>
      <c r="G4238" s="3">
        <v>11.64</v>
      </c>
      <c r="H4238" s="3">
        <v>224.37076113041701</v>
      </c>
      <c r="I4238" s="3">
        <v>11.97</v>
      </c>
      <c r="J4238" s="3">
        <v>12.21</v>
      </c>
      <c r="K4238" s="3">
        <v>11.38</v>
      </c>
      <c r="L4238" s="3">
        <v>224.37076113041701</v>
      </c>
    </row>
    <row r="4239" spans="1:12" ht="15" customHeight="1" x14ac:dyDescent="0.2">
      <c r="A4239" s="2">
        <v>39899</v>
      </c>
      <c r="B4239" s="3">
        <v>12.23</v>
      </c>
      <c r="C4239" s="1">
        <v>2105769</v>
      </c>
      <c r="D4239" s="3">
        <v>-0.58999999999999897</v>
      </c>
      <c r="E4239" s="3">
        <v>-4.6021840873634901</v>
      </c>
      <c r="F4239" s="3">
        <v>-4.6021840873634901</v>
      </c>
      <c r="G4239" s="3">
        <v>12.23</v>
      </c>
      <c r="H4239" s="3">
        <v>240.81223441795501</v>
      </c>
      <c r="I4239" s="3">
        <v>12.59</v>
      </c>
      <c r="J4239" s="3">
        <v>12.82</v>
      </c>
      <c r="K4239" s="3">
        <v>12.13</v>
      </c>
      <c r="L4239" s="3">
        <v>240.81223441795501</v>
      </c>
    </row>
    <row r="4240" spans="1:12" ht="15" customHeight="1" x14ac:dyDescent="0.2">
      <c r="A4240" s="2">
        <v>39898</v>
      </c>
      <c r="B4240" s="3">
        <v>12.82</v>
      </c>
      <c r="C4240" s="1">
        <v>3049709</v>
      </c>
      <c r="D4240" s="3">
        <v>1.3599999999999901</v>
      </c>
      <c r="E4240" s="3">
        <v>11.8673647469458</v>
      </c>
      <c r="F4240" s="3">
        <v>11.8673647469458</v>
      </c>
      <c r="G4240" s="3">
        <v>12.82</v>
      </c>
      <c r="H4240" s="3">
        <v>257.25370770549398</v>
      </c>
      <c r="I4240" s="3">
        <v>11.7</v>
      </c>
      <c r="J4240" s="3">
        <v>12.82</v>
      </c>
      <c r="K4240" s="3">
        <v>11.64</v>
      </c>
      <c r="L4240" s="3">
        <v>257.25370770549398</v>
      </c>
    </row>
    <row r="4241" spans="1:12" ht="15" customHeight="1" x14ac:dyDescent="0.2">
      <c r="A4241" s="2">
        <v>39897</v>
      </c>
      <c r="B4241" s="3">
        <v>11.46</v>
      </c>
      <c r="C4241" s="1">
        <v>2527193</v>
      </c>
      <c r="D4241" s="3">
        <v>-0.25999999999999901</v>
      </c>
      <c r="E4241" s="3">
        <v>-2.2184300341296899</v>
      </c>
      <c r="F4241" s="3">
        <v>-2.2184300341296899</v>
      </c>
      <c r="G4241" s="3">
        <v>11.46</v>
      </c>
      <c r="H4241" s="3">
        <v>219.35471843252401</v>
      </c>
      <c r="I4241" s="3">
        <v>11.87</v>
      </c>
      <c r="J4241" s="3">
        <v>11.95</v>
      </c>
      <c r="K4241" s="3">
        <v>11.09</v>
      </c>
      <c r="L4241" s="3">
        <v>219.35471843252401</v>
      </c>
    </row>
    <row r="4242" spans="1:12" ht="15" customHeight="1" x14ac:dyDescent="0.2">
      <c r="A4242" s="2">
        <v>39896</v>
      </c>
      <c r="B4242" s="3">
        <v>11.72</v>
      </c>
      <c r="C4242" s="1">
        <v>2502534</v>
      </c>
      <c r="D4242" s="3">
        <v>-0.76999999999999902</v>
      </c>
      <c r="E4242" s="3">
        <v>-6.1649319455564298</v>
      </c>
      <c r="F4242" s="3">
        <v>-6.1649319455564298</v>
      </c>
      <c r="G4242" s="3">
        <v>11.72</v>
      </c>
      <c r="H4242" s="3">
        <v>226.600113440592</v>
      </c>
      <c r="I4242" s="3">
        <v>12.25</v>
      </c>
      <c r="J4242" s="3">
        <v>12.34</v>
      </c>
      <c r="K4242" s="3">
        <v>11.65</v>
      </c>
      <c r="L4242" s="3">
        <v>226.600113440592</v>
      </c>
    </row>
    <row r="4243" spans="1:12" ht="15" customHeight="1" x14ac:dyDescent="0.2">
      <c r="A4243" s="2">
        <v>39895</v>
      </c>
      <c r="B4243" s="3">
        <v>12.49</v>
      </c>
      <c r="C4243" s="1">
        <v>2818386</v>
      </c>
      <c r="D4243" s="3">
        <v>1.48</v>
      </c>
      <c r="E4243" s="3">
        <v>13.442325158946399</v>
      </c>
      <c r="F4243" s="3">
        <v>13.442325158946399</v>
      </c>
      <c r="G4243" s="3">
        <v>12.49</v>
      </c>
      <c r="H4243" s="3">
        <v>248.057629426023</v>
      </c>
      <c r="I4243" s="3">
        <v>11.36</v>
      </c>
      <c r="J4243" s="3">
        <v>12.51</v>
      </c>
      <c r="K4243" s="3">
        <v>11.25</v>
      </c>
      <c r="L4243" s="3">
        <v>248.057629426023</v>
      </c>
    </row>
    <row r="4244" spans="1:12" ht="15" customHeight="1" x14ac:dyDescent="0.2">
      <c r="A4244" s="2">
        <v>39892</v>
      </c>
      <c r="B4244" s="3">
        <v>11.01</v>
      </c>
      <c r="C4244" s="1">
        <v>1805331</v>
      </c>
      <c r="D4244" s="3">
        <v>-0.35999999999999899</v>
      </c>
      <c r="E4244" s="3">
        <v>-3.1662269129287601</v>
      </c>
      <c r="F4244" s="3">
        <v>-3.1662269129287601</v>
      </c>
      <c r="G4244" s="3">
        <v>11.01</v>
      </c>
      <c r="H4244" s="3">
        <v>206.814611687791</v>
      </c>
      <c r="I4244" s="3">
        <v>11.44</v>
      </c>
      <c r="J4244" s="3">
        <v>11.44</v>
      </c>
      <c r="K4244" s="3">
        <v>10.67</v>
      </c>
      <c r="L4244" s="3">
        <v>206.814611687791</v>
      </c>
    </row>
    <row r="4245" spans="1:12" ht="15" customHeight="1" x14ac:dyDescent="0.2">
      <c r="A4245" s="2">
        <v>39891</v>
      </c>
      <c r="B4245" s="3">
        <v>11.37</v>
      </c>
      <c r="C4245" s="1">
        <v>2783424</v>
      </c>
      <c r="D4245" s="3">
        <v>-0.66</v>
      </c>
      <c r="E4245" s="3">
        <v>-5.48628428927681</v>
      </c>
      <c r="F4245" s="3">
        <v>-5.48628428927681</v>
      </c>
      <c r="G4245" s="3">
        <v>11.37</v>
      </c>
      <c r="H4245" s="3">
        <v>216.84669708357799</v>
      </c>
      <c r="I4245" s="3">
        <v>11.96</v>
      </c>
      <c r="J4245" s="3">
        <v>12.03</v>
      </c>
      <c r="K4245" s="3">
        <v>11.08</v>
      </c>
      <c r="L4245" s="3">
        <v>216.84669708357799</v>
      </c>
    </row>
    <row r="4246" spans="1:12" ht="15" customHeight="1" x14ac:dyDescent="0.2">
      <c r="A4246" s="2">
        <v>39890</v>
      </c>
      <c r="B4246" s="3">
        <v>12.03</v>
      </c>
      <c r="C4246" s="1">
        <v>6461254</v>
      </c>
      <c r="D4246" s="3">
        <v>1.75</v>
      </c>
      <c r="E4246" s="3">
        <v>17.023346303501899</v>
      </c>
      <c r="F4246" s="3">
        <v>17.023346303501899</v>
      </c>
      <c r="G4246" s="3">
        <v>12.03</v>
      </c>
      <c r="H4246" s="3">
        <v>235.23885364251899</v>
      </c>
      <c r="I4246" s="3">
        <v>10.49</v>
      </c>
      <c r="J4246" s="3">
        <v>12.16</v>
      </c>
      <c r="K4246" s="3">
        <v>10.44</v>
      </c>
      <c r="L4246" s="3">
        <v>235.23885364251899</v>
      </c>
    </row>
    <row r="4247" spans="1:12" ht="15" customHeight="1" x14ac:dyDescent="0.2">
      <c r="A4247" s="2">
        <v>39889</v>
      </c>
      <c r="B4247" s="3">
        <v>10.28</v>
      </c>
      <c r="C4247" s="1">
        <v>1870090</v>
      </c>
      <c r="D4247" s="3">
        <v>0.79999999999999805</v>
      </c>
      <c r="E4247" s="3">
        <v>8.4388185654008296</v>
      </c>
      <c r="F4247" s="3">
        <v>8.4388185654008296</v>
      </c>
      <c r="G4247" s="3">
        <v>10.28</v>
      </c>
      <c r="H4247" s="3">
        <v>186.47177185744701</v>
      </c>
      <c r="I4247" s="3">
        <v>9.48</v>
      </c>
      <c r="J4247" s="3">
        <v>10.28</v>
      </c>
      <c r="K4247" s="3">
        <v>9.4600000000000009</v>
      </c>
      <c r="L4247" s="3">
        <v>186.47177185744701</v>
      </c>
    </row>
    <row r="4248" spans="1:12" ht="15" customHeight="1" x14ac:dyDescent="0.2">
      <c r="A4248" s="2">
        <v>39888</v>
      </c>
      <c r="B4248" s="3">
        <v>9.48</v>
      </c>
      <c r="C4248" s="1">
        <v>1389656</v>
      </c>
      <c r="D4248" s="3">
        <v>-0.38999999999999801</v>
      </c>
      <c r="E4248" s="3">
        <v>-3.9513677811550001</v>
      </c>
      <c r="F4248" s="3">
        <v>-3.9513677811550001</v>
      </c>
      <c r="G4248" s="3">
        <v>9.48</v>
      </c>
      <c r="H4248" s="3">
        <v>164.1782487557</v>
      </c>
      <c r="I4248" s="3">
        <v>9.94</v>
      </c>
      <c r="J4248" s="3">
        <v>10.09</v>
      </c>
      <c r="K4248" s="3">
        <v>9.42</v>
      </c>
      <c r="L4248" s="3">
        <v>164.1782487557</v>
      </c>
    </row>
    <row r="4249" spans="1:12" ht="15" customHeight="1" x14ac:dyDescent="0.2">
      <c r="A4249" s="2">
        <v>39885</v>
      </c>
      <c r="B4249" s="3">
        <v>9.8699999999999992</v>
      </c>
      <c r="C4249" s="1">
        <v>2566729</v>
      </c>
      <c r="D4249" s="3">
        <v>0.17999999999999899</v>
      </c>
      <c r="E4249" s="3">
        <v>1.85758513931888</v>
      </c>
      <c r="F4249" s="3">
        <v>1.85758513931888</v>
      </c>
      <c r="G4249" s="3">
        <v>9.8699999999999992</v>
      </c>
      <c r="H4249" s="3">
        <v>175.04634126780201</v>
      </c>
      <c r="I4249" s="3">
        <v>9.73</v>
      </c>
      <c r="J4249" s="3">
        <v>10.1</v>
      </c>
      <c r="K4249" s="3">
        <v>9.7119999999999997</v>
      </c>
      <c r="L4249" s="3">
        <v>175.04634126780201</v>
      </c>
    </row>
    <row r="4250" spans="1:12" ht="15" customHeight="1" x14ac:dyDescent="0.2">
      <c r="A4250" s="2">
        <v>39884</v>
      </c>
      <c r="B4250" s="3">
        <v>9.69</v>
      </c>
      <c r="C4250" s="1">
        <v>2185975</v>
      </c>
      <c r="D4250" s="3">
        <v>0.76999999999999902</v>
      </c>
      <c r="E4250" s="3">
        <v>8.6322869955156794</v>
      </c>
      <c r="F4250" s="3">
        <v>8.6322869955156794</v>
      </c>
      <c r="G4250" s="3">
        <v>9.69</v>
      </c>
      <c r="H4250" s="3">
        <v>170.03029856990901</v>
      </c>
      <c r="I4250" s="3">
        <v>8.82</v>
      </c>
      <c r="J4250" s="3">
        <v>9.7799999999999994</v>
      </c>
      <c r="K4250" s="3">
        <v>8.7600999999999996</v>
      </c>
      <c r="L4250" s="3">
        <v>170.03029856990901</v>
      </c>
    </row>
    <row r="4251" spans="1:12" ht="15" customHeight="1" x14ac:dyDescent="0.2">
      <c r="A4251" s="2">
        <v>39883</v>
      </c>
      <c r="B4251" s="3">
        <v>8.92</v>
      </c>
      <c r="C4251" s="1">
        <v>2152135</v>
      </c>
      <c r="D4251" s="3">
        <v>0.81</v>
      </c>
      <c r="E4251" s="3">
        <v>9.9876695437731193</v>
      </c>
      <c r="F4251" s="3">
        <v>9.9876695437731193</v>
      </c>
      <c r="G4251" s="3">
        <v>8.92</v>
      </c>
      <c r="H4251" s="3">
        <v>148.57278258447801</v>
      </c>
      <c r="I4251" s="3">
        <v>8.6</v>
      </c>
      <c r="J4251" s="3">
        <v>9.31</v>
      </c>
      <c r="K4251" s="3">
        <v>8.4689999999999994</v>
      </c>
      <c r="L4251" s="3">
        <v>148.57278258447801</v>
      </c>
    </row>
    <row r="4252" spans="1:12" ht="15" customHeight="1" x14ac:dyDescent="0.2">
      <c r="A4252" s="2">
        <v>39882</v>
      </c>
      <c r="B4252" s="3">
        <v>8.11</v>
      </c>
      <c r="C4252" s="1">
        <v>1644497</v>
      </c>
      <c r="D4252" s="3">
        <v>0.77999999999999903</v>
      </c>
      <c r="E4252" s="3">
        <v>10.6412005457025</v>
      </c>
      <c r="F4252" s="3">
        <v>10.6412005457025</v>
      </c>
      <c r="G4252" s="3">
        <v>8.11</v>
      </c>
      <c r="H4252" s="3">
        <v>126.000590443959</v>
      </c>
      <c r="I4252" s="3">
        <v>7.53</v>
      </c>
      <c r="J4252" s="3">
        <v>8.2200000000000006</v>
      </c>
      <c r="K4252" s="3">
        <v>7.37</v>
      </c>
      <c r="L4252" s="3">
        <v>126.000590443959</v>
      </c>
    </row>
    <row r="4253" spans="1:12" ht="15" customHeight="1" x14ac:dyDescent="0.2">
      <c r="A4253" s="2">
        <v>39881</v>
      </c>
      <c r="B4253" s="3">
        <v>7.33</v>
      </c>
      <c r="C4253" s="1">
        <v>1051242</v>
      </c>
      <c r="D4253" s="3">
        <v>0.17999999999999899</v>
      </c>
      <c r="E4253" s="3">
        <v>2.51748251748251</v>
      </c>
      <c r="F4253" s="3">
        <v>2.51748251748251</v>
      </c>
      <c r="G4253" s="3">
        <v>7.33</v>
      </c>
      <c r="H4253" s="3">
        <v>104.264405419756</v>
      </c>
      <c r="I4253" s="3">
        <v>7.01</v>
      </c>
      <c r="J4253" s="3">
        <v>7.37</v>
      </c>
      <c r="K4253" s="3">
        <v>6.84</v>
      </c>
      <c r="L4253" s="3">
        <v>104.264405419756</v>
      </c>
    </row>
    <row r="4254" spans="1:12" ht="15" customHeight="1" x14ac:dyDescent="0.2">
      <c r="A4254" s="2">
        <v>39878</v>
      </c>
      <c r="B4254" s="3">
        <v>7.15</v>
      </c>
      <c r="C4254" s="1">
        <v>1439338</v>
      </c>
      <c r="D4254" s="3">
        <v>0.08</v>
      </c>
      <c r="E4254" s="3">
        <v>1.13154172560112</v>
      </c>
      <c r="F4254" s="3">
        <v>1.13154172560112</v>
      </c>
      <c r="G4254" s="3">
        <v>7.15</v>
      </c>
      <c r="H4254" s="3">
        <v>99.248362721863003</v>
      </c>
      <c r="I4254" s="3">
        <v>7.13</v>
      </c>
      <c r="J4254" s="3">
        <v>7.25</v>
      </c>
      <c r="K4254" s="3">
        <v>6.89</v>
      </c>
      <c r="L4254" s="3">
        <v>99.248362721863003</v>
      </c>
    </row>
    <row r="4255" spans="1:12" ht="15" customHeight="1" x14ac:dyDescent="0.2">
      <c r="A4255" s="2">
        <v>39877</v>
      </c>
      <c r="B4255" s="3">
        <v>7.07</v>
      </c>
      <c r="C4255" s="1">
        <v>1090987</v>
      </c>
      <c r="D4255" s="3">
        <v>-0.52999999999999903</v>
      </c>
      <c r="E4255" s="3">
        <v>-6.9736842105263097</v>
      </c>
      <c r="F4255" s="3">
        <v>-6.9736842105263097</v>
      </c>
      <c r="G4255" s="3">
        <v>7.07</v>
      </c>
      <c r="H4255" s="3">
        <v>97.019010411688299</v>
      </c>
      <c r="I4255" s="3">
        <v>7.44</v>
      </c>
      <c r="J4255" s="3">
        <v>7.56</v>
      </c>
      <c r="K4255" s="3">
        <v>7.04</v>
      </c>
      <c r="L4255" s="3">
        <v>97.019010411688299</v>
      </c>
    </row>
    <row r="4256" spans="1:12" ht="15" customHeight="1" x14ac:dyDescent="0.2">
      <c r="A4256" s="2">
        <v>39876</v>
      </c>
      <c r="B4256" s="3">
        <v>7.6</v>
      </c>
      <c r="C4256" s="1">
        <v>750908</v>
      </c>
      <c r="D4256" s="3">
        <v>0.17999999999999899</v>
      </c>
      <c r="E4256" s="3">
        <v>2.4258760107816499</v>
      </c>
      <c r="F4256" s="3">
        <v>2.4258760107816499</v>
      </c>
      <c r="G4256" s="3">
        <v>7.6</v>
      </c>
      <c r="H4256" s="3">
        <v>111.788469466595</v>
      </c>
      <c r="I4256" s="3">
        <v>7.53</v>
      </c>
      <c r="J4256" s="3">
        <v>7.74</v>
      </c>
      <c r="K4256" s="3">
        <v>7.38</v>
      </c>
      <c r="L4256" s="3">
        <v>111.788469466595</v>
      </c>
    </row>
    <row r="4257" spans="1:12" ht="15" customHeight="1" x14ac:dyDescent="0.2">
      <c r="A4257" s="2">
        <v>39875</v>
      </c>
      <c r="B4257" s="3">
        <v>7.42</v>
      </c>
      <c r="C4257" s="1">
        <v>1026303</v>
      </c>
      <c r="D4257" s="3">
        <v>-0.20999999999999899</v>
      </c>
      <c r="E4257" s="3">
        <v>-2.7522935779816402</v>
      </c>
      <c r="F4257" s="3">
        <v>-2.7522935779816402</v>
      </c>
      <c r="G4257" s="3">
        <v>7.42</v>
      </c>
      <c r="H4257" s="3">
        <v>106.772426768702</v>
      </c>
      <c r="I4257" s="3">
        <v>7.74</v>
      </c>
      <c r="J4257" s="3">
        <v>7.93</v>
      </c>
      <c r="K4257" s="3">
        <v>7.34</v>
      </c>
      <c r="L4257" s="3">
        <v>106.772426768702</v>
      </c>
    </row>
    <row r="4258" spans="1:12" ht="15" customHeight="1" x14ac:dyDescent="0.2">
      <c r="A4258" s="2">
        <v>39874</v>
      </c>
      <c r="B4258" s="3">
        <v>7.63</v>
      </c>
      <c r="C4258" s="1">
        <v>1093730</v>
      </c>
      <c r="D4258" s="3">
        <v>-0.51</v>
      </c>
      <c r="E4258" s="3">
        <v>-6.26535626535627</v>
      </c>
      <c r="F4258" s="3">
        <v>-6.26535626535627</v>
      </c>
      <c r="G4258" s="3">
        <v>7.63</v>
      </c>
      <c r="H4258" s="3">
        <v>112.624476582911</v>
      </c>
      <c r="I4258" s="3">
        <v>7.98</v>
      </c>
      <c r="J4258" s="3">
        <v>8.1300000000000008</v>
      </c>
      <c r="K4258" s="3">
        <v>7.6</v>
      </c>
      <c r="L4258" s="3">
        <v>112.624476582911</v>
      </c>
    </row>
    <row r="4259" spans="1:12" ht="15" customHeight="1" x14ac:dyDescent="0.2">
      <c r="A4259" s="2">
        <v>39871</v>
      </c>
      <c r="B4259" s="3">
        <v>8.14</v>
      </c>
      <c r="C4259" s="1">
        <v>1192763</v>
      </c>
      <c r="D4259" s="3">
        <v>5.0000000000000697E-2</v>
      </c>
      <c r="E4259" s="3">
        <v>0.61804697156984101</v>
      </c>
      <c r="F4259" s="3">
        <v>0.61804697156984101</v>
      </c>
      <c r="G4259" s="3">
        <v>8.14</v>
      </c>
      <c r="H4259" s="3">
        <v>126.836597560274</v>
      </c>
      <c r="I4259" s="3">
        <v>7.93</v>
      </c>
      <c r="J4259" s="3">
        <v>8.34</v>
      </c>
      <c r="K4259" s="3">
        <v>7.86</v>
      </c>
      <c r="L4259" s="3">
        <v>126.836597560274</v>
      </c>
    </row>
    <row r="4260" spans="1:12" ht="15" customHeight="1" x14ac:dyDescent="0.2">
      <c r="A4260" s="2">
        <v>39870</v>
      </c>
      <c r="B4260" s="3">
        <v>8.09</v>
      </c>
      <c r="C4260" s="1">
        <v>1363859</v>
      </c>
      <c r="D4260" s="3">
        <v>-0.25</v>
      </c>
      <c r="E4260" s="3">
        <v>-2.9976019184652301</v>
      </c>
      <c r="F4260" s="3">
        <v>-2.9976019184652301</v>
      </c>
      <c r="G4260" s="3">
        <v>8.09</v>
      </c>
      <c r="H4260" s="3">
        <v>125.443252366415</v>
      </c>
      <c r="I4260" s="3">
        <v>8.41</v>
      </c>
      <c r="J4260" s="3">
        <v>8.65</v>
      </c>
      <c r="K4260" s="3">
        <v>8.0399999999999991</v>
      </c>
      <c r="L4260" s="3">
        <v>125.443252366415</v>
      </c>
    </row>
    <row r="4261" spans="1:12" ht="15" customHeight="1" x14ac:dyDescent="0.2">
      <c r="A4261" s="2">
        <v>39869</v>
      </c>
      <c r="B4261" s="3">
        <v>8.34</v>
      </c>
      <c r="C4261" s="1">
        <v>1328974</v>
      </c>
      <c r="D4261" s="3">
        <v>0.08</v>
      </c>
      <c r="E4261" s="3">
        <v>0.96852300242131695</v>
      </c>
      <c r="F4261" s="3">
        <v>0.96852300242131695</v>
      </c>
      <c r="G4261" s="3">
        <v>8.34</v>
      </c>
      <c r="H4261" s="3">
        <v>132.409978335711</v>
      </c>
      <c r="I4261" s="3">
        <v>8.1999999999999993</v>
      </c>
      <c r="J4261" s="3">
        <v>8.56</v>
      </c>
      <c r="K4261" s="3">
        <v>8.15</v>
      </c>
      <c r="L4261" s="3">
        <v>132.409978335711</v>
      </c>
    </row>
    <row r="4262" spans="1:12" ht="15" customHeight="1" x14ac:dyDescent="0.2">
      <c r="A4262" s="2">
        <v>39868</v>
      </c>
      <c r="B4262" s="3">
        <v>8.26</v>
      </c>
      <c r="C4262" s="1">
        <v>1616771</v>
      </c>
      <c r="D4262" s="3">
        <v>0.41</v>
      </c>
      <c r="E4262" s="3">
        <v>5.2229299363057304</v>
      </c>
      <c r="F4262" s="3">
        <v>5.2229299363057304</v>
      </c>
      <c r="G4262" s="3">
        <v>8.26</v>
      </c>
      <c r="H4262" s="3">
        <v>130.18062602553599</v>
      </c>
      <c r="I4262" s="3">
        <v>7.92</v>
      </c>
      <c r="J4262" s="3">
        <v>8.36</v>
      </c>
      <c r="K4262" s="3">
        <v>7.84</v>
      </c>
      <c r="L4262" s="3">
        <v>130.18062602553599</v>
      </c>
    </row>
    <row r="4263" spans="1:12" ht="15" customHeight="1" x14ac:dyDescent="0.2">
      <c r="A4263" s="2">
        <v>39867</v>
      </c>
      <c r="B4263" s="3">
        <v>7.85</v>
      </c>
      <c r="C4263" s="1">
        <v>1062626</v>
      </c>
      <c r="D4263" s="3">
        <v>-0.24</v>
      </c>
      <c r="E4263" s="3">
        <v>-2.9666254635352298</v>
      </c>
      <c r="F4263" s="3">
        <v>-2.9666254635352298</v>
      </c>
      <c r="G4263" s="3">
        <v>7.85</v>
      </c>
      <c r="H4263" s="3">
        <v>118.755195435891</v>
      </c>
      <c r="I4263" s="3">
        <v>8.1300000000000008</v>
      </c>
      <c r="J4263" s="3">
        <v>8.35</v>
      </c>
      <c r="K4263" s="3">
        <v>7.81</v>
      </c>
      <c r="L4263" s="3">
        <v>118.755195435891</v>
      </c>
    </row>
    <row r="4264" spans="1:12" ht="15" customHeight="1" x14ac:dyDescent="0.2">
      <c r="A4264" s="2">
        <v>39864</v>
      </c>
      <c r="B4264" s="3">
        <v>8.09</v>
      </c>
      <c r="C4264" s="1">
        <v>1753378</v>
      </c>
      <c r="D4264" s="3">
        <v>0.33</v>
      </c>
      <c r="E4264" s="3">
        <v>4.2525773195876297</v>
      </c>
      <c r="F4264" s="3">
        <v>4.2525773195876297</v>
      </c>
      <c r="G4264" s="3">
        <v>8.09</v>
      </c>
      <c r="H4264" s="3">
        <v>125.443252366415</v>
      </c>
      <c r="I4264" s="3">
        <v>7.64</v>
      </c>
      <c r="J4264" s="3">
        <v>8.23</v>
      </c>
      <c r="K4264" s="3">
        <v>7.64</v>
      </c>
      <c r="L4264" s="3">
        <v>125.443252366415</v>
      </c>
    </row>
    <row r="4265" spans="1:12" ht="15" customHeight="1" x14ac:dyDescent="0.2">
      <c r="A4265" s="2">
        <v>39863</v>
      </c>
      <c r="B4265" s="3">
        <v>7.76</v>
      </c>
      <c r="C4265" s="1">
        <v>1368846</v>
      </c>
      <c r="D4265" s="3">
        <v>9.9999999999997799E-3</v>
      </c>
      <c r="E4265" s="3">
        <v>0.12903225806450899</v>
      </c>
      <c r="F4265" s="3">
        <v>0.12903225806450899</v>
      </c>
      <c r="G4265" s="3">
        <v>7.76</v>
      </c>
      <c r="H4265" s="3">
        <v>116.24717408694499</v>
      </c>
      <c r="I4265" s="3">
        <v>7.87</v>
      </c>
      <c r="J4265" s="3">
        <v>8.07</v>
      </c>
      <c r="K4265" s="3">
        <v>7.74</v>
      </c>
      <c r="L4265" s="3">
        <v>116.24717408694499</v>
      </c>
    </row>
    <row r="4266" spans="1:12" ht="15" customHeight="1" x14ac:dyDescent="0.2">
      <c r="A4266" s="2">
        <v>39862</v>
      </c>
      <c r="B4266" s="3">
        <v>7.75</v>
      </c>
      <c r="C4266" s="1">
        <v>1835471</v>
      </c>
      <c r="D4266" s="3">
        <v>-0.33</v>
      </c>
      <c r="E4266" s="3">
        <v>-4.0841584158415802</v>
      </c>
      <c r="F4266" s="3">
        <v>-4.0841584158415802</v>
      </c>
      <c r="G4266" s="3">
        <v>7.75</v>
      </c>
      <c r="H4266" s="3">
        <v>115.968505048173</v>
      </c>
      <c r="I4266" s="3">
        <v>8.09</v>
      </c>
      <c r="J4266" s="3">
        <v>8.1999999999999993</v>
      </c>
      <c r="K4266" s="3">
        <v>7.68</v>
      </c>
      <c r="L4266" s="3">
        <v>115.968505048173</v>
      </c>
    </row>
    <row r="4267" spans="1:12" ht="15" customHeight="1" x14ac:dyDescent="0.2">
      <c r="A4267" s="2">
        <v>39861</v>
      </c>
      <c r="B4267" s="3">
        <v>8.08</v>
      </c>
      <c r="C4267" s="1">
        <v>1771063</v>
      </c>
      <c r="D4267" s="3">
        <v>-0.41</v>
      </c>
      <c r="E4267" s="3">
        <v>-4.8292108362779702</v>
      </c>
      <c r="F4267" s="3">
        <v>-4.8292108362779702</v>
      </c>
      <c r="G4267" s="3">
        <v>8.08</v>
      </c>
      <c r="H4267" s="3">
        <v>125.164583327643</v>
      </c>
      <c r="I4267" s="3">
        <v>8.18</v>
      </c>
      <c r="J4267" s="3">
        <v>8.2200000000000006</v>
      </c>
      <c r="K4267" s="3">
        <v>7.82</v>
      </c>
      <c r="L4267" s="3">
        <v>125.164583327643</v>
      </c>
    </row>
    <row r="4268" spans="1:12" ht="15" customHeight="1" x14ac:dyDescent="0.2">
      <c r="A4268" s="2">
        <v>39857</v>
      </c>
      <c r="B4268" s="3">
        <v>8.49</v>
      </c>
      <c r="C4268" s="1">
        <v>3601658</v>
      </c>
      <c r="D4268" s="3">
        <v>-1.19999999999999</v>
      </c>
      <c r="E4268" s="3">
        <v>-12.383900928792499</v>
      </c>
      <c r="F4268" s="3">
        <v>-12.383900928792499</v>
      </c>
      <c r="G4268" s="3">
        <v>8.49</v>
      </c>
      <c r="H4268" s="3">
        <v>136.59001391728901</v>
      </c>
      <c r="I4268" s="3">
        <v>8.69</v>
      </c>
      <c r="J4268" s="3">
        <v>8.94</v>
      </c>
      <c r="K4268" s="3">
        <v>8.34</v>
      </c>
      <c r="L4268" s="3">
        <v>136.59001391728901</v>
      </c>
    </row>
    <row r="4269" spans="1:12" ht="15" customHeight="1" x14ac:dyDescent="0.2">
      <c r="A4269" s="2">
        <v>39856</v>
      </c>
      <c r="B4269" s="3">
        <v>9.69</v>
      </c>
      <c r="C4269" s="1">
        <v>2561732</v>
      </c>
      <c r="D4269" s="3">
        <v>0.29999999999999799</v>
      </c>
      <c r="E4269" s="3">
        <v>3.1948881789137298</v>
      </c>
      <c r="F4269" s="3">
        <v>3.1948881789137298</v>
      </c>
      <c r="G4269" s="3">
        <v>9.69</v>
      </c>
      <c r="H4269" s="3">
        <v>170.03029856990901</v>
      </c>
      <c r="I4269" s="3">
        <v>9.36</v>
      </c>
      <c r="J4269" s="3">
        <v>9.81</v>
      </c>
      <c r="K4269" s="3">
        <v>9.15</v>
      </c>
      <c r="L4269" s="3">
        <v>170.03029856990901</v>
      </c>
    </row>
    <row r="4270" spans="1:12" ht="15" customHeight="1" x14ac:dyDescent="0.2">
      <c r="A4270" s="2">
        <v>39855</v>
      </c>
      <c r="B4270" s="3">
        <v>9.39</v>
      </c>
      <c r="C4270" s="1">
        <v>1595397</v>
      </c>
      <c r="D4270" s="3">
        <v>0.28000000000000103</v>
      </c>
      <c r="E4270" s="3">
        <v>3.0735455543358898</v>
      </c>
      <c r="F4270" s="3">
        <v>3.0735455543358898</v>
      </c>
      <c r="G4270" s="3">
        <v>9.39</v>
      </c>
      <c r="H4270" s="3">
        <v>161.67022740675401</v>
      </c>
      <c r="I4270" s="3">
        <v>9.1199999999999992</v>
      </c>
      <c r="J4270" s="3">
        <v>9.6</v>
      </c>
      <c r="K4270" s="3">
        <v>9</v>
      </c>
      <c r="L4270" s="3">
        <v>161.67022740675401</v>
      </c>
    </row>
    <row r="4271" spans="1:12" ht="15" customHeight="1" x14ac:dyDescent="0.2">
      <c r="A4271" s="2">
        <v>39854</v>
      </c>
      <c r="B4271" s="3">
        <v>9.11</v>
      </c>
      <c r="C4271" s="1">
        <v>1705668</v>
      </c>
      <c r="D4271" s="3">
        <v>-0.16999999999999901</v>
      </c>
      <c r="E4271" s="3">
        <v>-1.8318965517241299</v>
      </c>
      <c r="F4271" s="3">
        <v>-1.8318965517241299</v>
      </c>
      <c r="G4271" s="3">
        <v>9.11</v>
      </c>
      <c r="H4271" s="3">
        <v>153.867494321142</v>
      </c>
      <c r="I4271" s="3">
        <v>9.17</v>
      </c>
      <c r="J4271" s="3">
        <v>9.6199999999999992</v>
      </c>
      <c r="K4271" s="3">
        <v>9.0299999999999994</v>
      </c>
      <c r="L4271" s="3">
        <v>153.867494321142</v>
      </c>
    </row>
    <row r="4272" spans="1:12" ht="15" customHeight="1" x14ac:dyDescent="0.2">
      <c r="A4272" s="2">
        <v>39853</v>
      </c>
      <c r="B4272" s="3">
        <v>9.2799999999999994</v>
      </c>
      <c r="C4272" s="1">
        <v>818200</v>
      </c>
      <c r="D4272" s="3">
        <v>-0.31</v>
      </c>
      <c r="E4272" s="3">
        <v>-3.2325338894682001</v>
      </c>
      <c r="F4272" s="3">
        <v>-3.2325338894682001</v>
      </c>
      <c r="G4272" s="3">
        <v>9.2799999999999994</v>
      </c>
      <c r="H4272" s="3">
        <v>158.604867980264</v>
      </c>
      <c r="I4272" s="3">
        <v>9.5399999999999991</v>
      </c>
      <c r="J4272" s="3">
        <v>9.59</v>
      </c>
      <c r="K4272" s="3">
        <v>9.11</v>
      </c>
      <c r="L4272" s="3">
        <v>158.604867980264</v>
      </c>
    </row>
    <row r="4273" spans="1:12" ht="15" customHeight="1" x14ac:dyDescent="0.2">
      <c r="A4273" s="2">
        <v>39850</v>
      </c>
      <c r="B4273" s="3">
        <v>9.59</v>
      </c>
      <c r="C4273" s="1">
        <v>1261640</v>
      </c>
      <c r="D4273" s="3">
        <v>0.39</v>
      </c>
      <c r="E4273" s="3">
        <v>4.2391304347826102</v>
      </c>
      <c r="F4273" s="3">
        <v>4.2391304347826102</v>
      </c>
      <c r="G4273" s="3">
        <v>9.59</v>
      </c>
      <c r="H4273" s="3">
        <v>167.243608182191</v>
      </c>
      <c r="I4273" s="3">
        <v>9.19</v>
      </c>
      <c r="J4273" s="3">
        <v>9.8800000000000008</v>
      </c>
      <c r="K4273" s="3">
        <v>9.0500000000000007</v>
      </c>
      <c r="L4273" s="3">
        <v>167.243608182191</v>
      </c>
    </row>
    <row r="4274" spans="1:12" ht="15" customHeight="1" x14ac:dyDescent="0.2">
      <c r="A4274" s="2">
        <v>39849</v>
      </c>
      <c r="B4274" s="3">
        <v>9.1999999999999993</v>
      </c>
      <c r="C4274" s="1">
        <v>1206391</v>
      </c>
      <c r="D4274" s="3">
        <v>0.50999999999999901</v>
      </c>
      <c r="E4274" s="3">
        <v>5.8688147295742104</v>
      </c>
      <c r="F4274" s="3">
        <v>5.8688147295742104</v>
      </c>
      <c r="G4274" s="3">
        <v>9.1999999999999993</v>
      </c>
      <c r="H4274" s="3">
        <v>156.37551567008899</v>
      </c>
      <c r="I4274" s="3">
        <v>8.67</v>
      </c>
      <c r="J4274" s="3">
        <v>9.23</v>
      </c>
      <c r="K4274" s="3">
        <v>8.56</v>
      </c>
      <c r="L4274" s="3">
        <v>156.37551567008899</v>
      </c>
    </row>
    <row r="4275" spans="1:12" ht="15" customHeight="1" x14ac:dyDescent="0.2">
      <c r="A4275" s="2">
        <v>39848</v>
      </c>
      <c r="B4275" s="3">
        <v>8.69</v>
      </c>
      <c r="C4275" s="1">
        <v>1544086</v>
      </c>
      <c r="D4275" s="3">
        <v>-0.27000000000000102</v>
      </c>
      <c r="E4275" s="3">
        <v>-3.0133928571428701</v>
      </c>
      <c r="F4275" s="3">
        <v>-3.0133928571428701</v>
      </c>
      <c r="G4275" s="3">
        <v>8.69</v>
      </c>
      <c r="H4275" s="3">
        <v>142.16339469272501</v>
      </c>
      <c r="I4275" s="3">
        <v>9.0399999999999991</v>
      </c>
      <c r="J4275" s="3">
        <v>9.2200000000000006</v>
      </c>
      <c r="K4275" s="3">
        <v>8.6300000000000008</v>
      </c>
      <c r="L4275" s="3">
        <v>142.16339469272501</v>
      </c>
    </row>
    <row r="4276" spans="1:12" ht="15" customHeight="1" x14ac:dyDescent="0.2">
      <c r="A4276" s="2">
        <v>39847</v>
      </c>
      <c r="B4276" s="3">
        <v>8.9600000000000009</v>
      </c>
      <c r="C4276" s="1">
        <v>1517855</v>
      </c>
      <c r="D4276" s="3">
        <v>0.4</v>
      </c>
      <c r="E4276" s="3">
        <v>4.6728971962616903</v>
      </c>
      <c r="F4276" s="3">
        <v>4.6728971962616903</v>
      </c>
      <c r="G4276" s="3">
        <v>8.9600000000000009</v>
      </c>
      <c r="H4276" s="3">
        <v>149.68745873956499</v>
      </c>
      <c r="I4276" s="3">
        <v>8.56</v>
      </c>
      <c r="J4276" s="3">
        <v>9.1199999999999992</v>
      </c>
      <c r="K4276" s="3">
        <v>8.5250000000000004</v>
      </c>
      <c r="L4276" s="3">
        <v>149.68745873956499</v>
      </c>
    </row>
    <row r="4277" spans="1:12" ht="15" customHeight="1" x14ac:dyDescent="0.2">
      <c r="A4277" s="2">
        <v>39846</v>
      </c>
      <c r="B4277" s="3">
        <v>8.56</v>
      </c>
      <c r="C4277" s="1">
        <v>1376833</v>
      </c>
      <c r="D4277" s="3">
        <v>-0.119999999999999</v>
      </c>
      <c r="E4277" s="3">
        <v>-1.3824884792626599</v>
      </c>
      <c r="F4277" s="3">
        <v>-1.3824884792626599</v>
      </c>
      <c r="G4277" s="3">
        <v>8.56</v>
      </c>
      <c r="H4277" s="3">
        <v>138.54069718869101</v>
      </c>
      <c r="I4277" s="3">
        <v>8.5399999999999991</v>
      </c>
      <c r="J4277" s="3">
        <v>8.81</v>
      </c>
      <c r="K4277" s="3">
        <v>8.42</v>
      </c>
      <c r="L4277" s="3">
        <v>138.54069718869101</v>
      </c>
    </row>
    <row r="4278" spans="1:12" ht="15" customHeight="1" x14ac:dyDescent="0.2">
      <c r="A4278" s="2">
        <v>39843</v>
      </c>
      <c r="B4278" s="3">
        <v>8.68</v>
      </c>
      <c r="C4278" s="1">
        <v>822340</v>
      </c>
      <c r="D4278" s="3">
        <v>-0.32</v>
      </c>
      <c r="E4278" s="3">
        <v>-3.55555555555555</v>
      </c>
      <c r="F4278" s="3">
        <v>-3.55555555555555</v>
      </c>
      <c r="G4278" s="3">
        <v>8.68</v>
      </c>
      <c r="H4278" s="3">
        <v>141.88472565395401</v>
      </c>
      <c r="I4278" s="3">
        <v>9.08</v>
      </c>
      <c r="J4278" s="3">
        <v>9.18</v>
      </c>
      <c r="K4278" s="3">
        <v>8.52</v>
      </c>
      <c r="L4278" s="3">
        <v>141.88472565395401</v>
      </c>
    </row>
    <row r="4279" spans="1:12" ht="15" customHeight="1" x14ac:dyDescent="0.2">
      <c r="A4279" s="2">
        <v>39842</v>
      </c>
      <c r="B4279" s="3">
        <v>9</v>
      </c>
      <c r="C4279" s="1">
        <v>873798</v>
      </c>
      <c r="D4279" s="3">
        <v>-0.42999999999999899</v>
      </c>
      <c r="E4279" s="3">
        <v>-4.5599151643690297</v>
      </c>
      <c r="F4279" s="3">
        <v>-4.5599151643690297</v>
      </c>
      <c r="G4279" s="3">
        <v>9</v>
      </c>
      <c r="H4279" s="3">
        <v>150.802134894652</v>
      </c>
      <c r="I4279" s="3">
        <v>9.3000000000000007</v>
      </c>
      <c r="J4279" s="3">
        <v>9.4</v>
      </c>
      <c r="K4279" s="3">
        <v>8.89</v>
      </c>
      <c r="L4279" s="3">
        <v>150.802134894652</v>
      </c>
    </row>
    <row r="4280" spans="1:12" ht="15" customHeight="1" x14ac:dyDescent="0.2">
      <c r="A4280" s="2">
        <v>39841</v>
      </c>
      <c r="B4280" s="3">
        <v>9.43</v>
      </c>
      <c r="C4280" s="1">
        <v>1202617</v>
      </c>
      <c r="D4280" s="3">
        <v>0.37999999999999901</v>
      </c>
      <c r="E4280" s="3">
        <v>4.1988950276242898</v>
      </c>
      <c r="F4280" s="3">
        <v>4.1988950276242898</v>
      </c>
      <c r="G4280" s="3">
        <v>9.43</v>
      </c>
      <c r="H4280" s="3">
        <v>162.78490356184099</v>
      </c>
      <c r="I4280" s="3">
        <v>9.19</v>
      </c>
      <c r="J4280" s="3">
        <v>9.48</v>
      </c>
      <c r="K4280" s="3">
        <v>9.16</v>
      </c>
      <c r="L4280" s="3">
        <v>162.78490356184099</v>
      </c>
    </row>
    <row r="4281" spans="1:12" ht="15" customHeight="1" x14ac:dyDescent="0.2">
      <c r="A4281" s="2">
        <v>39840</v>
      </c>
      <c r="B4281" s="3">
        <v>9.0500000000000007</v>
      </c>
      <c r="C4281" s="1">
        <v>972218</v>
      </c>
      <c r="D4281" s="3">
        <v>0.16999999999999901</v>
      </c>
      <c r="E4281" s="3">
        <v>1.91441441441442</v>
      </c>
      <c r="F4281" s="3">
        <v>1.91441441441442</v>
      </c>
      <c r="G4281" s="3">
        <v>9.0500000000000007</v>
      </c>
      <c r="H4281" s="3">
        <v>152.195480088511</v>
      </c>
      <c r="I4281" s="3">
        <v>8.9499999999999993</v>
      </c>
      <c r="J4281" s="3">
        <v>9.2799999999999994</v>
      </c>
      <c r="K4281" s="3">
        <v>8.91</v>
      </c>
      <c r="L4281" s="3">
        <v>152.195480088511</v>
      </c>
    </row>
    <row r="4282" spans="1:12" ht="15" customHeight="1" x14ac:dyDescent="0.2">
      <c r="A4282" s="2">
        <v>39839</v>
      </c>
      <c r="B4282" s="3">
        <v>8.8800000000000008</v>
      </c>
      <c r="C4282" s="1">
        <v>977360</v>
      </c>
      <c r="D4282" s="3">
        <v>9.0000000000001606E-2</v>
      </c>
      <c r="E4282" s="3">
        <v>1.0238907849829499</v>
      </c>
      <c r="F4282" s="3">
        <v>1.0238907849829499</v>
      </c>
      <c r="G4282" s="3">
        <v>8.8800000000000008</v>
      </c>
      <c r="H4282" s="3">
        <v>147.45810642939</v>
      </c>
      <c r="I4282" s="3">
        <v>8.85</v>
      </c>
      <c r="J4282" s="3">
        <v>9.1</v>
      </c>
      <c r="K4282" s="3">
        <v>8.5</v>
      </c>
      <c r="L4282" s="3">
        <v>147.45810642939</v>
      </c>
    </row>
    <row r="4283" spans="1:12" ht="15" customHeight="1" x14ac:dyDescent="0.2">
      <c r="A4283" s="2">
        <v>39836</v>
      </c>
      <c r="B4283" s="3">
        <v>8.7899999999999991</v>
      </c>
      <c r="C4283" s="1">
        <v>1727071</v>
      </c>
      <c r="D4283" s="3">
        <v>-1.0000000000001501E-2</v>
      </c>
      <c r="E4283" s="3">
        <v>-0.11363636363638201</v>
      </c>
      <c r="F4283" s="3">
        <v>-0.11363636363638201</v>
      </c>
      <c r="G4283" s="3">
        <v>8.7899999999999991</v>
      </c>
      <c r="H4283" s="3">
        <v>144.95008508044401</v>
      </c>
      <c r="I4283" s="3">
        <v>8.56</v>
      </c>
      <c r="J4283" s="3">
        <v>8.98</v>
      </c>
      <c r="K4283" s="3">
        <v>8.39</v>
      </c>
      <c r="L4283" s="3">
        <v>144.95008508044401</v>
      </c>
    </row>
    <row r="4284" spans="1:12" ht="15" customHeight="1" x14ac:dyDescent="0.2">
      <c r="A4284" s="2">
        <v>39835</v>
      </c>
      <c r="B4284" s="3">
        <v>8.8000000000000007</v>
      </c>
      <c r="C4284" s="1">
        <v>2109914</v>
      </c>
      <c r="D4284" s="3">
        <v>0.32</v>
      </c>
      <c r="E4284" s="3">
        <v>3.7735849056603699</v>
      </c>
      <c r="F4284" s="3">
        <v>3.7735849056603699</v>
      </c>
      <c r="G4284" s="3">
        <v>8.8000000000000007</v>
      </c>
      <c r="H4284" s="3">
        <v>145.22875411921601</v>
      </c>
      <c r="I4284" s="3">
        <v>8.34</v>
      </c>
      <c r="J4284" s="3">
        <v>9.11</v>
      </c>
      <c r="K4284" s="3">
        <v>8.3000000000000007</v>
      </c>
      <c r="L4284" s="3">
        <v>145.22875411921601</v>
      </c>
    </row>
    <row r="4285" spans="1:12" ht="15" customHeight="1" x14ac:dyDescent="0.2">
      <c r="A4285" s="2">
        <v>39834</v>
      </c>
      <c r="B4285" s="3">
        <v>8.48</v>
      </c>
      <c r="C4285" s="1">
        <v>1185338</v>
      </c>
      <c r="D4285" s="3">
        <v>0.56000000000000005</v>
      </c>
      <c r="E4285" s="3">
        <v>7.0707070707070701</v>
      </c>
      <c r="F4285" s="3">
        <v>7.0707070707070701</v>
      </c>
      <c r="G4285" s="3">
        <v>8.48</v>
      </c>
      <c r="H4285" s="3">
        <v>136.31134487851699</v>
      </c>
      <c r="I4285" s="3">
        <v>8.06</v>
      </c>
      <c r="J4285" s="3">
        <v>8.51</v>
      </c>
      <c r="K4285" s="3">
        <v>7.87</v>
      </c>
      <c r="L4285" s="3">
        <v>136.31134487851699</v>
      </c>
    </row>
    <row r="4286" spans="1:12" ht="15" customHeight="1" x14ac:dyDescent="0.2">
      <c r="A4286" s="2">
        <v>39833</v>
      </c>
      <c r="B4286" s="3">
        <v>7.92</v>
      </c>
      <c r="C4286" s="1">
        <v>1127724</v>
      </c>
      <c r="D4286" s="3">
        <v>-0.85999999999999899</v>
      </c>
      <c r="E4286" s="3">
        <v>-9.7949886104783506</v>
      </c>
      <c r="F4286" s="3">
        <v>-9.7949886104783506</v>
      </c>
      <c r="G4286" s="3">
        <v>7.92</v>
      </c>
      <c r="H4286" s="3">
        <v>120.705878707294</v>
      </c>
      <c r="I4286" s="3">
        <v>8.77</v>
      </c>
      <c r="J4286" s="3">
        <v>8.8699999999999992</v>
      </c>
      <c r="K4286" s="3">
        <v>7.86</v>
      </c>
      <c r="L4286" s="3">
        <v>120.705878707294</v>
      </c>
    </row>
    <row r="4287" spans="1:12" ht="15" customHeight="1" x14ac:dyDescent="0.2">
      <c r="A4287" s="2">
        <v>39829</v>
      </c>
      <c r="B4287" s="3">
        <v>8.7799999999999994</v>
      </c>
      <c r="C4287" s="1">
        <v>1290992</v>
      </c>
      <c r="D4287" s="3">
        <v>0.119999999999999</v>
      </c>
      <c r="E4287" s="3">
        <v>1.38568129330252</v>
      </c>
      <c r="F4287" s="3">
        <v>1.38568129330252</v>
      </c>
      <c r="G4287" s="3">
        <v>8.7799999999999994</v>
      </c>
      <c r="H4287" s="3">
        <v>144.67141604167199</v>
      </c>
      <c r="I4287" s="3">
        <v>8.8699999999999992</v>
      </c>
      <c r="J4287" s="3">
        <v>8.98</v>
      </c>
      <c r="K4287" s="3">
        <v>8.39</v>
      </c>
      <c r="L4287" s="3">
        <v>144.67141604167199</v>
      </c>
    </row>
    <row r="4288" spans="1:12" ht="15" customHeight="1" x14ac:dyDescent="0.2">
      <c r="A4288" s="2">
        <v>39828</v>
      </c>
      <c r="B4288" s="3">
        <v>8.66</v>
      </c>
      <c r="C4288" s="1">
        <v>1761084</v>
      </c>
      <c r="D4288" s="3">
        <v>0.25</v>
      </c>
      <c r="E4288" s="3">
        <v>2.9726516052318499</v>
      </c>
      <c r="F4288" s="3">
        <v>2.9726516052318499</v>
      </c>
      <c r="G4288" s="3">
        <v>8.66</v>
      </c>
      <c r="H4288" s="3">
        <v>141.32738757640999</v>
      </c>
      <c r="I4288" s="3">
        <v>8.36</v>
      </c>
      <c r="J4288" s="3">
        <v>8.89</v>
      </c>
      <c r="K4288" s="3">
        <v>8.0399999999999991</v>
      </c>
      <c r="L4288" s="3">
        <v>141.32738757640999</v>
      </c>
    </row>
    <row r="4289" spans="1:12" ht="15" customHeight="1" x14ac:dyDescent="0.2">
      <c r="A4289" s="2">
        <v>39827</v>
      </c>
      <c r="B4289" s="3">
        <v>8.41</v>
      </c>
      <c r="C4289" s="1">
        <v>1600628</v>
      </c>
      <c r="D4289" s="3">
        <v>-0.68999999999999895</v>
      </c>
      <c r="E4289" s="3">
        <v>-7.5824175824175697</v>
      </c>
      <c r="F4289" s="3">
        <v>-7.5824175824175697</v>
      </c>
      <c r="G4289" s="3">
        <v>8.41</v>
      </c>
      <c r="H4289" s="3">
        <v>134.360661607114</v>
      </c>
      <c r="I4289" s="3">
        <v>9</v>
      </c>
      <c r="J4289" s="3">
        <v>9.01</v>
      </c>
      <c r="K4289" s="3">
        <v>8.34</v>
      </c>
      <c r="L4289" s="3">
        <v>134.360661607114</v>
      </c>
    </row>
    <row r="4290" spans="1:12" ht="15" customHeight="1" x14ac:dyDescent="0.2">
      <c r="A4290" s="2">
        <v>39826</v>
      </c>
      <c r="B4290" s="3">
        <v>9.1</v>
      </c>
      <c r="C4290" s="1">
        <v>1451470</v>
      </c>
      <c r="D4290" s="3">
        <v>-0.33999999999999903</v>
      </c>
      <c r="E4290" s="3">
        <v>-3.6016949152542299</v>
      </c>
      <c r="F4290" s="3">
        <v>-3.6016949152542299</v>
      </c>
      <c r="G4290" s="3">
        <v>9.1</v>
      </c>
      <c r="H4290" s="3">
        <v>153.588825282371</v>
      </c>
      <c r="I4290" s="3">
        <v>9.42</v>
      </c>
      <c r="J4290" s="3">
        <v>9.57</v>
      </c>
      <c r="K4290" s="3">
        <v>8.8800000000000008</v>
      </c>
      <c r="L4290" s="3">
        <v>153.588825282371</v>
      </c>
    </row>
    <row r="4291" spans="1:12" ht="15" customHeight="1" x14ac:dyDescent="0.2">
      <c r="A4291" s="2">
        <v>39825</v>
      </c>
      <c r="B4291" s="3">
        <v>9.44</v>
      </c>
      <c r="C4291" s="1">
        <v>1281952</v>
      </c>
      <c r="D4291" s="3">
        <v>-0.3</v>
      </c>
      <c r="E4291" s="3">
        <v>-3.0800821355236199</v>
      </c>
      <c r="F4291" s="3">
        <v>-3.0800821355236199</v>
      </c>
      <c r="G4291" s="3">
        <v>9.44</v>
      </c>
      <c r="H4291" s="3">
        <v>163.06357260061301</v>
      </c>
      <c r="I4291" s="3">
        <v>9.59</v>
      </c>
      <c r="J4291" s="3">
        <v>9.75</v>
      </c>
      <c r="K4291" s="3">
        <v>9.3000000000000007</v>
      </c>
      <c r="L4291" s="3">
        <v>163.06357260061301</v>
      </c>
    </row>
    <row r="4292" spans="1:12" ht="15" customHeight="1" x14ac:dyDescent="0.2">
      <c r="A4292" s="2">
        <v>39822</v>
      </c>
      <c r="B4292" s="3">
        <v>9.74</v>
      </c>
      <c r="C4292" s="1">
        <v>1143198</v>
      </c>
      <c r="D4292" s="3">
        <v>-0.59999999999999898</v>
      </c>
      <c r="E4292" s="3">
        <v>-5.8027079303675002</v>
      </c>
      <c r="F4292" s="3">
        <v>-5.8027079303675002</v>
      </c>
      <c r="G4292" s="3">
        <v>9.74</v>
      </c>
      <c r="H4292" s="3">
        <v>171.42364376376801</v>
      </c>
      <c r="I4292" s="3">
        <v>10.37</v>
      </c>
      <c r="J4292" s="3">
        <v>10.37</v>
      </c>
      <c r="K4292" s="3">
        <v>9.74</v>
      </c>
      <c r="L4292" s="3">
        <v>171.42364376376801</v>
      </c>
    </row>
    <row r="4293" spans="1:12" ht="15" customHeight="1" x14ac:dyDescent="0.2">
      <c r="A4293" s="2">
        <v>39821</v>
      </c>
      <c r="B4293" s="3">
        <v>10.34</v>
      </c>
      <c r="C4293" s="1">
        <v>1413862</v>
      </c>
      <c r="D4293" s="3">
        <v>7.0000000000000201E-2</v>
      </c>
      <c r="E4293" s="3">
        <v>0.68159688412854302</v>
      </c>
      <c r="F4293" s="3">
        <v>0.68159688412854302</v>
      </c>
      <c r="G4293" s="3">
        <v>10.34</v>
      </c>
      <c r="H4293" s="3">
        <v>188.14378609007801</v>
      </c>
      <c r="I4293" s="3">
        <v>10.26</v>
      </c>
      <c r="J4293" s="3">
        <v>10.4</v>
      </c>
      <c r="K4293" s="3">
        <v>9.93</v>
      </c>
      <c r="L4293" s="3">
        <v>188.14378609007801</v>
      </c>
    </row>
    <row r="4294" spans="1:12" ht="15" customHeight="1" x14ac:dyDescent="0.2">
      <c r="A4294" s="2">
        <v>39820</v>
      </c>
      <c r="B4294" s="3">
        <v>10.27</v>
      </c>
      <c r="C4294" s="1">
        <v>1521602</v>
      </c>
      <c r="D4294" s="3">
        <v>-0.64</v>
      </c>
      <c r="E4294" s="3">
        <v>-5.8661778185151201</v>
      </c>
      <c r="F4294" s="3">
        <v>-5.8661778185151201</v>
      </c>
      <c r="G4294" s="3">
        <v>10.27</v>
      </c>
      <c r="H4294" s="3">
        <v>186.19310281867499</v>
      </c>
      <c r="I4294" s="3">
        <v>10.82</v>
      </c>
      <c r="J4294" s="3">
        <v>10.82</v>
      </c>
      <c r="K4294" s="3">
        <v>10.1</v>
      </c>
      <c r="L4294" s="3">
        <v>186.19310281867499</v>
      </c>
    </row>
    <row r="4295" spans="1:12" ht="15" customHeight="1" x14ac:dyDescent="0.2">
      <c r="A4295" s="2">
        <v>39819</v>
      </c>
      <c r="B4295" s="3">
        <v>10.91</v>
      </c>
      <c r="C4295" s="1">
        <v>1607746</v>
      </c>
      <c r="D4295" s="3">
        <v>0.54</v>
      </c>
      <c r="E4295" s="3">
        <v>5.20732883317263</v>
      </c>
      <c r="F4295" s="3">
        <v>5.20732883317263</v>
      </c>
      <c r="G4295" s="3">
        <v>10.91</v>
      </c>
      <c r="H4295" s="3">
        <v>204.02792130007299</v>
      </c>
      <c r="I4295" s="3">
        <v>10.49</v>
      </c>
      <c r="J4295" s="3">
        <v>11.02</v>
      </c>
      <c r="K4295" s="3">
        <v>10.31</v>
      </c>
      <c r="L4295" s="3">
        <v>204.02792130007299</v>
      </c>
    </row>
    <row r="4296" spans="1:12" ht="15" customHeight="1" x14ac:dyDescent="0.2">
      <c r="A4296" s="2">
        <v>39818</v>
      </c>
      <c r="B4296" s="3">
        <v>10.37</v>
      </c>
      <c r="C4296" s="1">
        <v>1290993</v>
      </c>
      <c r="D4296" s="3">
        <v>1.9999999999999501E-2</v>
      </c>
      <c r="E4296" s="3">
        <v>0.193236714975841</v>
      </c>
      <c r="F4296" s="3">
        <v>0.193236714975841</v>
      </c>
      <c r="G4296" s="3">
        <v>10.37</v>
      </c>
      <c r="H4296" s="3">
        <v>188.97979320639399</v>
      </c>
      <c r="I4296" s="3">
        <v>10.16</v>
      </c>
      <c r="J4296" s="3">
        <v>10.4</v>
      </c>
      <c r="K4296" s="3">
        <v>9.8699999999999992</v>
      </c>
      <c r="L4296" s="3">
        <v>188.97979320639399</v>
      </c>
    </row>
    <row r="4297" spans="1:12" ht="15" customHeight="1" x14ac:dyDescent="0.2">
      <c r="A4297" s="2">
        <v>39815</v>
      </c>
      <c r="B4297" s="3">
        <v>10.35</v>
      </c>
      <c r="C4297" s="1">
        <v>791290</v>
      </c>
      <c r="D4297" s="3">
        <v>0.25</v>
      </c>
      <c r="E4297" s="3">
        <v>2.4752475247524699</v>
      </c>
      <c r="F4297" s="3">
        <v>2.4752475247524699</v>
      </c>
      <c r="G4297" s="3">
        <v>10.35</v>
      </c>
      <c r="H4297" s="3">
        <v>188.42245512885</v>
      </c>
      <c r="I4297" s="3">
        <v>10.15</v>
      </c>
      <c r="J4297" s="3">
        <v>10.47</v>
      </c>
      <c r="K4297" s="3">
        <v>9.9515999999999991</v>
      </c>
      <c r="L4297" s="3">
        <v>188.42245512885</v>
      </c>
    </row>
    <row r="4298" spans="1:12" ht="15" customHeight="1" x14ac:dyDescent="0.2">
      <c r="A4298" s="2">
        <v>39813</v>
      </c>
      <c r="B4298" s="3">
        <v>10.1</v>
      </c>
      <c r="C4298" s="1">
        <v>1194603</v>
      </c>
      <c r="D4298" s="3">
        <v>0.60999999999999899</v>
      </c>
      <c r="E4298" s="3">
        <v>6.42781875658586</v>
      </c>
      <c r="F4298" s="3">
        <v>6.42781875658586</v>
      </c>
      <c r="G4298" s="3">
        <v>10.1</v>
      </c>
      <c r="H4298" s="3">
        <v>181.45572915955401</v>
      </c>
      <c r="I4298" s="3">
        <v>9.5500000000000007</v>
      </c>
      <c r="J4298" s="3">
        <v>10.27</v>
      </c>
      <c r="K4298" s="3">
        <v>9.41</v>
      </c>
      <c r="L4298" s="3">
        <v>181.45572915955401</v>
      </c>
    </row>
    <row r="4299" spans="1:12" ht="15" customHeight="1" x14ac:dyDescent="0.2">
      <c r="A4299" s="2">
        <v>39812</v>
      </c>
      <c r="B4299" s="3">
        <v>9.49</v>
      </c>
      <c r="C4299" s="1">
        <v>781340</v>
      </c>
      <c r="D4299" s="3">
        <v>0.46</v>
      </c>
      <c r="E4299" s="3">
        <v>5.0941306755260403</v>
      </c>
      <c r="F4299" s="3">
        <v>5.0941306755260403</v>
      </c>
      <c r="G4299" s="3">
        <v>9.49</v>
      </c>
      <c r="H4299" s="3">
        <v>164.45691779447199</v>
      </c>
      <c r="I4299" s="3">
        <v>9.1</v>
      </c>
      <c r="J4299" s="3">
        <v>9.52</v>
      </c>
      <c r="K4299" s="3">
        <v>8.94</v>
      </c>
      <c r="L4299" s="3">
        <v>164.45691779447199</v>
      </c>
    </row>
    <row r="4300" spans="1:12" ht="15" customHeight="1" x14ac:dyDescent="0.2">
      <c r="A4300" s="2">
        <v>39811</v>
      </c>
      <c r="B4300" s="3">
        <v>9.0299999999999994</v>
      </c>
      <c r="C4300" s="1">
        <v>1132381</v>
      </c>
      <c r="D4300" s="3">
        <v>-0.33</v>
      </c>
      <c r="E4300" s="3">
        <v>-3.5256410256410202</v>
      </c>
      <c r="F4300" s="3">
        <v>-3.5256410256410202</v>
      </c>
      <c r="G4300" s="3">
        <v>9.0299999999999994</v>
      </c>
      <c r="H4300" s="3">
        <v>151.63814201096801</v>
      </c>
      <c r="I4300" s="3">
        <v>9.3800000000000008</v>
      </c>
      <c r="J4300" s="3">
        <v>9.49</v>
      </c>
      <c r="K4300" s="3">
        <v>8.76</v>
      </c>
      <c r="L4300" s="3">
        <v>151.63814201096801</v>
      </c>
    </row>
    <row r="4301" spans="1:12" ht="15" customHeight="1" x14ac:dyDescent="0.2">
      <c r="A4301" s="2">
        <v>39808</v>
      </c>
      <c r="B4301" s="3">
        <v>9.36</v>
      </c>
      <c r="C4301" s="1">
        <v>491562</v>
      </c>
      <c r="D4301" s="3">
        <v>0.17999999999999899</v>
      </c>
      <c r="E4301" s="3">
        <v>1.9607843137254799</v>
      </c>
      <c r="F4301" s="3">
        <v>1.9607843137254799</v>
      </c>
      <c r="G4301" s="3">
        <v>9.36</v>
      </c>
      <c r="H4301" s="3">
        <v>160.834220290438</v>
      </c>
      <c r="I4301" s="3">
        <v>9.2200000000000006</v>
      </c>
      <c r="J4301" s="3">
        <v>9.43</v>
      </c>
      <c r="K4301" s="3">
        <v>9</v>
      </c>
      <c r="L4301" s="3">
        <v>160.834220290438</v>
      </c>
    </row>
    <row r="4302" spans="1:12" ht="15" customHeight="1" x14ac:dyDescent="0.2">
      <c r="A4302" s="2">
        <v>39806</v>
      </c>
      <c r="B4302" s="3">
        <v>9.18</v>
      </c>
      <c r="C4302" s="1">
        <v>426007</v>
      </c>
      <c r="D4302" s="3">
        <v>-5.0000000000000697E-2</v>
      </c>
      <c r="E4302" s="3">
        <v>-0.541711809317446</v>
      </c>
      <c r="F4302" s="3">
        <v>-0.541711809317446</v>
      </c>
      <c r="G4302" s="3">
        <v>9.18</v>
      </c>
      <c r="H4302" s="3">
        <v>155.818177592545</v>
      </c>
      <c r="I4302" s="3">
        <v>9.1999999999999993</v>
      </c>
      <c r="J4302" s="3">
        <v>9.32</v>
      </c>
      <c r="K4302" s="3">
        <v>9.0399999999999991</v>
      </c>
      <c r="L4302" s="3">
        <v>155.818177592545</v>
      </c>
    </row>
    <row r="4303" spans="1:12" ht="15" customHeight="1" x14ac:dyDescent="0.2">
      <c r="A4303" s="2">
        <v>39805</v>
      </c>
      <c r="B4303" s="3">
        <v>9.23</v>
      </c>
      <c r="C4303" s="1">
        <v>1179314</v>
      </c>
      <c r="D4303" s="3">
        <v>-0.16</v>
      </c>
      <c r="E4303" s="3">
        <v>-1.7039403620873299</v>
      </c>
      <c r="F4303" s="3">
        <v>-1.7039403620873299</v>
      </c>
      <c r="G4303" s="3">
        <v>9.23</v>
      </c>
      <c r="H4303" s="3">
        <v>157.211522786405</v>
      </c>
      <c r="I4303" s="3">
        <v>9.4</v>
      </c>
      <c r="J4303" s="3">
        <v>9.8000000000000007</v>
      </c>
      <c r="K4303" s="3">
        <v>9.1999999999999993</v>
      </c>
      <c r="L4303" s="3">
        <v>157.211522786405</v>
      </c>
    </row>
    <row r="4304" spans="1:12" ht="15" customHeight="1" x14ac:dyDescent="0.2">
      <c r="A4304" s="2">
        <v>39804</v>
      </c>
      <c r="B4304" s="3">
        <v>9.39</v>
      </c>
      <c r="C4304" s="1">
        <v>2110769</v>
      </c>
      <c r="D4304" s="3">
        <v>-0.55999999999999805</v>
      </c>
      <c r="E4304" s="3">
        <v>-5.6281407035175697</v>
      </c>
      <c r="F4304" s="3">
        <v>-5.6281407035175697</v>
      </c>
      <c r="G4304" s="3">
        <v>9.39</v>
      </c>
      <c r="H4304" s="3">
        <v>161.67022740675401</v>
      </c>
      <c r="I4304" s="3">
        <v>9.94</v>
      </c>
      <c r="J4304" s="3">
        <v>9.9499999999999993</v>
      </c>
      <c r="K4304" s="3">
        <v>9.07</v>
      </c>
      <c r="L4304" s="3">
        <v>161.67022740675401</v>
      </c>
    </row>
    <row r="4305" spans="1:12" ht="15" customHeight="1" x14ac:dyDescent="0.2">
      <c r="A4305" s="2">
        <v>39801</v>
      </c>
      <c r="B4305" s="3">
        <v>9.9499999999999993</v>
      </c>
      <c r="C4305" s="1">
        <v>4407609</v>
      </c>
      <c r="D4305" s="3">
        <v>1.17</v>
      </c>
      <c r="E4305" s="3">
        <v>13.3257403189066</v>
      </c>
      <c r="F4305" s="3">
        <v>13.3257403189066</v>
      </c>
      <c r="G4305" s="3">
        <v>9.9499999999999993</v>
      </c>
      <c r="H4305" s="3">
        <v>177.27569357797699</v>
      </c>
      <c r="I4305" s="3">
        <v>9</v>
      </c>
      <c r="J4305" s="3">
        <v>10.029999999999999</v>
      </c>
      <c r="K4305" s="3">
        <v>8.85</v>
      </c>
      <c r="L4305" s="3">
        <v>177.27569357797699</v>
      </c>
    </row>
    <row r="4306" spans="1:12" ht="15" customHeight="1" x14ac:dyDescent="0.2">
      <c r="A4306" s="2">
        <v>39800</v>
      </c>
      <c r="B4306" s="3">
        <v>8.7799999999999994</v>
      </c>
      <c r="C4306" s="1">
        <v>3461083</v>
      </c>
      <c r="D4306" s="3">
        <v>0.44999999999999901</v>
      </c>
      <c r="E4306" s="3">
        <v>5.4021608643457197</v>
      </c>
      <c r="F4306" s="3">
        <v>5.4021608643457197</v>
      </c>
      <c r="G4306" s="3">
        <v>8.7799999999999994</v>
      </c>
      <c r="H4306" s="3">
        <v>144.67141604167199</v>
      </c>
      <c r="I4306" s="3">
        <v>8.61</v>
      </c>
      <c r="J4306" s="3">
        <v>9.1274999999999995</v>
      </c>
      <c r="K4306" s="3">
        <v>8.35</v>
      </c>
      <c r="L4306" s="3">
        <v>144.67141604167199</v>
      </c>
    </row>
    <row r="4307" spans="1:12" ht="15" customHeight="1" x14ac:dyDescent="0.2">
      <c r="A4307" s="2">
        <v>39799</v>
      </c>
      <c r="B4307" s="3">
        <v>8.33</v>
      </c>
      <c r="C4307" s="1">
        <v>2861284</v>
      </c>
      <c r="D4307" s="3">
        <v>0.96</v>
      </c>
      <c r="E4307" s="3">
        <v>13.025780189959301</v>
      </c>
      <c r="F4307" s="3">
        <v>13.025780189959301</v>
      </c>
      <c r="G4307" s="3">
        <v>8.33</v>
      </c>
      <c r="H4307" s="3">
        <v>132.13130929693901</v>
      </c>
      <c r="I4307" s="3">
        <v>7.38</v>
      </c>
      <c r="J4307" s="3">
        <v>8.3699999999999992</v>
      </c>
      <c r="K4307" s="3">
        <v>7.38</v>
      </c>
      <c r="L4307" s="3">
        <v>132.13130929693901</v>
      </c>
    </row>
    <row r="4308" spans="1:12" ht="15" customHeight="1" x14ac:dyDescent="0.2">
      <c r="A4308" s="2">
        <v>39798</v>
      </c>
      <c r="B4308" s="3">
        <v>7.37</v>
      </c>
      <c r="C4308" s="1">
        <v>2111801</v>
      </c>
      <c r="D4308" s="3">
        <v>0.41999999999999899</v>
      </c>
      <c r="E4308" s="3">
        <v>6.0431654676258804</v>
      </c>
      <c r="F4308" s="3">
        <v>6.0431654676258804</v>
      </c>
      <c r="G4308" s="3">
        <v>7.37</v>
      </c>
      <c r="H4308" s="3">
        <v>105.379081574843</v>
      </c>
      <c r="I4308" s="3">
        <v>7.03</v>
      </c>
      <c r="J4308" s="3">
        <v>7.44</v>
      </c>
      <c r="K4308" s="3">
        <v>7.01</v>
      </c>
      <c r="L4308" s="3">
        <v>105.379081574843</v>
      </c>
    </row>
    <row r="4309" spans="1:12" ht="15" customHeight="1" x14ac:dyDescent="0.2">
      <c r="A4309" s="2">
        <v>39797</v>
      </c>
      <c r="B4309" s="3">
        <v>6.95</v>
      </c>
      <c r="C4309" s="1">
        <v>1598004</v>
      </c>
      <c r="D4309" s="3">
        <v>-0.26999999999999902</v>
      </c>
      <c r="E4309" s="3">
        <v>-3.7396121883656401</v>
      </c>
      <c r="F4309" s="3">
        <v>-3.7396121883656401</v>
      </c>
      <c r="G4309" s="3">
        <v>6.95</v>
      </c>
      <c r="H4309" s="3">
        <v>93.6749819464263</v>
      </c>
      <c r="I4309" s="3">
        <v>7.23</v>
      </c>
      <c r="J4309" s="3">
        <v>7.33</v>
      </c>
      <c r="K4309" s="3">
        <v>6.7549999999999999</v>
      </c>
      <c r="L4309" s="3">
        <v>93.6749819464263</v>
      </c>
    </row>
    <row r="4310" spans="1:12" ht="15" customHeight="1" x14ac:dyDescent="0.2">
      <c r="A4310" s="2">
        <v>39794</v>
      </c>
      <c r="B4310" s="3">
        <v>7.22</v>
      </c>
      <c r="C4310" s="1">
        <v>1911783</v>
      </c>
      <c r="D4310" s="3"/>
      <c r="E4310" s="3"/>
      <c r="F4310" s="3"/>
      <c r="G4310" s="3">
        <v>7.22</v>
      </c>
      <c r="H4310" s="3">
        <v>101.199045993265</v>
      </c>
      <c r="I4310" s="3">
        <v>6.99</v>
      </c>
      <c r="J4310" s="3">
        <v>7.41</v>
      </c>
      <c r="K4310" s="3">
        <v>6.94</v>
      </c>
      <c r="L4310" s="3">
        <v>101.199045993265</v>
      </c>
    </row>
    <row r="4311" spans="1:12" ht="15" customHeight="1" x14ac:dyDescent="0.2">
      <c r="A4311" s="2">
        <v>39793</v>
      </c>
      <c r="B4311" s="3">
        <v>7.22</v>
      </c>
      <c r="C4311" s="1">
        <v>1210997</v>
      </c>
      <c r="D4311" s="3">
        <v>-0.54999999999999905</v>
      </c>
      <c r="E4311" s="3">
        <v>-7.0785070785070703</v>
      </c>
      <c r="F4311" s="3">
        <v>-7.0785070785070703</v>
      </c>
      <c r="G4311" s="3">
        <v>7.22</v>
      </c>
      <c r="H4311" s="3">
        <v>101.199045993265</v>
      </c>
      <c r="I4311" s="3">
        <v>7.66</v>
      </c>
      <c r="J4311" s="3">
        <v>7.75</v>
      </c>
      <c r="K4311" s="3">
        <v>7.14</v>
      </c>
      <c r="L4311" s="3">
        <v>101.199045993265</v>
      </c>
    </row>
    <row r="4312" spans="1:12" ht="15" customHeight="1" x14ac:dyDescent="0.2">
      <c r="A4312" s="2">
        <v>39792</v>
      </c>
      <c r="B4312" s="3">
        <v>7.77</v>
      </c>
      <c r="C4312" s="1">
        <v>1805755</v>
      </c>
      <c r="D4312" s="3">
        <v>0.159999999999999</v>
      </c>
      <c r="E4312" s="3">
        <v>2.1024967148488698</v>
      </c>
      <c r="F4312" s="3">
        <v>2.1024967148488698</v>
      </c>
      <c r="G4312" s="3">
        <v>7.77</v>
      </c>
      <c r="H4312" s="3">
        <v>116.52584312571599</v>
      </c>
      <c r="I4312" s="3">
        <v>7.64</v>
      </c>
      <c r="J4312" s="3">
        <v>8.07</v>
      </c>
      <c r="K4312" s="3">
        <v>7.63</v>
      </c>
      <c r="L4312" s="3">
        <v>116.52584312571599</v>
      </c>
    </row>
    <row r="4313" spans="1:12" ht="15" customHeight="1" x14ac:dyDescent="0.2">
      <c r="A4313" s="2">
        <v>39791</v>
      </c>
      <c r="B4313" s="3">
        <v>7.61</v>
      </c>
      <c r="C4313" s="1">
        <v>1772793</v>
      </c>
      <c r="D4313" s="3">
        <v>-0.37999999999999901</v>
      </c>
      <c r="E4313" s="3">
        <v>-4.7559449311639499</v>
      </c>
      <c r="F4313" s="3">
        <v>-4.7559449311639499</v>
      </c>
      <c r="G4313" s="3">
        <v>7.61</v>
      </c>
      <c r="H4313" s="3">
        <v>112.067138505367</v>
      </c>
      <c r="I4313" s="3">
        <v>7.96</v>
      </c>
      <c r="J4313" s="3">
        <v>8.0500000000000007</v>
      </c>
      <c r="K4313" s="3">
        <v>7.51</v>
      </c>
      <c r="L4313" s="3">
        <v>112.067138505367</v>
      </c>
    </row>
    <row r="4314" spans="1:12" ht="15" customHeight="1" x14ac:dyDescent="0.2">
      <c r="A4314" s="2">
        <v>39790</v>
      </c>
      <c r="B4314" s="3">
        <v>7.99</v>
      </c>
      <c r="C4314" s="1">
        <v>2080101</v>
      </c>
      <c r="D4314" s="3">
        <v>0.44</v>
      </c>
      <c r="E4314" s="3">
        <v>5.8278145695364199</v>
      </c>
      <c r="F4314" s="3">
        <v>5.8278145695364199</v>
      </c>
      <c r="G4314" s="3">
        <v>7.99</v>
      </c>
      <c r="H4314" s="3">
        <v>122.656561978697</v>
      </c>
      <c r="I4314" s="3">
        <v>7.72</v>
      </c>
      <c r="J4314" s="3">
        <v>8.14</v>
      </c>
      <c r="K4314" s="3">
        <v>7.67</v>
      </c>
      <c r="L4314" s="3">
        <v>122.656561978697</v>
      </c>
    </row>
    <row r="4315" spans="1:12" ht="15" customHeight="1" x14ac:dyDescent="0.2">
      <c r="A4315" s="2">
        <v>39787</v>
      </c>
      <c r="B4315" s="3">
        <v>7.55</v>
      </c>
      <c r="C4315" s="1">
        <v>1778868</v>
      </c>
      <c r="D4315" s="3">
        <v>0.54</v>
      </c>
      <c r="E4315" s="3">
        <v>7.7032810271041301</v>
      </c>
      <c r="F4315" s="3">
        <v>7.7032810271041301</v>
      </c>
      <c r="G4315" s="3">
        <v>7.55</v>
      </c>
      <c r="H4315" s="3">
        <v>110.395124272736</v>
      </c>
      <c r="I4315" s="3">
        <v>6.89</v>
      </c>
      <c r="J4315" s="3">
        <v>7.57</v>
      </c>
      <c r="K4315" s="3">
        <v>6.62</v>
      </c>
      <c r="L4315" s="3">
        <v>110.395124272736</v>
      </c>
    </row>
    <row r="4316" spans="1:12" ht="15" customHeight="1" x14ac:dyDescent="0.2">
      <c r="A4316" s="2">
        <v>39786</v>
      </c>
      <c r="B4316" s="3">
        <v>7.01</v>
      </c>
      <c r="C4316" s="1">
        <v>1596427</v>
      </c>
      <c r="D4316" s="3">
        <v>0.04</v>
      </c>
      <c r="E4316" s="3">
        <v>0.57388809182210498</v>
      </c>
      <c r="F4316" s="3">
        <v>0.57388809182210498</v>
      </c>
      <c r="G4316" s="3">
        <v>7.01</v>
      </c>
      <c r="H4316" s="3">
        <v>95.3469961790573</v>
      </c>
      <c r="I4316" s="3">
        <v>6.86</v>
      </c>
      <c r="J4316" s="3">
        <v>7.36</v>
      </c>
      <c r="K4316" s="3">
        <v>6.7</v>
      </c>
      <c r="L4316" s="3">
        <v>95.3469961790573</v>
      </c>
    </row>
    <row r="4317" spans="1:12" ht="15" customHeight="1" x14ac:dyDescent="0.2">
      <c r="A4317" s="2">
        <v>39785</v>
      </c>
      <c r="B4317" s="3">
        <v>6.97</v>
      </c>
      <c r="C4317" s="1">
        <v>1483025</v>
      </c>
      <c r="D4317" s="3">
        <v>0.37999999999999901</v>
      </c>
      <c r="E4317" s="3">
        <v>5.7663125948406604</v>
      </c>
      <c r="F4317" s="3">
        <v>5.7663125948406604</v>
      </c>
      <c r="G4317" s="3">
        <v>6.97</v>
      </c>
      <c r="H4317" s="3">
        <v>94.232320023969905</v>
      </c>
      <c r="I4317" s="3">
        <v>6.45</v>
      </c>
      <c r="J4317" s="3">
        <v>7.03</v>
      </c>
      <c r="K4317" s="3">
        <v>6.32</v>
      </c>
      <c r="L4317" s="3">
        <v>94.232320023969905</v>
      </c>
    </row>
    <row r="4318" spans="1:12" ht="15" customHeight="1" x14ac:dyDescent="0.2">
      <c r="A4318" s="2">
        <v>39784</v>
      </c>
      <c r="B4318" s="3">
        <v>6.59</v>
      </c>
      <c r="C4318" s="1">
        <v>1436595</v>
      </c>
      <c r="D4318" s="3">
        <v>0.309999999999999</v>
      </c>
      <c r="E4318" s="3">
        <v>4.9363057324840698</v>
      </c>
      <c r="F4318" s="3">
        <v>4.9363057324840698</v>
      </c>
      <c r="G4318" s="3">
        <v>6.59</v>
      </c>
      <c r="H4318" s="3">
        <v>83.642896550640202</v>
      </c>
      <c r="I4318" s="3">
        <v>6.4</v>
      </c>
      <c r="J4318" s="3">
        <v>6.74</v>
      </c>
      <c r="K4318" s="3">
        <v>6.28</v>
      </c>
      <c r="L4318" s="3">
        <v>83.642896550640202</v>
      </c>
    </row>
    <row r="4319" spans="1:12" ht="15" customHeight="1" x14ac:dyDescent="0.2">
      <c r="A4319" s="2">
        <v>39783</v>
      </c>
      <c r="B4319" s="3">
        <v>6.28</v>
      </c>
      <c r="C4319" s="1">
        <v>1670377</v>
      </c>
      <c r="D4319" s="3">
        <v>-1</v>
      </c>
      <c r="E4319" s="3">
        <v>-13.7362637362637</v>
      </c>
      <c r="F4319" s="3">
        <v>-13.7362637362637</v>
      </c>
      <c r="G4319" s="3">
        <v>6.28</v>
      </c>
      <c r="H4319" s="3">
        <v>75.004156348713195</v>
      </c>
      <c r="I4319" s="3">
        <v>7.06</v>
      </c>
      <c r="J4319" s="3">
        <v>7.3</v>
      </c>
      <c r="K4319" s="3">
        <v>6.25</v>
      </c>
      <c r="L4319" s="3">
        <v>75.004156348713195</v>
      </c>
    </row>
    <row r="4320" spans="1:12" ht="15" customHeight="1" x14ac:dyDescent="0.2">
      <c r="A4320" s="2">
        <v>39780</v>
      </c>
      <c r="B4320" s="3">
        <v>7.28</v>
      </c>
      <c r="C4320" s="1">
        <v>361965</v>
      </c>
      <c r="D4320" s="3">
        <v>3.00000000000002E-2</v>
      </c>
      <c r="E4320" s="3">
        <v>0.41379310344829001</v>
      </c>
      <c r="F4320" s="3">
        <v>0.41379310344829001</v>
      </c>
      <c r="G4320" s="3">
        <v>7.28</v>
      </c>
      <c r="H4320" s="3">
        <v>102.871060225896</v>
      </c>
      <c r="I4320" s="3">
        <v>7.12</v>
      </c>
      <c r="J4320" s="3">
        <v>7.3</v>
      </c>
      <c r="K4320" s="3">
        <v>7</v>
      </c>
      <c r="L4320" s="3">
        <v>102.871060225896</v>
      </c>
    </row>
    <row r="4321" spans="1:12" ht="15" customHeight="1" x14ac:dyDescent="0.2">
      <c r="A4321" s="2">
        <v>39778</v>
      </c>
      <c r="B4321" s="3">
        <v>7.25</v>
      </c>
      <c r="C4321" s="1">
        <v>1627273</v>
      </c>
      <c r="D4321" s="3">
        <v>0.69</v>
      </c>
      <c r="E4321" s="3">
        <v>10.5182926829268</v>
      </c>
      <c r="F4321" s="3">
        <v>10.5182926829268</v>
      </c>
      <c r="G4321" s="3">
        <v>7.25</v>
      </c>
      <c r="H4321" s="3">
        <v>102.035053109581</v>
      </c>
      <c r="I4321" s="3">
        <v>6.39</v>
      </c>
      <c r="J4321" s="3">
        <v>7.28</v>
      </c>
      <c r="K4321" s="3">
        <v>6.35</v>
      </c>
      <c r="L4321" s="3">
        <v>102.035053109581</v>
      </c>
    </row>
    <row r="4322" spans="1:12" ht="15" customHeight="1" x14ac:dyDescent="0.2">
      <c r="A4322" s="2">
        <v>39777</v>
      </c>
      <c r="B4322" s="3">
        <v>6.56</v>
      </c>
      <c r="C4322" s="1">
        <v>1873508</v>
      </c>
      <c r="D4322" s="3">
        <v>0.45999999999999902</v>
      </c>
      <c r="E4322" s="3">
        <v>7.5409836065573703</v>
      </c>
      <c r="F4322" s="3">
        <v>7.5409836065573703</v>
      </c>
      <c r="G4322" s="3">
        <v>6.56</v>
      </c>
      <c r="H4322" s="3">
        <v>82.806889434324603</v>
      </c>
      <c r="I4322" s="3">
        <v>6.19</v>
      </c>
      <c r="J4322" s="3">
        <v>6.59</v>
      </c>
      <c r="K4322" s="3">
        <v>6.01</v>
      </c>
      <c r="L4322" s="3">
        <v>82.806889434324603</v>
      </c>
    </row>
    <row r="4323" spans="1:12" ht="15" customHeight="1" x14ac:dyDescent="0.2">
      <c r="A4323" s="2">
        <v>39776</v>
      </c>
      <c r="B4323" s="3">
        <v>6.1</v>
      </c>
      <c r="C4323" s="1">
        <v>2135526</v>
      </c>
      <c r="D4323" s="3">
        <v>0.67999999999999905</v>
      </c>
      <c r="E4323" s="3">
        <v>12.546125461254499</v>
      </c>
      <c r="F4323" s="3">
        <v>12.546125461254499</v>
      </c>
      <c r="G4323" s="3">
        <v>6.1</v>
      </c>
      <c r="H4323" s="3">
        <v>69.988113650820196</v>
      </c>
      <c r="I4323" s="3">
        <v>5.45</v>
      </c>
      <c r="J4323" s="3">
        <v>6.22</v>
      </c>
      <c r="K4323" s="3">
        <v>5.28</v>
      </c>
      <c r="L4323" s="3">
        <v>69.988113650820196</v>
      </c>
    </row>
    <row r="4324" spans="1:12" ht="15" customHeight="1" x14ac:dyDescent="0.2">
      <c r="A4324" s="2">
        <v>39773</v>
      </c>
      <c r="B4324" s="3">
        <v>5.42</v>
      </c>
      <c r="C4324" s="1">
        <v>1996129</v>
      </c>
      <c r="D4324" s="3">
        <v>9.9999999999999603E-2</v>
      </c>
      <c r="E4324" s="3">
        <v>1.8796992481203001</v>
      </c>
      <c r="F4324" s="3">
        <v>1.8796992481203001</v>
      </c>
      <c r="G4324" s="3">
        <v>5.42</v>
      </c>
      <c r="H4324" s="3">
        <v>51.038619014335303</v>
      </c>
      <c r="I4324" s="3">
        <v>5.34</v>
      </c>
      <c r="J4324" s="3">
        <v>5.49</v>
      </c>
      <c r="K4324" s="3">
        <v>4.96</v>
      </c>
      <c r="L4324" s="3">
        <v>51.038619014335303</v>
      </c>
    </row>
    <row r="4325" spans="1:12" ht="15" customHeight="1" x14ac:dyDescent="0.2">
      <c r="A4325" s="2">
        <v>39772</v>
      </c>
      <c r="B4325" s="3">
        <v>5.32</v>
      </c>
      <c r="C4325" s="1">
        <v>1972330</v>
      </c>
      <c r="D4325" s="3">
        <v>-0.55999999999999905</v>
      </c>
      <c r="E4325" s="3">
        <v>-9.5238095238095095</v>
      </c>
      <c r="F4325" s="3">
        <v>-9.5238095238095095</v>
      </c>
      <c r="G4325" s="3">
        <v>5.32</v>
      </c>
      <c r="H4325" s="3">
        <v>48.251928626616902</v>
      </c>
      <c r="I4325" s="3">
        <v>5.79</v>
      </c>
      <c r="J4325" s="3">
        <v>5.93</v>
      </c>
      <c r="K4325" s="3">
        <v>5.32</v>
      </c>
      <c r="L4325" s="3">
        <v>48.251928626616902</v>
      </c>
    </row>
    <row r="4326" spans="1:12" ht="15" customHeight="1" x14ac:dyDescent="0.2">
      <c r="A4326" s="2">
        <v>39771</v>
      </c>
      <c r="B4326" s="3">
        <v>5.88</v>
      </c>
      <c r="C4326" s="1">
        <v>1864868</v>
      </c>
      <c r="D4326" s="3">
        <v>-0.6</v>
      </c>
      <c r="E4326" s="3">
        <v>-9.2592592592592595</v>
      </c>
      <c r="F4326" s="3">
        <v>-9.2592592592592595</v>
      </c>
      <c r="G4326" s="3">
        <v>5.88</v>
      </c>
      <c r="H4326" s="3">
        <v>63.857394797839802</v>
      </c>
      <c r="I4326" s="3">
        <v>6.39</v>
      </c>
      <c r="J4326" s="3">
        <v>6.66</v>
      </c>
      <c r="K4326" s="3">
        <v>5.81</v>
      </c>
      <c r="L4326" s="3">
        <v>63.857394797839802</v>
      </c>
    </row>
    <row r="4327" spans="1:12" ht="15" customHeight="1" x14ac:dyDescent="0.2">
      <c r="A4327" s="2">
        <v>39770</v>
      </c>
      <c r="B4327" s="3">
        <v>6.48</v>
      </c>
      <c r="C4327" s="1">
        <v>1122594</v>
      </c>
      <c r="D4327" s="3">
        <v>-0.17999999999999899</v>
      </c>
      <c r="E4327" s="3">
        <v>-2.7027027027026902</v>
      </c>
      <c r="F4327" s="3">
        <v>-2.7027027027026902</v>
      </c>
      <c r="G4327" s="3">
        <v>6.48</v>
      </c>
      <c r="H4327" s="3">
        <v>80.577537124149998</v>
      </c>
      <c r="I4327" s="3">
        <v>6.66</v>
      </c>
      <c r="J4327" s="3">
        <v>6.89</v>
      </c>
      <c r="K4327" s="3">
        <v>6.25</v>
      </c>
      <c r="L4327" s="3">
        <v>80.577537124149998</v>
      </c>
    </row>
    <row r="4328" spans="1:12" ht="15" customHeight="1" x14ac:dyDescent="0.2">
      <c r="A4328" s="2">
        <v>39769</v>
      </c>
      <c r="B4328" s="3">
        <v>6.66</v>
      </c>
      <c r="C4328" s="1">
        <v>1346817</v>
      </c>
      <c r="D4328" s="3">
        <v>-3.00000000000002E-2</v>
      </c>
      <c r="E4328" s="3">
        <v>-0.44843049327354301</v>
      </c>
      <c r="F4328" s="3">
        <v>-0.44843049327354301</v>
      </c>
      <c r="G4328" s="3">
        <v>6.66</v>
      </c>
      <c r="H4328" s="3">
        <v>85.593579822042997</v>
      </c>
      <c r="I4328" s="3">
        <v>6.67</v>
      </c>
      <c r="J4328" s="3">
        <v>6.84</v>
      </c>
      <c r="K4328" s="3">
        <v>6.54</v>
      </c>
      <c r="L4328" s="3">
        <v>85.593579822042997</v>
      </c>
    </row>
    <row r="4329" spans="1:12" ht="15" customHeight="1" x14ac:dyDescent="0.2">
      <c r="A4329" s="2">
        <v>39766</v>
      </c>
      <c r="B4329" s="3">
        <v>6.69</v>
      </c>
      <c r="C4329" s="1">
        <v>2518809</v>
      </c>
      <c r="D4329" s="3">
        <v>-0.56999999999999895</v>
      </c>
      <c r="E4329" s="3">
        <v>-7.8512396694214797</v>
      </c>
      <c r="F4329" s="3">
        <v>-7.8512396694214797</v>
      </c>
      <c r="G4329" s="3">
        <v>6.69</v>
      </c>
      <c r="H4329" s="3">
        <v>86.429586938358497</v>
      </c>
      <c r="I4329" s="3">
        <v>7.16</v>
      </c>
      <c r="J4329" s="3">
        <v>7.27</v>
      </c>
      <c r="K4329" s="3">
        <v>6.66</v>
      </c>
      <c r="L4329" s="3">
        <v>86.429586938358497</v>
      </c>
    </row>
    <row r="4330" spans="1:12" ht="15" customHeight="1" x14ac:dyDescent="0.2">
      <c r="A4330" s="2">
        <v>39765</v>
      </c>
      <c r="B4330" s="3">
        <v>7.26</v>
      </c>
      <c r="C4330" s="1">
        <v>2969429</v>
      </c>
      <c r="D4330" s="3">
        <v>9.9999999999997799E-3</v>
      </c>
      <c r="E4330" s="3">
        <v>0.137931034482763</v>
      </c>
      <c r="F4330" s="3">
        <v>0.137931034482763</v>
      </c>
      <c r="G4330" s="3">
        <v>7.26</v>
      </c>
      <c r="H4330" s="3">
        <v>102.31372214835299</v>
      </c>
      <c r="I4330" s="3">
        <v>7.23</v>
      </c>
      <c r="J4330" s="3">
        <v>7.48</v>
      </c>
      <c r="K4330" s="3">
        <v>6.76</v>
      </c>
      <c r="L4330" s="3">
        <v>102.31372214835299</v>
      </c>
    </row>
    <row r="4331" spans="1:12" ht="15" customHeight="1" x14ac:dyDescent="0.2">
      <c r="A4331" s="2">
        <v>39764</v>
      </c>
      <c r="B4331" s="3">
        <v>7.25</v>
      </c>
      <c r="C4331" s="1">
        <v>1168456</v>
      </c>
      <c r="D4331" s="3">
        <v>-0.5</v>
      </c>
      <c r="E4331" s="3">
        <v>-6.4516129032258096</v>
      </c>
      <c r="F4331" s="3">
        <v>-6.4516129032258096</v>
      </c>
      <c r="G4331" s="3">
        <v>7.25</v>
      </c>
      <c r="H4331" s="3">
        <v>102.035053109581</v>
      </c>
      <c r="I4331" s="3">
        <v>7.6</v>
      </c>
      <c r="J4331" s="3">
        <v>7.61</v>
      </c>
      <c r="K4331" s="3">
        <v>7.25</v>
      </c>
      <c r="L4331" s="3">
        <v>102.035053109581</v>
      </c>
    </row>
    <row r="4332" spans="1:12" ht="15" customHeight="1" x14ac:dyDescent="0.2">
      <c r="A4332" s="2">
        <v>39763</v>
      </c>
      <c r="B4332" s="3">
        <v>7.75</v>
      </c>
      <c r="C4332" s="1">
        <v>1764085</v>
      </c>
      <c r="D4332" s="3">
        <v>-0.13999999999999899</v>
      </c>
      <c r="E4332" s="3">
        <v>-1.7743979721166001</v>
      </c>
      <c r="F4332" s="3">
        <v>-1.7743979721166001</v>
      </c>
      <c r="G4332" s="3">
        <v>7.75</v>
      </c>
      <c r="H4332" s="3">
        <v>115.968505048173</v>
      </c>
      <c r="I4332" s="3">
        <v>7.8</v>
      </c>
      <c r="J4332" s="3">
        <v>8.1300000000000008</v>
      </c>
      <c r="K4332" s="3">
        <v>7.58</v>
      </c>
      <c r="L4332" s="3">
        <v>115.968505048173</v>
      </c>
    </row>
    <row r="4333" spans="1:12" ht="15" customHeight="1" x14ac:dyDescent="0.2">
      <c r="A4333" s="2">
        <v>39762</v>
      </c>
      <c r="B4333" s="3">
        <v>7.89</v>
      </c>
      <c r="C4333" s="1">
        <v>1325204</v>
      </c>
      <c r="D4333" s="3">
        <v>-0.52</v>
      </c>
      <c r="E4333" s="3">
        <v>-6.1831153388822804</v>
      </c>
      <c r="F4333" s="3">
        <v>-6.1831153388822804</v>
      </c>
      <c r="G4333" s="3">
        <v>7.89</v>
      </c>
      <c r="H4333" s="3">
        <v>119.86987159097799</v>
      </c>
      <c r="I4333" s="3">
        <v>8.4600000000000009</v>
      </c>
      <c r="J4333" s="3">
        <v>8.61</v>
      </c>
      <c r="K4333" s="3">
        <v>7.81</v>
      </c>
      <c r="L4333" s="3">
        <v>119.86987159097799</v>
      </c>
    </row>
    <row r="4334" spans="1:12" ht="15" customHeight="1" x14ac:dyDescent="0.2">
      <c r="A4334" s="2">
        <v>39759</v>
      </c>
      <c r="B4334" s="3">
        <v>8.41</v>
      </c>
      <c r="C4334" s="1">
        <v>1233041</v>
      </c>
      <c r="D4334" s="3">
        <v>0.19999999999999901</v>
      </c>
      <c r="E4334" s="3">
        <v>2.4360535931790399</v>
      </c>
      <c r="F4334" s="3">
        <v>2.4360535931790399</v>
      </c>
      <c r="G4334" s="3">
        <v>8.41</v>
      </c>
      <c r="H4334" s="3">
        <v>134.360661607114</v>
      </c>
      <c r="I4334" s="3">
        <v>8.25</v>
      </c>
      <c r="J4334" s="3">
        <v>8.42</v>
      </c>
      <c r="K4334" s="3">
        <v>8.11</v>
      </c>
      <c r="L4334" s="3">
        <v>134.360661607114</v>
      </c>
    </row>
    <row r="4335" spans="1:12" ht="15" customHeight="1" x14ac:dyDescent="0.2">
      <c r="A4335" s="2">
        <v>39758</v>
      </c>
      <c r="B4335" s="3">
        <v>8.2100000000000009</v>
      </c>
      <c r="C4335" s="1">
        <v>1056404</v>
      </c>
      <c r="D4335" s="3">
        <v>-0.439999999999999</v>
      </c>
      <c r="E4335" s="3">
        <v>-5.08670520231213</v>
      </c>
      <c r="F4335" s="3">
        <v>-5.08670520231213</v>
      </c>
      <c r="G4335" s="3">
        <v>8.2100000000000009</v>
      </c>
      <c r="H4335" s="3">
        <v>128.78728083167701</v>
      </c>
      <c r="I4335" s="3">
        <v>8.6</v>
      </c>
      <c r="J4335" s="3">
        <v>8.77</v>
      </c>
      <c r="K4335" s="3">
        <v>8.18</v>
      </c>
      <c r="L4335" s="3">
        <v>128.78728083167701</v>
      </c>
    </row>
    <row r="4336" spans="1:12" ht="15" customHeight="1" x14ac:dyDescent="0.2">
      <c r="A4336" s="2">
        <v>39757</v>
      </c>
      <c r="B4336" s="3">
        <v>8.65</v>
      </c>
      <c r="C4336" s="1">
        <v>1149766</v>
      </c>
      <c r="D4336" s="3">
        <v>-0.34999999999999898</v>
      </c>
      <c r="E4336" s="3">
        <v>-3.88888888888888</v>
      </c>
      <c r="F4336" s="3">
        <v>-3.88888888888888</v>
      </c>
      <c r="G4336" s="3">
        <v>8.65</v>
      </c>
      <c r="H4336" s="3">
        <v>141.048718537638</v>
      </c>
      <c r="I4336" s="3">
        <v>8.8800000000000008</v>
      </c>
      <c r="J4336" s="3">
        <v>9.07</v>
      </c>
      <c r="K4336" s="3">
        <v>8.64</v>
      </c>
      <c r="L4336" s="3">
        <v>141.048718537638</v>
      </c>
    </row>
    <row r="4337" spans="1:12" ht="15" customHeight="1" x14ac:dyDescent="0.2">
      <c r="A4337" s="2">
        <v>39756</v>
      </c>
      <c r="B4337" s="3">
        <v>9</v>
      </c>
      <c r="C4337" s="1">
        <v>1395240</v>
      </c>
      <c r="D4337" s="3">
        <v>2.9999999999999302E-2</v>
      </c>
      <c r="E4337" s="3">
        <v>0.334448160535116</v>
      </c>
      <c r="F4337" s="3">
        <v>0.334448160535116</v>
      </c>
      <c r="G4337" s="3">
        <v>9</v>
      </c>
      <c r="H4337" s="3">
        <v>150.802134894652</v>
      </c>
      <c r="I4337" s="3">
        <v>9.2100000000000009</v>
      </c>
      <c r="J4337" s="3">
        <v>9.2200000000000006</v>
      </c>
      <c r="K4337" s="3">
        <v>8.75</v>
      </c>
      <c r="L4337" s="3">
        <v>150.802134894652</v>
      </c>
    </row>
    <row r="4338" spans="1:12" ht="15" customHeight="1" x14ac:dyDescent="0.2">
      <c r="A4338" s="2">
        <v>39755</v>
      </c>
      <c r="B4338" s="3">
        <v>8.9700000000000006</v>
      </c>
      <c r="C4338" s="1">
        <v>1570363</v>
      </c>
      <c r="D4338" s="3">
        <v>0.16999999999999901</v>
      </c>
      <c r="E4338" s="3">
        <v>1.9318181818181701</v>
      </c>
      <c r="F4338" s="3">
        <v>1.9318181818181701</v>
      </c>
      <c r="G4338" s="3">
        <v>8.9700000000000006</v>
      </c>
      <c r="H4338" s="3">
        <v>149.96612777833701</v>
      </c>
      <c r="I4338" s="3">
        <v>8.76</v>
      </c>
      <c r="J4338" s="3">
        <v>9.11</v>
      </c>
      <c r="K4338" s="3">
        <v>8.6999999999999993</v>
      </c>
      <c r="L4338" s="3">
        <v>149.96612777833701</v>
      </c>
    </row>
    <row r="4339" spans="1:12" ht="15" customHeight="1" x14ac:dyDescent="0.2">
      <c r="A4339" s="2">
        <v>39752</v>
      </c>
      <c r="B4339" s="3">
        <v>8.8000000000000007</v>
      </c>
      <c r="C4339" s="1">
        <v>2245454</v>
      </c>
      <c r="D4339" s="3">
        <v>5.0000000000000697E-2</v>
      </c>
      <c r="E4339" s="3">
        <v>0.57142857142857795</v>
      </c>
      <c r="F4339" s="3">
        <v>0.57142857142857795</v>
      </c>
      <c r="G4339" s="3">
        <v>8.8000000000000007</v>
      </c>
      <c r="H4339" s="3">
        <v>145.22875411921601</v>
      </c>
      <c r="I4339" s="3">
        <v>8.75</v>
      </c>
      <c r="J4339" s="3">
        <v>8.99</v>
      </c>
      <c r="K4339" s="3">
        <v>8.57</v>
      </c>
      <c r="L4339" s="3">
        <v>145.22875411921601</v>
      </c>
    </row>
    <row r="4340" spans="1:12" ht="15" customHeight="1" x14ac:dyDescent="0.2">
      <c r="A4340" s="2">
        <v>39751</v>
      </c>
      <c r="B4340" s="3">
        <v>8.75</v>
      </c>
      <c r="C4340" s="1">
        <v>2680195</v>
      </c>
      <c r="D4340" s="3">
        <v>0.56000000000000005</v>
      </c>
      <c r="E4340" s="3">
        <v>6.8376068376068302</v>
      </c>
      <c r="F4340" s="3">
        <v>6.8376068376068302</v>
      </c>
      <c r="G4340" s="3">
        <v>8.75</v>
      </c>
      <c r="H4340" s="3">
        <v>143.83540892535601</v>
      </c>
      <c r="I4340" s="3">
        <v>8.49</v>
      </c>
      <c r="J4340" s="3">
        <v>8.7799999999999994</v>
      </c>
      <c r="K4340" s="3">
        <v>8.26</v>
      </c>
      <c r="L4340" s="3">
        <v>143.83540892535601</v>
      </c>
    </row>
    <row r="4341" spans="1:12" ht="15" customHeight="1" x14ac:dyDescent="0.2">
      <c r="A4341" s="2">
        <v>39750</v>
      </c>
      <c r="B4341" s="3">
        <v>8.19</v>
      </c>
      <c r="C4341" s="1">
        <v>2925055</v>
      </c>
      <c r="D4341" s="3">
        <v>0.19499999999999901</v>
      </c>
      <c r="E4341" s="3">
        <v>2.4390243902439002</v>
      </c>
      <c r="F4341" s="3">
        <v>2.4390243902439002</v>
      </c>
      <c r="G4341" s="3">
        <v>8.19</v>
      </c>
      <c r="H4341" s="3">
        <v>128.22994275413399</v>
      </c>
      <c r="I4341" s="3">
        <v>8.02</v>
      </c>
      <c r="J4341" s="3">
        <v>8.48</v>
      </c>
      <c r="K4341" s="3">
        <v>7.96</v>
      </c>
      <c r="L4341" s="3">
        <v>128.22994275413399</v>
      </c>
    </row>
    <row r="4342" spans="1:12" ht="15" customHeight="1" x14ac:dyDescent="0.2">
      <c r="A4342" s="2">
        <v>39749</v>
      </c>
      <c r="B4342" s="3">
        <v>7.9950000000000001</v>
      </c>
      <c r="C4342" s="1">
        <v>2834729</v>
      </c>
      <c r="D4342" s="3">
        <v>-0.38500000000000001</v>
      </c>
      <c r="E4342" s="3">
        <v>-4.5942720763723104</v>
      </c>
      <c r="F4342" s="3">
        <v>-4.5942720763723104</v>
      </c>
      <c r="G4342" s="3">
        <v>7.9950000000000001</v>
      </c>
      <c r="H4342" s="3">
        <v>122.795896498083</v>
      </c>
      <c r="I4342" s="3">
        <v>8.5299999999999994</v>
      </c>
      <c r="J4342" s="3">
        <v>8.7245000000000008</v>
      </c>
      <c r="K4342" s="3">
        <v>7.72</v>
      </c>
      <c r="L4342" s="3">
        <v>122.795896498083</v>
      </c>
    </row>
    <row r="4343" spans="1:12" ht="15" customHeight="1" x14ac:dyDescent="0.2">
      <c r="A4343" s="2">
        <v>39748</v>
      </c>
      <c r="B4343" s="3">
        <v>8.3800000000000008</v>
      </c>
      <c r="C4343" s="1">
        <v>1685750</v>
      </c>
      <c r="D4343" s="3">
        <v>-0.149999999999998</v>
      </c>
      <c r="E4343" s="3">
        <v>-1.7584994138335099</v>
      </c>
      <c r="F4343" s="3">
        <v>-1.7584994138335099</v>
      </c>
      <c r="G4343" s="3">
        <v>8.3800000000000008</v>
      </c>
      <c r="H4343" s="3">
        <v>133.52465449079801</v>
      </c>
      <c r="I4343" s="3">
        <v>8.5</v>
      </c>
      <c r="J4343" s="3">
        <v>8.9</v>
      </c>
      <c r="K4343" s="3">
        <v>8.3699999999999992</v>
      </c>
      <c r="L4343" s="3">
        <v>133.52465449079801</v>
      </c>
    </row>
    <row r="4344" spans="1:12" ht="15" customHeight="1" x14ac:dyDescent="0.2">
      <c r="A4344" s="2">
        <v>39745</v>
      </c>
      <c r="B4344" s="3">
        <v>8.5299999999999994</v>
      </c>
      <c r="C4344" s="1">
        <v>2545310</v>
      </c>
      <c r="D4344" s="3">
        <v>-1.1599999999999999</v>
      </c>
      <c r="E4344" s="3">
        <v>-11.9711042311661</v>
      </c>
      <c r="F4344" s="3">
        <v>-11.9711042311661</v>
      </c>
      <c r="G4344" s="3">
        <v>8.5299999999999994</v>
      </c>
      <c r="H4344" s="3">
        <v>137.704690072376</v>
      </c>
      <c r="I4344" s="3">
        <v>8.91</v>
      </c>
      <c r="J4344" s="3">
        <v>8.99</v>
      </c>
      <c r="K4344" s="3">
        <v>8.39</v>
      </c>
      <c r="L4344" s="3">
        <v>137.704690072376</v>
      </c>
    </row>
    <row r="4345" spans="1:12" ht="15" customHeight="1" x14ac:dyDescent="0.2">
      <c r="A4345" s="2">
        <v>39744</v>
      </c>
      <c r="B4345" s="3">
        <v>9.69</v>
      </c>
      <c r="C4345" s="1">
        <v>2603010</v>
      </c>
      <c r="D4345" s="3">
        <v>0.109999999999999</v>
      </c>
      <c r="E4345" s="3">
        <v>1.1482254697285901</v>
      </c>
      <c r="F4345" s="3">
        <v>1.1482254697285901</v>
      </c>
      <c r="G4345" s="3">
        <v>9.69</v>
      </c>
      <c r="H4345" s="3">
        <v>170.03029856990901</v>
      </c>
      <c r="I4345" s="3">
        <v>9.66</v>
      </c>
      <c r="J4345" s="3">
        <v>9.92</v>
      </c>
      <c r="K4345" s="3">
        <v>9.2799999999999994</v>
      </c>
      <c r="L4345" s="3">
        <v>170.03029856990901</v>
      </c>
    </row>
    <row r="4346" spans="1:12" ht="15" customHeight="1" x14ac:dyDescent="0.2">
      <c r="A4346" s="2">
        <v>39743</v>
      </c>
      <c r="B4346" s="3">
        <v>9.58</v>
      </c>
      <c r="C4346" s="1">
        <v>2668364</v>
      </c>
      <c r="D4346" s="3">
        <v>-0.24</v>
      </c>
      <c r="E4346" s="3">
        <v>-2.4439918533604899</v>
      </c>
      <c r="F4346" s="3">
        <v>-2.4439918533604899</v>
      </c>
      <c r="G4346" s="3">
        <v>9.58</v>
      </c>
      <c r="H4346" s="3">
        <v>166.964939143419</v>
      </c>
      <c r="I4346" s="3">
        <v>9.6</v>
      </c>
      <c r="J4346" s="3">
        <v>9.75</v>
      </c>
      <c r="K4346" s="3">
        <v>9.3000000000000007</v>
      </c>
      <c r="L4346" s="3">
        <v>166.964939143419</v>
      </c>
    </row>
    <row r="4347" spans="1:12" ht="15" customHeight="1" x14ac:dyDescent="0.2">
      <c r="A4347" s="2">
        <v>39742</v>
      </c>
      <c r="B4347" s="3">
        <v>9.82</v>
      </c>
      <c r="C4347" s="1">
        <v>1565507</v>
      </c>
      <c r="D4347" s="3">
        <v>-0.66</v>
      </c>
      <c r="E4347" s="3">
        <v>-6.2977099236641099</v>
      </c>
      <c r="F4347" s="3">
        <v>-6.2977099236641099</v>
      </c>
      <c r="G4347" s="3">
        <v>9.82</v>
      </c>
      <c r="H4347" s="3">
        <v>173.652996073943</v>
      </c>
      <c r="I4347" s="3">
        <v>10</v>
      </c>
      <c r="J4347" s="3">
        <v>10.35</v>
      </c>
      <c r="K4347" s="3">
        <v>9.76</v>
      </c>
      <c r="L4347" s="3">
        <v>173.652996073943</v>
      </c>
    </row>
    <row r="4348" spans="1:12" ht="15" customHeight="1" x14ac:dyDescent="0.2">
      <c r="A4348" s="2">
        <v>39741</v>
      </c>
      <c r="B4348" s="3">
        <v>10.48</v>
      </c>
      <c r="C4348" s="1">
        <v>1566872</v>
      </c>
      <c r="D4348" s="3">
        <v>0.59999999999999898</v>
      </c>
      <c r="E4348" s="3">
        <v>6.0728744939271202</v>
      </c>
      <c r="F4348" s="3">
        <v>6.0728744939271202</v>
      </c>
      <c r="G4348" s="3">
        <v>10.48</v>
      </c>
      <c r="H4348" s="3">
        <v>192.045152632884</v>
      </c>
      <c r="I4348" s="3">
        <v>10</v>
      </c>
      <c r="J4348" s="3">
        <v>10.51</v>
      </c>
      <c r="K4348" s="3">
        <v>10</v>
      </c>
      <c r="L4348" s="3">
        <v>192.045152632884</v>
      </c>
    </row>
    <row r="4349" spans="1:12" ht="15" customHeight="1" x14ac:dyDescent="0.2">
      <c r="A4349" s="2">
        <v>39738</v>
      </c>
      <c r="B4349" s="3">
        <v>9.8800000000000008</v>
      </c>
      <c r="C4349" s="1">
        <v>1683930</v>
      </c>
      <c r="D4349" s="3">
        <v>-9.9999999999997799E-3</v>
      </c>
      <c r="E4349" s="3">
        <v>-0.10111223458038</v>
      </c>
      <c r="F4349" s="3">
        <v>-0.10111223458038</v>
      </c>
      <c r="G4349" s="3">
        <v>9.8800000000000008</v>
      </c>
      <c r="H4349" s="3">
        <v>175.325010306574</v>
      </c>
      <c r="I4349" s="3">
        <v>9.5500000000000007</v>
      </c>
      <c r="J4349" s="3">
        <v>12.05</v>
      </c>
      <c r="K4349" s="3">
        <v>9.34</v>
      </c>
      <c r="L4349" s="3">
        <v>175.325010306574</v>
      </c>
    </row>
    <row r="4350" spans="1:12" ht="15" customHeight="1" x14ac:dyDescent="0.2">
      <c r="A4350" s="2">
        <v>39737</v>
      </c>
      <c r="B4350" s="3">
        <v>9.89</v>
      </c>
      <c r="C4350" s="1">
        <v>2893856</v>
      </c>
      <c r="D4350" s="3">
        <v>-1.9999999999999501E-2</v>
      </c>
      <c r="E4350" s="3">
        <v>-0.201816347124117</v>
      </c>
      <c r="F4350" s="3">
        <v>-0.201816347124117</v>
      </c>
      <c r="G4350" s="3">
        <v>9.89</v>
      </c>
      <c r="H4350" s="3">
        <v>175.60367934534599</v>
      </c>
      <c r="I4350" s="3">
        <v>9.9700000000000006</v>
      </c>
      <c r="J4350" s="3">
        <v>10.1</v>
      </c>
      <c r="K4350" s="3">
        <v>9.2799999999999994</v>
      </c>
      <c r="L4350" s="3">
        <v>175.60367934534599</v>
      </c>
    </row>
    <row r="4351" spans="1:12" ht="15" customHeight="1" x14ac:dyDescent="0.2">
      <c r="A4351" s="2">
        <v>39736</v>
      </c>
      <c r="B4351" s="3">
        <v>9.91</v>
      </c>
      <c r="C4351" s="1">
        <v>2797128</v>
      </c>
      <c r="D4351" s="3">
        <v>-0.89</v>
      </c>
      <c r="E4351" s="3">
        <v>-8.2407407407407405</v>
      </c>
      <c r="F4351" s="3">
        <v>-8.2407407407407405</v>
      </c>
      <c r="G4351" s="3">
        <v>9.91</v>
      </c>
      <c r="H4351" s="3">
        <v>176.16101742288899</v>
      </c>
      <c r="I4351" s="3">
        <v>10.73</v>
      </c>
      <c r="J4351" s="3">
        <v>10.75</v>
      </c>
      <c r="K4351" s="3">
        <v>9.6999999999999993</v>
      </c>
      <c r="L4351" s="3">
        <v>176.16101742288899</v>
      </c>
    </row>
    <row r="4352" spans="1:12" ht="15" customHeight="1" x14ac:dyDescent="0.2">
      <c r="A4352" s="2">
        <v>39735</v>
      </c>
      <c r="B4352" s="3">
        <v>10.8</v>
      </c>
      <c r="C4352" s="1">
        <v>1689810</v>
      </c>
      <c r="D4352" s="3">
        <v>-0.91999999999999904</v>
      </c>
      <c r="E4352" s="3">
        <v>-7.8498293515358304</v>
      </c>
      <c r="F4352" s="3">
        <v>-7.8498293515358304</v>
      </c>
      <c r="G4352" s="3">
        <v>10.8</v>
      </c>
      <c r="H4352" s="3">
        <v>200.96256187358301</v>
      </c>
      <c r="I4352" s="3">
        <v>11.79</v>
      </c>
      <c r="J4352" s="3">
        <v>11.9</v>
      </c>
      <c r="K4352" s="3">
        <v>10.52</v>
      </c>
      <c r="L4352" s="3">
        <v>200.96256187358301</v>
      </c>
    </row>
    <row r="4353" spans="1:12" ht="15" customHeight="1" x14ac:dyDescent="0.2">
      <c r="A4353" s="2">
        <v>39734</v>
      </c>
      <c r="B4353" s="3">
        <v>11.72</v>
      </c>
      <c r="C4353" s="1">
        <v>1538387</v>
      </c>
      <c r="D4353" s="3">
        <v>0.75999999999999901</v>
      </c>
      <c r="E4353" s="3">
        <v>6.9343065693430601</v>
      </c>
      <c r="F4353" s="3">
        <v>6.9343065693430601</v>
      </c>
      <c r="G4353" s="3">
        <v>11.72</v>
      </c>
      <c r="H4353" s="3">
        <v>226.600113440592</v>
      </c>
      <c r="I4353" s="3">
        <v>11.39</v>
      </c>
      <c r="J4353" s="3">
        <v>11.74</v>
      </c>
      <c r="K4353" s="3">
        <v>11.06</v>
      </c>
      <c r="L4353" s="3">
        <v>226.600113440592</v>
      </c>
    </row>
    <row r="4354" spans="1:12" ht="15" customHeight="1" x14ac:dyDescent="0.2">
      <c r="A4354" s="2">
        <v>39731</v>
      </c>
      <c r="B4354" s="3">
        <v>10.96</v>
      </c>
      <c r="C4354" s="1">
        <v>3358601</v>
      </c>
      <c r="D4354" s="3">
        <v>6.0000000000000497E-2</v>
      </c>
      <c r="E4354" s="3">
        <v>0.55045871559633497</v>
      </c>
      <c r="F4354" s="3">
        <v>0.55045871559633497</v>
      </c>
      <c r="G4354" s="3">
        <v>10.96</v>
      </c>
      <c r="H4354" s="3">
        <v>205.421266493932</v>
      </c>
      <c r="I4354" s="3">
        <v>10.74</v>
      </c>
      <c r="J4354" s="3">
        <v>11.31</v>
      </c>
      <c r="K4354" s="3">
        <v>9.84</v>
      </c>
      <c r="L4354" s="3">
        <v>205.421266493932</v>
      </c>
    </row>
    <row r="4355" spans="1:12" ht="15" customHeight="1" x14ac:dyDescent="0.2">
      <c r="A4355" s="2">
        <v>39730</v>
      </c>
      <c r="B4355" s="3">
        <v>10.9</v>
      </c>
      <c r="C4355" s="1">
        <v>2105291</v>
      </c>
      <c r="D4355" s="3">
        <v>-0.68999999999999895</v>
      </c>
      <c r="E4355" s="3">
        <v>-5.9534081104400203</v>
      </c>
      <c r="F4355" s="3">
        <v>-5.9534081104400203</v>
      </c>
      <c r="G4355" s="3">
        <v>10.9</v>
      </c>
      <c r="H4355" s="3">
        <v>203.749252261301</v>
      </c>
      <c r="I4355" s="3">
        <v>11.63</v>
      </c>
      <c r="J4355" s="3">
        <v>11.84</v>
      </c>
      <c r="K4355" s="3">
        <v>10.9</v>
      </c>
      <c r="L4355" s="3">
        <v>203.749252261301</v>
      </c>
    </row>
    <row r="4356" spans="1:12" ht="15" customHeight="1" x14ac:dyDescent="0.2">
      <c r="A4356" s="2">
        <v>39729</v>
      </c>
      <c r="B4356" s="3">
        <v>11.59</v>
      </c>
      <c r="C4356" s="1">
        <v>2369225</v>
      </c>
      <c r="D4356" s="3">
        <v>-0.15</v>
      </c>
      <c r="E4356" s="3">
        <v>-1.2776831345826301</v>
      </c>
      <c r="F4356" s="3">
        <v>-1.2776831345826301</v>
      </c>
      <c r="G4356" s="3">
        <v>11.59</v>
      </c>
      <c r="H4356" s="3">
        <v>222.977415936558</v>
      </c>
      <c r="I4356" s="3">
        <v>11.46</v>
      </c>
      <c r="J4356" s="3">
        <v>12.08</v>
      </c>
      <c r="K4356" s="3">
        <v>11.34</v>
      </c>
      <c r="L4356" s="3">
        <v>222.977415936558</v>
      </c>
    </row>
    <row r="4357" spans="1:12" ht="15" customHeight="1" x14ac:dyDescent="0.2">
      <c r="A4357" s="2">
        <v>39728</v>
      </c>
      <c r="B4357" s="3">
        <v>11.74</v>
      </c>
      <c r="C4357" s="1">
        <v>1906988</v>
      </c>
      <c r="D4357" s="3">
        <v>-0.42999999999999899</v>
      </c>
      <c r="E4357" s="3">
        <v>-3.5332785538208702</v>
      </c>
      <c r="F4357" s="3">
        <v>-3.5332785538208702</v>
      </c>
      <c r="G4357" s="3">
        <v>11.74</v>
      </c>
      <c r="H4357" s="3">
        <v>227.15745151813499</v>
      </c>
      <c r="I4357" s="3">
        <v>12.16</v>
      </c>
      <c r="J4357" s="3">
        <v>12.31</v>
      </c>
      <c r="K4357" s="3">
        <v>11.6</v>
      </c>
      <c r="L4357" s="3">
        <v>227.15745151813499</v>
      </c>
    </row>
    <row r="4358" spans="1:12" ht="15" customHeight="1" x14ac:dyDescent="0.2">
      <c r="A4358" s="2">
        <v>39727</v>
      </c>
      <c r="B4358" s="3">
        <v>12.17</v>
      </c>
      <c r="C4358" s="1">
        <v>2543312</v>
      </c>
      <c r="D4358" s="3">
        <v>-0.63</v>
      </c>
      <c r="E4358" s="3">
        <v>-4.921875</v>
      </c>
      <c r="F4358" s="3">
        <v>-4.921875</v>
      </c>
      <c r="G4358" s="3">
        <v>12.17</v>
      </c>
      <c r="H4358" s="3">
        <v>239.14022018532401</v>
      </c>
      <c r="I4358" s="3">
        <v>12.57</v>
      </c>
      <c r="J4358" s="3">
        <v>12.57</v>
      </c>
      <c r="K4358" s="3">
        <v>11.587999999999999</v>
      </c>
      <c r="L4358" s="3">
        <v>239.14022018532401</v>
      </c>
    </row>
    <row r="4359" spans="1:12" ht="15" customHeight="1" x14ac:dyDescent="0.2">
      <c r="A4359" s="2">
        <v>39724</v>
      </c>
      <c r="B4359" s="3">
        <v>12.8</v>
      </c>
      <c r="C4359" s="1">
        <v>2304424</v>
      </c>
      <c r="D4359" s="3">
        <v>-1.02999999999999</v>
      </c>
      <c r="E4359" s="3">
        <v>-7.4475777295733803</v>
      </c>
      <c r="F4359" s="3">
        <v>-7.4475777295733803</v>
      </c>
      <c r="G4359" s="3">
        <v>12.8</v>
      </c>
      <c r="H4359" s="3">
        <v>256.69636962794999</v>
      </c>
      <c r="I4359" s="3">
        <v>13.98</v>
      </c>
      <c r="J4359" s="3">
        <v>14</v>
      </c>
      <c r="K4359" s="3">
        <v>12.72</v>
      </c>
      <c r="L4359" s="3">
        <v>256.69636962794999</v>
      </c>
    </row>
    <row r="4360" spans="1:12" ht="15" customHeight="1" x14ac:dyDescent="0.2">
      <c r="A4360" s="2">
        <v>39723</v>
      </c>
      <c r="B4360" s="3">
        <v>13.83</v>
      </c>
      <c r="C4360" s="1">
        <v>1055365</v>
      </c>
      <c r="D4360" s="3">
        <v>-0.67999999999999905</v>
      </c>
      <c r="E4360" s="3">
        <v>-4.6864231564438299</v>
      </c>
      <c r="F4360" s="3">
        <v>-4.6864231564438299</v>
      </c>
      <c r="G4360" s="3">
        <v>13.83</v>
      </c>
      <c r="H4360" s="3">
        <v>285.39928062144901</v>
      </c>
      <c r="I4360" s="3">
        <v>14.34</v>
      </c>
      <c r="J4360" s="3">
        <v>14.5</v>
      </c>
      <c r="K4360" s="3">
        <v>13.52</v>
      </c>
      <c r="L4360" s="3">
        <v>285.39928062144901</v>
      </c>
    </row>
    <row r="4361" spans="1:12" ht="15" customHeight="1" x14ac:dyDescent="0.2">
      <c r="A4361" s="2">
        <v>39722</v>
      </c>
      <c r="B4361" s="3">
        <v>14.51</v>
      </c>
      <c r="C4361" s="1">
        <v>692123</v>
      </c>
      <c r="D4361" s="3">
        <v>-0.109999999999999</v>
      </c>
      <c r="E4361" s="3">
        <v>-0.75239398084815301</v>
      </c>
      <c r="F4361" s="3">
        <v>-0.75239398084815301</v>
      </c>
      <c r="G4361" s="3">
        <v>14.51</v>
      </c>
      <c r="H4361" s="3">
        <v>304.34877525793399</v>
      </c>
      <c r="I4361" s="3">
        <v>14.47</v>
      </c>
      <c r="J4361" s="3">
        <v>14.82</v>
      </c>
      <c r="K4361" s="3">
        <v>14.32</v>
      </c>
      <c r="L4361" s="3">
        <v>304.34877525793399</v>
      </c>
    </row>
    <row r="4362" spans="1:12" ht="15" customHeight="1" x14ac:dyDescent="0.2">
      <c r="A4362" s="2">
        <v>39721</v>
      </c>
      <c r="B4362" s="3">
        <v>14.62</v>
      </c>
      <c r="C4362" s="1">
        <v>784345</v>
      </c>
      <c r="D4362" s="3">
        <v>0.47999999999999798</v>
      </c>
      <c r="E4362" s="3">
        <v>3.3946251768033702</v>
      </c>
      <c r="F4362" s="3">
        <v>3.3946251768033702</v>
      </c>
      <c r="G4362" s="3">
        <v>14.62</v>
      </c>
      <c r="H4362" s="3">
        <v>307.41413468442403</v>
      </c>
      <c r="I4362" s="3">
        <v>14.4</v>
      </c>
      <c r="J4362" s="3">
        <v>15</v>
      </c>
      <c r="K4362" s="3">
        <v>14.05</v>
      </c>
      <c r="L4362" s="3">
        <v>307.41413468442403</v>
      </c>
    </row>
    <row r="4363" spans="1:12" ht="15" customHeight="1" x14ac:dyDescent="0.2">
      <c r="A4363" s="2">
        <v>39720</v>
      </c>
      <c r="B4363" s="3">
        <v>14.14</v>
      </c>
      <c r="C4363" s="1">
        <v>1253616</v>
      </c>
      <c r="D4363" s="3">
        <v>-1.01999999999999</v>
      </c>
      <c r="E4363" s="3">
        <v>-6.7282321899736104</v>
      </c>
      <c r="F4363" s="3">
        <v>-6.7282321899736104</v>
      </c>
      <c r="G4363" s="3">
        <v>14.14</v>
      </c>
      <c r="H4363" s="3">
        <v>294.03802082337597</v>
      </c>
      <c r="I4363" s="3">
        <v>14.81</v>
      </c>
      <c r="J4363" s="3">
        <v>15.17</v>
      </c>
      <c r="K4363" s="3">
        <v>14.12</v>
      </c>
      <c r="L4363" s="3">
        <v>294.03802082337597</v>
      </c>
    </row>
    <row r="4364" spans="1:12" ht="15" customHeight="1" x14ac:dyDescent="0.2">
      <c r="A4364" s="2">
        <v>39717</v>
      </c>
      <c r="B4364" s="3">
        <v>15.16</v>
      </c>
      <c r="C4364" s="1">
        <v>1958043</v>
      </c>
      <c r="D4364" s="3">
        <v>2.9999999999999302E-2</v>
      </c>
      <c r="E4364" s="3">
        <v>0.198281559814939</v>
      </c>
      <c r="F4364" s="3">
        <v>0.198281559814939</v>
      </c>
      <c r="G4364" s="3">
        <v>15.16</v>
      </c>
      <c r="H4364" s="3">
        <v>322.46226277810399</v>
      </c>
      <c r="I4364" s="3">
        <v>14.93</v>
      </c>
      <c r="J4364" s="3">
        <v>15.41</v>
      </c>
      <c r="K4364" s="3">
        <v>14.93</v>
      </c>
      <c r="L4364" s="3">
        <v>322.46226277810399</v>
      </c>
    </row>
    <row r="4365" spans="1:12" ht="15" customHeight="1" x14ac:dyDescent="0.2">
      <c r="A4365" s="2">
        <v>39716</v>
      </c>
      <c r="B4365" s="3">
        <v>15.13</v>
      </c>
      <c r="C4365" s="1">
        <v>1529572</v>
      </c>
      <c r="D4365" s="3">
        <v>0.28000000000000103</v>
      </c>
      <c r="E4365" s="3">
        <v>1.88552188552189</v>
      </c>
      <c r="F4365" s="3">
        <v>1.88552188552189</v>
      </c>
      <c r="G4365" s="3">
        <v>15.13</v>
      </c>
      <c r="H4365" s="3">
        <v>321.62625566178798</v>
      </c>
      <c r="I4365" s="3">
        <v>15</v>
      </c>
      <c r="J4365" s="3">
        <v>15.34</v>
      </c>
      <c r="K4365" s="3">
        <v>14.99</v>
      </c>
      <c r="L4365" s="3">
        <v>321.62625566178798</v>
      </c>
    </row>
    <row r="4366" spans="1:12" ht="15" customHeight="1" x14ac:dyDescent="0.2">
      <c r="A4366" s="2">
        <v>39715</v>
      </c>
      <c r="B4366" s="3">
        <v>14.85</v>
      </c>
      <c r="C4366" s="1">
        <v>959356</v>
      </c>
      <c r="D4366" s="3">
        <v>-0.5</v>
      </c>
      <c r="E4366" s="3">
        <v>-3.25732899022801</v>
      </c>
      <c r="F4366" s="3">
        <v>-3.25732899022801</v>
      </c>
      <c r="G4366" s="3">
        <v>14.85</v>
      </c>
      <c r="H4366" s="3">
        <v>313.82352257617703</v>
      </c>
      <c r="I4366" s="3">
        <v>15.36</v>
      </c>
      <c r="J4366" s="3">
        <v>15.83</v>
      </c>
      <c r="K4366" s="3">
        <v>14.77</v>
      </c>
      <c r="L4366" s="3">
        <v>313.82352257617703</v>
      </c>
    </row>
    <row r="4367" spans="1:12" ht="15" customHeight="1" x14ac:dyDescent="0.2">
      <c r="A4367" s="2">
        <v>39714</v>
      </c>
      <c r="B4367" s="3">
        <v>15.35</v>
      </c>
      <c r="C4367" s="1">
        <v>1146849</v>
      </c>
      <c r="D4367" s="3">
        <v>-4.0000000000000903E-2</v>
      </c>
      <c r="E4367" s="3">
        <v>-0.25990903183886699</v>
      </c>
      <c r="F4367" s="3">
        <v>-0.25990903183886699</v>
      </c>
      <c r="G4367" s="3">
        <v>15.35</v>
      </c>
      <c r="H4367" s="3">
        <v>327.75697451476799</v>
      </c>
      <c r="I4367" s="3">
        <v>15.5</v>
      </c>
      <c r="J4367" s="3">
        <v>15.9</v>
      </c>
      <c r="K4367" s="3">
        <v>15.26</v>
      </c>
      <c r="L4367" s="3">
        <v>327.75697451476799</v>
      </c>
    </row>
    <row r="4368" spans="1:12" ht="15" customHeight="1" x14ac:dyDescent="0.2">
      <c r="A4368" s="2">
        <v>39713</v>
      </c>
      <c r="B4368" s="3">
        <v>15.39</v>
      </c>
      <c r="C4368" s="1">
        <v>1266914</v>
      </c>
      <c r="D4368" s="3">
        <v>-1.55</v>
      </c>
      <c r="E4368" s="3">
        <v>-9.1499409681227899</v>
      </c>
      <c r="F4368" s="3">
        <v>-9.1499409681227899</v>
      </c>
      <c r="G4368" s="3">
        <v>15.39</v>
      </c>
      <c r="H4368" s="3">
        <v>328.87165066985602</v>
      </c>
      <c r="I4368" s="3">
        <v>16.690000000000001</v>
      </c>
      <c r="J4368" s="3">
        <v>16.88</v>
      </c>
      <c r="K4368" s="3">
        <v>15.35</v>
      </c>
      <c r="L4368" s="3">
        <v>328.87165066985602</v>
      </c>
    </row>
    <row r="4369" spans="1:12" ht="15" customHeight="1" x14ac:dyDescent="0.2">
      <c r="A4369" s="2">
        <v>39710</v>
      </c>
      <c r="B4369" s="3">
        <v>16.940000000000001</v>
      </c>
      <c r="C4369" s="1">
        <v>3541225</v>
      </c>
      <c r="D4369" s="3">
        <v>0.20000000000000201</v>
      </c>
      <c r="E4369" s="3">
        <v>1.1947431302270199</v>
      </c>
      <c r="F4369" s="3">
        <v>1.1947431302270199</v>
      </c>
      <c r="G4369" s="3">
        <v>16.940000000000001</v>
      </c>
      <c r="H4369" s="3">
        <v>372.06535167948999</v>
      </c>
      <c r="I4369" s="3">
        <v>17.7</v>
      </c>
      <c r="J4369" s="3">
        <v>18.37</v>
      </c>
      <c r="K4369" s="3">
        <v>16.32</v>
      </c>
      <c r="L4369" s="3">
        <v>372.06535167948999</v>
      </c>
    </row>
    <row r="4370" spans="1:12" ht="15" customHeight="1" x14ac:dyDescent="0.2">
      <c r="A4370" s="2">
        <v>39709</v>
      </c>
      <c r="B4370" s="3">
        <v>16.739999999999998</v>
      </c>
      <c r="C4370" s="1">
        <v>3602797</v>
      </c>
      <c r="D4370" s="3">
        <v>1.97999999999999</v>
      </c>
      <c r="E4370" s="3">
        <v>13.414634146341401</v>
      </c>
      <c r="F4370" s="3">
        <v>13.414634146341401</v>
      </c>
      <c r="G4370" s="3">
        <v>16.739999999999998</v>
      </c>
      <c r="H4370" s="3">
        <v>366.49197090405403</v>
      </c>
      <c r="I4370" s="3">
        <v>15</v>
      </c>
      <c r="J4370" s="3">
        <v>16.88</v>
      </c>
      <c r="K4370" s="3">
        <v>14.95</v>
      </c>
      <c r="L4370" s="3">
        <v>366.49197090405403</v>
      </c>
    </row>
    <row r="4371" spans="1:12" ht="15" customHeight="1" x14ac:dyDescent="0.2">
      <c r="A4371" s="2">
        <v>39708</v>
      </c>
      <c r="B4371" s="3">
        <v>14.76</v>
      </c>
      <c r="C4371" s="1">
        <v>2633141</v>
      </c>
      <c r="D4371" s="3">
        <v>6.0000000000000497E-2</v>
      </c>
      <c r="E4371" s="3">
        <v>0.40816326530612701</v>
      </c>
      <c r="F4371" s="3">
        <v>0.40816326530612701</v>
      </c>
      <c r="G4371" s="3">
        <v>14.76</v>
      </c>
      <c r="H4371" s="3">
        <v>311.31550122723002</v>
      </c>
      <c r="I4371" s="3">
        <v>14.71</v>
      </c>
      <c r="J4371" s="3">
        <v>14.95</v>
      </c>
      <c r="K4371" s="3">
        <v>14.2</v>
      </c>
      <c r="L4371" s="3">
        <v>311.31550122723002</v>
      </c>
    </row>
    <row r="4372" spans="1:12" ht="15" customHeight="1" x14ac:dyDescent="0.2">
      <c r="A4372" s="2">
        <v>39707</v>
      </c>
      <c r="B4372" s="3">
        <v>14.7</v>
      </c>
      <c r="C4372" s="1">
        <v>1966576</v>
      </c>
      <c r="D4372" s="3">
        <v>0.53999999999999904</v>
      </c>
      <c r="E4372" s="3">
        <v>3.8135593220338802</v>
      </c>
      <c r="F4372" s="3">
        <v>3.8135593220338802</v>
      </c>
      <c r="G4372" s="3">
        <v>14.7</v>
      </c>
      <c r="H4372" s="3">
        <v>309.64348699459902</v>
      </c>
      <c r="I4372" s="3">
        <v>14.1</v>
      </c>
      <c r="J4372" s="3">
        <v>14.77</v>
      </c>
      <c r="K4372" s="3">
        <v>14.1</v>
      </c>
      <c r="L4372" s="3">
        <v>309.64348699459902</v>
      </c>
    </row>
    <row r="4373" spans="1:12" ht="15" customHeight="1" x14ac:dyDescent="0.2">
      <c r="A4373" s="2">
        <v>39706</v>
      </c>
      <c r="B4373" s="3">
        <v>14.16</v>
      </c>
      <c r="C4373" s="1">
        <v>1353741</v>
      </c>
      <c r="D4373" s="3">
        <v>-0.39</v>
      </c>
      <c r="E4373" s="3">
        <v>-2.68041237113402</v>
      </c>
      <c r="F4373" s="3">
        <v>-2.68041237113402</v>
      </c>
      <c r="G4373" s="3">
        <v>14.16</v>
      </c>
      <c r="H4373" s="3">
        <v>294.59535890092002</v>
      </c>
      <c r="I4373" s="3">
        <v>14</v>
      </c>
      <c r="J4373" s="3">
        <v>14.76</v>
      </c>
      <c r="K4373" s="3">
        <v>13.85</v>
      </c>
      <c r="L4373" s="3">
        <v>294.59535890092002</v>
      </c>
    </row>
    <row r="4374" spans="1:12" ht="15" customHeight="1" x14ac:dyDescent="0.2">
      <c r="A4374" s="2">
        <v>39703</v>
      </c>
      <c r="B4374" s="3">
        <v>14.55</v>
      </c>
      <c r="C4374" s="1">
        <v>1863048</v>
      </c>
      <c r="D4374" s="3">
        <v>-0.66999999999999904</v>
      </c>
      <c r="E4374" s="3">
        <v>-4.4021024967148401</v>
      </c>
      <c r="F4374" s="3">
        <v>-4.4021024967148401</v>
      </c>
      <c r="G4374" s="3">
        <v>14.55</v>
      </c>
      <c r="H4374" s="3">
        <v>305.46345141302203</v>
      </c>
      <c r="I4374" s="3">
        <v>14.68</v>
      </c>
      <c r="J4374" s="3">
        <v>14.75</v>
      </c>
      <c r="K4374" s="3">
        <v>14.35</v>
      </c>
      <c r="L4374" s="3">
        <v>305.46345141302203</v>
      </c>
    </row>
    <row r="4375" spans="1:12" ht="15" customHeight="1" x14ac:dyDescent="0.2">
      <c r="A4375" s="2">
        <v>39702</v>
      </c>
      <c r="B4375" s="3">
        <v>15.22</v>
      </c>
      <c r="C4375" s="1">
        <v>1494883</v>
      </c>
      <c r="D4375" s="3">
        <v>8.9999999999999802E-2</v>
      </c>
      <c r="E4375" s="3">
        <v>0.594844679444817</v>
      </c>
      <c r="F4375" s="3">
        <v>0.594844679444817</v>
      </c>
      <c r="G4375" s="3">
        <v>15.22</v>
      </c>
      <c r="H4375" s="3">
        <v>324.13427701073499</v>
      </c>
      <c r="I4375" s="3">
        <v>14.96</v>
      </c>
      <c r="J4375" s="3">
        <v>15.38</v>
      </c>
      <c r="K4375" s="3">
        <v>14.9</v>
      </c>
      <c r="L4375" s="3">
        <v>324.13427701073499</v>
      </c>
    </row>
    <row r="4376" spans="1:12" ht="15" customHeight="1" x14ac:dyDescent="0.2">
      <c r="A4376" s="2">
        <v>39701</v>
      </c>
      <c r="B4376" s="3">
        <v>15.13</v>
      </c>
      <c r="C4376" s="1">
        <v>2977030</v>
      </c>
      <c r="D4376" s="3">
        <v>-0.75999999999999901</v>
      </c>
      <c r="E4376" s="3">
        <v>-4.7828823159219596</v>
      </c>
      <c r="F4376" s="3">
        <v>-4.7828823159219596</v>
      </c>
      <c r="G4376" s="3">
        <v>15.13</v>
      </c>
      <c r="H4376" s="3">
        <v>321.62625566178798</v>
      </c>
      <c r="I4376" s="3">
        <v>15.07</v>
      </c>
      <c r="J4376" s="3">
        <v>15.32</v>
      </c>
      <c r="K4376" s="3">
        <v>14.52</v>
      </c>
      <c r="L4376" s="3">
        <v>321.62625566178798</v>
      </c>
    </row>
    <row r="4377" spans="1:12" ht="15" customHeight="1" x14ac:dyDescent="0.2">
      <c r="A4377" s="2">
        <v>39700</v>
      </c>
      <c r="B4377" s="3">
        <v>15.89</v>
      </c>
      <c r="C4377" s="1">
        <v>1604707</v>
      </c>
      <c r="D4377" s="3">
        <v>-0.109999999999999</v>
      </c>
      <c r="E4377" s="3">
        <v>-0.687499999999996</v>
      </c>
      <c r="F4377" s="3">
        <v>-0.687499999999996</v>
      </c>
      <c r="G4377" s="3">
        <v>15.89</v>
      </c>
      <c r="H4377" s="3">
        <v>342.80510260844801</v>
      </c>
      <c r="I4377" s="3">
        <v>16.010000000000002</v>
      </c>
      <c r="J4377" s="3">
        <v>16.57</v>
      </c>
      <c r="K4377" s="3">
        <v>15.86</v>
      </c>
      <c r="L4377" s="3">
        <v>342.80510260844801</v>
      </c>
    </row>
    <row r="4378" spans="1:12" ht="15" customHeight="1" x14ac:dyDescent="0.2">
      <c r="A4378" s="2">
        <v>39699</v>
      </c>
      <c r="B4378" s="3">
        <v>16</v>
      </c>
      <c r="C4378" s="1">
        <v>1714882</v>
      </c>
      <c r="D4378" s="3">
        <v>0.59999999999999898</v>
      </c>
      <c r="E4378" s="3">
        <v>3.8961038961038801</v>
      </c>
      <c r="F4378" s="3">
        <v>3.8961038961038801</v>
      </c>
      <c r="G4378" s="3">
        <v>16</v>
      </c>
      <c r="H4378" s="3">
        <v>345.87046203493799</v>
      </c>
      <c r="I4378" s="3">
        <v>15.78</v>
      </c>
      <c r="J4378" s="3">
        <v>16.23</v>
      </c>
      <c r="K4378" s="3">
        <v>15.56</v>
      </c>
      <c r="L4378" s="3">
        <v>345.87046203493799</v>
      </c>
    </row>
    <row r="4379" spans="1:12" ht="15" customHeight="1" x14ac:dyDescent="0.2">
      <c r="A4379" s="2">
        <v>39696</v>
      </c>
      <c r="B4379" s="3">
        <v>15.4</v>
      </c>
      <c r="C4379" s="1">
        <v>1098864</v>
      </c>
      <c r="D4379" s="3">
        <v>0.08</v>
      </c>
      <c r="E4379" s="3">
        <v>0.52219321148825304</v>
      </c>
      <c r="F4379" s="3">
        <v>0.52219321148825304</v>
      </c>
      <c r="G4379" s="3">
        <v>15.4</v>
      </c>
      <c r="H4379" s="3">
        <v>329.15031970862799</v>
      </c>
      <c r="I4379" s="3">
        <v>15.25</v>
      </c>
      <c r="J4379" s="3">
        <v>15.53</v>
      </c>
      <c r="K4379" s="3">
        <v>15.05</v>
      </c>
      <c r="L4379" s="3">
        <v>329.15031970862799</v>
      </c>
    </row>
    <row r="4380" spans="1:12" ht="15" customHeight="1" x14ac:dyDescent="0.2">
      <c r="A4380" s="2">
        <v>39695</v>
      </c>
      <c r="B4380" s="3">
        <v>15.32</v>
      </c>
      <c r="C4380" s="1">
        <v>1281286</v>
      </c>
      <c r="D4380" s="3">
        <v>-0.37999999999999901</v>
      </c>
      <c r="E4380" s="3">
        <v>-2.4203821656050799</v>
      </c>
      <c r="F4380" s="3">
        <v>-2.4203821656050799</v>
      </c>
      <c r="G4380" s="3">
        <v>15.32</v>
      </c>
      <c r="H4380" s="3">
        <v>326.920967398453</v>
      </c>
      <c r="I4380" s="3">
        <v>15.55</v>
      </c>
      <c r="J4380" s="3">
        <v>15.55</v>
      </c>
      <c r="K4380" s="3">
        <v>15.16</v>
      </c>
      <c r="L4380" s="3">
        <v>326.920967398453</v>
      </c>
    </row>
    <row r="4381" spans="1:12" ht="15" customHeight="1" x14ac:dyDescent="0.2">
      <c r="A4381" s="2">
        <v>39694</v>
      </c>
      <c r="B4381" s="3">
        <v>15.7</v>
      </c>
      <c r="C4381" s="1">
        <v>1815974</v>
      </c>
      <c r="D4381" s="3">
        <v>0.28999999999999898</v>
      </c>
      <c r="E4381" s="3">
        <v>1.8818948734587699</v>
      </c>
      <c r="F4381" s="3">
        <v>1.8818948734587699</v>
      </c>
      <c r="G4381" s="3">
        <v>15.7</v>
      </c>
      <c r="H4381" s="3">
        <v>337.51039087178299</v>
      </c>
      <c r="I4381" s="3">
        <v>15.41</v>
      </c>
      <c r="J4381" s="3">
        <v>15.86</v>
      </c>
      <c r="K4381" s="3">
        <v>15.215</v>
      </c>
      <c r="L4381" s="3">
        <v>337.51039087178299</v>
      </c>
    </row>
    <row r="4382" spans="1:12" ht="15" customHeight="1" x14ac:dyDescent="0.2">
      <c r="A4382" s="2">
        <v>39693</v>
      </c>
      <c r="B4382" s="3">
        <v>15.41</v>
      </c>
      <c r="C4382" s="1">
        <v>1520649</v>
      </c>
      <c r="D4382" s="3">
        <v>4.0000000000000903E-2</v>
      </c>
      <c r="E4382" s="3">
        <v>0.26024723487314499</v>
      </c>
      <c r="F4382" s="3">
        <v>0.26024723487314499</v>
      </c>
      <c r="G4382" s="3">
        <v>15.41</v>
      </c>
      <c r="H4382" s="3">
        <v>329.42898874739899</v>
      </c>
      <c r="I4382" s="3">
        <v>15.74</v>
      </c>
      <c r="J4382" s="3">
        <v>16.21</v>
      </c>
      <c r="K4382" s="3">
        <v>15.26</v>
      </c>
      <c r="L4382" s="3">
        <v>329.42898874739899</v>
      </c>
    </row>
    <row r="4383" spans="1:12" ht="15" customHeight="1" x14ac:dyDescent="0.2">
      <c r="A4383" s="2">
        <v>39689</v>
      </c>
      <c r="B4383" s="3">
        <v>15.37</v>
      </c>
      <c r="C4383" s="1">
        <v>800394</v>
      </c>
      <c r="D4383" s="3">
        <v>0.08</v>
      </c>
      <c r="E4383" s="3">
        <v>0.52321778940484998</v>
      </c>
      <c r="F4383" s="3">
        <v>0.52321778940484998</v>
      </c>
      <c r="G4383" s="3">
        <v>15.37</v>
      </c>
      <c r="H4383" s="3">
        <v>328.31431259231198</v>
      </c>
      <c r="I4383" s="3">
        <v>15.25</v>
      </c>
      <c r="J4383" s="3">
        <v>15.54</v>
      </c>
      <c r="K4383" s="3">
        <v>15.25</v>
      </c>
      <c r="L4383" s="3">
        <v>328.31431259231198</v>
      </c>
    </row>
    <row r="4384" spans="1:12" ht="15" customHeight="1" x14ac:dyDescent="0.2">
      <c r="A4384" s="2">
        <v>39688</v>
      </c>
      <c r="B4384" s="3">
        <v>15.29</v>
      </c>
      <c r="C4384" s="1">
        <v>1353643</v>
      </c>
      <c r="D4384" s="3">
        <v>0.45999999999999902</v>
      </c>
      <c r="E4384" s="3">
        <v>3.1018206338502901</v>
      </c>
      <c r="F4384" s="3">
        <v>3.1018206338502901</v>
      </c>
      <c r="G4384" s="3">
        <v>15.29</v>
      </c>
      <c r="H4384" s="3">
        <v>326.08496028213699</v>
      </c>
      <c r="I4384" s="3">
        <v>14.8</v>
      </c>
      <c r="J4384" s="3">
        <v>15.35</v>
      </c>
      <c r="K4384" s="3">
        <v>14.8</v>
      </c>
      <c r="L4384" s="3">
        <v>326.08496028213699</v>
      </c>
    </row>
    <row r="4385" spans="1:12" ht="15" customHeight="1" x14ac:dyDescent="0.2">
      <c r="A4385" s="2">
        <v>39687</v>
      </c>
      <c r="B4385" s="3">
        <v>14.83</v>
      </c>
      <c r="C4385" s="1">
        <v>1470183</v>
      </c>
      <c r="D4385" s="3"/>
      <c r="E4385" s="3"/>
      <c r="F4385" s="3"/>
      <c r="G4385" s="3">
        <v>14.83</v>
      </c>
      <c r="H4385" s="3">
        <v>313.26618449863298</v>
      </c>
      <c r="I4385" s="3">
        <v>14.77</v>
      </c>
      <c r="J4385" s="3">
        <v>15</v>
      </c>
      <c r="K4385" s="3">
        <v>14.63</v>
      </c>
      <c r="L4385" s="3">
        <v>313.26618449863298</v>
      </c>
    </row>
    <row r="4386" spans="1:12" ht="15" customHeight="1" x14ac:dyDescent="0.2">
      <c r="A4386" s="2">
        <v>39686</v>
      </c>
      <c r="B4386" s="3">
        <v>14.83</v>
      </c>
      <c r="C4386" s="1">
        <v>2780729</v>
      </c>
      <c r="D4386" s="3">
        <v>-0.85999999999999899</v>
      </c>
      <c r="E4386" s="3">
        <v>-5.4811982154238299</v>
      </c>
      <c r="F4386" s="3">
        <v>-5.4811982154238299</v>
      </c>
      <c r="G4386" s="3">
        <v>14.83</v>
      </c>
      <c r="H4386" s="3">
        <v>313.26618449863298</v>
      </c>
      <c r="I4386" s="3">
        <v>15.39</v>
      </c>
      <c r="J4386" s="3">
        <v>15.43</v>
      </c>
      <c r="K4386" s="3">
        <v>14.63</v>
      </c>
      <c r="L4386" s="3">
        <v>313.26618449863298</v>
      </c>
    </row>
    <row r="4387" spans="1:12" ht="15" customHeight="1" x14ac:dyDescent="0.2">
      <c r="A4387" s="2">
        <v>39685</v>
      </c>
      <c r="B4387" s="3">
        <v>15.69</v>
      </c>
      <c r="C4387" s="1">
        <v>767110</v>
      </c>
      <c r="D4387" s="3">
        <v>-0.38999999999999801</v>
      </c>
      <c r="E4387" s="3">
        <v>-2.42537313432834</v>
      </c>
      <c r="F4387" s="3">
        <v>-2.42537313432834</v>
      </c>
      <c r="G4387" s="3">
        <v>15.69</v>
      </c>
      <c r="H4387" s="3">
        <v>337.23172183301102</v>
      </c>
      <c r="I4387" s="3">
        <v>16</v>
      </c>
      <c r="J4387" s="3">
        <v>16.12</v>
      </c>
      <c r="K4387" s="3">
        <v>15.62</v>
      </c>
      <c r="L4387" s="3">
        <v>337.23172183301102</v>
      </c>
    </row>
    <row r="4388" spans="1:12" ht="15" customHeight="1" x14ac:dyDescent="0.2">
      <c r="A4388" s="2">
        <v>39682</v>
      </c>
      <c r="B4388" s="3">
        <v>16.079999999999998</v>
      </c>
      <c r="C4388" s="1">
        <v>893341</v>
      </c>
      <c r="D4388" s="3">
        <v>0.58999999999999797</v>
      </c>
      <c r="E4388" s="3">
        <v>3.80890897353129</v>
      </c>
      <c r="F4388" s="3">
        <v>3.80890897353129</v>
      </c>
      <c r="G4388" s="3">
        <v>16.079999999999998</v>
      </c>
      <c r="H4388" s="3">
        <v>348.09981434511201</v>
      </c>
      <c r="I4388" s="3">
        <v>15.59</v>
      </c>
      <c r="J4388" s="3">
        <v>16.18</v>
      </c>
      <c r="K4388" s="3">
        <v>15.55</v>
      </c>
      <c r="L4388" s="3">
        <v>348.09981434511201</v>
      </c>
    </row>
    <row r="4389" spans="1:12" ht="15" customHeight="1" x14ac:dyDescent="0.2">
      <c r="A4389" s="2">
        <v>39681</v>
      </c>
      <c r="B4389" s="3">
        <v>15.49</v>
      </c>
      <c r="C4389" s="1">
        <v>1386898</v>
      </c>
      <c r="D4389" s="3">
        <v>-0.15</v>
      </c>
      <c r="E4389" s="3">
        <v>-0.959079283887465</v>
      </c>
      <c r="F4389" s="3">
        <v>-0.959079283887465</v>
      </c>
      <c r="G4389" s="3">
        <v>15.49</v>
      </c>
      <c r="H4389" s="3">
        <v>331.65834105757398</v>
      </c>
      <c r="I4389" s="3">
        <v>15.67</v>
      </c>
      <c r="J4389" s="3">
        <v>15.72</v>
      </c>
      <c r="K4389" s="3">
        <v>15.38</v>
      </c>
      <c r="L4389" s="3">
        <v>331.65834105757398</v>
      </c>
    </row>
    <row r="4390" spans="1:12" ht="15" customHeight="1" x14ac:dyDescent="0.2">
      <c r="A4390" s="2">
        <v>39680</v>
      </c>
      <c r="B4390" s="3">
        <v>15.64</v>
      </c>
      <c r="C4390" s="1">
        <v>1553925</v>
      </c>
      <c r="D4390" s="3">
        <v>-0.26999999999999902</v>
      </c>
      <c r="E4390" s="3">
        <v>-1.69704588309239</v>
      </c>
      <c r="F4390" s="3">
        <v>-1.69704588309239</v>
      </c>
      <c r="G4390" s="3">
        <v>15.64</v>
      </c>
      <c r="H4390" s="3">
        <v>335.83837663915199</v>
      </c>
      <c r="I4390" s="3">
        <v>15.97</v>
      </c>
      <c r="J4390" s="3">
        <v>16.010000000000002</v>
      </c>
      <c r="K4390" s="3">
        <v>15.5</v>
      </c>
      <c r="L4390" s="3">
        <v>335.83837663915199</v>
      </c>
    </row>
    <row r="4391" spans="1:12" ht="15" customHeight="1" x14ac:dyDescent="0.2">
      <c r="A4391" s="2">
        <v>39679</v>
      </c>
      <c r="B4391" s="3">
        <v>15.91</v>
      </c>
      <c r="C4391" s="1">
        <v>1301543</v>
      </c>
      <c r="D4391" s="3">
        <v>-0.58999999999999897</v>
      </c>
      <c r="E4391" s="3">
        <v>-3.5757575757575699</v>
      </c>
      <c r="F4391" s="3">
        <v>-3.5757575757575699</v>
      </c>
      <c r="G4391" s="3">
        <v>15.91</v>
      </c>
      <c r="H4391" s="3">
        <v>343.36244068599098</v>
      </c>
      <c r="I4391" s="3">
        <v>16.260000000000002</v>
      </c>
      <c r="J4391" s="3">
        <v>16.3</v>
      </c>
      <c r="K4391" s="3">
        <v>15.78</v>
      </c>
      <c r="L4391" s="3">
        <v>343.36244068599098</v>
      </c>
    </row>
    <row r="4392" spans="1:12" ht="15" customHeight="1" x14ac:dyDescent="0.2">
      <c r="A4392" s="2">
        <v>39678</v>
      </c>
      <c r="B4392" s="3">
        <v>16.5</v>
      </c>
      <c r="C4392" s="1">
        <v>1085612</v>
      </c>
      <c r="D4392" s="3">
        <v>-0.55000000000000004</v>
      </c>
      <c r="E4392" s="3">
        <v>-3.2258064516129101</v>
      </c>
      <c r="F4392" s="3">
        <v>-3.2258064516129101</v>
      </c>
      <c r="G4392" s="3">
        <v>16.5</v>
      </c>
      <c r="H4392" s="3">
        <v>359.80391397352997</v>
      </c>
      <c r="I4392" s="3">
        <v>17.059999999999999</v>
      </c>
      <c r="J4392" s="3">
        <v>17.14</v>
      </c>
      <c r="K4392" s="3">
        <v>16.45</v>
      </c>
      <c r="L4392" s="3">
        <v>359.80391397352997</v>
      </c>
    </row>
    <row r="4393" spans="1:12" ht="15" customHeight="1" x14ac:dyDescent="0.2">
      <c r="A4393" s="2">
        <v>39675</v>
      </c>
      <c r="B4393" s="3">
        <v>17.05</v>
      </c>
      <c r="C4393" s="1">
        <v>1129211</v>
      </c>
      <c r="D4393" s="3">
        <v>-3.9999999999999099E-2</v>
      </c>
      <c r="E4393" s="3">
        <v>-0.23405500292568099</v>
      </c>
      <c r="F4393" s="3">
        <v>-0.23405500292568099</v>
      </c>
      <c r="G4393" s="3">
        <v>17.05</v>
      </c>
      <c r="H4393" s="3">
        <v>375.13071110598099</v>
      </c>
      <c r="I4393" s="3">
        <v>17.28</v>
      </c>
      <c r="J4393" s="3">
        <v>17.5</v>
      </c>
      <c r="K4393" s="3">
        <v>16.899999999999999</v>
      </c>
      <c r="L4393" s="3">
        <v>375.13071110598099</v>
      </c>
    </row>
    <row r="4394" spans="1:12" ht="15" customHeight="1" x14ac:dyDescent="0.2">
      <c r="A4394" s="2">
        <v>39674</v>
      </c>
      <c r="B4394" s="3">
        <v>17.09</v>
      </c>
      <c r="C4394" s="1">
        <v>1163397</v>
      </c>
      <c r="D4394" s="3">
        <v>0.32</v>
      </c>
      <c r="E4394" s="3">
        <v>1.90816935002982</v>
      </c>
      <c r="F4394" s="3">
        <v>1.90816935002982</v>
      </c>
      <c r="G4394" s="3">
        <v>17.09</v>
      </c>
      <c r="H4394" s="3">
        <v>376.245387261068</v>
      </c>
      <c r="I4394" s="3">
        <v>16.52</v>
      </c>
      <c r="J4394" s="3">
        <v>17.32</v>
      </c>
      <c r="K4394" s="3">
        <v>16.52</v>
      </c>
      <c r="L4394" s="3">
        <v>376.245387261068</v>
      </c>
    </row>
    <row r="4395" spans="1:12" ht="15" customHeight="1" x14ac:dyDescent="0.2">
      <c r="A4395" s="2">
        <v>39673</v>
      </c>
      <c r="B4395" s="3">
        <v>16.77</v>
      </c>
      <c r="C4395" s="1">
        <v>1956685</v>
      </c>
      <c r="D4395" s="3">
        <v>-0.16</v>
      </c>
      <c r="E4395" s="3">
        <v>-0.94506792675723705</v>
      </c>
      <c r="F4395" s="3">
        <v>-0.94506792675723705</v>
      </c>
      <c r="G4395" s="3">
        <v>16.77</v>
      </c>
      <c r="H4395" s="3">
        <v>367.32797802036902</v>
      </c>
      <c r="I4395" s="3">
        <v>16.86</v>
      </c>
      <c r="J4395" s="3">
        <v>16.86</v>
      </c>
      <c r="K4395" s="3">
        <v>16.420000000000002</v>
      </c>
      <c r="L4395" s="3">
        <v>367.32797802036902</v>
      </c>
    </row>
    <row r="4396" spans="1:12" ht="15" customHeight="1" x14ac:dyDescent="0.2">
      <c r="A4396" s="2">
        <v>39672</v>
      </c>
      <c r="B4396" s="3">
        <v>16.93</v>
      </c>
      <c r="C4396" s="1">
        <v>1998683</v>
      </c>
      <c r="D4396" s="3">
        <v>0.25999999999999801</v>
      </c>
      <c r="E4396" s="3">
        <v>1.5596880623875</v>
      </c>
      <c r="F4396" s="3">
        <v>1.5596880623875</v>
      </c>
      <c r="G4396" s="3">
        <v>16.93</v>
      </c>
      <c r="H4396" s="3">
        <v>371.78668264071899</v>
      </c>
      <c r="I4396" s="3">
        <v>16.62</v>
      </c>
      <c r="J4396" s="3">
        <v>16.97</v>
      </c>
      <c r="K4396" s="3">
        <v>16.32</v>
      </c>
      <c r="L4396" s="3">
        <v>371.78668264071899</v>
      </c>
    </row>
    <row r="4397" spans="1:12" ht="15" customHeight="1" x14ac:dyDescent="0.2">
      <c r="A4397" s="2">
        <v>39671</v>
      </c>
      <c r="B4397" s="3">
        <v>16.670000000000002</v>
      </c>
      <c r="C4397" s="1">
        <v>2153285</v>
      </c>
      <c r="D4397" s="3">
        <v>0.16</v>
      </c>
      <c r="E4397" s="3">
        <v>0.96910963052694299</v>
      </c>
      <c r="F4397" s="3">
        <v>0.96910963052694299</v>
      </c>
      <c r="G4397" s="3">
        <v>16.670000000000002</v>
      </c>
      <c r="H4397" s="3">
        <v>364.54128763265101</v>
      </c>
      <c r="I4397" s="3">
        <v>16.329999999999998</v>
      </c>
      <c r="J4397" s="3">
        <v>17.329999999999998</v>
      </c>
      <c r="K4397" s="3">
        <v>16.3</v>
      </c>
      <c r="L4397" s="3">
        <v>364.54128763265101</v>
      </c>
    </row>
    <row r="4398" spans="1:12" ht="15" customHeight="1" x14ac:dyDescent="0.2">
      <c r="A4398" s="2">
        <v>39668</v>
      </c>
      <c r="B4398" s="3">
        <v>16.510000000000002</v>
      </c>
      <c r="C4398" s="1">
        <v>1676312</v>
      </c>
      <c r="D4398" s="3">
        <v>0.97000000000000197</v>
      </c>
      <c r="E4398" s="3">
        <v>6.24195624195624</v>
      </c>
      <c r="F4398" s="3">
        <v>6.24195624195624</v>
      </c>
      <c r="G4398" s="3">
        <v>16.510000000000002</v>
      </c>
      <c r="H4398" s="3">
        <v>360.082583012302</v>
      </c>
      <c r="I4398" s="3">
        <v>15.58</v>
      </c>
      <c r="J4398" s="3">
        <v>16.64</v>
      </c>
      <c r="K4398" s="3">
        <v>15.58</v>
      </c>
      <c r="L4398" s="3">
        <v>360.082583012302</v>
      </c>
    </row>
    <row r="4399" spans="1:12" ht="15" customHeight="1" x14ac:dyDescent="0.2">
      <c r="A4399" s="2">
        <v>39667</v>
      </c>
      <c r="B4399" s="3">
        <v>15.54</v>
      </c>
      <c r="C4399" s="1">
        <v>1970260</v>
      </c>
      <c r="D4399" s="3">
        <v>0.159999999999998</v>
      </c>
      <c r="E4399" s="3">
        <v>1.0403120936280701</v>
      </c>
      <c r="F4399" s="3">
        <v>1.0403120936280701</v>
      </c>
      <c r="G4399" s="3">
        <v>15.54</v>
      </c>
      <c r="H4399" s="3">
        <v>333.05168625143301</v>
      </c>
      <c r="I4399" s="3">
        <v>15.3</v>
      </c>
      <c r="J4399" s="3">
        <v>15.81</v>
      </c>
      <c r="K4399" s="3">
        <v>15.25</v>
      </c>
      <c r="L4399" s="3">
        <v>333.05168625143301</v>
      </c>
    </row>
    <row r="4400" spans="1:12" ht="15" customHeight="1" x14ac:dyDescent="0.2">
      <c r="A4400" s="2">
        <v>39666</v>
      </c>
      <c r="B4400" s="3">
        <v>15.38</v>
      </c>
      <c r="C4400" s="1">
        <v>1608882</v>
      </c>
      <c r="D4400" s="3">
        <v>9.0000000000001606E-2</v>
      </c>
      <c r="E4400" s="3">
        <v>0.58862001308046497</v>
      </c>
      <c r="F4400" s="3">
        <v>0.58862001308046497</v>
      </c>
      <c r="G4400" s="3">
        <v>15.38</v>
      </c>
      <c r="H4400" s="3">
        <v>328.592981631084</v>
      </c>
      <c r="I4400" s="3">
        <v>15.23</v>
      </c>
      <c r="J4400" s="3">
        <v>15.44</v>
      </c>
      <c r="K4400" s="3">
        <v>14.95</v>
      </c>
      <c r="L4400" s="3">
        <v>328.592981631084</v>
      </c>
    </row>
    <row r="4401" spans="1:12" ht="15" customHeight="1" x14ac:dyDescent="0.2">
      <c r="A4401" s="2">
        <v>39665</v>
      </c>
      <c r="B4401" s="3">
        <v>15.29</v>
      </c>
      <c r="C4401" s="1">
        <v>2584562</v>
      </c>
      <c r="D4401" s="3">
        <v>1.00999999999999</v>
      </c>
      <c r="E4401" s="3">
        <v>7.0728291316526501</v>
      </c>
      <c r="F4401" s="3">
        <v>7.0728291316526501</v>
      </c>
      <c r="G4401" s="3">
        <v>15.29</v>
      </c>
      <c r="H4401" s="3">
        <v>326.08496028213699</v>
      </c>
      <c r="I4401" s="3">
        <v>14.56</v>
      </c>
      <c r="J4401" s="3">
        <v>15.39</v>
      </c>
      <c r="K4401" s="3">
        <v>14.5</v>
      </c>
      <c r="L4401" s="3">
        <v>326.08496028213699</v>
      </c>
    </row>
    <row r="4402" spans="1:12" ht="15" customHeight="1" x14ac:dyDescent="0.2">
      <c r="A4402" s="2">
        <v>39664</v>
      </c>
      <c r="B4402" s="3">
        <v>14.28</v>
      </c>
      <c r="C4402" s="1">
        <v>1938159</v>
      </c>
      <c r="D4402" s="3">
        <v>0.119999999999999</v>
      </c>
      <c r="E4402" s="3">
        <v>0.84745762711864103</v>
      </c>
      <c r="F4402" s="3">
        <v>0.84745762711864103</v>
      </c>
      <c r="G4402" s="3">
        <v>14.28</v>
      </c>
      <c r="H4402" s="3">
        <v>297.93938736618202</v>
      </c>
      <c r="I4402" s="3">
        <v>14.25</v>
      </c>
      <c r="J4402" s="3">
        <v>14.45</v>
      </c>
      <c r="K4402" s="3">
        <v>13.97</v>
      </c>
      <c r="L4402" s="3">
        <v>297.93938736618202</v>
      </c>
    </row>
    <row r="4403" spans="1:12" ht="15" customHeight="1" x14ac:dyDescent="0.2">
      <c r="A4403" s="2">
        <v>39661</v>
      </c>
      <c r="B4403" s="3">
        <v>14.16</v>
      </c>
      <c r="C4403" s="1">
        <v>1802762</v>
      </c>
      <c r="D4403" s="3">
        <v>0.08</v>
      </c>
      <c r="E4403" s="3">
        <v>0.56818181818181202</v>
      </c>
      <c r="F4403" s="3">
        <v>0.56818181818181202</v>
      </c>
      <c r="G4403" s="3">
        <v>14.16</v>
      </c>
      <c r="H4403" s="3">
        <v>294.59535890092002</v>
      </c>
      <c r="I4403" s="3">
        <v>14.07</v>
      </c>
      <c r="J4403" s="3">
        <v>14.36</v>
      </c>
      <c r="K4403" s="3">
        <v>13.86</v>
      </c>
      <c r="L4403" s="3">
        <v>294.59535890092002</v>
      </c>
    </row>
    <row r="4404" spans="1:12" ht="15" customHeight="1" x14ac:dyDescent="0.2">
      <c r="A4404" s="2">
        <v>39660</v>
      </c>
      <c r="B4404" s="3">
        <v>14.08</v>
      </c>
      <c r="C4404" s="1">
        <v>1916347</v>
      </c>
      <c r="D4404" s="3">
        <v>-0.24</v>
      </c>
      <c r="E4404" s="3">
        <v>-1.67597765363128</v>
      </c>
      <c r="F4404" s="3">
        <v>-1.67597765363128</v>
      </c>
      <c r="G4404" s="3">
        <v>14.08</v>
      </c>
      <c r="H4404" s="3">
        <v>292.36600659074497</v>
      </c>
      <c r="I4404" s="3">
        <v>14.19</v>
      </c>
      <c r="J4404" s="3">
        <v>14.49</v>
      </c>
      <c r="K4404" s="3">
        <v>14.06</v>
      </c>
      <c r="L4404" s="3">
        <v>292.36600659074497</v>
      </c>
    </row>
    <row r="4405" spans="1:12" ht="15" customHeight="1" x14ac:dyDescent="0.2">
      <c r="A4405" s="2">
        <v>39659</v>
      </c>
      <c r="B4405" s="3">
        <v>14.32</v>
      </c>
      <c r="C4405" s="1">
        <v>2354554</v>
      </c>
      <c r="D4405" s="3">
        <v>0.08</v>
      </c>
      <c r="E4405" s="3">
        <v>0.56179775280897903</v>
      </c>
      <c r="F4405" s="3">
        <v>0.56179775280897903</v>
      </c>
      <c r="G4405" s="3">
        <v>14.32</v>
      </c>
      <c r="H4405" s="3">
        <v>299.05406352126897</v>
      </c>
      <c r="I4405" s="3">
        <v>14.3</v>
      </c>
      <c r="J4405" s="3">
        <v>14.8</v>
      </c>
      <c r="K4405" s="3">
        <v>14.11</v>
      </c>
      <c r="L4405" s="3">
        <v>299.05406352126897</v>
      </c>
    </row>
    <row r="4406" spans="1:12" ht="15" customHeight="1" x14ac:dyDescent="0.2">
      <c r="A4406" s="2">
        <v>39658</v>
      </c>
      <c r="B4406" s="3">
        <v>14.24</v>
      </c>
      <c r="C4406" s="1">
        <v>2452766</v>
      </c>
      <c r="D4406" s="3">
        <v>0.33999999999999903</v>
      </c>
      <c r="E4406" s="3">
        <v>2.4460431654676098</v>
      </c>
      <c r="F4406" s="3">
        <v>2.4460431654676098</v>
      </c>
      <c r="G4406" s="3">
        <v>14.24</v>
      </c>
      <c r="H4406" s="3">
        <v>296.82471121109501</v>
      </c>
      <c r="I4406" s="3">
        <v>13.95</v>
      </c>
      <c r="J4406" s="3">
        <v>14.46</v>
      </c>
      <c r="K4406" s="3">
        <v>13.92</v>
      </c>
      <c r="L4406" s="3">
        <v>296.82471121109501</v>
      </c>
    </row>
    <row r="4407" spans="1:12" ht="15" customHeight="1" x14ac:dyDescent="0.2">
      <c r="A4407" s="2">
        <v>39657</v>
      </c>
      <c r="B4407" s="3">
        <v>13.9</v>
      </c>
      <c r="C4407" s="1">
        <v>2469208</v>
      </c>
      <c r="D4407" s="3">
        <v>-0.109999999999999</v>
      </c>
      <c r="E4407" s="3">
        <v>-0.78515346181298096</v>
      </c>
      <c r="F4407" s="3">
        <v>-0.78515346181298096</v>
      </c>
      <c r="G4407" s="3">
        <v>13.9</v>
      </c>
      <c r="H4407" s="3">
        <v>287.34996389285197</v>
      </c>
      <c r="I4407" s="3">
        <v>13.92</v>
      </c>
      <c r="J4407" s="3">
        <v>14.37</v>
      </c>
      <c r="K4407" s="3">
        <v>13.69</v>
      </c>
      <c r="L4407" s="3">
        <v>287.34996389285197</v>
      </c>
    </row>
    <row r="4408" spans="1:12" ht="15" customHeight="1" x14ac:dyDescent="0.2">
      <c r="A4408" s="2">
        <v>39654</v>
      </c>
      <c r="B4408" s="3">
        <v>14.01</v>
      </c>
      <c r="C4408" s="1">
        <v>5166958</v>
      </c>
      <c r="D4408" s="3">
        <v>-1.07</v>
      </c>
      <c r="E4408" s="3">
        <v>-7.09549071618037</v>
      </c>
      <c r="F4408" s="3">
        <v>-7.09549071618037</v>
      </c>
      <c r="G4408" s="3">
        <v>14.01</v>
      </c>
      <c r="H4408" s="3">
        <v>290.41532331934201</v>
      </c>
      <c r="I4408" s="3">
        <v>14.5</v>
      </c>
      <c r="J4408" s="3">
        <v>14.94</v>
      </c>
      <c r="K4408" s="3">
        <v>13.84</v>
      </c>
      <c r="L4408" s="3">
        <v>290.41532331934201</v>
      </c>
    </row>
    <row r="4409" spans="1:12" ht="15" customHeight="1" x14ac:dyDescent="0.2">
      <c r="A4409" s="2">
        <v>39653</v>
      </c>
      <c r="B4409" s="3">
        <v>15.08</v>
      </c>
      <c r="C4409" s="1">
        <v>4837512</v>
      </c>
      <c r="D4409" s="3">
        <v>-1.1100000000000001</v>
      </c>
      <c r="E4409" s="3">
        <v>-6.8560840024706602</v>
      </c>
      <c r="F4409" s="3">
        <v>-6.8560840024706602</v>
      </c>
      <c r="G4409" s="3">
        <v>15.08</v>
      </c>
      <c r="H4409" s="3">
        <v>320.232910467929</v>
      </c>
      <c r="I4409" s="3">
        <v>15.75</v>
      </c>
      <c r="J4409" s="3">
        <v>15.75</v>
      </c>
      <c r="K4409" s="3">
        <v>14.51</v>
      </c>
      <c r="L4409" s="3">
        <v>320.232910467929</v>
      </c>
    </row>
    <row r="4410" spans="1:12" ht="15" customHeight="1" x14ac:dyDescent="0.2">
      <c r="A4410" s="2">
        <v>39652</v>
      </c>
      <c r="B4410" s="3">
        <v>16.190000000000001</v>
      </c>
      <c r="C4410" s="1">
        <v>3329719</v>
      </c>
      <c r="D4410" s="3">
        <v>0.14000000000000001</v>
      </c>
      <c r="E4410" s="3">
        <v>0.87227414330217601</v>
      </c>
      <c r="F4410" s="3">
        <v>0.87227414330217601</v>
      </c>
      <c r="G4410" s="3">
        <v>16.190000000000001</v>
      </c>
      <c r="H4410" s="3">
        <v>351.16517377160301</v>
      </c>
      <c r="I4410" s="3">
        <v>16.059999999999999</v>
      </c>
      <c r="J4410" s="3">
        <v>17.02</v>
      </c>
      <c r="K4410" s="3">
        <v>15.68</v>
      </c>
      <c r="L4410" s="3">
        <v>351.16517377160301</v>
      </c>
    </row>
    <row r="4411" spans="1:12" ht="15" customHeight="1" x14ac:dyDescent="0.2">
      <c r="A4411" s="2">
        <v>39651</v>
      </c>
      <c r="B4411" s="3">
        <v>16.05</v>
      </c>
      <c r="C4411" s="1">
        <v>3447835</v>
      </c>
      <c r="D4411" s="3">
        <v>0.31</v>
      </c>
      <c r="E4411" s="3">
        <v>1.96950444726811</v>
      </c>
      <c r="F4411" s="3">
        <v>1.96950444726811</v>
      </c>
      <c r="G4411" s="3">
        <v>16.05</v>
      </c>
      <c r="H4411" s="3">
        <v>347.26380722879702</v>
      </c>
      <c r="I4411" s="3">
        <v>15.62</v>
      </c>
      <c r="J4411" s="3">
        <v>16.059999999999999</v>
      </c>
      <c r="K4411" s="3">
        <v>15.43</v>
      </c>
      <c r="L4411" s="3">
        <v>347.26380722879702</v>
      </c>
    </row>
    <row r="4412" spans="1:12" ht="15" customHeight="1" x14ac:dyDescent="0.2">
      <c r="A4412" s="2">
        <v>39650</v>
      </c>
      <c r="B4412" s="3">
        <v>15.74</v>
      </c>
      <c r="C4412" s="1">
        <v>2732394</v>
      </c>
      <c r="D4412" s="3">
        <v>-0.90999999999999803</v>
      </c>
      <c r="E4412" s="3">
        <v>-5.4654654654654502</v>
      </c>
      <c r="F4412" s="3">
        <v>-5.4654654654654502</v>
      </c>
      <c r="G4412" s="3">
        <v>15.74</v>
      </c>
      <c r="H4412" s="3">
        <v>338.62506702687</v>
      </c>
      <c r="I4412" s="3">
        <v>16.79</v>
      </c>
      <c r="J4412" s="3">
        <v>16.84</v>
      </c>
      <c r="K4412" s="3">
        <v>15.74</v>
      </c>
      <c r="L4412" s="3">
        <v>338.62506702687</v>
      </c>
    </row>
    <row r="4413" spans="1:12" ht="15" customHeight="1" x14ac:dyDescent="0.2">
      <c r="A4413" s="2">
        <v>39647</v>
      </c>
      <c r="B4413" s="3">
        <v>16.649999999999999</v>
      </c>
      <c r="C4413" s="1">
        <v>2698796</v>
      </c>
      <c r="D4413" s="3">
        <v>0.37999999999999901</v>
      </c>
      <c r="E4413" s="3">
        <v>2.3355869698832001</v>
      </c>
      <c r="F4413" s="3">
        <v>2.3355869698832001</v>
      </c>
      <c r="G4413" s="3">
        <v>16.649999999999999</v>
      </c>
      <c r="H4413" s="3">
        <v>363.98394955510702</v>
      </c>
      <c r="I4413" s="3">
        <v>16.32</v>
      </c>
      <c r="J4413" s="3">
        <v>16.940000000000001</v>
      </c>
      <c r="K4413" s="3">
        <v>16.309999999999999</v>
      </c>
      <c r="L4413" s="3">
        <v>363.98394955510702</v>
      </c>
    </row>
    <row r="4414" spans="1:12" ht="15" customHeight="1" x14ac:dyDescent="0.2">
      <c r="A4414" s="2">
        <v>39646</v>
      </c>
      <c r="B4414" s="3">
        <v>16.27</v>
      </c>
      <c r="C4414" s="1">
        <v>3485684</v>
      </c>
      <c r="D4414" s="3">
        <v>0.619999999999999</v>
      </c>
      <c r="E4414" s="3">
        <v>3.96166134185302</v>
      </c>
      <c r="F4414" s="3">
        <v>3.96166134185302</v>
      </c>
      <c r="G4414" s="3">
        <v>16.27</v>
      </c>
      <c r="H4414" s="3">
        <v>353.39452608177697</v>
      </c>
      <c r="I4414" s="3">
        <v>15.77</v>
      </c>
      <c r="J4414" s="3">
        <v>16.399999999999999</v>
      </c>
      <c r="K4414" s="3">
        <v>15.34</v>
      </c>
      <c r="L4414" s="3">
        <v>353.39452608177697</v>
      </c>
    </row>
    <row r="4415" spans="1:12" ht="15" customHeight="1" x14ac:dyDescent="0.2">
      <c r="A4415" s="2">
        <v>39645</v>
      </c>
      <c r="B4415" s="3">
        <v>15.65</v>
      </c>
      <c r="C4415" s="1">
        <v>1672641</v>
      </c>
      <c r="D4415" s="3">
        <v>0.72</v>
      </c>
      <c r="E4415" s="3">
        <v>4.8225050234427398</v>
      </c>
      <c r="F4415" s="3">
        <v>4.8225050234427398</v>
      </c>
      <c r="G4415" s="3">
        <v>15.65</v>
      </c>
      <c r="H4415" s="3">
        <v>336.11704567792401</v>
      </c>
      <c r="I4415" s="3">
        <v>15.05</v>
      </c>
      <c r="J4415" s="3">
        <v>15.87</v>
      </c>
      <c r="K4415" s="3">
        <v>14.41</v>
      </c>
      <c r="L4415" s="3">
        <v>336.11704567792401</v>
      </c>
    </row>
    <row r="4416" spans="1:12" ht="15" customHeight="1" x14ac:dyDescent="0.2">
      <c r="A4416" s="2">
        <v>39644</v>
      </c>
      <c r="B4416" s="3">
        <v>14.93</v>
      </c>
      <c r="C4416" s="1">
        <v>2135113</v>
      </c>
      <c r="D4416" s="3">
        <v>2.9999999999999302E-2</v>
      </c>
      <c r="E4416" s="3">
        <v>0.20134228187917899</v>
      </c>
      <c r="F4416" s="3">
        <v>0.20134228187917899</v>
      </c>
      <c r="G4416" s="3">
        <v>14.93</v>
      </c>
      <c r="H4416" s="3">
        <v>316.05287488635099</v>
      </c>
      <c r="I4416" s="3">
        <v>14.78</v>
      </c>
      <c r="J4416" s="3">
        <v>15.26</v>
      </c>
      <c r="K4416" s="3">
        <v>14.46</v>
      </c>
      <c r="L4416" s="3">
        <v>316.05287488635099</v>
      </c>
    </row>
    <row r="4417" spans="1:12" ht="15" customHeight="1" x14ac:dyDescent="0.2">
      <c r="A4417" s="2">
        <v>39643</v>
      </c>
      <c r="B4417" s="3">
        <v>14.9</v>
      </c>
      <c r="C4417" s="1">
        <v>1887561</v>
      </c>
      <c r="D4417" s="3">
        <v>3.0000000000001099E-2</v>
      </c>
      <c r="E4417" s="3">
        <v>0.20174848688636601</v>
      </c>
      <c r="F4417" s="3">
        <v>0.20174848688636601</v>
      </c>
      <c r="G4417" s="3">
        <v>14.9</v>
      </c>
      <c r="H4417" s="3">
        <v>315.216867770036</v>
      </c>
      <c r="I4417" s="3">
        <v>15.08</v>
      </c>
      <c r="J4417" s="3">
        <v>15.3</v>
      </c>
      <c r="K4417" s="3">
        <v>14.62</v>
      </c>
      <c r="L4417" s="3">
        <v>315.216867770036</v>
      </c>
    </row>
    <row r="4418" spans="1:12" ht="15" customHeight="1" x14ac:dyDescent="0.2">
      <c r="A4418" s="2">
        <v>39640</v>
      </c>
      <c r="B4418" s="3">
        <v>14.87</v>
      </c>
      <c r="C4418" s="1">
        <v>2794432</v>
      </c>
      <c r="D4418" s="3">
        <v>-0.23</v>
      </c>
      <c r="E4418" s="3">
        <v>-1.5231788079470201</v>
      </c>
      <c r="F4418" s="3">
        <v>-1.5231788079470201</v>
      </c>
      <c r="G4418" s="3">
        <v>14.87</v>
      </c>
      <c r="H4418" s="3">
        <v>314.38086065371999</v>
      </c>
      <c r="I4418" s="3">
        <v>14.91</v>
      </c>
      <c r="J4418" s="3">
        <v>14.99</v>
      </c>
      <c r="K4418" s="3">
        <v>14.41</v>
      </c>
      <c r="L4418" s="3">
        <v>314.38086065371999</v>
      </c>
    </row>
    <row r="4419" spans="1:12" ht="15" customHeight="1" x14ac:dyDescent="0.2">
      <c r="A4419" s="2">
        <v>39639</v>
      </c>
      <c r="B4419" s="3">
        <v>15.1</v>
      </c>
      <c r="C4419" s="1">
        <v>2953998</v>
      </c>
      <c r="D4419" s="3">
        <v>-0.36000000000000099</v>
      </c>
      <c r="E4419" s="3">
        <v>-2.3285899094437301</v>
      </c>
      <c r="F4419" s="3">
        <v>-2.3285899094437301</v>
      </c>
      <c r="G4419" s="3">
        <v>15.1</v>
      </c>
      <c r="H4419" s="3">
        <v>320.79024854547299</v>
      </c>
      <c r="I4419" s="3">
        <v>15.49</v>
      </c>
      <c r="J4419" s="3">
        <v>15.61</v>
      </c>
      <c r="K4419" s="3">
        <v>14.83</v>
      </c>
      <c r="L4419" s="3">
        <v>320.79024854547299</v>
      </c>
    </row>
    <row r="4420" spans="1:12" ht="15" customHeight="1" x14ac:dyDescent="0.2">
      <c r="A4420" s="2">
        <v>39638</v>
      </c>
      <c r="B4420" s="3">
        <v>15.46</v>
      </c>
      <c r="C4420" s="1">
        <v>1726469</v>
      </c>
      <c r="D4420" s="3">
        <v>-0.62999999999999901</v>
      </c>
      <c r="E4420" s="3">
        <v>-3.9154754505904199</v>
      </c>
      <c r="F4420" s="3">
        <v>-3.9154754505904199</v>
      </c>
      <c r="G4420" s="3">
        <v>15.46</v>
      </c>
      <c r="H4420" s="3">
        <v>330.82233394125899</v>
      </c>
      <c r="I4420" s="3">
        <v>15.97</v>
      </c>
      <c r="J4420" s="3">
        <v>16.2</v>
      </c>
      <c r="K4420" s="3">
        <v>15.38</v>
      </c>
      <c r="L4420" s="3">
        <v>330.82233394125899</v>
      </c>
    </row>
    <row r="4421" spans="1:12" ht="15" customHeight="1" x14ac:dyDescent="0.2">
      <c r="A4421" s="2">
        <v>39637</v>
      </c>
      <c r="B4421" s="3">
        <v>16.09</v>
      </c>
      <c r="C4421" s="1">
        <v>2399129</v>
      </c>
      <c r="D4421" s="3">
        <v>0.52999999999999903</v>
      </c>
      <c r="E4421" s="3">
        <v>3.4061696658097498</v>
      </c>
      <c r="F4421" s="3">
        <v>3.4061696658097498</v>
      </c>
      <c r="G4421" s="3">
        <v>16.09</v>
      </c>
      <c r="H4421" s="3">
        <v>348.37848338388397</v>
      </c>
      <c r="I4421" s="3">
        <v>15.74</v>
      </c>
      <c r="J4421" s="3">
        <v>16.239999999999998</v>
      </c>
      <c r="K4421" s="3">
        <v>15.58</v>
      </c>
      <c r="L4421" s="3">
        <v>348.37848338388397</v>
      </c>
    </row>
    <row r="4422" spans="1:12" ht="15" customHeight="1" x14ac:dyDescent="0.2">
      <c r="A4422" s="2">
        <v>39636</v>
      </c>
      <c r="B4422" s="3">
        <v>15.56</v>
      </c>
      <c r="C4422" s="1">
        <v>1480790</v>
      </c>
      <c r="D4422" s="3">
        <v>0.23</v>
      </c>
      <c r="E4422" s="3">
        <v>1.5003261578603899</v>
      </c>
      <c r="F4422" s="3">
        <v>1.5003261578603899</v>
      </c>
      <c r="G4422" s="3">
        <v>15.56</v>
      </c>
      <c r="H4422" s="3">
        <v>333.609024328977</v>
      </c>
      <c r="I4422" s="3">
        <v>15.45</v>
      </c>
      <c r="J4422" s="3">
        <v>15.82</v>
      </c>
      <c r="K4422" s="3">
        <v>15.24</v>
      </c>
      <c r="L4422" s="3">
        <v>333.609024328977</v>
      </c>
    </row>
    <row r="4423" spans="1:12" ht="15" customHeight="1" x14ac:dyDescent="0.2">
      <c r="A4423" s="2">
        <v>39632</v>
      </c>
      <c r="B4423" s="3">
        <v>15.33</v>
      </c>
      <c r="C4423" s="1">
        <v>816249</v>
      </c>
      <c r="D4423" s="3">
        <v>1.9999999999999501E-2</v>
      </c>
      <c r="E4423" s="3">
        <v>0.130633572828209</v>
      </c>
      <c r="F4423" s="3">
        <v>0.130633572828209</v>
      </c>
      <c r="G4423" s="3">
        <v>15.33</v>
      </c>
      <c r="H4423" s="3">
        <v>327.19963643722502</v>
      </c>
      <c r="I4423" s="3">
        <v>15.38</v>
      </c>
      <c r="J4423" s="3">
        <v>15.74</v>
      </c>
      <c r="K4423" s="3">
        <v>15.2</v>
      </c>
      <c r="L4423" s="3">
        <v>327.19963643722502</v>
      </c>
    </row>
    <row r="4424" spans="1:12" ht="15" customHeight="1" x14ac:dyDescent="0.2">
      <c r="A4424" s="2">
        <v>39631</v>
      </c>
      <c r="B4424" s="3">
        <v>15.31</v>
      </c>
      <c r="C4424" s="1">
        <v>2056898</v>
      </c>
      <c r="D4424" s="3">
        <v>-0.56999999999999995</v>
      </c>
      <c r="E4424" s="3">
        <v>-3.5894206549118399</v>
      </c>
      <c r="F4424" s="3">
        <v>-3.5894206549118399</v>
      </c>
      <c r="G4424" s="3">
        <v>15.31</v>
      </c>
      <c r="H4424" s="3">
        <v>326.64229835968098</v>
      </c>
      <c r="I4424" s="3">
        <v>15.88</v>
      </c>
      <c r="J4424" s="3">
        <v>16.18</v>
      </c>
      <c r="K4424" s="3">
        <v>15.31</v>
      </c>
      <c r="L4424" s="3">
        <v>326.64229835968098</v>
      </c>
    </row>
    <row r="4425" spans="1:12" ht="15" customHeight="1" x14ac:dyDescent="0.2">
      <c r="A4425" s="2">
        <v>39630</v>
      </c>
      <c r="B4425" s="3">
        <v>15.88</v>
      </c>
      <c r="C4425" s="1">
        <v>2375032</v>
      </c>
      <c r="D4425" s="3">
        <v>-2.9999999999999302E-2</v>
      </c>
      <c r="E4425" s="3">
        <v>-0.18856065367692701</v>
      </c>
      <c r="F4425" s="3">
        <v>-0.18856065367692701</v>
      </c>
      <c r="G4425" s="3">
        <v>15.88</v>
      </c>
      <c r="H4425" s="3">
        <v>342.52643356967599</v>
      </c>
      <c r="I4425" s="3">
        <v>15.72</v>
      </c>
      <c r="J4425" s="3">
        <v>16.02</v>
      </c>
      <c r="K4425" s="3">
        <v>15.43</v>
      </c>
      <c r="L4425" s="3">
        <v>342.52643356967599</v>
      </c>
    </row>
    <row r="4426" spans="1:12" ht="15" customHeight="1" x14ac:dyDescent="0.2">
      <c r="A4426" s="2">
        <v>39629</v>
      </c>
      <c r="B4426" s="3">
        <v>15.91</v>
      </c>
      <c r="C4426" s="1">
        <v>2204848</v>
      </c>
      <c r="D4426" s="3">
        <v>-0.19999999999999901</v>
      </c>
      <c r="E4426" s="3">
        <v>-1.24146492861576</v>
      </c>
      <c r="F4426" s="3">
        <v>-1.24146492861576</v>
      </c>
      <c r="G4426" s="3">
        <v>15.91</v>
      </c>
      <c r="H4426" s="3">
        <v>343.36244068599098</v>
      </c>
      <c r="I4426" s="3">
        <v>16.04</v>
      </c>
      <c r="J4426" s="3">
        <v>16.329999999999998</v>
      </c>
      <c r="K4426" s="3">
        <v>15.78</v>
      </c>
      <c r="L4426" s="3">
        <v>343.36244068599098</v>
      </c>
    </row>
    <row r="4427" spans="1:12" ht="15" customHeight="1" x14ac:dyDescent="0.2">
      <c r="A4427" s="2">
        <v>39626</v>
      </c>
      <c r="B4427" s="3">
        <v>16.11</v>
      </c>
      <c r="C4427" s="1">
        <v>9109674</v>
      </c>
      <c r="D4427" s="3">
        <v>-0.71999999999999797</v>
      </c>
      <c r="E4427" s="3">
        <v>-4.27807486631015</v>
      </c>
      <c r="F4427" s="3">
        <v>-4.27807486631015</v>
      </c>
      <c r="G4427" s="3">
        <v>16.11</v>
      </c>
      <c r="H4427" s="3">
        <v>348.93582146142802</v>
      </c>
      <c r="I4427" s="3">
        <v>16.8</v>
      </c>
      <c r="J4427" s="3">
        <v>16.850000000000001</v>
      </c>
      <c r="K4427" s="3">
        <v>16</v>
      </c>
      <c r="L4427" s="3">
        <v>348.93582146142802</v>
      </c>
    </row>
    <row r="4428" spans="1:12" ht="15" customHeight="1" x14ac:dyDescent="0.2">
      <c r="A4428" s="2">
        <v>39625</v>
      </c>
      <c r="B4428" s="3">
        <v>16.829999999999998</v>
      </c>
      <c r="C4428" s="1">
        <v>3188143</v>
      </c>
      <c r="D4428" s="3">
        <v>-0.8</v>
      </c>
      <c r="E4428" s="3">
        <v>-4.5377197958025999</v>
      </c>
      <c r="F4428" s="3">
        <v>-4.5377197958025999</v>
      </c>
      <c r="G4428" s="3">
        <v>16.829999999999998</v>
      </c>
      <c r="H4428" s="3">
        <v>368.99999225300002</v>
      </c>
      <c r="I4428" s="3">
        <v>17.5</v>
      </c>
      <c r="J4428" s="3">
        <v>17.5</v>
      </c>
      <c r="K4428" s="3">
        <v>16.62</v>
      </c>
      <c r="L4428" s="3">
        <v>368.99999225300002</v>
      </c>
    </row>
    <row r="4429" spans="1:12" ht="15" customHeight="1" x14ac:dyDescent="0.2">
      <c r="A4429" s="2">
        <v>39624</v>
      </c>
      <c r="B4429" s="3">
        <v>17.63</v>
      </c>
      <c r="C4429" s="1">
        <v>2222348</v>
      </c>
      <c r="D4429" s="3">
        <v>0.17999999999999899</v>
      </c>
      <c r="E4429" s="3">
        <v>1.03151862464183</v>
      </c>
      <c r="F4429" s="3">
        <v>1.03151862464183</v>
      </c>
      <c r="G4429" s="3">
        <v>17.63</v>
      </c>
      <c r="H4429" s="3">
        <v>391.293515354747</v>
      </c>
      <c r="I4429" s="3">
        <v>17.63</v>
      </c>
      <c r="J4429" s="3">
        <v>18.16</v>
      </c>
      <c r="K4429" s="3">
        <v>17.5</v>
      </c>
      <c r="L4429" s="3">
        <v>391.293515354747</v>
      </c>
    </row>
    <row r="4430" spans="1:12" ht="15" customHeight="1" x14ac:dyDescent="0.2">
      <c r="A4430" s="2">
        <v>39623</v>
      </c>
      <c r="B4430" s="3">
        <v>17.45</v>
      </c>
      <c r="C4430" s="1">
        <v>3465703</v>
      </c>
      <c r="D4430" s="3">
        <v>1.03999999999999</v>
      </c>
      <c r="E4430" s="3">
        <v>6.33759902498476</v>
      </c>
      <c r="F4430" s="3">
        <v>6.33759902498476</v>
      </c>
      <c r="G4430" s="3">
        <v>17.45</v>
      </c>
      <c r="H4430" s="3">
        <v>386.277472656854</v>
      </c>
      <c r="I4430" s="3">
        <v>17.239999999999998</v>
      </c>
      <c r="J4430" s="3">
        <v>17.95</v>
      </c>
      <c r="K4430" s="3">
        <v>17.05</v>
      </c>
      <c r="L4430" s="3">
        <v>386.277472656854</v>
      </c>
    </row>
    <row r="4431" spans="1:12" ht="15" customHeight="1" x14ac:dyDescent="0.2">
      <c r="A4431" s="2">
        <v>39622</v>
      </c>
      <c r="B4431" s="3">
        <v>16.41</v>
      </c>
      <c r="C4431" s="1">
        <v>2459536</v>
      </c>
      <c r="D4431" s="3">
        <v>-0.56999999999999995</v>
      </c>
      <c r="E4431" s="3">
        <v>-3.3568904593639499</v>
      </c>
      <c r="F4431" s="3">
        <v>-3.3568904593639499</v>
      </c>
      <c r="G4431" s="3">
        <v>16.41</v>
      </c>
      <c r="H4431" s="3">
        <v>357.29589262458302</v>
      </c>
      <c r="I4431" s="3">
        <v>16.98</v>
      </c>
      <c r="J4431" s="3">
        <v>17.14</v>
      </c>
      <c r="K4431" s="3">
        <v>16.22</v>
      </c>
      <c r="L4431" s="3">
        <v>357.29589262458302</v>
      </c>
    </row>
    <row r="4432" spans="1:12" ht="15" customHeight="1" x14ac:dyDescent="0.2">
      <c r="A4432" s="2">
        <v>39619</v>
      </c>
      <c r="B4432" s="3">
        <v>16.98</v>
      </c>
      <c r="C4432" s="1">
        <v>2281011</v>
      </c>
      <c r="D4432" s="3">
        <v>-9.9999999999997799E-2</v>
      </c>
      <c r="E4432" s="3">
        <v>-0.58548009367680398</v>
      </c>
      <c r="F4432" s="3">
        <v>-0.58548009367680398</v>
      </c>
      <c r="G4432" s="3">
        <v>16.98</v>
      </c>
      <c r="H4432" s="3">
        <v>373.18002783457803</v>
      </c>
      <c r="I4432" s="3">
        <v>17</v>
      </c>
      <c r="J4432" s="3">
        <v>17.04</v>
      </c>
      <c r="K4432" s="3">
        <v>16.62</v>
      </c>
      <c r="L4432" s="3">
        <v>373.18002783457803</v>
      </c>
    </row>
    <row r="4433" spans="1:12" ht="15" customHeight="1" x14ac:dyDescent="0.2">
      <c r="A4433" s="2">
        <v>39618</v>
      </c>
      <c r="B4433" s="3">
        <v>17.079999999999998</v>
      </c>
      <c r="C4433" s="1">
        <v>2617340</v>
      </c>
      <c r="D4433" s="3">
        <v>-0.190000000000001</v>
      </c>
      <c r="E4433" s="3">
        <v>-1.1001737116386801</v>
      </c>
      <c r="F4433" s="3">
        <v>-1.1001737116386801</v>
      </c>
      <c r="G4433" s="3">
        <v>17.079999999999998</v>
      </c>
      <c r="H4433" s="3">
        <v>375.96671822229598</v>
      </c>
      <c r="I4433" s="3">
        <v>16.760000000000002</v>
      </c>
      <c r="J4433" s="3">
        <v>17.147099999999998</v>
      </c>
      <c r="K4433" s="3">
        <v>16.59</v>
      </c>
      <c r="L4433" s="3">
        <v>375.96671822229598</v>
      </c>
    </row>
    <row r="4434" spans="1:12" ht="15" customHeight="1" x14ac:dyDescent="0.2">
      <c r="A4434" s="2">
        <v>39617</v>
      </c>
      <c r="B4434" s="3">
        <v>17.27</v>
      </c>
      <c r="C4434" s="1">
        <v>1080648</v>
      </c>
      <c r="D4434" s="3">
        <v>-0.21</v>
      </c>
      <c r="E4434" s="3">
        <v>-1.20137299771168</v>
      </c>
      <c r="F4434" s="3">
        <v>-1.20137299771168</v>
      </c>
      <c r="G4434" s="3">
        <v>17.27</v>
      </c>
      <c r="H4434" s="3">
        <v>381.261429958961</v>
      </c>
      <c r="I4434" s="3">
        <v>17.41</v>
      </c>
      <c r="J4434" s="3">
        <v>17.600000000000001</v>
      </c>
      <c r="K4434" s="3">
        <v>17.11</v>
      </c>
      <c r="L4434" s="3">
        <v>381.261429958961</v>
      </c>
    </row>
    <row r="4435" spans="1:12" ht="15" customHeight="1" x14ac:dyDescent="0.2">
      <c r="A4435" s="2">
        <v>39616</v>
      </c>
      <c r="B4435" s="3">
        <v>17.48</v>
      </c>
      <c r="C4435" s="1">
        <v>1747276</v>
      </c>
      <c r="D4435" s="3">
        <v>0.100000000000001</v>
      </c>
      <c r="E4435" s="3">
        <v>0.57537399309552895</v>
      </c>
      <c r="F4435" s="3">
        <v>0.57537399309552895</v>
      </c>
      <c r="G4435" s="3">
        <v>17.48</v>
      </c>
      <c r="H4435" s="3">
        <v>387.11347977317001</v>
      </c>
      <c r="I4435" s="3">
        <v>17.47</v>
      </c>
      <c r="J4435" s="3">
        <v>17.63</v>
      </c>
      <c r="K4435" s="3">
        <v>17.350000000000001</v>
      </c>
      <c r="L4435" s="3">
        <v>387.11347977317001</v>
      </c>
    </row>
    <row r="4436" spans="1:12" ht="15" customHeight="1" x14ac:dyDescent="0.2">
      <c r="A4436" s="2">
        <v>39615</v>
      </c>
      <c r="B4436" s="3">
        <v>17.38</v>
      </c>
      <c r="C4436" s="1">
        <v>1894030</v>
      </c>
      <c r="D4436" s="3">
        <v>-0.12000000000000099</v>
      </c>
      <c r="E4436" s="3">
        <v>-0.68571428571428905</v>
      </c>
      <c r="F4436" s="3">
        <v>-0.68571428571428905</v>
      </c>
      <c r="G4436" s="3">
        <v>17.38</v>
      </c>
      <c r="H4436" s="3">
        <v>384.32678938545098</v>
      </c>
      <c r="I4436" s="3">
        <v>17.43</v>
      </c>
      <c r="J4436" s="3">
        <v>17.704999999999998</v>
      </c>
      <c r="K4436" s="3">
        <v>17.329999999999998</v>
      </c>
      <c r="L4436" s="3">
        <v>384.32678938545098</v>
      </c>
    </row>
    <row r="4437" spans="1:12" ht="15" customHeight="1" x14ac:dyDescent="0.2">
      <c r="A4437" s="2">
        <v>39612</v>
      </c>
      <c r="B4437" s="3">
        <v>17.5</v>
      </c>
      <c r="C4437" s="1">
        <v>1840367</v>
      </c>
      <c r="D4437" s="3">
        <v>0.14000000000000001</v>
      </c>
      <c r="E4437" s="3">
        <v>0.80645161290322498</v>
      </c>
      <c r="F4437" s="3">
        <v>0.80645161290322498</v>
      </c>
      <c r="G4437" s="3">
        <v>17.5</v>
      </c>
      <c r="H4437" s="3">
        <v>387.67081785071298</v>
      </c>
      <c r="I4437" s="3">
        <v>17.5</v>
      </c>
      <c r="J4437" s="3">
        <v>17.858000000000001</v>
      </c>
      <c r="K4437" s="3">
        <v>17.38</v>
      </c>
      <c r="L4437" s="3">
        <v>387.67081785071298</v>
      </c>
    </row>
    <row r="4438" spans="1:12" ht="15" customHeight="1" x14ac:dyDescent="0.2">
      <c r="A4438" s="2">
        <v>39611</v>
      </c>
      <c r="B4438" s="3">
        <v>17.36</v>
      </c>
      <c r="C4438" s="1">
        <v>1798266</v>
      </c>
      <c r="D4438" s="3">
        <v>-0.40000000000000202</v>
      </c>
      <c r="E4438" s="3">
        <v>-2.2522522522522599</v>
      </c>
      <c r="F4438" s="3">
        <v>-2.2522522522522599</v>
      </c>
      <c r="G4438" s="3">
        <v>17.36</v>
      </c>
      <c r="H4438" s="3">
        <v>383.76945130790801</v>
      </c>
      <c r="I4438" s="3">
        <v>17.77</v>
      </c>
      <c r="J4438" s="3">
        <v>17.77</v>
      </c>
      <c r="K4438" s="3">
        <v>17.265000000000001</v>
      </c>
      <c r="L4438" s="3">
        <v>383.76945130790801</v>
      </c>
    </row>
    <row r="4439" spans="1:12" ht="15" customHeight="1" x14ac:dyDescent="0.2">
      <c r="A4439" s="2">
        <v>39610</v>
      </c>
      <c r="B4439" s="3">
        <v>17.760000000000002</v>
      </c>
      <c r="C4439" s="1">
        <v>1106530</v>
      </c>
      <c r="D4439" s="3">
        <v>-0.439999999999997</v>
      </c>
      <c r="E4439" s="3">
        <v>-2.4175824175824001</v>
      </c>
      <c r="F4439" s="3">
        <v>-2.4175824175824001</v>
      </c>
      <c r="G4439" s="3">
        <v>17.760000000000002</v>
      </c>
      <c r="H4439" s="3">
        <v>394.91621285878102</v>
      </c>
      <c r="I4439" s="3">
        <v>18.21</v>
      </c>
      <c r="J4439" s="3">
        <v>18.28</v>
      </c>
      <c r="K4439" s="3">
        <v>17.71</v>
      </c>
      <c r="L4439" s="3">
        <v>394.91621285878102</v>
      </c>
    </row>
    <row r="4440" spans="1:12" ht="15" customHeight="1" x14ac:dyDescent="0.2">
      <c r="A4440" s="2">
        <v>39609</v>
      </c>
      <c r="B4440" s="3">
        <v>18.2</v>
      </c>
      <c r="C4440" s="1">
        <v>1717165</v>
      </c>
      <c r="D4440" s="3">
        <v>5.0000000000000697E-2</v>
      </c>
      <c r="E4440" s="3">
        <v>0.27548209366392501</v>
      </c>
      <c r="F4440" s="3">
        <v>0.27548209366392501</v>
      </c>
      <c r="G4440" s="3">
        <v>18.2</v>
      </c>
      <c r="H4440" s="3">
        <v>407.17765056474201</v>
      </c>
      <c r="I4440" s="3">
        <v>17.98</v>
      </c>
      <c r="J4440" s="3">
        <v>18.45</v>
      </c>
      <c r="K4440" s="3">
        <v>17.77</v>
      </c>
      <c r="L4440" s="3">
        <v>407.17765056474201</v>
      </c>
    </row>
    <row r="4441" spans="1:12" ht="15" customHeight="1" x14ac:dyDescent="0.2">
      <c r="A4441" s="2">
        <v>39608</v>
      </c>
      <c r="B4441" s="3">
        <v>18.149999999999999</v>
      </c>
      <c r="C4441" s="1">
        <v>2192130</v>
      </c>
      <c r="D4441" s="3">
        <v>0.16999999999999801</v>
      </c>
      <c r="E4441" s="3">
        <v>0.94549499443825602</v>
      </c>
      <c r="F4441" s="3">
        <v>0.94549499443825602</v>
      </c>
      <c r="G4441" s="3">
        <v>18.149999999999999</v>
      </c>
      <c r="H4441" s="3">
        <v>405.78430537088298</v>
      </c>
      <c r="I4441" s="3">
        <v>18.07</v>
      </c>
      <c r="J4441" s="3">
        <v>18.32</v>
      </c>
      <c r="K4441" s="3">
        <v>17.690000000000001</v>
      </c>
      <c r="L4441" s="3">
        <v>405.78430537088298</v>
      </c>
    </row>
    <row r="4442" spans="1:12" ht="15" customHeight="1" x14ac:dyDescent="0.2">
      <c r="A4442" s="2">
        <v>39605</v>
      </c>
      <c r="B4442" s="3">
        <v>17.98</v>
      </c>
      <c r="C4442" s="1">
        <v>2429521</v>
      </c>
      <c r="D4442" s="3">
        <v>-0.53999999999999904</v>
      </c>
      <c r="E4442" s="3">
        <v>-2.9157667386609001</v>
      </c>
      <c r="F4442" s="3">
        <v>-2.9157667386609001</v>
      </c>
      <c r="G4442" s="3">
        <v>17.98</v>
      </c>
      <c r="H4442" s="3">
        <v>401.04693171176098</v>
      </c>
      <c r="I4442" s="3">
        <v>18.45</v>
      </c>
      <c r="J4442" s="3">
        <v>18.45</v>
      </c>
      <c r="K4442" s="3">
        <v>17.920000000000002</v>
      </c>
      <c r="L4442" s="3">
        <v>401.04693171176098</v>
      </c>
    </row>
    <row r="4443" spans="1:12" ht="15" customHeight="1" x14ac:dyDescent="0.2">
      <c r="A4443" s="2">
        <v>39604</v>
      </c>
      <c r="B4443" s="3">
        <v>18.52</v>
      </c>
      <c r="C4443" s="1">
        <v>2728181</v>
      </c>
      <c r="D4443" s="3">
        <v>-0.35000000000000098</v>
      </c>
      <c r="E4443" s="3">
        <v>-1.8547959724430301</v>
      </c>
      <c r="F4443" s="3">
        <v>-1.8547959724430301</v>
      </c>
      <c r="G4443" s="3">
        <v>18.52</v>
      </c>
      <c r="H4443" s="3">
        <v>416.095059805441</v>
      </c>
      <c r="I4443" s="3">
        <v>18.8</v>
      </c>
      <c r="J4443" s="3">
        <v>19.239999999999998</v>
      </c>
      <c r="K4443" s="3">
        <v>18.399999999999999</v>
      </c>
      <c r="L4443" s="3">
        <v>416.095059805441</v>
      </c>
    </row>
    <row r="4444" spans="1:12" ht="15" customHeight="1" x14ac:dyDescent="0.2">
      <c r="A4444" s="2">
        <v>39603</v>
      </c>
      <c r="B4444" s="3">
        <v>18.87</v>
      </c>
      <c r="C4444" s="1">
        <v>2200277</v>
      </c>
      <c r="D4444" s="3">
        <v>-0.12999999999999901</v>
      </c>
      <c r="E4444" s="3">
        <v>-0.68421052631578705</v>
      </c>
      <c r="F4444" s="3">
        <v>-0.68421052631578705</v>
      </c>
      <c r="G4444" s="3">
        <v>18.87</v>
      </c>
      <c r="H4444" s="3">
        <v>425.84847616245497</v>
      </c>
      <c r="I4444" s="3">
        <v>19.010000000000002</v>
      </c>
      <c r="J4444" s="3">
        <v>19.309999999999999</v>
      </c>
      <c r="K4444" s="3">
        <v>18.75</v>
      </c>
      <c r="L4444" s="3">
        <v>425.84847616245497</v>
      </c>
    </row>
    <row r="4445" spans="1:12" ht="15" customHeight="1" x14ac:dyDescent="0.2">
      <c r="A4445" s="2">
        <v>39602</v>
      </c>
      <c r="B4445" s="3">
        <v>19</v>
      </c>
      <c r="C4445" s="1">
        <v>2035402</v>
      </c>
      <c r="D4445" s="3">
        <v>-0.5</v>
      </c>
      <c r="E4445" s="3">
        <v>-2.5641025641025599</v>
      </c>
      <c r="F4445" s="3">
        <v>-2.5641025641025599</v>
      </c>
      <c r="G4445" s="3">
        <v>19</v>
      </c>
      <c r="H4445" s="3">
        <v>429.47117366648899</v>
      </c>
      <c r="I4445" s="3">
        <v>19.48</v>
      </c>
      <c r="J4445" s="3">
        <v>19.53</v>
      </c>
      <c r="K4445" s="3">
        <v>18.82</v>
      </c>
      <c r="L4445" s="3">
        <v>429.47117366648899</v>
      </c>
    </row>
    <row r="4446" spans="1:12" ht="15" customHeight="1" x14ac:dyDescent="0.2">
      <c r="A4446" s="2">
        <v>39601</v>
      </c>
      <c r="B4446" s="3">
        <v>19.5</v>
      </c>
      <c r="C4446" s="1">
        <v>1232417</v>
      </c>
      <c r="D4446" s="3">
        <v>-0.53000000000000103</v>
      </c>
      <c r="E4446" s="3">
        <v>-2.64603095356965</v>
      </c>
      <c r="F4446" s="3">
        <v>-2.64603095356965</v>
      </c>
      <c r="G4446" s="3">
        <v>19.5</v>
      </c>
      <c r="H4446" s="3">
        <v>443.40462560508098</v>
      </c>
      <c r="I4446" s="3">
        <v>19.940000000000001</v>
      </c>
      <c r="J4446" s="3">
        <v>20.04</v>
      </c>
      <c r="K4446" s="3">
        <v>19.350000000000001</v>
      </c>
      <c r="L4446" s="3">
        <v>443.40462560508098</v>
      </c>
    </row>
    <row r="4447" spans="1:12" ht="15" customHeight="1" x14ac:dyDescent="0.2">
      <c r="A4447" s="2">
        <v>39598</v>
      </c>
      <c r="B4447" s="3">
        <v>20.03</v>
      </c>
      <c r="C4447" s="1">
        <v>802907</v>
      </c>
      <c r="D4447" s="3">
        <v>-7.0000000000000201E-2</v>
      </c>
      <c r="E4447" s="3">
        <v>-0.34825870646766299</v>
      </c>
      <c r="F4447" s="3">
        <v>-0.34825870646766299</v>
      </c>
      <c r="G4447" s="3">
        <v>20.03</v>
      </c>
      <c r="H4447" s="3">
        <v>458.17408465998801</v>
      </c>
      <c r="I4447" s="3">
        <v>20.170000000000002</v>
      </c>
      <c r="J4447" s="3">
        <v>20.170000000000002</v>
      </c>
      <c r="K4447" s="3">
        <v>19.79</v>
      </c>
      <c r="L4447" s="3">
        <v>458.17408465998801</v>
      </c>
    </row>
    <row r="4448" spans="1:12" ht="15" customHeight="1" x14ac:dyDescent="0.2">
      <c r="A4448" s="2">
        <v>39597</v>
      </c>
      <c r="B4448" s="3">
        <v>20.100000000000001</v>
      </c>
      <c r="C4448" s="1">
        <v>1539600</v>
      </c>
      <c r="D4448" s="3">
        <v>-0.16</v>
      </c>
      <c r="E4448" s="3">
        <v>-0.78973346495557695</v>
      </c>
      <c r="F4448" s="3">
        <v>-0.78973346495557695</v>
      </c>
      <c r="G4448" s="3">
        <v>20.100000000000001</v>
      </c>
      <c r="H4448" s="3">
        <v>460.12476793139098</v>
      </c>
      <c r="I4448" s="3">
        <v>20.3</v>
      </c>
      <c r="J4448" s="3">
        <v>20.38</v>
      </c>
      <c r="K4448" s="3">
        <v>19.850000000000001</v>
      </c>
      <c r="L4448" s="3">
        <v>460.12476793139098</v>
      </c>
    </row>
    <row r="4449" spans="1:12" ht="15" customHeight="1" x14ac:dyDescent="0.2">
      <c r="A4449" s="2">
        <v>39596</v>
      </c>
      <c r="B4449" s="3">
        <v>20.260000000000002</v>
      </c>
      <c r="C4449" s="1">
        <v>2046669</v>
      </c>
      <c r="D4449" s="3">
        <v>0.36000000000000298</v>
      </c>
      <c r="E4449" s="3">
        <v>1.80904522613067</v>
      </c>
      <c r="F4449" s="3">
        <v>1.80904522613067</v>
      </c>
      <c r="G4449" s="3">
        <v>20.260000000000002</v>
      </c>
      <c r="H4449" s="3">
        <v>464.58347255173999</v>
      </c>
      <c r="I4449" s="3">
        <v>20.010000000000002</v>
      </c>
      <c r="J4449" s="3">
        <v>20.48</v>
      </c>
      <c r="K4449" s="3">
        <v>19.91</v>
      </c>
      <c r="L4449" s="3">
        <v>464.58347255173999</v>
      </c>
    </row>
    <row r="4450" spans="1:12" ht="15" customHeight="1" x14ac:dyDescent="0.2">
      <c r="A4450" s="2">
        <v>39595</v>
      </c>
      <c r="B4450" s="3">
        <v>19.899999999999999</v>
      </c>
      <c r="C4450" s="1">
        <v>5743304</v>
      </c>
      <c r="D4450" s="3">
        <v>0.369999999999997</v>
      </c>
      <c r="E4450" s="3">
        <v>1.8945212493599299</v>
      </c>
      <c r="F4450" s="3">
        <v>1.8945212493599299</v>
      </c>
      <c r="G4450" s="3">
        <v>19.899999999999999</v>
      </c>
      <c r="H4450" s="3">
        <v>454.55138715595399</v>
      </c>
      <c r="I4450" s="3">
        <v>19.61</v>
      </c>
      <c r="J4450" s="3">
        <v>20.49</v>
      </c>
      <c r="K4450" s="3">
        <v>19.53</v>
      </c>
      <c r="L4450" s="3">
        <v>454.55138715595399</v>
      </c>
    </row>
    <row r="4451" spans="1:12" ht="15" customHeight="1" x14ac:dyDescent="0.2">
      <c r="A4451" s="2">
        <v>39591</v>
      </c>
      <c r="B4451" s="3">
        <v>19.53</v>
      </c>
      <c r="C4451" s="1">
        <v>2975848</v>
      </c>
      <c r="D4451" s="3">
        <v>-1.3399999999999901</v>
      </c>
      <c r="E4451" s="3">
        <v>-6.4206995687589803</v>
      </c>
      <c r="F4451" s="3">
        <v>-6.4206995687589803</v>
      </c>
      <c r="G4451" s="3">
        <v>19.53</v>
      </c>
      <c r="H4451" s="3">
        <v>444.24063272139603</v>
      </c>
      <c r="I4451" s="3">
        <v>19.93</v>
      </c>
      <c r="J4451" s="3">
        <v>20.04</v>
      </c>
      <c r="K4451" s="3">
        <v>19.420000000000002</v>
      </c>
      <c r="L4451" s="3">
        <v>444.24063272139603</v>
      </c>
    </row>
    <row r="4452" spans="1:12" ht="15" customHeight="1" x14ac:dyDescent="0.2">
      <c r="A4452" s="2">
        <v>39590</v>
      </c>
      <c r="B4452" s="3">
        <v>20.87</v>
      </c>
      <c r="C4452" s="1">
        <v>1444070</v>
      </c>
      <c r="D4452" s="3">
        <v>0.25</v>
      </c>
      <c r="E4452" s="3">
        <v>1.21241513094083</v>
      </c>
      <c r="F4452" s="3">
        <v>1.21241513094083</v>
      </c>
      <c r="G4452" s="3">
        <v>20.87</v>
      </c>
      <c r="H4452" s="3">
        <v>481.58228391682201</v>
      </c>
      <c r="I4452" s="3">
        <v>20.68</v>
      </c>
      <c r="J4452" s="3">
        <v>21.4</v>
      </c>
      <c r="K4452" s="3">
        <v>20.68</v>
      </c>
      <c r="L4452" s="3">
        <v>481.58228391682201</v>
      </c>
    </row>
    <row r="4453" spans="1:12" ht="15" customHeight="1" x14ac:dyDescent="0.2">
      <c r="A4453" s="2">
        <v>39589</v>
      </c>
      <c r="B4453" s="3">
        <v>20.62</v>
      </c>
      <c r="C4453" s="1">
        <v>1739177</v>
      </c>
      <c r="D4453" s="3">
        <v>-1.0999999999999901</v>
      </c>
      <c r="E4453" s="3">
        <v>-5.0644567219152696</v>
      </c>
      <c r="F4453" s="3">
        <v>-5.0644567219152696</v>
      </c>
      <c r="G4453" s="3">
        <v>20.62</v>
      </c>
      <c r="H4453" s="3">
        <v>474.61555794752599</v>
      </c>
      <c r="I4453" s="3">
        <v>21.72</v>
      </c>
      <c r="J4453" s="3">
        <v>21.92</v>
      </c>
      <c r="K4453" s="3">
        <v>20.52</v>
      </c>
      <c r="L4453" s="3">
        <v>474.61555794752599</v>
      </c>
    </row>
    <row r="4454" spans="1:12" ht="15" customHeight="1" x14ac:dyDescent="0.2">
      <c r="A4454" s="2">
        <v>39588</v>
      </c>
      <c r="B4454" s="3">
        <v>21.72</v>
      </c>
      <c r="C4454" s="1">
        <v>1355435</v>
      </c>
      <c r="D4454" s="3">
        <v>-0.54000000000000203</v>
      </c>
      <c r="E4454" s="3">
        <v>-2.4258760107816801</v>
      </c>
      <c r="F4454" s="3">
        <v>-2.4258760107816801</v>
      </c>
      <c r="G4454" s="3">
        <v>21.72</v>
      </c>
      <c r="H4454" s="3">
        <v>505.26915221242803</v>
      </c>
      <c r="I4454" s="3">
        <v>22.26</v>
      </c>
      <c r="J4454" s="3">
        <v>22.33</v>
      </c>
      <c r="K4454" s="3">
        <v>21.55</v>
      </c>
      <c r="L4454" s="3">
        <v>505.26915221242803</v>
      </c>
    </row>
    <row r="4455" spans="1:12" ht="15" customHeight="1" x14ac:dyDescent="0.2">
      <c r="A4455" s="2">
        <v>39587</v>
      </c>
      <c r="B4455" s="3">
        <v>22.26</v>
      </c>
      <c r="C4455" s="1">
        <v>724783</v>
      </c>
      <c r="D4455" s="3">
        <v>-0.109999999999999</v>
      </c>
      <c r="E4455" s="3">
        <v>-0.49172999552972102</v>
      </c>
      <c r="F4455" s="3">
        <v>-0.49172999552972102</v>
      </c>
      <c r="G4455" s="3">
        <v>22.26</v>
      </c>
      <c r="H4455" s="3">
        <v>520.31728030610702</v>
      </c>
      <c r="I4455" s="3">
        <v>22.19</v>
      </c>
      <c r="J4455" s="3">
        <v>22.76</v>
      </c>
      <c r="K4455" s="3">
        <v>22.19</v>
      </c>
      <c r="L4455" s="3">
        <v>520.31728030610702</v>
      </c>
    </row>
    <row r="4456" spans="1:12" ht="15" customHeight="1" x14ac:dyDescent="0.2">
      <c r="A4456" s="2">
        <v>39584</v>
      </c>
      <c r="B4456" s="3">
        <v>22.37</v>
      </c>
      <c r="C4456" s="1">
        <v>1019942</v>
      </c>
      <c r="D4456" s="3">
        <v>-5.99999999999987E-2</v>
      </c>
      <c r="E4456" s="3">
        <v>-0.26749888542130201</v>
      </c>
      <c r="F4456" s="3">
        <v>-0.26749888542130201</v>
      </c>
      <c r="G4456" s="3">
        <v>22.37</v>
      </c>
      <c r="H4456" s="3">
        <v>523.38263973259802</v>
      </c>
      <c r="I4456" s="3">
        <v>22.56</v>
      </c>
      <c r="J4456" s="3">
        <v>22.75</v>
      </c>
      <c r="K4456" s="3">
        <v>22.06</v>
      </c>
      <c r="L4456" s="3">
        <v>523.38263973259802</v>
      </c>
    </row>
    <row r="4457" spans="1:12" ht="15" customHeight="1" x14ac:dyDescent="0.2">
      <c r="A4457" s="2">
        <v>39583</v>
      </c>
      <c r="B4457" s="3">
        <v>22.43</v>
      </c>
      <c r="C4457" s="1">
        <v>1203022</v>
      </c>
      <c r="D4457" s="3">
        <v>0.32</v>
      </c>
      <c r="E4457" s="3">
        <v>1.4473089099954699</v>
      </c>
      <c r="F4457" s="3">
        <v>1.4473089099954699</v>
      </c>
      <c r="G4457" s="3">
        <v>22.43</v>
      </c>
      <c r="H4457" s="3">
        <v>525.05465396522902</v>
      </c>
      <c r="I4457" s="3">
        <v>22.15</v>
      </c>
      <c r="J4457" s="3">
        <v>22.63</v>
      </c>
      <c r="K4457" s="3">
        <v>22.1</v>
      </c>
      <c r="L4457" s="3">
        <v>525.05465396522902</v>
      </c>
    </row>
    <row r="4458" spans="1:12" ht="15" customHeight="1" x14ac:dyDescent="0.2">
      <c r="A4458" s="2">
        <v>39582</v>
      </c>
      <c r="B4458" s="3">
        <v>22.11</v>
      </c>
      <c r="C4458" s="1">
        <v>1137310</v>
      </c>
      <c r="D4458" s="3">
        <v>-0.37999999999999901</v>
      </c>
      <c r="E4458" s="3">
        <v>-1.6896398399288499</v>
      </c>
      <c r="F4458" s="3">
        <v>-1.6896398399288499</v>
      </c>
      <c r="G4458" s="3">
        <v>22.11</v>
      </c>
      <c r="H4458" s="3">
        <v>516.13724472452998</v>
      </c>
      <c r="I4458" s="3">
        <v>22.59</v>
      </c>
      <c r="J4458" s="3">
        <v>22.69</v>
      </c>
      <c r="K4458" s="3">
        <v>22.04</v>
      </c>
      <c r="L4458" s="3">
        <v>516.13724472452998</v>
      </c>
    </row>
    <row r="4459" spans="1:12" ht="15" customHeight="1" x14ac:dyDescent="0.2">
      <c r="A4459" s="2">
        <v>39581</v>
      </c>
      <c r="B4459" s="3">
        <v>22.49</v>
      </c>
      <c r="C4459" s="1">
        <v>1587312</v>
      </c>
      <c r="D4459" s="3">
        <v>0.46999999999999797</v>
      </c>
      <c r="E4459" s="3">
        <v>2.1344232515894501</v>
      </c>
      <c r="F4459" s="3">
        <v>2.1344232515894501</v>
      </c>
      <c r="G4459" s="3">
        <v>22.49</v>
      </c>
      <c r="H4459" s="3">
        <v>526.72666819786002</v>
      </c>
      <c r="I4459" s="3">
        <v>22</v>
      </c>
      <c r="J4459" s="3">
        <v>22.78</v>
      </c>
      <c r="K4459" s="3">
        <v>22</v>
      </c>
      <c r="L4459" s="3">
        <v>526.72666819786002</v>
      </c>
    </row>
    <row r="4460" spans="1:12" ht="15" customHeight="1" x14ac:dyDescent="0.2">
      <c r="A4460" s="2">
        <v>39580</v>
      </c>
      <c r="B4460" s="3">
        <v>22.02</v>
      </c>
      <c r="C4460" s="1">
        <v>1298431</v>
      </c>
      <c r="D4460" s="3">
        <v>0.309999999999998</v>
      </c>
      <c r="E4460" s="3">
        <v>1.4279134039613099</v>
      </c>
      <c r="F4460" s="3">
        <v>1.4279134039613099</v>
      </c>
      <c r="G4460" s="3">
        <v>22.02</v>
      </c>
      <c r="H4460" s="3">
        <v>513.62922337558302</v>
      </c>
      <c r="I4460" s="3">
        <v>21.78</v>
      </c>
      <c r="J4460" s="3">
        <v>22.08</v>
      </c>
      <c r="K4460" s="3">
        <v>21.72</v>
      </c>
      <c r="L4460" s="3">
        <v>513.62922337558302</v>
      </c>
    </row>
    <row r="4461" spans="1:12" ht="15" customHeight="1" x14ac:dyDescent="0.2">
      <c r="A4461" s="2">
        <v>39577</v>
      </c>
      <c r="B4461" s="3">
        <v>21.71</v>
      </c>
      <c r="C4461" s="1">
        <v>856082</v>
      </c>
      <c r="D4461" s="3">
        <v>-9.9999999999997799E-2</v>
      </c>
      <c r="E4461" s="3">
        <v>-0.45850527281062697</v>
      </c>
      <c r="F4461" s="3">
        <v>-0.45850527281062697</v>
      </c>
      <c r="G4461" s="3">
        <v>21.71</v>
      </c>
      <c r="H4461" s="3">
        <v>504.990483173656</v>
      </c>
      <c r="I4461" s="3">
        <v>21.57</v>
      </c>
      <c r="J4461" s="3">
        <v>21.95</v>
      </c>
      <c r="K4461" s="3">
        <v>21.47</v>
      </c>
      <c r="L4461" s="3">
        <v>504.990483173656</v>
      </c>
    </row>
    <row r="4462" spans="1:12" ht="15" customHeight="1" x14ac:dyDescent="0.2">
      <c r="A4462" s="2">
        <v>39576</v>
      </c>
      <c r="B4462" s="3">
        <v>21.81</v>
      </c>
      <c r="C4462" s="1">
        <v>932196</v>
      </c>
      <c r="D4462" s="3">
        <v>5.99999999999987E-2</v>
      </c>
      <c r="E4462" s="3">
        <v>0.27586206896550403</v>
      </c>
      <c r="F4462" s="3">
        <v>0.27586206896550403</v>
      </c>
      <c r="G4462" s="3">
        <v>21.81</v>
      </c>
      <c r="H4462" s="3">
        <v>507.77717356137498</v>
      </c>
      <c r="I4462" s="3">
        <v>21.9</v>
      </c>
      <c r="J4462" s="3">
        <v>21.9</v>
      </c>
      <c r="K4462" s="3">
        <v>21.5</v>
      </c>
      <c r="L4462" s="3">
        <v>507.77717356137498</v>
      </c>
    </row>
    <row r="4463" spans="1:12" ht="15" customHeight="1" x14ac:dyDescent="0.2">
      <c r="A4463" s="2">
        <v>39575</v>
      </c>
      <c r="B4463" s="3">
        <v>21.75</v>
      </c>
      <c r="C4463" s="1">
        <v>627161</v>
      </c>
      <c r="D4463" s="3">
        <v>-0.309999999999998</v>
      </c>
      <c r="E4463" s="3">
        <v>-1.4052583862193899</v>
      </c>
      <c r="F4463" s="3">
        <v>-1.4052583862193899</v>
      </c>
      <c r="G4463" s="3">
        <v>21.75</v>
      </c>
      <c r="H4463" s="3">
        <v>506.10515932874398</v>
      </c>
      <c r="I4463" s="3">
        <v>22.05</v>
      </c>
      <c r="J4463" s="3">
        <v>22.55</v>
      </c>
      <c r="K4463" s="3">
        <v>21.75</v>
      </c>
      <c r="L4463" s="3">
        <v>506.10515932874398</v>
      </c>
    </row>
    <row r="4464" spans="1:12" ht="15" customHeight="1" x14ac:dyDescent="0.2">
      <c r="A4464" s="2">
        <v>39574</v>
      </c>
      <c r="B4464" s="3">
        <v>22.06</v>
      </c>
      <c r="C4464" s="1">
        <v>1298174</v>
      </c>
      <c r="D4464" s="3">
        <v>-0.23</v>
      </c>
      <c r="E4464" s="3">
        <v>-1.03185284881113</v>
      </c>
      <c r="F4464" s="3">
        <v>-1.03185284881113</v>
      </c>
      <c r="G4464" s="3">
        <v>22.06</v>
      </c>
      <c r="H4464" s="3">
        <v>514.743899530671</v>
      </c>
      <c r="I4464" s="3">
        <v>21.72</v>
      </c>
      <c r="J4464" s="3">
        <v>22.09</v>
      </c>
      <c r="K4464" s="3">
        <v>21.43</v>
      </c>
      <c r="L4464" s="3">
        <v>514.743899530671</v>
      </c>
    </row>
    <row r="4465" spans="1:12" ht="15" customHeight="1" x14ac:dyDescent="0.2">
      <c r="A4465" s="2">
        <v>39573</v>
      </c>
      <c r="B4465" s="3">
        <v>22.29</v>
      </c>
      <c r="C4465" s="1">
        <v>912650</v>
      </c>
      <c r="D4465" s="3">
        <v>-0.42000000000000098</v>
      </c>
      <c r="E4465" s="3">
        <v>-1.84940554821665</v>
      </c>
      <c r="F4465" s="3">
        <v>-1.84940554821665</v>
      </c>
      <c r="G4465" s="3">
        <v>22.29</v>
      </c>
      <c r="H4465" s="3">
        <v>521.15328742242298</v>
      </c>
      <c r="I4465" s="3">
        <v>22.53</v>
      </c>
      <c r="J4465" s="3">
        <v>22.68</v>
      </c>
      <c r="K4465" s="3">
        <v>22.12</v>
      </c>
      <c r="L4465" s="3">
        <v>521.15328742242298</v>
      </c>
    </row>
    <row r="4466" spans="1:12" ht="15" customHeight="1" x14ac:dyDescent="0.2">
      <c r="A4466" s="2">
        <v>39570</v>
      </c>
      <c r="B4466" s="3">
        <v>22.71</v>
      </c>
      <c r="C4466" s="1">
        <v>867512</v>
      </c>
      <c r="D4466" s="3">
        <v>-2.9999999999997501E-2</v>
      </c>
      <c r="E4466" s="3">
        <v>-0.13192612137201601</v>
      </c>
      <c r="F4466" s="3">
        <v>-0.13192612137201601</v>
      </c>
      <c r="G4466" s="3">
        <v>22.71</v>
      </c>
      <c r="H4466" s="3">
        <v>532.85738705083998</v>
      </c>
      <c r="I4466" s="3">
        <v>22.8</v>
      </c>
      <c r="J4466" s="3">
        <v>23.1</v>
      </c>
      <c r="K4466" s="3">
        <v>22.56</v>
      </c>
      <c r="L4466" s="3">
        <v>532.85738705083998</v>
      </c>
    </row>
    <row r="4467" spans="1:12" ht="15" customHeight="1" x14ac:dyDescent="0.2">
      <c r="A4467" s="2">
        <v>39569</v>
      </c>
      <c r="B4467" s="3">
        <v>22.74</v>
      </c>
      <c r="C4467" s="1">
        <v>1870759</v>
      </c>
      <c r="D4467" s="3">
        <v>0.109999999999999</v>
      </c>
      <c r="E4467" s="3">
        <v>0.48608042421565101</v>
      </c>
      <c r="F4467" s="3">
        <v>0.48608042421565101</v>
      </c>
      <c r="G4467" s="3">
        <v>22.74</v>
      </c>
      <c r="H4467" s="3">
        <v>533.69339416715502</v>
      </c>
      <c r="I4467" s="3">
        <v>22.6</v>
      </c>
      <c r="J4467" s="3">
        <v>22.81</v>
      </c>
      <c r="K4467" s="3">
        <v>22.33</v>
      </c>
      <c r="L4467" s="3">
        <v>533.69339416715502</v>
      </c>
    </row>
    <row r="4468" spans="1:12" ht="15" customHeight="1" x14ac:dyDescent="0.2">
      <c r="A4468" s="2">
        <v>39568</v>
      </c>
      <c r="B4468" s="3">
        <v>22.63</v>
      </c>
      <c r="C4468" s="1">
        <v>2631312</v>
      </c>
      <c r="D4468" s="3">
        <v>0.92999999999999905</v>
      </c>
      <c r="E4468" s="3">
        <v>4.28571428571429</v>
      </c>
      <c r="F4468" s="3">
        <v>4.28571428571429</v>
      </c>
      <c r="G4468" s="3">
        <v>22.63</v>
      </c>
      <c r="H4468" s="3">
        <v>530.62803474066504</v>
      </c>
      <c r="I4468" s="3">
        <v>21.8</v>
      </c>
      <c r="J4468" s="3">
        <v>22.95</v>
      </c>
      <c r="K4468" s="3">
        <v>21.8</v>
      </c>
      <c r="L4468" s="3">
        <v>530.62803474066504</v>
      </c>
    </row>
    <row r="4469" spans="1:12" ht="15" customHeight="1" x14ac:dyDescent="0.2">
      <c r="A4469" s="2">
        <v>39567</v>
      </c>
      <c r="B4469" s="3">
        <v>21.7</v>
      </c>
      <c r="C4469" s="1">
        <v>1078710</v>
      </c>
      <c r="D4469" s="3">
        <v>5.99999999999987E-2</v>
      </c>
      <c r="E4469" s="3">
        <v>0.27726432532346701</v>
      </c>
      <c r="F4469" s="3">
        <v>0.27726432532346701</v>
      </c>
      <c r="G4469" s="3">
        <v>21.7</v>
      </c>
      <c r="H4469" s="3">
        <v>504.711814134885</v>
      </c>
      <c r="I4469" s="3">
        <v>21.54</v>
      </c>
      <c r="J4469" s="3">
        <v>21.9</v>
      </c>
      <c r="K4469" s="3">
        <v>21.54</v>
      </c>
      <c r="L4469" s="3">
        <v>504.711814134885</v>
      </c>
    </row>
    <row r="4470" spans="1:12" ht="15" customHeight="1" x14ac:dyDescent="0.2">
      <c r="A4470" s="2">
        <v>39566</v>
      </c>
      <c r="B4470" s="3">
        <v>21.64</v>
      </c>
      <c r="C4470" s="1">
        <v>2262552</v>
      </c>
      <c r="D4470" s="3">
        <v>0.46999999999999797</v>
      </c>
      <c r="E4470" s="3">
        <v>2.2201228153046801</v>
      </c>
      <c r="F4470" s="3">
        <v>2.2201228153046801</v>
      </c>
      <c r="G4470" s="3">
        <v>21.64</v>
      </c>
      <c r="H4470" s="3">
        <v>503.039799902254</v>
      </c>
      <c r="I4470" s="3">
        <v>21.01</v>
      </c>
      <c r="J4470" s="3">
        <v>22</v>
      </c>
      <c r="K4470" s="3">
        <v>20.9</v>
      </c>
      <c r="L4470" s="3">
        <v>503.039799902254</v>
      </c>
    </row>
    <row r="4471" spans="1:12" ht="15" customHeight="1" x14ac:dyDescent="0.2">
      <c r="A4471" s="2">
        <v>39563</v>
      </c>
      <c r="B4471" s="3">
        <v>21.17</v>
      </c>
      <c r="C4471" s="1">
        <v>4576509</v>
      </c>
      <c r="D4471" s="3">
        <v>-0.39999999999999802</v>
      </c>
      <c r="E4471" s="3">
        <v>-1.85442744552618</v>
      </c>
      <c r="F4471" s="3">
        <v>-1.85442744552618</v>
      </c>
      <c r="G4471" s="3">
        <v>21.17</v>
      </c>
      <c r="H4471" s="3">
        <v>489.94235507997701</v>
      </c>
      <c r="I4471" s="3">
        <v>21.53</v>
      </c>
      <c r="J4471" s="3">
        <v>21.53</v>
      </c>
      <c r="K4471" s="3">
        <v>20.12</v>
      </c>
      <c r="L4471" s="3">
        <v>489.94235507997701</v>
      </c>
    </row>
    <row r="4472" spans="1:12" ht="15" customHeight="1" x14ac:dyDescent="0.2">
      <c r="A4472" s="2">
        <v>39562</v>
      </c>
      <c r="B4472" s="3">
        <v>21.57</v>
      </c>
      <c r="C4472" s="1">
        <v>1718883</v>
      </c>
      <c r="D4472" s="3">
        <v>-8.9999999999999802E-2</v>
      </c>
      <c r="E4472" s="3">
        <v>-0.41551246537395697</v>
      </c>
      <c r="F4472" s="3">
        <v>-0.41551246537395697</v>
      </c>
      <c r="G4472" s="3">
        <v>21.57</v>
      </c>
      <c r="H4472" s="3">
        <v>501.08911663085098</v>
      </c>
      <c r="I4472" s="3">
        <v>21.54</v>
      </c>
      <c r="J4472" s="3">
        <v>21.99</v>
      </c>
      <c r="K4472" s="3">
        <v>21.37</v>
      </c>
      <c r="L4472" s="3">
        <v>501.08911663085098</v>
      </c>
    </row>
    <row r="4473" spans="1:12" ht="15" customHeight="1" x14ac:dyDescent="0.2">
      <c r="A4473" s="2">
        <v>39561</v>
      </c>
      <c r="B4473" s="3">
        <v>21.66</v>
      </c>
      <c r="C4473" s="1">
        <v>1539967</v>
      </c>
      <c r="D4473" s="3">
        <v>0.23</v>
      </c>
      <c r="E4473" s="3">
        <v>1.0732617825478199</v>
      </c>
      <c r="F4473" s="3">
        <v>1.0732617825478199</v>
      </c>
      <c r="G4473" s="3">
        <v>21.66</v>
      </c>
      <c r="H4473" s="3">
        <v>503.59713797979703</v>
      </c>
      <c r="I4473" s="3">
        <v>21.5</v>
      </c>
      <c r="J4473" s="3">
        <v>22.4</v>
      </c>
      <c r="K4473" s="3">
        <v>21.39</v>
      </c>
      <c r="L4473" s="3">
        <v>503.59713797979703</v>
      </c>
    </row>
    <row r="4474" spans="1:12" ht="15" customHeight="1" x14ac:dyDescent="0.2">
      <c r="A4474" s="2">
        <v>39560</v>
      </c>
      <c r="B4474" s="3">
        <v>21.43</v>
      </c>
      <c r="C4474" s="1">
        <v>1715457</v>
      </c>
      <c r="D4474" s="3">
        <v>-0.17000000000000101</v>
      </c>
      <c r="E4474" s="3">
        <v>-0.78703703703704098</v>
      </c>
      <c r="F4474" s="3">
        <v>-0.78703703703704098</v>
      </c>
      <c r="G4474" s="3">
        <v>21.43</v>
      </c>
      <c r="H4474" s="3">
        <v>497.18775008804499</v>
      </c>
      <c r="I4474" s="3">
        <v>21.35</v>
      </c>
      <c r="J4474" s="3">
        <v>21.49</v>
      </c>
      <c r="K4474" s="3">
        <v>20.69</v>
      </c>
      <c r="L4474" s="3">
        <v>497.18775008804499</v>
      </c>
    </row>
    <row r="4475" spans="1:12" ht="15" customHeight="1" x14ac:dyDescent="0.2">
      <c r="A4475" s="2">
        <v>39559</v>
      </c>
      <c r="B4475" s="3">
        <v>21.6</v>
      </c>
      <c r="C4475" s="1">
        <v>1016299</v>
      </c>
      <c r="D4475" s="3">
        <v>1.0000000000001501E-2</v>
      </c>
      <c r="E4475" s="3">
        <v>4.6317739694301502E-2</v>
      </c>
      <c r="F4475" s="3">
        <v>4.6317739694301502E-2</v>
      </c>
      <c r="G4475" s="3">
        <v>21.6</v>
      </c>
      <c r="H4475" s="3">
        <v>501.92512374716603</v>
      </c>
      <c r="I4475" s="3">
        <v>21.51</v>
      </c>
      <c r="J4475" s="3">
        <v>21.68</v>
      </c>
      <c r="K4475" s="3">
        <v>21.41</v>
      </c>
      <c r="L4475" s="3">
        <v>501.92512374716603</v>
      </c>
    </row>
    <row r="4476" spans="1:12" ht="15" customHeight="1" x14ac:dyDescent="0.2">
      <c r="A4476" s="2">
        <v>39556</v>
      </c>
      <c r="B4476" s="3">
        <v>21.59</v>
      </c>
      <c r="C4476" s="1">
        <v>1506394</v>
      </c>
      <c r="D4476" s="3">
        <v>0.32</v>
      </c>
      <c r="E4476" s="3">
        <v>1.5044663845792099</v>
      </c>
      <c r="F4476" s="3">
        <v>1.5044663845792099</v>
      </c>
      <c r="G4476" s="3">
        <v>21.59</v>
      </c>
      <c r="H4476" s="3">
        <v>501.646454708394</v>
      </c>
      <c r="I4476" s="3">
        <v>21.52</v>
      </c>
      <c r="J4476" s="3">
        <v>22.17</v>
      </c>
      <c r="K4476" s="3">
        <v>21.35</v>
      </c>
      <c r="L4476" s="3">
        <v>501.646454708394</v>
      </c>
    </row>
    <row r="4477" spans="1:12" ht="15" customHeight="1" x14ac:dyDescent="0.2">
      <c r="A4477" s="2">
        <v>39555</v>
      </c>
      <c r="B4477" s="3">
        <v>21.27</v>
      </c>
      <c r="C4477" s="1">
        <v>685059</v>
      </c>
      <c r="D4477" s="3">
        <v>-0.37999999999999901</v>
      </c>
      <c r="E4477" s="3">
        <v>-1.75519630484988</v>
      </c>
      <c r="F4477" s="3">
        <v>-1.75519630484988</v>
      </c>
      <c r="G4477" s="3">
        <v>21.27</v>
      </c>
      <c r="H4477" s="3">
        <v>492.72904546769598</v>
      </c>
      <c r="I4477" s="3">
        <v>21.51</v>
      </c>
      <c r="J4477" s="3">
        <v>21.51</v>
      </c>
      <c r="K4477" s="3">
        <v>21.14</v>
      </c>
      <c r="L4477" s="3">
        <v>492.72904546769598</v>
      </c>
    </row>
    <row r="4478" spans="1:12" ht="15" customHeight="1" x14ac:dyDescent="0.2">
      <c r="A4478" s="2">
        <v>39554</v>
      </c>
      <c r="B4478" s="3">
        <v>21.65</v>
      </c>
      <c r="C4478" s="1">
        <v>716296</v>
      </c>
      <c r="D4478" s="3">
        <v>0.45999999999999702</v>
      </c>
      <c r="E4478" s="3">
        <v>2.1708352996696298</v>
      </c>
      <c r="F4478" s="3">
        <v>2.1708352996696298</v>
      </c>
      <c r="G4478" s="3">
        <v>21.65</v>
      </c>
      <c r="H4478" s="3">
        <v>503.318468941025</v>
      </c>
      <c r="I4478" s="3">
        <v>21.31</v>
      </c>
      <c r="J4478" s="3">
        <v>21.91</v>
      </c>
      <c r="K4478" s="3">
        <v>21.24</v>
      </c>
      <c r="L4478" s="3">
        <v>503.318468941025</v>
      </c>
    </row>
    <row r="4479" spans="1:12" ht="15" customHeight="1" x14ac:dyDescent="0.2">
      <c r="A4479" s="2">
        <v>39553</v>
      </c>
      <c r="B4479" s="3">
        <v>21.19</v>
      </c>
      <c r="C4479" s="1">
        <v>771506</v>
      </c>
      <c r="D4479" s="3">
        <v>0.100000000000001</v>
      </c>
      <c r="E4479" s="3">
        <v>0.47415836889521601</v>
      </c>
      <c r="F4479" s="3">
        <v>0.47415836889521601</v>
      </c>
      <c r="G4479" s="3">
        <v>21.19</v>
      </c>
      <c r="H4479" s="3">
        <v>490.49969315752099</v>
      </c>
      <c r="I4479" s="3">
        <v>21.17</v>
      </c>
      <c r="J4479" s="3">
        <v>21.29</v>
      </c>
      <c r="K4479" s="3">
        <v>21</v>
      </c>
      <c r="L4479" s="3">
        <v>490.49969315752099</v>
      </c>
    </row>
    <row r="4480" spans="1:12" ht="15" customHeight="1" x14ac:dyDescent="0.2">
      <c r="A4480" s="2">
        <v>39552</v>
      </c>
      <c r="B4480" s="3">
        <v>21.09</v>
      </c>
      <c r="C4480" s="1">
        <v>701488</v>
      </c>
      <c r="D4480" s="3">
        <v>-0.109999999999999</v>
      </c>
      <c r="E4480" s="3">
        <v>-0.518867924528299</v>
      </c>
      <c r="F4480" s="3">
        <v>-0.518867924528299</v>
      </c>
      <c r="G4480" s="3">
        <v>21.09</v>
      </c>
      <c r="H4480" s="3">
        <v>487.71300276980298</v>
      </c>
      <c r="I4480" s="3">
        <v>21.16</v>
      </c>
      <c r="J4480" s="3">
        <v>21.47</v>
      </c>
      <c r="K4480" s="3">
        <v>20.98</v>
      </c>
      <c r="L4480" s="3">
        <v>487.71300276980298</v>
      </c>
    </row>
    <row r="4481" spans="1:12" ht="15" customHeight="1" x14ac:dyDescent="0.2">
      <c r="A4481" s="2">
        <v>39549</v>
      </c>
      <c r="B4481" s="3">
        <v>21.2</v>
      </c>
      <c r="C4481" s="1">
        <v>702881</v>
      </c>
      <c r="D4481" s="3">
        <v>-0.19999999999999901</v>
      </c>
      <c r="E4481" s="3">
        <v>-0.934579439252336</v>
      </c>
      <c r="F4481" s="3">
        <v>-0.934579439252336</v>
      </c>
      <c r="G4481" s="3">
        <v>21.2</v>
      </c>
      <c r="H4481" s="3">
        <v>490.77836219629302</v>
      </c>
      <c r="I4481" s="3">
        <v>21.22</v>
      </c>
      <c r="J4481" s="3">
        <v>21.82</v>
      </c>
      <c r="K4481" s="3">
        <v>21.05</v>
      </c>
      <c r="L4481" s="3">
        <v>490.77836219629302</v>
      </c>
    </row>
    <row r="4482" spans="1:12" ht="15" customHeight="1" x14ac:dyDescent="0.2">
      <c r="A4482" s="2">
        <v>39548</v>
      </c>
      <c r="B4482" s="3">
        <v>21.4</v>
      </c>
      <c r="C4482" s="1">
        <v>875843</v>
      </c>
      <c r="D4482" s="3">
        <v>0.25</v>
      </c>
      <c r="E4482" s="3">
        <v>1.1820330969267001</v>
      </c>
      <c r="F4482" s="3">
        <v>1.1820330969267001</v>
      </c>
      <c r="G4482" s="3">
        <v>21.4</v>
      </c>
      <c r="H4482" s="3">
        <v>496.35174297172898</v>
      </c>
      <c r="I4482" s="3">
        <v>21.24</v>
      </c>
      <c r="J4482" s="3">
        <v>21.67</v>
      </c>
      <c r="K4482" s="3">
        <v>21.07</v>
      </c>
      <c r="L4482" s="3">
        <v>496.35174297172898</v>
      </c>
    </row>
    <row r="4483" spans="1:12" ht="15" customHeight="1" x14ac:dyDescent="0.2">
      <c r="A4483" s="2">
        <v>39547</v>
      </c>
      <c r="B4483" s="3">
        <v>21.15</v>
      </c>
      <c r="C4483" s="1">
        <v>1478753</v>
      </c>
      <c r="D4483" s="3">
        <v>-0.42999999999999899</v>
      </c>
      <c r="E4483" s="3">
        <v>-1.9925857275254799</v>
      </c>
      <c r="F4483" s="3">
        <v>-1.9925857275254799</v>
      </c>
      <c r="G4483" s="3">
        <v>21.15</v>
      </c>
      <c r="H4483" s="3">
        <v>489.38501700243398</v>
      </c>
      <c r="I4483" s="3">
        <v>21.69</v>
      </c>
      <c r="J4483" s="3">
        <v>22.4</v>
      </c>
      <c r="K4483" s="3">
        <v>20.98</v>
      </c>
      <c r="L4483" s="3">
        <v>489.38501700243398</v>
      </c>
    </row>
    <row r="4484" spans="1:12" ht="15" customHeight="1" x14ac:dyDescent="0.2">
      <c r="A4484" s="2">
        <v>39546</v>
      </c>
      <c r="B4484" s="3">
        <v>21.58</v>
      </c>
      <c r="C4484" s="1">
        <v>1927462</v>
      </c>
      <c r="D4484" s="3">
        <v>-0.87000000000000099</v>
      </c>
      <c r="E4484" s="3">
        <v>-3.87527839643653</v>
      </c>
      <c r="F4484" s="3">
        <v>-3.87527839643653</v>
      </c>
      <c r="G4484" s="3">
        <v>21.58</v>
      </c>
      <c r="H4484" s="3">
        <v>501.367785669623</v>
      </c>
      <c r="I4484" s="3">
        <v>22.43</v>
      </c>
      <c r="J4484" s="3">
        <v>22.43</v>
      </c>
      <c r="K4484" s="3">
        <v>21.41</v>
      </c>
      <c r="L4484" s="3">
        <v>501.367785669623</v>
      </c>
    </row>
    <row r="4485" spans="1:12" ht="15" customHeight="1" x14ac:dyDescent="0.2">
      <c r="A4485" s="2">
        <v>39545</v>
      </c>
      <c r="B4485" s="3">
        <v>22.45</v>
      </c>
      <c r="C4485" s="1">
        <v>694470</v>
      </c>
      <c r="D4485" s="3">
        <v>-0.32</v>
      </c>
      <c r="E4485" s="3">
        <v>-1.40535792709706</v>
      </c>
      <c r="F4485" s="3">
        <v>-1.40535792709706</v>
      </c>
      <c r="G4485" s="3">
        <v>22.45</v>
      </c>
      <c r="H4485" s="3">
        <v>525.61199204277204</v>
      </c>
      <c r="I4485" s="3">
        <v>22.68</v>
      </c>
      <c r="J4485" s="3">
        <v>22.91</v>
      </c>
      <c r="K4485" s="3">
        <v>22.44</v>
      </c>
      <c r="L4485" s="3">
        <v>525.61199204277204</v>
      </c>
    </row>
    <row r="4486" spans="1:12" ht="15" customHeight="1" x14ac:dyDescent="0.2">
      <c r="A4486" s="2">
        <v>39542</v>
      </c>
      <c r="B4486" s="3">
        <v>22.77</v>
      </c>
      <c r="C4486" s="1">
        <v>535174</v>
      </c>
      <c r="D4486" s="3">
        <v>-1.0000000000001501E-2</v>
      </c>
      <c r="E4486" s="3">
        <v>-4.3898156277444297E-2</v>
      </c>
      <c r="F4486" s="3">
        <v>-4.3898156277444297E-2</v>
      </c>
      <c r="G4486" s="3">
        <v>22.77</v>
      </c>
      <c r="H4486" s="3">
        <v>534.52940128347097</v>
      </c>
      <c r="I4486" s="3">
        <v>22.88</v>
      </c>
      <c r="J4486" s="3">
        <v>22.98</v>
      </c>
      <c r="K4486" s="3">
        <v>22.42</v>
      </c>
      <c r="L4486" s="3">
        <v>534.52940128347097</v>
      </c>
    </row>
    <row r="4487" spans="1:12" ht="15" customHeight="1" x14ac:dyDescent="0.2">
      <c r="A4487" s="2">
        <v>39541</v>
      </c>
      <c r="B4487" s="3">
        <v>22.78</v>
      </c>
      <c r="C4487" s="1">
        <v>783194</v>
      </c>
      <c r="D4487" s="3">
        <v>0.100000000000001</v>
      </c>
      <c r="E4487" s="3">
        <v>0.440917107583782</v>
      </c>
      <c r="F4487" s="3">
        <v>0.440917107583782</v>
      </c>
      <c r="G4487" s="3">
        <v>22.78</v>
      </c>
      <c r="H4487" s="3">
        <v>534.808070322243</v>
      </c>
      <c r="I4487" s="3">
        <v>22.57</v>
      </c>
      <c r="J4487" s="3">
        <v>23.13</v>
      </c>
      <c r="K4487" s="3">
        <v>22.52</v>
      </c>
      <c r="L4487" s="3">
        <v>534.808070322243</v>
      </c>
    </row>
    <row r="4488" spans="1:12" ht="15" customHeight="1" x14ac:dyDescent="0.2">
      <c r="A4488" s="2">
        <v>39540</v>
      </c>
      <c r="B4488" s="3">
        <v>22.68</v>
      </c>
      <c r="C4488" s="1">
        <v>813767</v>
      </c>
      <c r="D4488" s="3">
        <v>0.28000000000000103</v>
      </c>
      <c r="E4488" s="3">
        <v>1.24999999999999</v>
      </c>
      <c r="F4488" s="3">
        <v>1.24999999999999</v>
      </c>
      <c r="G4488" s="3">
        <v>22.68</v>
      </c>
      <c r="H4488" s="3">
        <v>532.02137993452504</v>
      </c>
      <c r="I4488" s="3">
        <v>22.48</v>
      </c>
      <c r="J4488" s="3">
        <v>23.16</v>
      </c>
      <c r="K4488" s="3">
        <v>22.17</v>
      </c>
      <c r="L4488" s="3">
        <v>532.02137993452504</v>
      </c>
    </row>
    <row r="4489" spans="1:12" ht="15" customHeight="1" x14ac:dyDescent="0.2">
      <c r="A4489" s="2">
        <v>39539</v>
      </c>
      <c r="B4489" s="3">
        <v>22.4</v>
      </c>
      <c r="C4489" s="1">
        <v>796920</v>
      </c>
      <c r="D4489" s="3">
        <v>0.60999999999999899</v>
      </c>
      <c r="E4489" s="3">
        <v>2.7994492886645101</v>
      </c>
      <c r="F4489" s="3">
        <v>2.7994492886645101</v>
      </c>
      <c r="G4489" s="3">
        <v>22.4</v>
      </c>
      <c r="H4489" s="3">
        <v>524.21864684891295</v>
      </c>
      <c r="I4489" s="3">
        <v>21.77</v>
      </c>
      <c r="J4489" s="3">
        <v>22.55</v>
      </c>
      <c r="K4489" s="3">
        <v>21.77</v>
      </c>
      <c r="L4489" s="3">
        <v>524.21864684891295</v>
      </c>
    </row>
    <row r="4490" spans="1:12" ht="15" customHeight="1" x14ac:dyDescent="0.2">
      <c r="A4490" s="2">
        <v>39538</v>
      </c>
      <c r="B4490" s="3">
        <v>21.79</v>
      </c>
      <c r="C4490" s="1">
        <v>1187895</v>
      </c>
      <c r="D4490" s="3">
        <v>0.89999999999999802</v>
      </c>
      <c r="E4490" s="3">
        <v>4.30828147438966</v>
      </c>
      <c r="F4490" s="3">
        <v>4.30828147438966</v>
      </c>
      <c r="G4490" s="3">
        <v>21.79</v>
      </c>
      <c r="H4490" s="3">
        <v>507.21983548383099</v>
      </c>
      <c r="I4490" s="3">
        <v>20.97</v>
      </c>
      <c r="J4490" s="3">
        <v>21.95</v>
      </c>
      <c r="K4490" s="3">
        <v>20.58</v>
      </c>
      <c r="L4490" s="3">
        <v>507.21983548383099</v>
      </c>
    </row>
    <row r="4491" spans="1:12" ht="15" customHeight="1" x14ac:dyDescent="0.2">
      <c r="A4491" s="2">
        <v>39535</v>
      </c>
      <c r="B4491" s="3">
        <v>20.89</v>
      </c>
      <c r="C4491" s="1">
        <v>1253995</v>
      </c>
      <c r="D4491" s="3">
        <v>-0.41999999999999799</v>
      </c>
      <c r="E4491" s="3">
        <v>-1.97090567808539</v>
      </c>
      <c r="F4491" s="3">
        <v>-1.97090567808539</v>
      </c>
      <c r="G4491" s="3">
        <v>20.89</v>
      </c>
      <c r="H4491" s="3">
        <v>482.139621994366</v>
      </c>
      <c r="I4491" s="3">
        <v>21.38</v>
      </c>
      <c r="J4491" s="3">
        <v>21.38</v>
      </c>
      <c r="K4491" s="3">
        <v>20.8</v>
      </c>
      <c r="L4491" s="3">
        <v>482.139621994366</v>
      </c>
    </row>
    <row r="4492" spans="1:12" ht="15" customHeight="1" x14ac:dyDescent="0.2">
      <c r="A4492" s="2">
        <v>39534</v>
      </c>
      <c r="B4492" s="3">
        <v>21.31</v>
      </c>
      <c r="C4492" s="1">
        <v>865817</v>
      </c>
      <c r="D4492" s="3">
        <v>-0.39</v>
      </c>
      <c r="E4492" s="3">
        <v>-1.79723502304147</v>
      </c>
      <c r="F4492" s="3">
        <v>-1.79723502304147</v>
      </c>
      <c r="G4492" s="3">
        <v>21.31</v>
      </c>
      <c r="H4492" s="3">
        <v>493.84372162278299</v>
      </c>
      <c r="I4492" s="3">
        <v>21.75</v>
      </c>
      <c r="J4492" s="3">
        <v>21.88</v>
      </c>
      <c r="K4492" s="3">
        <v>21.2</v>
      </c>
      <c r="L4492" s="3">
        <v>493.84372162278299</v>
      </c>
    </row>
    <row r="4493" spans="1:12" ht="15" customHeight="1" x14ac:dyDescent="0.2">
      <c r="A4493" s="2">
        <v>39533</v>
      </c>
      <c r="B4493" s="3">
        <v>21.7</v>
      </c>
      <c r="C4493" s="1">
        <v>2099616</v>
      </c>
      <c r="D4493" s="3">
        <v>-0.94999999999999896</v>
      </c>
      <c r="E4493" s="3">
        <v>-4.1942604856512098</v>
      </c>
      <c r="F4493" s="3">
        <v>-4.1942604856512098</v>
      </c>
      <c r="G4493" s="3">
        <v>21.7</v>
      </c>
      <c r="H4493" s="3">
        <v>504.711814134885</v>
      </c>
      <c r="I4493" s="3">
        <v>22.59</v>
      </c>
      <c r="J4493" s="3">
        <v>22.59</v>
      </c>
      <c r="K4493" s="3">
        <v>21.52</v>
      </c>
      <c r="L4493" s="3">
        <v>504.711814134885</v>
      </c>
    </row>
    <row r="4494" spans="1:12" ht="15" customHeight="1" x14ac:dyDescent="0.2">
      <c r="A4494" s="2">
        <v>39532</v>
      </c>
      <c r="B4494" s="3">
        <v>22.65</v>
      </c>
      <c r="C4494" s="1">
        <v>556854</v>
      </c>
      <c r="D4494" s="3">
        <v>-7.0000000000000201E-2</v>
      </c>
      <c r="E4494" s="3">
        <v>-0.30809859154929897</v>
      </c>
      <c r="F4494" s="3">
        <v>-0.30809859154929897</v>
      </c>
      <c r="G4494" s="3">
        <v>22.65</v>
      </c>
      <c r="H4494" s="3">
        <v>531.18537281820898</v>
      </c>
      <c r="I4494" s="3">
        <v>22.68</v>
      </c>
      <c r="J4494" s="3">
        <v>22.92</v>
      </c>
      <c r="K4494" s="3">
        <v>22.32</v>
      </c>
      <c r="L4494" s="3">
        <v>531.18537281820898</v>
      </c>
    </row>
    <row r="4495" spans="1:12" ht="15" customHeight="1" x14ac:dyDescent="0.2">
      <c r="A4495" s="2">
        <v>39531</v>
      </c>
      <c r="B4495" s="3">
        <v>22.72</v>
      </c>
      <c r="C4495" s="1">
        <v>1800868</v>
      </c>
      <c r="D4495" s="3">
        <v>1.41</v>
      </c>
      <c r="E4495" s="3">
        <v>6.6166119192867301</v>
      </c>
      <c r="F4495" s="3">
        <v>6.6166119192867301</v>
      </c>
      <c r="G4495" s="3">
        <v>22.72</v>
      </c>
      <c r="H4495" s="3">
        <v>533.136056089612</v>
      </c>
      <c r="I4495" s="3">
        <v>21.38</v>
      </c>
      <c r="J4495" s="3">
        <v>23.25</v>
      </c>
      <c r="K4495" s="3">
        <v>21.35</v>
      </c>
      <c r="L4495" s="3">
        <v>533.136056089612</v>
      </c>
    </row>
    <row r="4496" spans="1:12" ht="15" customHeight="1" x14ac:dyDescent="0.2">
      <c r="A4496" s="2">
        <v>39527</v>
      </c>
      <c r="B4496" s="3">
        <v>21.31</v>
      </c>
      <c r="C4496" s="1">
        <v>1742507</v>
      </c>
      <c r="D4496" s="3">
        <v>0.78999999999999904</v>
      </c>
      <c r="E4496" s="3">
        <v>3.8499025341130499</v>
      </c>
      <c r="F4496" s="3">
        <v>3.8499025341130499</v>
      </c>
      <c r="G4496" s="3">
        <v>21.31</v>
      </c>
      <c r="H4496" s="3">
        <v>493.84372162278299</v>
      </c>
      <c r="I4496" s="3">
        <v>20.57</v>
      </c>
      <c r="J4496" s="3">
        <v>21.78</v>
      </c>
      <c r="K4496" s="3">
        <v>20.46</v>
      </c>
      <c r="L4496" s="3">
        <v>493.84372162278299</v>
      </c>
    </row>
    <row r="4497" spans="1:12" ht="15" customHeight="1" x14ac:dyDescent="0.2">
      <c r="A4497" s="2">
        <v>39526</v>
      </c>
      <c r="B4497" s="3">
        <v>20.52</v>
      </c>
      <c r="C4497" s="1">
        <v>704768</v>
      </c>
      <c r="D4497" s="3">
        <v>-0.17999999999999899</v>
      </c>
      <c r="E4497" s="3">
        <v>-0.86956521739129899</v>
      </c>
      <c r="F4497" s="3">
        <v>-0.86956521739129899</v>
      </c>
      <c r="G4497" s="3">
        <v>20.52</v>
      </c>
      <c r="H4497" s="3">
        <v>471.82886755980797</v>
      </c>
      <c r="I4497" s="3">
        <v>20.89</v>
      </c>
      <c r="J4497" s="3">
        <v>21.18</v>
      </c>
      <c r="K4497" s="3">
        <v>20.51</v>
      </c>
      <c r="L4497" s="3">
        <v>471.82886755980797</v>
      </c>
    </row>
    <row r="4498" spans="1:12" ht="15" customHeight="1" x14ac:dyDescent="0.2">
      <c r="A4498" s="2">
        <v>39525</v>
      </c>
      <c r="B4498" s="3">
        <v>20.7</v>
      </c>
      <c r="C4498" s="1">
        <v>1281364</v>
      </c>
      <c r="D4498" s="3">
        <v>0.73</v>
      </c>
      <c r="E4498" s="3">
        <v>3.6554832248372602</v>
      </c>
      <c r="F4498" s="3">
        <v>3.6554832248372602</v>
      </c>
      <c r="G4498" s="3">
        <v>20.7</v>
      </c>
      <c r="H4498" s="3">
        <v>476.84491025770097</v>
      </c>
      <c r="I4498" s="3">
        <v>20.14</v>
      </c>
      <c r="J4498" s="3">
        <v>20.85</v>
      </c>
      <c r="K4498" s="3">
        <v>19.98</v>
      </c>
      <c r="L4498" s="3">
        <v>476.84491025770097</v>
      </c>
    </row>
    <row r="4499" spans="1:12" ht="15" customHeight="1" x14ac:dyDescent="0.2">
      <c r="A4499" s="2">
        <v>39524</v>
      </c>
      <c r="B4499" s="3">
        <v>19.97</v>
      </c>
      <c r="C4499" s="1">
        <v>1719229</v>
      </c>
      <c r="D4499" s="3">
        <v>-0.67999999999999905</v>
      </c>
      <c r="E4499" s="3">
        <v>-3.2929782082324399</v>
      </c>
      <c r="F4499" s="3">
        <v>-3.2929782082324399</v>
      </c>
      <c r="G4499" s="3">
        <v>19.97</v>
      </c>
      <c r="H4499" s="3">
        <v>456.50207042735701</v>
      </c>
      <c r="I4499" s="3">
        <v>20.190000000000001</v>
      </c>
      <c r="J4499" s="3">
        <v>20.65</v>
      </c>
      <c r="K4499" s="3">
        <v>19.64</v>
      </c>
      <c r="L4499" s="3">
        <v>456.50207042735701</v>
      </c>
    </row>
    <row r="4500" spans="1:12" ht="15" customHeight="1" x14ac:dyDescent="0.2">
      <c r="A4500" s="2">
        <v>39521</v>
      </c>
      <c r="B4500" s="3">
        <v>20.65</v>
      </c>
      <c r="C4500" s="1">
        <v>1011609</v>
      </c>
      <c r="D4500" s="3">
        <v>-3.0000000000001099E-2</v>
      </c>
      <c r="E4500" s="3">
        <v>-0.145067698259193</v>
      </c>
      <c r="F4500" s="3">
        <v>-0.145067698259193</v>
      </c>
      <c r="G4500" s="3">
        <v>20.65</v>
      </c>
      <c r="H4500" s="3">
        <v>475.451565063842</v>
      </c>
      <c r="I4500" s="3">
        <v>20.83</v>
      </c>
      <c r="J4500" s="3">
        <v>21</v>
      </c>
      <c r="K4500" s="3">
        <v>19.95</v>
      </c>
      <c r="L4500" s="3">
        <v>475.451565063842</v>
      </c>
    </row>
    <row r="4501" spans="1:12" ht="15" customHeight="1" x14ac:dyDescent="0.2">
      <c r="A4501" s="2">
        <v>39520</v>
      </c>
      <c r="B4501" s="3">
        <v>20.68</v>
      </c>
      <c r="C4501" s="1">
        <v>1130619</v>
      </c>
      <c r="D4501" s="3">
        <v>9.9999999999980105E-3</v>
      </c>
      <c r="E4501" s="3">
        <v>4.8379293662303903E-2</v>
      </c>
      <c r="F4501" s="3">
        <v>4.8379293662303903E-2</v>
      </c>
      <c r="G4501" s="3">
        <v>20.68</v>
      </c>
      <c r="H4501" s="3">
        <v>476.28757218015699</v>
      </c>
      <c r="I4501" s="3">
        <v>20.5</v>
      </c>
      <c r="J4501" s="3">
        <v>20.75</v>
      </c>
      <c r="K4501" s="3">
        <v>19.850000000000001</v>
      </c>
      <c r="L4501" s="3">
        <v>476.28757218015699</v>
      </c>
    </row>
    <row r="4502" spans="1:12" ht="15" customHeight="1" x14ac:dyDescent="0.2">
      <c r="A4502" s="2">
        <v>39519</v>
      </c>
      <c r="B4502" s="3">
        <v>20.67</v>
      </c>
      <c r="C4502" s="1">
        <v>1407014</v>
      </c>
      <c r="D4502" s="3">
        <v>0.26000000000000101</v>
      </c>
      <c r="E4502" s="3">
        <v>1.2738853503184699</v>
      </c>
      <c r="F4502" s="3">
        <v>1.2738853503184699</v>
      </c>
      <c r="G4502" s="3">
        <v>20.67</v>
      </c>
      <c r="H4502" s="3">
        <v>476.00890314138599</v>
      </c>
      <c r="I4502" s="3">
        <v>20.28</v>
      </c>
      <c r="J4502" s="3">
        <v>21.38</v>
      </c>
      <c r="K4502" s="3">
        <v>20.190000000000001</v>
      </c>
      <c r="L4502" s="3">
        <v>476.00890314138599</v>
      </c>
    </row>
    <row r="4503" spans="1:12" ht="15" customHeight="1" x14ac:dyDescent="0.2">
      <c r="A4503" s="2">
        <v>39518</v>
      </c>
      <c r="B4503" s="3">
        <v>20.41</v>
      </c>
      <c r="C4503" s="1">
        <v>1833391</v>
      </c>
      <c r="D4503" s="3">
        <v>0.5</v>
      </c>
      <c r="E4503" s="3">
        <v>2.5113008538422799</v>
      </c>
      <c r="F4503" s="3">
        <v>2.5113008538422799</v>
      </c>
      <c r="G4503" s="3">
        <v>20.41</v>
      </c>
      <c r="H4503" s="3">
        <v>468.763508133318</v>
      </c>
      <c r="I4503" s="3">
        <v>20.350000000000001</v>
      </c>
      <c r="J4503" s="3">
        <v>20.46</v>
      </c>
      <c r="K4503" s="3">
        <v>19.73</v>
      </c>
      <c r="L4503" s="3">
        <v>468.763508133318</v>
      </c>
    </row>
    <row r="4504" spans="1:12" ht="15" customHeight="1" x14ac:dyDescent="0.2">
      <c r="A4504" s="2">
        <v>39517</v>
      </c>
      <c r="B4504" s="3">
        <v>19.91</v>
      </c>
      <c r="C4504" s="1">
        <v>1461436</v>
      </c>
      <c r="D4504" s="3">
        <v>1.0000000000001501E-2</v>
      </c>
      <c r="E4504" s="3">
        <v>5.0251256281419403E-2</v>
      </c>
      <c r="F4504" s="3">
        <v>5.0251256281419403E-2</v>
      </c>
      <c r="G4504" s="3">
        <v>19.91</v>
      </c>
      <c r="H4504" s="3">
        <v>454.83005619472601</v>
      </c>
      <c r="I4504" s="3">
        <v>19.95</v>
      </c>
      <c r="J4504" s="3">
        <v>20.440000000000001</v>
      </c>
      <c r="K4504" s="3">
        <v>19.809999999999999</v>
      </c>
      <c r="L4504" s="3">
        <v>454.83005619472601</v>
      </c>
    </row>
    <row r="4505" spans="1:12" ht="15" customHeight="1" x14ac:dyDescent="0.2">
      <c r="A4505" s="2">
        <v>39514</v>
      </c>
      <c r="B4505" s="3">
        <v>19.899999999999999</v>
      </c>
      <c r="C4505" s="1">
        <v>1279644</v>
      </c>
      <c r="D4505" s="3">
        <v>-3.0000000000001099E-2</v>
      </c>
      <c r="E4505" s="3">
        <v>-0.150526843953846</v>
      </c>
      <c r="F4505" s="3">
        <v>-0.150526843953846</v>
      </c>
      <c r="G4505" s="3">
        <v>19.899999999999999</v>
      </c>
      <c r="H4505" s="3">
        <v>454.55138715595399</v>
      </c>
      <c r="I4505" s="3">
        <v>19.75</v>
      </c>
      <c r="J4505" s="3">
        <v>20.23</v>
      </c>
      <c r="K4505" s="3">
        <v>19.559999999999999</v>
      </c>
      <c r="L4505" s="3">
        <v>454.55138715595399</v>
      </c>
    </row>
    <row r="4506" spans="1:12" ht="15" customHeight="1" x14ac:dyDescent="0.2">
      <c r="A4506" s="2">
        <v>39513</v>
      </c>
      <c r="B4506" s="3">
        <v>19.93</v>
      </c>
      <c r="C4506" s="1">
        <v>1254606</v>
      </c>
      <c r="D4506" s="3">
        <v>-0.87999999999999901</v>
      </c>
      <c r="E4506" s="3">
        <v>-4.2287361845266602</v>
      </c>
      <c r="F4506" s="3">
        <v>-4.2287361845266602</v>
      </c>
      <c r="G4506" s="3">
        <v>19.93</v>
      </c>
      <c r="H4506" s="3">
        <v>455.38739427227</v>
      </c>
      <c r="I4506" s="3">
        <v>20.99</v>
      </c>
      <c r="J4506" s="3">
        <v>21.05</v>
      </c>
      <c r="K4506" s="3">
        <v>19.87</v>
      </c>
      <c r="L4506" s="3">
        <v>455.38739427227</v>
      </c>
    </row>
    <row r="4507" spans="1:12" ht="15" customHeight="1" x14ac:dyDescent="0.2">
      <c r="A4507" s="2">
        <v>39512</v>
      </c>
      <c r="B4507" s="3">
        <v>20.81</v>
      </c>
      <c r="C4507" s="1">
        <v>1104823</v>
      </c>
      <c r="D4507" s="3">
        <v>0.219999999999998</v>
      </c>
      <c r="E4507" s="3">
        <v>1.0684798445847301</v>
      </c>
      <c r="F4507" s="3">
        <v>1.0684798445847301</v>
      </c>
      <c r="G4507" s="3">
        <v>20.81</v>
      </c>
      <c r="H4507" s="3">
        <v>479.91026968419101</v>
      </c>
      <c r="I4507" s="3">
        <v>20.62</v>
      </c>
      <c r="J4507" s="3">
        <v>21.23</v>
      </c>
      <c r="K4507" s="3">
        <v>20.59</v>
      </c>
      <c r="L4507" s="3">
        <v>479.91026968419101</v>
      </c>
    </row>
    <row r="4508" spans="1:12" ht="15" customHeight="1" x14ac:dyDescent="0.2">
      <c r="A4508" s="2">
        <v>39511</v>
      </c>
      <c r="B4508" s="3">
        <v>20.59</v>
      </c>
      <c r="C4508" s="1">
        <v>1446455</v>
      </c>
      <c r="D4508" s="3">
        <v>7.0000000000000201E-2</v>
      </c>
      <c r="E4508" s="3">
        <v>0.341130604288508</v>
      </c>
      <c r="F4508" s="3">
        <v>0.341130604288508</v>
      </c>
      <c r="G4508" s="3">
        <v>20.59</v>
      </c>
      <c r="H4508" s="3">
        <v>473.779550831211</v>
      </c>
      <c r="I4508" s="3">
        <v>20.350000000000001</v>
      </c>
      <c r="J4508" s="3">
        <v>20.72</v>
      </c>
      <c r="K4508" s="3">
        <v>20.059999999999999</v>
      </c>
      <c r="L4508" s="3">
        <v>473.779550831211</v>
      </c>
    </row>
    <row r="4509" spans="1:12" ht="15" customHeight="1" x14ac:dyDescent="0.2">
      <c r="A4509" s="2">
        <v>39510</v>
      </c>
      <c r="B4509" s="3">
        <v>20.52</v>
      </c>
      <c r="C4509" s="1">
        <v>1375092</v>
      </c>
      <c r="D4509" s="3">
        <v>-0.39</v>
      </c>
      <c r="E4509" s="3">
        <v>-1.8651362984218101</v>
      </c>
      <c r="F4509" s="3">
        <v>-1.8651362984218101</v>
      </c>
      <c r="G4509" s="3">
        <v>20.52</v>
      </c>
      <c r="H4509" s="3">
        <v>471.82886755980797</v>
      </c>
      <c r="I4509" s="3">
        <v>20.74</v>
      </c>
      <c r="J4509" s="3">
        <v>20.92</v>
      </c>
      <c r="K4509" s="3">
        <v>20.309999999999999</v>
      </c>
      <c r="L4509" s="3">
        <v>471.82886755980797</v>
      </c>
    </row>
    <row r="4510" spans="1:12" ht="15" customHeight="1" x14ac:dyDescent="0.2">
      <c r="A4510" s="2">
        <v>39507</v>
      </c>
      <c r="B4510" s="3">
        <v>20.91</v>
      </c>
      <c r="C4510" s="1">
        <v>1372949</v>
      </c>
      <c r="D4510" s="3">
        <v>-0.32999999999999802</v>
      </c>
      <c r="E4510" s="3">
        <v>-1.5536723163841599</v>
      </c>
      <c r="F4510" s="3">
        <v>-1.5536723163841599</v>
      </c>
      <c r="G4510" s="3">
        <v>20.91</v>
      </c>
      <c r="H4510" s="3">
        <v>482.69696007190902</v>
      </c>
      <c r="I4510" s="3">
        <v>21.23</v>
      </c>
      <c r="J4510" s="3">
        <v>21.56</v>
      </c>
      <c r="K4510" s="3">
        <v>20.8</v>
      </c>
      <c r="L4510" s="3">
        <v>482.69696007190902</v>
      </c>
    </row>
    <row r="4511" spans="1:12" ht="15" customHeight="1" x14ac:dyDescent="0.2">
      <c r="A4511" s="2">
        <v>39506</v>
      </c>
      <c r="B4511" s="3">
        <v>21.24</v>
      </c>
      <c r="C4511" s="1">
        <v>1064992</v>
      </c>
      <c r="D4511" s="3">
        <v>-0.56999999999999995</v>
      </c>
      <c r="E4511" s="3">
        <v>-2.6134800550206299</v>
      </c>
      <c r="F4511" s="3">
        <v>-2.6134800550206299</v>
      </c>
      <c r="G4511" s="3">
        <v>21.24</v>
      </c>
      <c r="H4511" s="3">
        <v>491.89303835138003</v>
      </c>
      <c r="I4511" s="3">
        <v>21.78</v>
      </c>
      <c r="J4511" s="3">
        <v>21.86</v>
      </c>
      <c r="K4511" s="3">
        <v>21.2</v>
      </c>
      <c r="L4511" s="3">
        <v>491.89303835138003</v>
      </c>
    </row>
    <row r="4512" spans="1:12" ht="15" customHeight="1" x14ac:dyDescent="0.2">
      <c r="A4512" s="2">
        <v>39505</v>
      </c>
      <c r="B4512" s="3">
        <v>21.81</v>
      </c>
      <c r="C4512" s="1">
        <v>758740</v>
      </c>
      <c r="D4512" s="3">
        <v>-0.42999999999999899</v>
      </c>
      <c r="E4512" s="3">
        <v>-1.9334532374100599</v>
      </c>
      <c r="F4512" s="3">
        <v>-1.9334532374100599</v>
      </c>
      <c r="G4512" s="3">
        <v>21.81</v>
      </c>
      <c r="H4512" s="3">
        <v>507.77717356137498</v>
      </c>
      <c r="I4512" s="3">
        <v>22.12</v>
      </c>
      <c r="J4512" s="3">
        <v>22.54</v>
      </c>
      <c r="K4512" s="3">
        <v>21.78</v>
      </c>
      <c r="L4512" s="3">
        <v>507.77717356137498</v>
      </c>
    </row>
    <row r="4513" spans="1:12" ht="15" customHeight="1" x14ac:dyDescent="0.2">
      <c r="A4513" s="2">
        <v>39504</v>
      </c>
      <c r="B4513" s="3">
        <v>22.24</v>
      </c>
      <c r="C4513" s="1">
        <v>1747515</v>
      </c>
      <c r="D4513" s="3">
        <v>0.48999999999999799</v>
      </c>
      <c r="E4513" s="3">
        <v>2.2528735632183898</v>
      </c>
      <c r="F4513" s="3">
        <v>2.2528735632183898</v>
      </c>
      <c r="G4513" s="3">
        <v>22.24</v>
      </c>
      <c r="H4513" s="3">
        <v>519.759942228564</v>
      </c>
      <c r="I4513" s="3">
        <v>21.63</v>
      </c>
      <c r="J4513" s="3">
        <v>22.62</v>
      </c>
      <c r="K4513" s="3">
        <v>21.61</v>
      </c>
      <c r="L4513" s="3">
        <v>519.759942228564</v>
      </c>
    </row>
    <row r="4514" spans="1:12" ht="15" customHeight="1" x14ac:dyDescent="0.2">
      <c r="A4514" s="2">
        <v>39503</v>
      </c>
      <c r="B4514" s="3">
        <v>21.75</v>
      </c>
      <c r="C4514" s="1">
        <v>1076572</v>
      </c>
      <c r="D4514" s="3">
        <v>0.69000000000000095</v>
      </c>
      <c r="E4514" s="3">
        <v>3.2763532763532699</v>
      </c>
      <c r="F4514" s="3">
        <v>3.2763532763532699</v>
      </c>
      <c r="G4514" s="3">
        <v>21.75</v>
      </c>
      <c r="H4514" s="3">
        <v>506.10515932874398</v>
      </c>
      <c r="I4514" s="3">
        <v>21.05</v>
      </c>
      <c r="J4514" s="3">
        <v>21.86</v>
      </c>
      <c r="K4514" s="3">
        <v>20.81</v>
      </c>
      <c r="L4514" s="3">
        <v>506.10515932874398</v>
      </c>
    </row>
    <row r="4515" spans="1:12" ht="15" customHeight="1" x14ac:dyDescent="0.2">
      <c r="A4515" s="2">
        <v>39500</v>
      </c>
      <c r="B4515" s="3">
        <v>21.06</v>
      </c>
      <c r="C4515" s="1">
        <v>1128435</v>
      </c>
      <c r="D4515" s="3">
        <v>0.189999999999997</v>
      </c>
      <c r="E4515" s="3">
        <v>0.91039770004790399</v>
      </c>
      <c r="F4515" s="3">
        <v>0.91039770004790399</v>
      </c>
      <c r="G4515" s="3">
        <v>21.06</v>
      </c>
      <c r="H4515" s="3">
        <v>486.87699565348697</v>
      </c>
      <c r="I4515" s="3">
        <v>20.95</v>
      </c>
      <c r="J4515" s="3">
        <v>21.12</v>
      </c>
      <c r="K4515" s="3">
        <v>20.66</v>
      </c>
      <c r="L4515" s="3">
        <v>486.87699565348697</v>
      </c>
    </row>
    <row r="4516" spans="1:12" ht="15" customHeight="1" x14ac:dyDescent="0.2">
      <c r="A4516" s="2">
        <v>39499</v>
      </c>
      <c r="B4516" s="3">
        <v>20.87</v>
      </c>
      <c r="C4516" s="1">
        <v>1252162</v>
      </c>
      <c r="D4516" s="3">
        <v>-0.119999999999997</v>
      </c>
      <c r="E4516" s="3">
        <v>-0.57170080990947003</v>
      </c>
      <c r="F4516" s="3">
        <v>-0.57170080990947003</v>
      </c>
      <c r="G4516" s="3">
        <v>20.87</v>
      </c>
      <c r="H4516" s="3">
        <v>481.58228391682201</v>
      </c>
      <c r="I4516" s="3">
        <v>21.14</v>
      </c>
      <c r="J4516" s="3">
        <v>21.504999999999999</v>
      </c>
      <c r="K4516" s="3">
        <v>20.765000000000001</v>
      </c>
      <c r="L4516" s="3">
        <v>481.58228391682201</v>
      </c>
    </row>
    <row r="4517" spans="1:12" ht="15" customHeight="1" x14ac:dyDescent="0.2">
      <c r="A4517" s="2">
        <v>39498</v>
      </c>
      <c r="B4517" s="3">
        <v>20.99</v>
      </c>
      <c r="C4517" s="1">
        <v>1284988</v>
      </c>
      <c r="D4517" s="3">
        <v>0.439999999999997</v>
      </c>
      <c r="E4517" s="3">
        <v>2.1411192214111798</v>
      </c>
      <c r="F4517" s="3">
        <v>2.1411192214111798</v>
      </c>
      <c r="G4517" s="3">
        <v>20.99</v>
      </c>
      <c r="H4517" s="3">
        <v>484.92631238208401</v>
      </c>
      <c r="I4517" s="3">
        <v>20.53</v>
      </c>
      <c r="J4517" s="3">
        <v>21.17</v>
      </c>
      <c r="K4517" s="3">
        <v>20.45</v>
      </c>
      <c r="L4517" s="3">
        <v>484.92631238208401</v>
      </c>
    </row>
    <row r="4518" spans="1:12" ht="15" customHeight="1" x14ac:dyDescent="0.2">
      <c r="A4518" s="2">
        <v>39497</v>
      </c>
      <c r="B4518" s="3">
        <v>20.55</v>
      </c>
      <c r="C4518" s="1">
        <v>835162</v>
      </c>
      <c r="D4518" s="3">
        <v>1.9999999999999501E-2</v>
      </c>
      <c r="E4518" s="3">
        <v>9.7418412079885996E-2</v>
      </c>
      <c r="F4518" s="3">
        <v>9.7418412079885996E-2</v>
      </c>
      <c r="G4518" s="3">
        <v>20.55</v>
      </c>
      <c r="H4518" s="3">
        <v>472.66487467612302</v>
      </c>
      <c r="I4518" s="3">
        <v>20.64</v>
      </c>
      <c r="J4518" s="3">
        <v>20.79</v>
      </c>
      <c r="K4518" s="3">
        <v>20.39</v>
      </c>
      <c r="L4518" s="3">
        <v>472.66487467612302</v>
      </c>
    </row>
    <row r="4519" spans="1:12" ht="15" customHeight="1" x14ac:dyDescent="0.2">
      <c r="A4519" s="2">
        <v>39493</v>
      </c>
      <c r="B4519" s="3">
        <v>20.53</v>
      </c>
      <c r="C4519" s="1">
        <v>1241947</v>
      </c>
      <c r="D4519" s="3">
        <v>0.20000000000000201</v>
      </c>
      <c r="E4519" s="3">
        <v>0.98376783079194796</v>
      </c>
      <c r="F4519" s="3">
        <v>0.98376783079194796</v>
      </c>
      <c r="G4519" s="3">
        <v>20.53</v>
      </c>
      <c r="H4519" s="3">
        <v>472.10753659858</v>
      </c>
      <c r="I4519" s="3">
        <v>20.25</v>
      </c>
      <c r="J4519" s="3">
        <v>20.75</v>
      </c>
      <c r="K4519" s="3">
        <v>20.09</v>
      </c>
      <c r="L4519" s="3">
        <v>472.10753659858</v>
      </c>
    </row>
    <row r="4520" spans="1:12" ht="15" customHeight="1" x14ac:dyDescent="0.2">
      <c r="A4520" s="2">
        <v>39492</v>
      </c>
      <c r="B4520" s="3">
        <v>20.329999999999998</v>
      </c>
      <c r="C4520" s="1">
        <v>1194292</v>
      </c>
      <c r="D4520" s="3">
        <v>-0.380000000000002</v>
      </c>
      <c r="E4520" s="3">
        <v>-1.8348623853211099</v>
      </c>
      <c r="F4520" s="3">
        <v>-1.8348623853211099</v>
      </c>
      <c r="G4520" s="3">
        <v>20.329999999999998</v>
      </c>
      <c r="H4520" s="3">
        <v>466.53415582314301</v>
      </c>
      <c r="I4520" s="3">
        <v>20.78</v>
      </c>
      <c r="J4520" s="3">
        <v>21.12</v>
      </c>
      <c r="K4520" s="3">
        <v>20.12</v>
      </c>
      <c r="L4520" s="3">
        <v>466.53415582314301</v>
      </c>
    </row>
    <row r="4521" spans="1:12" ht="15" customHeight="1" x14ac:dyDescent="0.2">
      <c r="A4521" s="2">
        <v>39491</v>
      </c>
      <c r="B4521" s="3">
        <v>20.71</v>
      </c>
      <c r="C4521" s="1">
        <v>1771963</v>
      </c>
      <c r="D4521" s="3">
        <v>0.26000000000000101</v>
      </c>
      <c r="E4521" s="3">
        <v>1.27139364303179</v>
      </c>
      <c r="F4521" s="3">
        <v>1.27139364303179</v>
      </c>
      <c r="G4521" s="3">
        <v>20.71</v>
      </c>
      <c r="H4521" s="3">
        <v>477.123579296473</v>
      </c>
      <c r="I4521" s="3">
        <v>20.65</v>
      </c>
      <c r="J4521" s="3">
        <v>21.12</v>
      </c>
      <c r="K4521" s="3">
        <v>20.65</v>
      </c>
      <c r="L4521" s="3">
        <v>477.123579296473</v>
      </c>
    </row>
    <row r="4522" spans="1:12" ht="15" customHeight="1" x14ac:dyDescent="0.2">
      <c r="A4522" s="2">
        <v>39490</v>
      </c>
      <c r="B4522" s="3">
        <v>20.45</v>
      </c>
      <c r="C4522" s="1">
        <v>1640420</v>
      </c>
      <c r="D4522" s="3">
        <v>-0.21</v>
      </c>
      <c r="E4522" s="3">
        <v>-1.01645692158761</v>
      </c>
      <c r="F4522" s="3">
        <v>-1.01645692158761</v>
      </c>
      <c r="G4522" s="3">
        <v>20.45</v>
      </c>
      <c r="H4522" s="3">
        <v>469.87818428840501</v>
      </c>
      <c r="I4522" s="3">
        <v>20.73</v>
      </c>
      <c r="J4522" s="3">
        <v>21.045000000000002</v>
      </c>
      <c r="K4522" s="3">
        <v>20.27</v>
      </c>
      <c r="L4522" s="3">
        <v>469.87818428840501</v>
      </c>
    </row>
    <row r="4523" spans="1:12" ht="15" customHeight="1" x14ac:dyDescent="0.2">
      <c r="A4523" s="2">
        <v>39489</v>
      </c>
      <c r="B4523" s="3">
        <v>20.66</v>
      </c>
      <c r="C4523" s="1">
        <v>2047427</v>
      </c>
      <c r="D4523" s="3">
        <v>0.75</v>
      </c>
      <c r="E4523" s="3">
        <v>3.76695128076343</v>
      </c>
      <c r="F4523" s="3">
        <v>3.76695128076343</v>
      </c>
      <c r="G4523" s="3">
        <v>20.66</v>
      </c>
      <c r="H4523" s="3">
        <v>475.73023410261402</v>
      </c>
      <c r="I4523" s="3">
        <v>20.63</v>
      </c>
      <c r="J4523" s="3">
        <v>21.44</v>
      </c>
      <c r="K4523" s="3">
        <v>20.51</v>
      </c>
      <c r="L4523" s="3">
        <v>475.73023410261402</v>
      </c>
    </row>
    <row r="4524" spans="1:12" ht="15" customHeight="1" x14ac:dyDescent="0.2">
      <c r="A4524" s="2">
        <v>39486</v>
      </c>
      <c r="B4524" s="3">
        <v>19.91</v>
      </c>
      <c r="C4524" s="1">
        <v>1846759</v>
      </c>
      <c r="D4524" s="3">
        <v>0.37000000000000099</v>
      </c>
      <c r="E4524" s="3">
        <v>1.8935516888433901</v>
      </c>
      <c r="F4524" s="3">
        <v>1.8935516888433901</v>
      </c>
      <c r="G4524" s="3">
        <v>19.91</v>
      </c>
      <c r="H4524" s="3">
        <v>454.83005619472601</v>
      </c>
      <c r="I4524" s="3">
        <v>19.73</v>
      </c>
      <c r="J4524" s="3">
        <v>20.13</v>
      </c>
      <c r="K4524" s="3">
        <v>19.36</v>
      </c>
      <c r="L4524" s="3">
        <v>454.83005619472601</v>
      </c>
    </row>
    <row r="4525" spans="1:12" ht="15" customHeight="1" x14ac:dyDescent="0.2">
      <c r="A4525" s="2">
        <v>39485</v>
      </c>
      <c r="B4525" s="3">
        <v>19.54</v>
      </c>
      <c r="C4525" s="1">
        <v>2142039</v>
      </c>
      <c r="D4525" s="3">
        <v>0.46999999999999797</v>
      </c>
      <c r="E4525" s="3">
        <v>2.4646040901940198</v>
      </c>
      <c r="F4525" s="3">
        <v>2.4646040901940198</v>
      </c>
      <c r="G4525" s="3">
        <v>19.54</v>
      </c>
      <c r="H4525" s="3">
        <v>444.51930176016799</v>
      </c>
      <c r="I4525" s="3">
        <v>18.95</v>
      </c>
      <c r="J4525" s="3">
        <v>20.100000000000001</v>
      </c>
      <c r="K4525" s="3">
        <v>18.899999999999999</v>
      </c>
      <c r="L4525" s="3">
        <v>444.51930176016799</v>
      </c>
    </row>
    <row r="4526" spans="1:12" ht="15" customHeight="1" x14ac:dyDescent="0.2">
      <c r="A4526" s="2">
        <v>39484</v>
      </c>
      <c r="B4526" s="3">
        <v>19.07</v>
      </c>
      <c r="C4526" s="1">
        <v>5819950</v>
      </c>
      <c r="D4526" s="3">
        <v>-1.8</v>
      </c>
      <c r="E4526" s="3">
        <v>-8.6248203162434205</v>
      </c>
      <c r="F4526" s="3">
        <v>-8.6248203162434205</v>
      </c>
      <c r="G4526" s="3">
        <v>19.07</v>
      </c>
      <c r="H4526" s="3">
        <v>431.42185693789202</v>
      </c>
      <c r="I4526" s="3">
        <v>19.600000000000001</v>
      </c>
      <c r="J4526" s="3">
        <v>20.39</v>
      </c>
      <c r="K4526" s="3">
        <v>18.95</v>
      </c>
      <c r="L4526" s="3">
        <v>431.42185693789202</v>
      </c>
    </row>
    <row r="4527" spans="1:12" ht="15" customHeight="1" x14ac:dyDescent="0.2">
      <c r="A4527" s="2">
        <v>39483</v>
      </c>
      <c r="B4527" s="3">
        <v>20.87</v>
      </c>
      <c r="C4527" s="1">
        <v>3089050</v>
      </c>
      <c r="D4527" s="3">
        <v>-0.50999999999999801</v>
      </c>
      <c r="E4527" s="3">
        <v>-2.3854069223573302</v>
      </c>
      <c r="F4527" s="3">
        <v>-2.3854069223573302</v>
      </c>
      <c r="G4527" s="3">
        <v>20.87</v>
      </c>
      <c r="H4527" s="3">
        <v>481.58228391682201</v>
      </c>
      <c r="I4527" s="3">
        <v>21.37</v>
      </c>
      <c r="J4527" s="3">
        <v>22.14</v>
      </c>
      <c r="K4527" s="3">
        <v>20.7</v>
      </c>
      <c r="L4527" s="3">
        <v>481.58228391682201</v>
      </c>
    </row>
    <row r="4528" spans="1:12" ht="15" customHeight="1" x14ac:dyDescent="0.2">
      <c r="A4528" s="2">
        <v>39482</v>
      </c>
      <c r="B4528" s="3">
        <v>21.38</v>
      </c>
      <c r="C4528" s="1">
        <v>2265255</v>
      </c>
      <c r="D4528" s="3">
        <v>-1.06</v>
      </c>
      <c r="E4528" s="3">
        <v>-4.7237076648841398</v>
      </c>
      <c r="F4528" s="3">
        <v>-4.7237076648841398</v>
      </c>
      <c r="G4528" s="3">
        <v>21.38</v>
      </c>
      <c r="H4528" s="3">
        <v>495.79440489418602</v>
      </c>
      <c r="I4528" s="3">
        <v>22.29</v>
      </c>
      <c r="J4528" s="3">
        <v>22.49</v>
      </c>
      <c r="K4528" s="3">
        <v>21.13</v>
      </c>
      <c r="L4528" s="3">
        <v>495.79440489418602</v>
      </c>
    </row>
    <row r="4529" spans="1:12" ht="15" customHeight="1" x14ac:dyDescent="0.2">
      <c r="A4529" s="2">
        <v>39479</v>
      </c>
      <c r="B4529" s="3">
        <v>22.44</v>
      </c>
      <c r="C4529" s="1">
        <v>1886551</v>
      </c>
      <c r="D4529" s="3">
        <v>0.58999999999999897</v>
      </c>
      <c r="E4529" s="3">
        <v>2.7002288329519302</v>
      </c>
      <c r="F4529" s="3">
        <v>2.7002288329519302</v>
      </c>
      <c r="G4529" s="3">
        <v>22.44</v>
      </c>
      <c r="H4529" s="3">
        <v>525.33332300400002</v>
      </c>
      <c r="I4529" s="3">
        <v>21.8</v>
      </c>
      <c r="J4529" s="3">
        <v>22.47</v>
      </c>
      <c r="K4529" s="3">
        <v>21.510100000000001</v>
      </c>
      <c r="L4529" s="3">
        <v>525.33332300400002</v>
      </c>
    </row>
    <row r="4530" spans="1:12" ht="15" customHeight="1" x14ac:dyDescent="0.2">
      <c r="A4530" s="2">
        <v>39478</v>
      </c>
      <c r="B4530" s="3">
        <v>21.85</v>
      </c>
      <c r="C4530" s="1">
        <v>3457825</v>
      </c>
      <c r="D4530" s="3">
        <v>1.49</v>
      </c>
      <c r="E4530" s="3">
        <v>7.3182711198428398</v>
      </c>
      <c r="F4530" s="3">
        <v>7.3182711198428398</v>
      </c>
      <c r="G4530" s="3">
        <v>21.85</v>
      </c>
      <c r="H4530" s="3">
        <v>508.89184971646199</v>
      </c>
      <c r="I4530" s="3">
        <v>20.2</v>
      </c>
      <c r="J4530" s="3">
        <v>22.12</v>
      </c>
      <c r="K4530" s="3">
        <v>20</v>
      </c>
      <c r="L4530" s="3">
        <v>508.89184971646199</v>
      </c>
    </row>
    <row r="4531" spans="1:12" ht="15" customHeight="1" x14ac:dyDescent="0.2">
      <c r="A4531" s="2">
        <v>39477</v>
      </c>
      <c r="B4531" s="3">
        <v>20.36</v>
      </c>
      <c r="C4531" s="1">
        <v>1293911</v>
      </c>
      <c r="D4531" s="3">
        <v>-0.46999999999999797</v>
      </c>
      <c r="E4531" s="3">
        <v>-2.2563610177628299</v>
      </c>
      <c r="F4531" s="3">
        <v>-2.2563610177628299</v>
      </c>
      <c r="G4531" s="3">
        <v>20.36</v>
      </c>
      <c r="H4531" s="3">
        <v>467.370162939458</v>
      </c>
      <c r="I4531" s="3">
        <v>20.7</v>
      </c>
      <c r="J4531" s="3">
        <v>20.79</v>
      </c>
      <c r="K4531" s="3">
        <v>20.25</v>
      </c>
      <c r="L4531" s="3">
        <v>467.370162939458</v>
      </c>
    </row>
    <row r="4532" spans="1:12" ht="15" customHeight="1" x14ac:dyDescent="0.2">
      <c r="A4532" s="2">
        <v>39476</v>
      </c>
      <c r="B4532" s="3">
        <v>20.83</v>
      </c>
      <c r="C4532" s="1">
        <v>1701567</v>
      </c>
      <c r="D4532" s="3">
        <v>7.9999999999998295E-2</v>
      </c>
      <c r="E4532" s="3">
        <v>0.385542168674679</v>
      </c>
      <c r="F4532" s="3">
        <v>0.385542168674679</v>
      </c>
      <c r="G4532" s="3">
        <v>20.83</v>
      </c>
      <c r="H4532" s="3">
        <v>480.467607761735</v>
      </c>
      <c r="I4532" s="3">
        <v>20.89</v>
      </c>
      <c r="J4532" s="3">
        <v>21.09</v>
      </c>
      <c r="K4532" s="3">
        <v>20.329999999999998</v>
      </c>
      <c r="L4532" s="3">
        <v>480.467607761735</v>
      </c>
    </row>
    <row r="4533" spans="1:12" ht="15" customHeight="1" x14ac:dyDescent="0.2">
      <c r="A4533" s="2">
        <v>39475</v>
      </c>
      <c r="B4533" s="3">
        <v>20.75</v>
      </c>
      <c r="C4533" s="1">
        <v>1349903</v>
      </c>
      <c r="D4533" s="3">
        <v>5.99999999999987E-2</v>
      </c>
      <c r="E4533" s="3">
        <v>0.28999516674721398</v>
      </c>
      <c r="F4533" s="3">
        <v>0.28999516674721398</v>
      </c>
      <c r="G4533" s="3">
        <v>20.75</v>
      </c>
      <c r="H4533" s="3">
        <v>478.23825545156001</v>
      </c>
      <c r="I4533" s="3">
        <v>20.57</v>
      </c>
      <c r="J4533" s="3">
        <v>20.75</v>
      </c>
      <c r="K4533" s="3">
        <v>19.82</v>
      </c>
      <c r="L4533" s="3">
        <v>478.23825545156001</v>
      </c>
    </row>
    <row r="4534" spans="1:12" ht="15" customHeight="1" x14ac:dyDescent="0.2">
      <c r="A4534" s="2">
        <v>39472</v>
      </c>
      <c r="B4534" s="3">
        <v>20.69</v>
      </c>
      <c r="C4534" s="1">
        <v>2979057</v>
      </c>
      <c r="D4534" s="3">
        <v>0.62000000000000099</v>
      </c>
      <c r="E4534" s="3">
        <v>3.0891878425510702</v>
      </c>
      <c r="F4534" s="3">
        <v>3.0891878425510702</v>
      </c>
      <c r="G4534" s="3">
        <v>20.69</v>
      </c>
      <c r="H4534" s="3">
        <v>476.56624121892901</v>
      </c>
      <c r="I4534" s="3">
        <v>20.350000000000001</v>
      </c>
      <c r="J4534" s="3">
        <v>21.45</v>
      </c>
      <c r="K4534" s="3">
        <v>20.350000000000001</v>
      </c>
      <c r="L4534" s="3">
        <v>476.56624121892901</v>
      </c>
    </row>
    <row r="4535" spans="1:12" ht="15" customHeight="1" x14ac:dyDescent="0.2">
      <c r="A4535" s="2">
        <v>39471</v>
      </c>
      <c r="B4535" s="3">
        <v>20.07</v>
      </c>
      <c r="C4535" s="1">
        <v>2189970</v>
      </c>
      <c r="D4535" s="3"/>
      <c r="E4535" s="3"/>
      <c r="F4535" s="3"/>
      <c r="G4535" s="3">
        <v>20.07</v>
      </c>
      <c r="H4535" s="3">
        <v>459.28876081507502</v>
      </c>
      <c r="I4535" s="3">
        <v>20</v>
      </c>
      <c r="J4535" s="3">
        <v>20.170000000000002</v>
      </c>
      <c r="K4535" s="3">
        <v>19.5</v>
      </c>
      <c r="L4535" s="3">
        <v>459.28876081507502</v>
      </c>
    </row>
    <row r="4536" spans="1:12" ht="15" customHeight="1" x14ac:dyDescent="0.2">
      <c r="A4536" s="2">
        <v>39470</v>
      </c>
      <c r="B4536" s="3">
        <v>20.07</v>
      </c>
      <c r="C4536" s="1">
        <v>4673277</v>
      </c>
      <c r="D4536" s="3">
        <v>1.8799999999999899</v>
      </c>
      <c r="E4536" s="3">
        <v>10.3353490929081</v>
      </c>
      <c r="F4536" s="3">
        <v>10.3353490929081</v>
      </c>
      <c r="G4536" s="3">
        <v>20.07</v>
      </c>
      <c r="H4536" s="3">
        <v>459.28876081507502</v>
      </c>
      <c r="I4536" s="3">
        <v>17.649999999999999</v>
      </c>
      <c r="J4536" s="3">
        <v>20.38</v>
      </c>
      <c r="K4536" s="3">
        <v>17.62</v>
      </c>
      <c r="L4536" s="3">
        <v>459.28876081507502</v>
      </c>
    </row>
    <row r="4537" spans="1:12" ht="15" customHeight="1" x14ac:dyDescent="0.2">
      <c r="A4537" s="2">
        <v>39469</v>
      </c>
      <c r="B4537" s="3">
        <v>18.190000000000001</v>
      </c>
      <c r="C4537" s="1">
        <v>2874065</v>
      </c>
      <c r="D4537" s="3">
        <v>-0.619999999999997</v>
      </c>
      <c r="E4537" s="3">
        <v>-3.2961190855927498</v>
      </c>
      <c r="F4537" s="3">
        <v>-3.2961190855927498</v>
      </c>
      <c r="G4537" s="3">
        <v>18.190000000000001</v>
      </c>
      <c r="H4537" s="3">
        <v>406.89898152596999</v>
      </c>
      <c r="I4537" s="3">
        <v>17.53</v>
      </c>
      <c r="J4537" s="3">
        <v>18.579999999999998</v>
      </c>
      <c r="K4537" s="3">
        <v>17.239999999999998</v>
      </c>
      <c r="L4537" s="3">
        <v>406.89898152596999</v>
      </c>
    </row>
    <row r="4538" spans="1:12" ht="15" customHeight="1" x14ac:dyDescent="0.2">
      <c r="A4538" s="2">
        <v>39465</v>
      </c>
      <c r="B4538" s="3">
        <v>18.809999999999999</v>
      </c>
      <c r="C4538" s="1">
        <v>1492780</v>
      </c>
      <c r="D4538" s="3">
        <v>-7.0000000000000201E-2</v>
      </c>
      <c r="E4538" s="3">
        <v>-0.37076271186440302</v>
      </c>
      <c r="F4538" s="3">
        <v>-0.37076271186440302</v>
      </c>
      <c r="G4538" s="3">
        <v>18.809999999999999</v>
      </c>
      <c r="H4538" s="3">
        <v>424.17646192982397</v>
      </c>
      <c r="I4538" s="3">
        <v>18.920000000000002</v>
      </c>
      <c r="J4538" s="3">
        <v>19.239999999999998</v>
      </c>
      <c r="K4538" s="3">
        <v>18.61</v>
      </c>
      <c r="L4538" s="3">
        <v>424.17646192982397</v>
      </c>
    </row>
    <row r="4539" spans="1:12" ht="15" customHeight="1" x14ac:dyDescent="0.2">
      <c r="A4539" s="2">
        <v>39464</v>
      </c>
      <c r="B4539" s="3">
        <v>18.88</v>
      </c>
      <c r="C4539" s="1">
        <v>1124239</v>
      </c>
      <c r="D4539" s="3">
        <v>-0.35999999999999899</v>
      </c>
      <c r="E4539" s="3">
        <v>-1.8711018711018601</v>
      </c>
      <c r="F4539" s="3">
        <v>-1.8711018711018601</v>
      </c>
      <c r="G4539" s="3">
        <v>18.88</v>
      </c>
      <c r="H4539" s="3">
        <v>426.12714520122699</v>
      </c>
      <c r="I4539" s="3">
        <v>19.36</v>
      </c>
      <c r="J4539" s="3">
        <v>19.479900000000001</v>
      </c>
      <c r="K4539" s="3">
        <v>18.84</v>
      </c>
      <c r="L4539" s="3">
        <v>426.12714520122699</v>
      </c>
    </row>
    <row r="4540" spans="1:12" ht="15" customHeight="1" x14ac:dyDescent="0.2">
      <c r="A4540" s="2">
        <v>39463</v>
      </c>
      <c r="B4540" s="3">
        <v>19.239999999999998</v>
      </c>
      <c r="C4540" s="1">
        <v>2623157</v>
      </c>
      <c r="D4540" s="3">
        <v>-0.28000000000000103</v>
      </c>
      <c r="E4540" s="3">
        <v>-1.4344262295082</v>
      </c>
      <c r="F4540" s="3">
        <v>-1.4344262295082</v>
      </c>
      <c r="G4540" s="3">
        <v>19.239999999999998</v>
      </c>
      <c r="H4540" s="3">
        <v>436.15923059701299</v>
      </c>
      <c r="I4540" s="3">
        <v>19.48</v>
      </c>
      <c r="J4540" s="3">
        <v>20.02</v>
      </c>
      <c r="K4540" s="3">
        <v>18.71</v>
      </c>
      <c r="L4540" s="3">
        <v>436.15923059701299</v>
      </c>
    </row>
    <row r="4541" spans="1:12" ht="15" customHeight="1" x14ac:dyDescent="0.2">
      <c r="A4541" s="2">
        <v>39462</v>
      </c>
      <c r="B4541" s="3">
        <v>19.52</v>
      </c>
      <c r="C4541" s="1">
        <v>2292982</v>
      </c>
      <c r="D4541" s="3">
        <v>-0.83999999999999897</v>
      </c>
      <c r="E4541" s="3">
        <v>-4.1257367387033304</v>
      </c>
      <c r="F4541" s="3">
        <v>-4.1257367387033304</v>
      </c>
      <c r="G4541" s="3">
        <v>19.52</v>
      </c>
      <c r="H4541" s="3">
        <v>443.961963682624</v>
      </c>
      <c r="I4541" s="3">
        <v>20.23</v>
      </c>
      <c r="J4541" s="3">
        <v>20.23</v>
      </c>
      <c r="K4541" s="3">
        <v>19.38</v>
      </c>
      <c r="L4541" s="3">
        <v>443.961963682624</v>
      </c>
    </row>
    <row r="4542" spans="1:12" ht="15" customHeight="1" x14ac:dyDescent="0.2">
      <c r="A4542" s="2">
        <v>39461</v>
      </c>
      <c r="B4542" s="3">
        <v>20.36</v>
      </c>
      <c r="C4542" s="1">
        <v>2390249</v>
      </c>
      <c r="D4542" s="3">
        <v>0.41999999999999799</v>
      </c>
      <c r="E4542" s="3">
        <v>2.1063189568706102</v>
      </c>
      <c r="F4542" s="3">
        <v>2.1063189568706102</v>
      </c>
      <c r="G4542" s="3">
        <v>20.36</v>
      </c>
      <c r="H4542" s="3">
        <v>467.370162939458</v>
      </c>
      <c r="I4542" s="3">
        <v>20.14</v>
      </c>
      <c r="J4542" s="3">
        <v>20.59</v>
      </c>
      <c r="K4542" s="3">
        <v>19.7</v>
      </c>
      <c r="L4542" s="3">
        <v>467.370162939458</v>
      </c>
    </row>
    <row r="4543" spans="1:12" ht="15" customHeight="1" x14ac:dyDescent="0.2">
      <c r="A4543" s="2">
        <v>39458</v>
      </c>
      <c r="B4543" s="3">
        <v>19.940000000000001</v>
      </c>
      <c r="C4543" s="1">
        <v>2454507</v>
      </c>
      <c r="D4543" s="3">
        <v>0.47000000000000203</v>
      </c>
      <c r="E4543" s="3">
        <v>2.4139702105803802</v>
      </c>
      <c r="F4543" s="3">
        <v>2.4139702105803802</v>
      </c>
      <c r="G4543" s="3">
        <v>19.940000000000001</v>
      </c>
      <c r="H4543" s="3">
        <v>455.666063311041</v>
      </c>
      <c r="I4543" s="3">
        <v>19.350000000000001</v>
      </c>
      <c r="J4543" s="3">
        <v>20.09</v>
      </c>
      <c r="K4543" s="3">
        <v>19.260000000000002</v>
      </c>
      <c r="L4543" s="3">
        <v>455.666063311041</v>
      </c>
    </row>
    <row r="4544" spans="1:12" ht="15" customHeight="1" x14ac:dyDescent="0.2">
      <c r="A4544" s="2">
        <v>39457</v>
      </c>
      <c r="B4544" s="3">
        <v>19.47</v>
      </c>
      <c r="C4544" s="1">
        <v>3261405</v>
      </c>
      <c r="D4544" s="3">
        <v>0.41999999999999799</v>
      </c>
      <c r="E4544" s="3">
        <v>2.2047244094488101</v>
      </c>
      <c r="F4544" s="3">
        <v>2.2047244094488101</v>
      </c>
      <c r="G4544" s="3">
        <v>19.47</v>
      </c>
      <c r="H4544" s="3">
        <v>442.56861848876503</v>
      </c>
      <c r="I4544" s="3">
        <v>18.82</v>
      </c>
      <c r="J4544" s="3">
        <v>19.7</v>
      </c>
      <c r="K4544" s="3">
        <v>18.55</v>
      </c>
      <c r="L4544" s="3">
        <v>442.56861848876503</v>
      </c>
    </row>
    <row r="4545" spans="1:12" ht="15" customHeight="1" x14ac:dyDescent="0.2">
      <c r="A4545" s="2">
        <v>39456</v>
      </c>
      <c r="B4545" s="3">
        <v>19.05</v>
      </c>
      <c r="C4545" s="1">
        <v>2333011</v>
      </c>
      <c r="D4545" s="3">
        <v>-8.9999999999999802E-2</v>
      </c>
      <c r="E4545" s="3">
        <v>-0.47021943573667402</v>
      </c>
      <c r="F4545" s="3">
        <v>-0.47021943573667402</v>
      </c>
      <c r="G4545" s="3">
        <v>19.05</v>
      </c>
      <c r="H4545" s="3">
        <v>430.86451886034803</v>
      </c>
      <c r="I4545" s="3">
        <v>19.079999999999998</v>
      </c>
      <c r="J4545" s="3">
        <v>19.41</v>
      </c>
      <c r="K4545" s="3">
        <v>18.71</v>
      </c>
      <c r="L4545" s="3">
        <v>430.86451886034803</v>
      </c>
    </row>
    <row r="4546" spans="1:12" ht="15" customHeight="1" x14ac:dyDescent="0.2">
      <c r="A4546" s="2">
        <v>39455</v>
      </c>
      <c r="B4546" s="3">
        <v>19.14</v>
      </c>
      <c r="C4546" s="1">
        <v>2123063</v>
      </c>
      <c r="D4546" s="3">
        <v>-0.53000000000000103</v>
      </c>
      <c r="E4546" s="3">
        <v>-2.6944585663446898</v>
      </c>
      <c r="F4546" s="3">
        <v>-2.6944585663446898</v>
      </c>
      <c r="G4546" s="3">
        <v>19.14</v>
      </c>
      <c r="H4546" s="3">
        <v>433.37254020929402</v>
      </c>
      <c r="I4546" s="3">
        <v>19.59</v>
      </c>
      <c r="J4546" s="3">
        <v>20</v>
      </c>
      <c r="K4546" s="3">
        <v>19.100000000000001</v>
      </c>
      <c r="L4546" s="3">
        <v>433.37254020929402</v>
      </c>
    </row>
    <row r="4547" spans="1:12" ht="15" customHeight="1" x14ac:dyDescent="0.2">
      <c r="A4547" s="2">
        <v>39454</v>
      </c>
      <c r="B4547" s="3">
        <v>19.670000000000002</v>
      </c>
      <c r="C4547" s="1">
        <v>1653918</v>
      </c>
      <c r="D4547" s="3">
        <v>-0.19999999999999901</v>
      </c>
      <c r="E4547" s="3">
        <v>-1.00654252642173</v>
      </c>
      <c r="F4547" s="3">
        <v>-1.00654252642173</v>
      </c>
      <c r="G4547" s="3">
        <v>19.670000000000002</v>
      </c>
      <c r="H4547" s="3">
        <v>448.14199926420201</v>
      </c>
      <c r="I4547" s="3">
        <v>20</v>
      </c>
      <c r="J4547" s="3">
        <v>20.0336</v>
      </c>
      <c r="K4547" s="3">
        <v>19.53</v>
      </c>
      <c r="L4547" s="3">
        <v>448.14199926420201</v>
      </c>
    </row>
    <row r="4548" spans="1:12" ht="15" customHeight="1" x14ac:dyDescent="0.2">
      <c r="A4548" s="2">
        <v>39451</v>
      </c>
      <c r="B4548" s="3">
        <v>19.87</v>
      </c>
      <c r="C4548" s="1">
        <v>2886410</v>
      </c>
      <c r="D4548" s="3">
        <v>-1.3</v>
      </c>
      <c r="E4548" s="3">
        <v>-6.1407652338214396</v>
      </c>
      <c r="F4548" s="3">
        <v>-6.1407652338214396</v>
      </c>
      <c r="G4548" s="3">
        <v>19.87</v>
      </c>
      <c r="H4548" s="3">
        <v>453.71538003963798</v>
      </c>
      <c r="I4548" s="3">
        <v>21.01</v>
      </c>
      <c r="J4548" s="3">
        <v>21.08</v>
      </c>
      <c r="K4548" s="3">
        <v>19.7</v>
      </c>
      <c r="L4548" s="3">
        <v>453.71538003963798</v>
      </c>
    </row>
    <row r="4549" spans="1:12" ht="15" customHeight="1" x14ac:dyDescent="0.2">
      <c r="A4549" s="2">
        <v>39450</v>
      </c>
      <c r="B4549" s="3">
        <v>21.17</v>
      </c>
      <c r="C4549" s="1">
        <v>2576655</v>
      </c>
      <c r="D4549" s="3">
        <v>-0.869999999999997</v>
      </c>
      <c r="E4549" s="3">
        <v>-3.9473684210526199</v>
      </c>
      <c r="F4549" s="3">
        <v>-3.9473684210526199</v>
      </c>
      <c r="G4549" s="3">
        <v>21.17</v>
      </c>
      <c r="H4549" s="3">
        <v>489.94235507997701</v>
      </c>
      <c r="I4549" s="3">
        <v>22.06</v>
      </c>
      <c r="J4549" s="3">
        <v>22.07</v>
      </c>
      <c r="K4549" s="3">
        <v>21</v>
      </c>
      <c r="L4549" s="3">
        <v>489.94235507997701</v>
      </c>
    </row>
    <row r="4550" spans="1:12" ht="15" customHeight="1" x14ac:dyDescent="0.2">
      <c r="A4550" s="2">
        <v>39449</v>
      </c>
      <c r="B4550" s="3">
        <v>22.04</v>
      </c>
      <c r="C4550" s="1">
        <v>2571518</v>
      </c>
      <c r="D4550" s="3">
        <v>-1.67</v>
      </c>
      <c r="E4550" s="3">
        <v>-7.0434415858287602</v>
      </c>
      <c r="F4550" s="3">
        <v>-7.0434415858287602</v>
      </c>
      <c r="G4550" s="3">
        <v>22.04</v>
      </c>
      <c r="H4550" s="3">
        <v>514.18656145312696</v>
      </c>
      <c r="I4550" s="3">
        <v>23</v>
      </c>
      <c r="J4550" s="3">
        <v>23.02</v>
      </c>
      <c r="K4550" s="3">
        <v>21.85</v>
      </c>
      <c r="L4550" s="3">
        <v>514.18656145312696</v>
      </c>
    </row>
    <row r="4551" spans="1:12" ht="15" customHeight="1" x14ac:dyDescent="0.2">
      <c r="A4551" s="2">
        <v>39447</v>
      </c>
      <c r="B4551" s="3">
        <v>23.71</v>
      </c>
      <c r="C4551" s="1">
        <v>709971</v>
      </c>
      <c r="D4551" s="3">
        <v>8.9999999999999802E-2</v>
      </c>
      <c r="E4551" s="3">
        <v>0.38103302286198698</v>
      </c>
      <c r="F4551" s="3">
        <v>0.38103302286198698</v>
      </c>
      <c r="G4551" s="3">
        <v>23.71</v>
      </c>
      <c r="H4551" s="3">
        <v>560.72429092802395</v>
      </c>
      <c r="I4551" s="3">
        <v>23.58</v>
      </c>
      <c r="J4551" s="3">
        <v>23.94</v>
      </c>
      <c r="K4551" s="3">
        <v>23.47</v>
      </c>
      <c r="L4551" s="3">
        <v>560.72429092802395</v>
      </c>
    </row>
    <row r="4552" spans="1:12" ht="15" customHeight="1" x14ac:dyDescent="0.2">
      <c r="A4552" s="2">
        <v>39444</v>
      </c>
      <c r="B4552" s="3">
        <v>23.62</v>
      </c>
      <c r="C4552" s="1">
        <v>748148</v>
      </c>
      <c r="D4552" s="3">
        <v>-0.119999999999997</v>
      </c>
      <c r="E4552" s="3">
        <v>-0.50547598989046905</v>
      </c>
      <c r="F4552" s="3">
        <v>-0.50547598989046905</v>
      </c>
      <c r="G4552" s="3">
        <v>23.62</v>
      </c>
      <c r="H4552" s="3">
        <v>558.21626957907699</v>
      </c>
      <c r="I4552" s="3">
        <v>23.79</v>
      </c>
      <c r="J4552" s="3">
        <v>24.08</v>
      </c>
      <c r="K4552" s="3">
        <v>23.579000000000001</v>
      </c>
      <c r="L4552" s="3">
        <v>558.21626957907699</v>
      </c>
    </row>
    <row r="4553" spans="1:12" ht="15" customHeight="1" x14ac:dyDescent="0.2">
      <c r="A4553" s="2">
        <v>39443</v>
      </c>
      <c r="B4553" s="3">
        <v>23.74</v>
      </c>
      <c r="C4553" s="1">
        <v>1008659</v>
      </c>
      <c r="D4553" s="3">
        <v>0.20999999999999699</v>
      </c>
      <c r="E4553" s="3">
        <v>0.89247768805778005</v>
      </c>
      <c r="F4553" s="3">
        <v>0.89247768805778005</v>
      </c>
      <c r="G4553" s="3">
        <v>23.74</v>
      </c>
      <c r="H4553" s="3">
        <v>561.56029804433899</v>
      </c>
      <c r="I4553" s="3">
        <v>23.73</v>
      </c>
      <c r="J4553" s="3">
        <v>23.99</v>
      </c>
      <c r="K4553" s="3">
        <v>23.45</v>
      </c>
      <c r="L4553" s="3">
        <v>561.56029804433899</v>
      </c>
    </row>
    <row r="4554" spans="1:12" ht="15" customHeight="1" x14ac:dyDescent="0.2">
      <c r="A4554" s="2">
        <v>39442</v>
      </c>
      <c r="B4554" s="3">
        <v>23.53</v>
      </c>
      <c r="C4554" s="1">
        <v>4286475</v>
      </c>
      <c r="D4554" s="3"/>
      <c r="E4554" s="3"/>
      <c r="F4554" s="3"/>
      <c r="G4554" s="3">
        <v>23.53</v>
      </c>
      <c r="H4554" s="3">
        <v>555.70824823013095</v>
      </c>
      <c r="I4554" s="3">
        <v>23.6</v>
      </c>
      <c r="J4554" s="3">
        <v>23.692</v>
      </c>
      <c r="K4554" s="3">
        <v>23.15</v>
      </c>
      <c r="L4554" s="3">
        <v>555.70824823013095</v>
      </c>
    </row>
    <row r="4555" spans="1:12" ht="15" customHeight="1" x14ac:dyDescent="0.2">
      <c r="A4555" s="2">
        <v>39440</v>
      </c>
      <c r="B4555" s="3">
        <v>23.53</v>
      </c>
      <c r="C4555" s="1">
        <v>493192</v>
      </c>
      <c r="D4555" s="3">
        <v>-7.9999999999998295E-2</v>
      </c>
      <c r="E4555" s="3">
        <v>-0.338839474798802</v>
      </c>
      <c r="F4555" s="3">
        <v>-0.338839474798802</v>
      </c>
      <c r="G4555" s="3">
        <v>23.53</v>
      </c>
      <c r="H4555" s="3">
        <v>555.70824823013095</v>
      </c>
      <c r="I4555" s="3">
        <v>23.72</v>
      </c>
      <c r="J4555" s="3">
        <v>24.04</v>
      </c>
      <c r="K4555" s="3">
        <v>23.51</v>
      </c>
      <c r="L4555" s="3">
        <v>555.70824823013095</v>
      </c>
    </row>
    <row r="4556" spans="1:12" ht="15" customHeight="1" x14ac:dyDescent="0.2">
      <c r="A4556" s="2">
        <v>39437</v>
      </c>
      <c r="B4556" s="3">
        <v>23.61</v>
      </c>
      <c r="C4556" s="1">
        <v>1803653</v>
      </c>
      <c r="D4556" s="3">
        <v>-0.49000000000000199</v>
      </c>
      <c r="E4556" s="3">
        <v>-2.0331950207468901</v>
      </c>
      <c r="F4556" s="3">
        <v>-2.0331950207468901</v>
      </c>
      <c r="G4556" s="3">
        <v>23.61</v>
      </c>
      <c r="H4556" s="3">
        <v>557.93760054030497</v>
      </c>
      <c r="I4556" s="3">
        <v>24.62</v>
      </c>
      <c r="J4556" s="3">
        <v>24.65</v>
      </c>
      <c r="K4556" s="3">
        <v>23.43</v>
      </c>
      <c r="L4556" s="3">
        <v>557.93760054030497</v>
      </c>
    </row>
    <row r="4557" spans="1:12" ht="15" customHeight="1" x14ac:dyDescent="0.2">
      <c r="A4557" s="2">
        <v>39436</v>
      </c>
      <c r="B4557" s="3">
        <v>24.1</v>
      </c>
      <c r="C4557" s="1">
        <v>2364701</v>
      </c>
      <c r="D4557" s="3">
        <v>-0.439999999999997</v>
      </c>
      <c r="E4557" s="3">
        <v>-1.7929910350448099</v>
      </c>
      <c r="F4557" s="3">
        <v>-1.7929910350448099</v>
      </c>
      <c r="G4557" s="3">
        <v>24.1</v>
      </c>
      <c r="H4557" s="3">
        <v>571.59238344012499</v>
      </c>
      <c r="I4557" s="3">
        <v>24.41</v>
      </c>
      <c r="J4557" s="3">
        <v>24.41</v>
      </c>
      <c r="K4557" s="3">
        <v>23.28</v>
      </c>
      <c r="L4557" s="3">
        <v>571.59238344012499</v>
      </c>
    </row>
    <row r="4558" spans="1:12" ht="15" customHeight="1" x14ac:dyDescent="0.2">
      <c r="A4558" s="2">
        <v>39435</v>
      </c>
      <c r="B4558" s="3">
        <v>24.54</v>
      </c>
      <c r="C4558" s="1">
        <v>9184161</v>
      </c>
      <c r="D4558" s="3">
        <v>2.3699999999999899</v>
      </c>
      <c r="E4558" s="3">
        <v>10.6901217861975</v>
      </c>
      <c r="F4558" s="3">
        <v>10.6901217861975</v>
      </c>
      <c r="G4558" s="3">
        <v>24.54</v>
      </c>
      <c r="H4558" s="3">
        <v>583.85382114608603</v>
      </c>
      <c r="I4558" s="3">
        <v>21.84</v>
      </c>
      <c r="J4558" s="3">
        <v>24.75</v>
      </c>
      <c r="K4558" s="3">
        <v>21.22</v>
      </c>
      <c r="L4558" s="3">
        <v>583.85382114608603</v>
      </c>
    </row>
    <row r="4559" spans="1:12" ht="15" customHeight="1" x14ac:dyDescent="0.2">
      <c r="A4559" s="2">
        <v>39434</v>
      </c>
      <c r="B4559" s="3">
        <v>22.17</v>
      </c>
      <c r="C4559" s="1">
        <v>1692235</v>
      </c>
      <c r="D4559" s="3">
        <v>0.48</v>
      </c>
      <c r="E4559" s="3">
        <v>2.2130013831258499</v>
      </c>
      <c r="F4559" s="3">
        <v>2.2130013831258499</v>
      </c>
      <c r="G4559" s="3">
        <v>22.17</v>
      </c>
      <c r="H4559" s="3">
        <v>517.80925895716098</v>
      </c>
      <c r="I4559" s="3">
        <v>21.8</v>
      </c>
      <c r="J4559" s="3">
        <v>22.29</v>
      </c>
      <c r="K4559" s="3">
        <v>21.66</v>
      </c>
      <c r="L4559" s="3">
        <v>517.80925895716098</v>
      </c>
    </row>
    <row r="4560" spans="1:12" ht="15" customHeight="1" x14ac:dyDescent="0.2">
      <c r="A4560" s="2">
        <v>39433</v>
      </c>
      <c r="B4560" s="3">
        <v>21.69</v>
      </c>
      <c r="C4560" s="1">
        <v>1637807</v>
      </c>
      <c r="D4560" s="3">
        <v>-0.309999999999998</v>
      </c>
      <c r="E4560" s="3">
        <v>-1.4090909090909001</v>
      </c>
      <c r="F4560" s="3">
        <v>-1.4090909090909001</v>
      </c>
      <c r="G4560" s="3">
        <v>21.69</v>
      </c>
      <c r="H4560" s="3">
        <v>504.43314509611298</v>
      </c>
      <c r="I4560" s="3">
        <v>21.87</v>
      </c>
      <c r="J4560" s="3">
        <v>21.9</v>
      </c>
      <c r="K4560" s="3">
        <v>21.29</v>
      </c>
      <c r="L4560" s="3">
        <v>504.43314509611298</v>
      </c>
    </row>
    <row r="4561" spans="1:12" ht="15" customHeight="1" x14ac:dyDescent="0.2">
      <c r="A4561" s="2">
        <v>39430</v>
      </c>
      <c r="B4561" s="3">
        <v>22</v>
      </c>
      <c r="C4561" s="1">
        <v>1836350</v>
      </c>
      <c r="D4561" s="3">
        <v>-1.1399999999999999</v>
      </c>
      <c r="E4561" s="3">
        <v>-4.9265341400172904</v>
      </c>
      <c r="F4561" s="3">
        <v>-4.9265341400172904</v>
      </c>
      <c r="G4561" s="3">
        <v>22</v>
      </c>
      <c r="H4561" s="3">
        <v>513.07188529804</v>
      </c>
      <c r="I4561" s="3">
        <v>23.01</v>
      </c>
      <c r="J4561" s="3">
        <v>23.01</v>
      </c>
      <c r="K4561" s="3">
        <v>21.75</v>
      </c>
      <c r="L4561" s="3">
        <v>513.07188529804</v>
      </c>
    </row>
    <row r="4562" spans="1:12" ht="15" customHeight="1" x14ac:dyDescent="0.2">
      <c r="A4562" s="2">
        <v>39429</v>
      </c>
      <c r="B4562" s="3">
        <v>23.14</v>
      </c>
      <c r="C4562" s="1">
        <v>1729584</v>
      </c>
      <c r="D4562" s="3">
        <v>0.15000000000000199</v>
      </c>
      <c r="E4562" s="3">
        <v>0.65245759025664896</v>
      </c>
      <c r="F4562" s="3">
        <v>0.65245759025664896</v>
      </c>
      <c r="G4562" s="3">
        <v>23.14</v>
      </c>
      <c r="H4562" s="3">
        <v>544.840155718029</v>
      </c>
      <c r="I4562" s="3">
        <v>22.71</v>
      </c>
      <c r="J4562" s="3">
        <v>23.16</v>
      </c>
      <c r="K4562" s="3">
        <v>22.35</v>
      </c>
      <c r="L4562" s="3">
        <v>544.840155718029</v>
      </c>
    </row>
    <row r="4563" spans="1:12" ht="15" customHeight="1" x14ac:dyDescent="0.2">
      <c r="A4563" s="2">
        <v>39428</v>
      </c>
      <c r="B4563" s="3">
        <v>22.99</v>
      </c>
      <c r="C4563" s="1">
        <v>3289273</v>
      </c>
      <c r="D4563" s="3">
        <v>-0.77000000000000302</v>
      </c>
      <c r="E4563" s="3">
        <v>-3.2407407407407498</v>
      </c>
      <c r="F4563" s="3">
        <v>-3.2407407407407498</v>
      </c>
      <c r="G4563" s="3">
        <v>22.99</v>
      </c>
      <c r="H4563" s="3">
        <v>540.66012013645104</v>
      </c>
      <c r="I4563" s="3">
        <v>23.42</v>
      </c>
      <c r="J4563" s="3">
        <v>23.83</v>
      </c>
      <c r="K4563" s="3">
        <v>22.65</v>
      </c>
      <c r="L4563" s="3">
        <v>540.66012013645104</v>
      </c>
    </row>
    <row r="4564" spans="1:12" ht="15" customHeight="1" x14ac:dyDescent="0.2">
      <c r="A4564" s="2">
        <v>39427</v>
      </c>
      <c r="B4564" s="3">
        <v>23.76</v>
      </c>
      <c r="C4564" s="1">
        <v>1629975</v>
      </c>
      <c r="D4564" s="3">
        <v>-0.33999999999999903</v>
      </c>
      <c r="E4564" s="3">
        <v>-1.41078838174273</v>
      </c>
      <c r="F4564" s="3">
        <v>-1.41078838174273</v>
      </c>
      <c r="G4564" s="3">
        <v>23.76</v>
      </c>
      <c r="H4564" s="3">
        <v>562.11763612188304</v>
      </c>
      <c r="I4564" s="3">
        <v>24.24</v>
      </c>
      <c r="J4564" s="3">
        <v>24.28</v>
      </c>
      <c r="K4564" s="3">
        <v>23.56</v>
      </c>
      <c r="L4564" s="3">
        <v>562.11763612188304</v>
      </c>
    </row>
    <row r="4565" spans="1:12" ht="15" customHeight="1" x14ac:dyDescent="0.2">
      <c r="A4565" s="2">
        <v>39426</v>
      </c>
      <c r="B4565" s="3">
        <v>24.1</v>
      </c>
      <c r="C4565" s="1">
        <v>748371</v>
      </c>
      <c r="D4565" s="3">
        <v>0.310000000000002</v>
      </c>
      <c r="E4565" s="3">
        <v>1.30306851618327</v>
      </c>
      <c r="F4565" s="3">
        <v>1.30306851618327</v>
      </c>
      <c r="G4565" s="3">
        <v>24.1</v>
      </c>
      <c r="H4565" s="3">
        <v>571.59238344012499</v>
      </c>
      <c r="I4565" s="3">
        <v>23.76</v>
      </c>
      <c r="J4565" s="3">
        <v>24.25</v>
      </c>
      <c r="K4565" s="3">
        <v>23.76</v>
      </c>
      <c r="L4565" s="3">
        <v>571.59238344012499</v>
      </c>
    </row>
    <row r="4566" spans="1:12" ht="15" customHeight="1" x14ac:dyDescent="0.2">
      <c r="A4566" s="2">
        <v>39423</v>
      </c>
      <c r="B4566" s="3">
        <v>23.79</v>
      </c>
      <c r="C4566" s="1">
        <v>1267835</v>
      </c>
      <c r="D4566" s="3">
        <v>0.12999999999999901</v>
      </c>
      <c r="E4566" s="3">
        <v>0.54945054945054705</v>
      </c>
      <c r="F4566" s="3">
        <v>0.54945054945054705</v>
      </c>
      <c r="G4566" s="3">
        <v>23.79</v>
      </c>
      <c r="H4566" s="3">
        <v>562.95364323819797</v>
      </c>
      <c r="I4566" s="3">
        <v>23.82</v>
      </c>
      <c r="J4566" s="3">
        <v>24.4</v>
      </c>
      <c r="K4566" s="3">
        <v>23.57</v>
      </c>
      <c r="L4566" s="3">
        <v>562.95364323819797</v>
      </c>
    </row>
    <row r="4567" spans="1:12" ht="15" customHeight="1" x14ac:dyDescent="0.2">
      <c r="A4567" s="2">
        <v>39422</v>
      </c>
      <c r="B4567" s="3">
        <v>23.66</v>
      </c>
      <c r="C4567" s="1">
        <v>867950</v>
      </c>
      <c r="D4567" s="3">
        <v>0.73999999999999799</v>
      </c>
      <c r="E4567" s="3">
        <v>3.2286212914485102</v>
      </c>
      <c r="F4567" s="3">
        <v>3.2286212914485102</v>
      </c>
      <c r="G4567" s="3">
        <v>23.66</v>
      </c>
      <c r="H4567" s="3">
        <v>559.33094573416497</v>
      </c>
      <c r="I4567" s="3">
        <v>22.9</v>
      </c>
      <c r="J4567" s="3">
        <v>23.77</v>
      </c>
      <c r="K4567" s="3">
        <v>22.7</v>
      </c>
      <c r="L4567" s="3">
        <v>559.33094573416497</v>
      </c>
    </row>
    <row r="4568" spans="1:12" ht="15" customHeight="1" x14ac:dyDescent="0.2">
      <c r="A4568" s="2">
        <v>39421</v>
      </c>
      <c r="B4568" s="3">
        <v>22.92</v>
      </c>
      <c r="C4568" s="1">
        <v>777092</v>
      </c>
      <c r="D4568" s="3">
        <v>2.0000000000003099E-2</v>
      </c>
      <c r="E4568" s="3">
        <v>8.7336244541491498E-2</v>
      </c>
      <c r="F4568" s="3">
        <v>8.7336244541491498E-2</v>
      </c>
      <c r="G4568" s="3">
        <v>22.92</v>
      </c>
      <c r="H4568" s="3">
        <v>538.70943686504904</v>
      </c>
      <c r="I4568" s="3">
        <v>23.05</v>
      </c>
      <c r="J4568" s="3">
        <v>23.05</v>
      </c>
      <c r="K4568" s="3">
        <v>22.66</v>
      </c>
      <c r="L4568" s="3">
        <v>538.70943686504904</v>
      </c>
    </row>
    <row r="4569" spans="1:12" ht="15" customHeight="1" x14ac:dyDescent="0.2">
      <c r="A4569" s="2">
        <v>39420</v>
      </c>
      <c r="B4569" s="3">
        <v>22.9</v>
      </c>
      <c r="C4569" s="1">
        <v>819287</v>
      </c>
      <c r="D4569" s="3">
        <v>-0.24000000000000199</v>
      </c>
      <c r="E4569" s="3">
        <v>-1.03716508210891</v>
      </c>
      <c r="F4569" s="3">
        <v>-1.03716508210891</v>
      </c>
      <c r="G4569" s="3">
        <v>22.9</v>
      </c>
      <c r="H4569" s="3">
        <v>538.152098787505</v>
      </c>
      <c r="I4569" s="3">
        <v>22.82</v>
      </c>
      <c r="J4569" s="3">
        <v>23.04</v>
      </c>
      <c r="K4569" s="3">
        <v>22.45</v>
      </c>
      <c r="L4569" s="3">
        <v>538.152098787505</v>
      </c>
    </row>
    <row r="4570" spans="1:12" ht="15" customHeight="1" x14ac:dyDescent="0.2">
      <c r="A4570" s="2">
        <v>39419</v>
      </c>
      <c r="B4570" s="3">
        <v>23.14</v>
      </c>
      <c r="C4570" s="1">
        <v>832849</v>
      </c>
      <c r="D4570" s="3">
        <v>-0.149999999999998</v>
      </c>
      <c r="E4570" s="3">
        <v>-0.64405324173464296</v>
      </c>
      <c r="F4570" s="3">
        <v>-0.64405324173464296</v>
      </c>
      <c r="G4570" s="3">
        <v>23.14</v>
      </c>
      <c r="H4570" s="3">
        <v>544.840155718029</v>
      </c>
      <c r="I4570" s="3">
        <v>23.29</v>
      </c>
      <c r="J4570" s="3">
        <v>23.39</v>
      </c>
      <c r="K4570" s="3">
        <v>23</v>
      </c>
      <c r="L4570" s="3">
        <v>544.840155718029</v>
      </c>
    </row>
    <row r="4571" spans="1:12" ht="15" customHeight="1" x14ac:dyDescent="0.2">
      <c r="A4571" s="2">
        <v>39416</v>
      </c>
      <c r="B4571" s="3">
        <v>23.29</v>
      </c>
      <c r="C4571" s="1">
        <v>965988</v>
      </c>
      <c r="D4571" s="3">
        <v>5.0000000000000697E-2</v>
      </c>
      <c r="E4571" s="3">
        <v>0.215146299483648</v>
      </c>
      <c r="F4571" s="3">
        <v>0.215146299483648</v>
      </c>
      <c r="G4571" s="3">
        <v>23.29</v>
      </c>
      <c r="H4571" s="3">
        <v>549.02019129960695</v>
      </c>
      <c r="I4571" s="3">
        <v>23.23</v>
      </c>
      <c r="J4571" s="3">
        <v>23.65</v>
      </c>
      <c r="K4571" s="3">
        <v>23.23</v>
      </c>
      <c r="L4571" s="3">
        <v>549.02019129960695</v>
      </c>
    </row>
    <row r="4572" spans="1:12" ht="15" customHeight="1" x14ac:dyDescent="0.2">
      <c r="A4572" s="2">
        <v>39415</v>
      </c>
      <c r="B4572" s="3">
        <v>23.24</v>
      </c>
      <c r="C4572" s="1">
        <v>879751</v>
      </c>
      <c r="D4572" s="3">
        <v>-4.00000000000027E-2</v>
      </c>
      <c r="E4572" s="3">
        <v>-0.171821305841934</v>
      </c>
      <c r="F4572" s="3">
        <v>-0.171821305841934</v>
      </c>
      <c r="G4572" s="3">
        <v>23.24</v>
      </c>
      <c r="H4572" s="3">
        <v>547.62684610574695</v>
      </c>
      <c r="I4572" s="3">
        <v>23.13</v>
      </c>
      <c r="J4572" s="3">
        <v>23.38</v>
      </c>
      <c r="K4572" s="3">
        <v>22.86</v>
      </c>
      <c r="L4572" s="3">
        <v>547.62684610574695</v>
      </c>
    </row>
    <row r="4573" spans="1:12" ht="15" customHeight="1" x14ac:dyDescent="0.2">
      <c r="A4573" s="2">
        <v>39414</v>
      </c>
      <c r="B4573" s="3">
        <v>23.28</v>
      </c>
      <c r="C4573" s="1">
        <v>1294902</v>
      </c>
      <c r="D4573" s="3">
        <v>0.40000000000000202</v>
      </c>
      <c r="E4573" s="3">
        <v>1.7482517482517499</v>
      </c>
      <c r="F4573" s="3">
        <v>1.7482517482517499</v>
      </c>
      <c r="G4573" s="3">
        <v>23.28</v>
      </c>
      <c r="H4573" s="3">
        <v>548.74152226083504</v>
      </c>
      <c r="I4573" s="3">
        <v>23.07</v>
      </c>
      <c r="J4573" s="3">
        <v>23.66</v>
      </c>
      <c r="K4573" s="3">
        <v>23</v>
      </c>
      <c r="L4573" s="3">
        <v>548.74152226083504</v>
      </c>
    </row>
    <row r="4574" spans="1:12" ht="15" customHeight="1" x14ac:dyDescent="0.2">
      <c r="A4574" s="2">
        <v>39413</v>
      </c>
      <c r="B4574" s="3">
        <v>22.88</v>
      </c>
      <c r="C4574" s="1">
        <v>1529234</v>
      </c>
      <c r="D4574" s="3">
        <v>7.9999999999998295E-2</v>
      </c>
      <c r="E4574" s="3">
        <v>0.35087719298245701</v>
      </c>
      <c r="F4574" s="3">
        <v>0.35087719298245701</v>
      </c>
      <c r="G4574" s="3">
        <v>22.88</v>
      </c>
      <c r="H4574" s="3">
        <v>537.59476070996095</v>
      </c>
      <c r="I4574" s="3">
        <v>22.86</v>
      </c>
      <c r="J4574" s="3">
        <v>22.97</v>
      </c>
      <c r="K4574" s="3">
        <v>22.62</v>
      </c>
      <c r="L4574" s="3">
        <v>537.59476070996095</v>
      </c>
    </row>
    <row r="4575" spans="1:12" ht="15" customHeight="1" x14ac:dyDescent="0.2">
      <c r="A4575" s="2">
        <v>39412</v>
      </c>
      <c r="B4575" s="3">
        <v>22.8</v>
      </c>
      <c r="C4575" s="1">
        <v>1286666</v>
      </c>
      <c r="D4575" s="3">
        <v>-0.25999999999999801</v>
      </c>
      <c r="E4575" s="3">
        <v>-1.1274934952298199</v>
      </c>
      <c r="F4575" s="3">
        <v>-1.1274934952298199</v>
      </c>
      <c r="G4575" s="3">
        <v>22.8</v>
      </c>
      <c r="H4575" s="3">
        <v>535.36540839978704</v>
      </c>
      <c r="I4575" s="3">
        <v>23.08</v>
      </c>
      <c r="J4575" s="3">
        <v>23.15</v>
      </c>
      <c r="K4575" s="3">
        <v>22.63</v>
      </c>
      <c r="L4575" s="3">
        <v>535.36540839978704</v>
      </c>
    </row>
    <row r="4576" spans="1:12" ht="15" customHeight="1" x14ac:dyDescent="0.2">
      <c r="A4576" s="2">
        <v>39409</v>
      </c>
      <c r="B4576" s="3">
        <v>23.06</v>
      </c>
      <c r="C4576" s="1">
        <v>506331</v>
      </c>
      <c r="D4576" s="3">
        <v>0.48999999999999799</v>
      </c>
      <c r="E4576" s="3">
        <v>2.1710234824988901</v>
      </c>
      <c r="F4576" s="3">
        <v>2.1710234824988901</v>
      </c>
      <c r="G4576" s="3">
        <v>23.06</v>
      </c>
      <c r="H4576" s="3">
        <v>542.61080340785395</v>
      </c>
      <c r="I4576" s="3">
        <v>22.66</v>
      </c>
      <c r="J4576" s="3">
        <v>23.14</v>
      </c>
      <c r="K4576" s="3">
        <v>22.54</v>
      </c>
      <c r="L4576" s="3">
        <v>542.61080340785395</v>
      </c>
    </row>
    <row r="4577" spans="1:12" ht="15" customHeight="1" x14ac:dyDescent="0.2">
      <c r="A4577" s="2">
        <v>39407</v>
      </c>
      <c r="B4577" s="3">
        <v>22.57</v>
      </c>
      <c r="C4577" s="1">
        <v>1596413</v>
      </c>
      <c r="D4577" s="3">
        <v>0.35000000000000098</v>
      </c>
      <c r="E4577" s="3">
        <v>1.57515751575159</v>
      </c>
      <c r="F4577" s="3">
        <v>1.57515751575159</v>
      </c>
      <c r="G4577" s="3">
        <v>22.57</v>
      </c>
      <c r="H4577" s="3">
        <v>528.95602050803404</v>
      </c>
      <c r="I4577" s="3">
        <v>21.9</v>
      </c>
      <c r="J4577" s="3">
        <v>22.883400000000002</v>
      </c>
      <c r="K4577" s="3">
        <v>21.86</v>
      </c>
      <c r="L4577" s="3">
        <v>528.95602050803404</v>
      </c>
    </row>
    <row r="4578" spans="1:12" ht="15" customHeight="1" x14ac:dyDescent="0.2">
      <c r="A4578" s="2">
        <v>39406</v>
      </c>
      <c r="B4578" s="3">
        <v>22.22</v>
      </c>
      <c r="C4578" s="1">
        <v>1664956</v>
      </c>
      <c r="D4578" s="3">
        <v>-0.25</v>
      </c>
      <c r="E4578" s="3">
        <v>-1.1125945705384901</v>
      </c>
      <c r="F4578" s="3">
        <v>-1.1125945705384901</v>
      </c>
      <c r="G4578" s="3">
        <v>22.22</v>
      </c>
      <c r="H4578" s="3">
        <v>519.20260415101995</v>
      </c>
      <c r="I4578" s="3">
        <v>22.48</v>
      </c>
      <c r="J4578" s="3">
        <v>22.68</v>
      </c>
      <c r="K4578" s="3">
        <v>21.93</v>
      </c>
      <c r="L4578" s="3">
        <v>519.20260415101995</v>
      </c>
    </row>
    <row r="4579" spans="1:12" ht="15" customHeight="1" x14ac:dyDescent="0.2">
      <c r="A4579" s="2">
        <v>39405</v>
      </c>
      <c r="B4579" s="3">
        <v>22.47</v>
      </c>
      <c r="C4579" s="1">
        <v>1373733</v>
      </c>
      <c r="D4579" s="3">
        <v>-0.20000000000000201</v>
      </c>
      <c r="E4579" s="3">
        <v>-0.882223202470233</v>
      </c>
      <c r="F4579" s="3">
        <v>-0.882223202470233</v>
      </c>
      <c r="G4579" s="3">
        <v>22.47</v>
      </c>
      <c r="H4579" s="3">
        <v>526.16933012031598</v>
      </c>
      <c r="I4579" s="3">
        <v>22.54</v>
      </c>
      <c r="J4579" s="3">
        <v>22.68</v>
      </c>
      <c r="K4579" s="3">
        <v>22.12</v>
      </c>
      <c r="L4579" s="3">
        <v>526.16933012031598</v>
      </c>
    </row>
    <row r="4580" spans="1:12" ht="15" customHeight="1" x14ac:dyDescent="0.2">
      <c r="A4580" s="2">
        <v>39402</v>
      </c>
      <c r="B4580" s="3">
        <v>22.67</v>
      </c>
      <c r="C4580" s="1">
        <v>1130440</v>
      </c>
      <c r="D4580" s="3">
        <v>8.0000000000001806E-2</v>
      </c>
      <c r="E4580" s="3">
        <v>0.35413899955734002</v>
      </c>
      <c r="F4580" s="3">
        <v>0.35413899955734002</v>
      </c>
      <c r="G4580" s="3">
        <v>22.67</v>
      </c>
      <c r="H4580" s="3">
        <v>531.74271089575302</v>
      </c>
      <c r="I4580" s="3">
        <v>22.6</v>
      </c>
      <c r="J4580" s="3">
        <v>22.77</v>
      </c>
      <c r="K4580" s="3">
        <v>22.26</v>
      </c>
      <c r="L4580" s="3">
        <v>531.74271089575302</v>
      </c>
    </row>
    <row r="4581" spans="1:12" ht="15" customHeight="1" x14ac:dyDescent="0.2">
      <c r="A4581" s="2">
        <v>39401</v>
      </c>
      <c r="B4581" s="3">
        <v>22.59</v>
      </c>
      <c r="C4581" s="1">
        <v>1171166</v>
      </c>
      <c r="D4581" s="3">
        <v>0.190000000000001</v>
      </c>
      <c r="E4581" s="3">
        <v>0.84821428571428803</v>
      </c>
      <c r="F4581" s="3">
        <v>0.84821428571428803</v>
      </c>
      <c r="G4581" s="3">
        <v>22.59</v>
      </c>
      <c r="H4581" s="3">
        <v>529.51335858557798</v>
      </c>
      <c r="I4581" s="3">
        <v>22.29</v>
      </c>
      <c r="J4581" s="3">
        <v>22.69</v>
      </c>
      <c r="K4581" s="3">
        <v>22.181000000000001</v>
      </c>
      <c r="L4581" s="3">
        <v>529.51335858557798</v>
      </c>
    </row>
    <row r="4582" spans="1:12" ht="15" customHeight="1" x14ac:dyDescent="0.2">
      <c r="A4582" s="2">
        <v>39400</v>
      </c>
      <c r="B4582" s="3">
        <v>22.4</v>
      </c>
      <c r="C4582" s="1">
        <v>2047113</v>
      </c>
      <c r="D4582" s="3">
        <v>-0.65000000000000202</v>
      </c>
      <c r="E4582" s="3">
        <v>-2.8199566160520599</v>
      </c>
      <c r="F4582" s="3">
        <v>-2.8199566160520599</v>
      </c>
      <c r="G4582" s="3">
        <v>22.4</v>
      </c>
      <c r="H4582" s="3">
        <v>524.21864684891295</v>
      </c>
      <c r="I4582" s="3">
        <v>23.09</v>
      </c>
      <c r="J4582" s="3">
        <v>23.25</v>
      </c>
      <c r="K4582" s="3">
        <v>22.21</v>
      </c>
      <c r="L4582" s="3">
        <v>524.21864684891295</v>
      </c>
    </row>
    <row r="4583" spans="1:12" ht="15" customHeight="1" x14ac:dyDescent="0.2">
      <c r="A4583" s="2">
        <v>39399</v>
      </c>
      <c r="B4583" s="3">
        <v>23.05</v>
      </c>
      <c r="C4583" s="1">
        <v>2000391</v>
      </c>
      <c r="D4583" s="3">
        <v>0.310000000000002</v>
      </c>
      <c r="E4583" s="3">
        <v>1.363236587511</v>
      </c>
      <c r="F4583" s="3">
        <v>1.363236587511</v>
      </c>
      <c r="G4583" s="3">
        <v>23.05</v>
      </c>
      <c r="H4583" s="3">
        <v>542.33213436908295</v>
      </c>
      <c r="I4583" s="3">
        <v>22.82</v>
      </c>
      <c r="J4583" s="3">
        <v>23.31</v>
      </c>
      <c r="K4583" s="3">
        <v>22.81</v>
      </c>
      <c r="L4583" s="3">
        <v>542.33213436908295</v>
      </c>
    </row>
    <row r="4584" spans="1:12" ht="15" customHeight="1" x14ac:dyDescent="0.2">
      <c r="A4584" s="2">
        <v>39398</v>
      </c>
      <c r="B4584" s="3">
        <v>22.74</v>
      </c>
      <c r="C4584" s="1">
        <v>1579164</v>
      </c>
      <c r="D4584" s="3">
        <v>0.81999999999999595</v>
      </c>
      <c r="E4584" s="3">
        <v>3.7408759124087401</v>
      </c>
      <c r="F4584" s="3">
        <v>3.7408759124087401</v>
      </c>
      <c r="G4584" s="3">
        <v>22.74</v>
      </c>
      <c r="H4584" s="3">
        <v>533.69339416715502</v>
      </c>
      <c r="I4584" s="3">
        <v>21.94</v>
      </c>
      <c r="J4584" s="3">
        <v>23.15</v>
      </c>
      <c r="K4584" s="3">
        <v>21.89</v>
      </c>
      <c r="L4584" s="3">
        <v>533.69339416715502</v>
      </c>
    </row>
    <row r="4585" spans="1:12" ht="15" customHeight="1" x14ac:dyDescent="0.2">
      <c r="A4585" s="2">
        <v>39395</v>
      </c>
      <c r="B4585" s="3">
        <v>21.92</v>
      </c>
      <c r="C4585" s="1">
        <v>1630202</v>
      </c>
      <c r="D4585" s="3">
        <v>-0.29999999999999699</v>
      </c>
      <c r="E4585" s="3">
        <v>-1.3501350135013399</v>
      </c>
      <c r="F4585" s="3">
        <v>-1.3501350135013399</v>
      </c>
      <c r="G4585" s="3">
        <v>21.92</v>
      </c>
      <c r="H4585" s="3">
        <v>510.84253298786501</v>
      </c>
      <c r="I4585" s="3">
        <v>21.9</v>
      </c>
      <c r="J4585" s="3">
        <v>22.36</v>
      </c>
      <c r="K4585" s="3">
        <v>21.79</v>
      </c>
      <c r="L4585" s="3">
        <v>510.84253298786501</v>
      </c>
    </row>
    <row r="4586" spans="1:12" ht="15" customHeight="1" x14ac:dyDescent="0.2">
      <c r="A4586" s="2">
        <v>39394</v>
      </c>
      <c r="B4586" s="3">
        <v>22.22</v>
      </c>
      <c r="C4586" s="1">
        <v>1534016</v>
      </c>
      <c r="D4586" s="3">
        <v>0.369999999999997</v>
      </c>
      <c r="E4586" s="3">
        <v>1.6933638443935799</v>
      </c>
      <c r="F4586" s="3">
        <v>1.6933638443935799</v>
      </c>
      <c r="G4586" s="3">
        <v>22.22</v>
      </c>
      <c r="H4586" s="3">
        <v>519.20260415101995</v>
      </c>
      <c r="I4586" s="3">
        <v>21.95</v>
      </c>
      <c r="J4586" s="3">
        <v>22.3</v>
      </c>
      <c r="K4586" s="3">
        <v>21.72</v>
      </c>
      <c r="L4586" s="3">
        <v>519.20260415101995</v>
      </c>
    </row>
    <row r="4587" spans="1:12" ht="15" customHeight="1" x14ac:dyDescent="0.2">
      <c r="A4587" s="2">
        <v>39393</v>
      </c>
      <c r="B4587" s="3">
        <v>21.85</v>
      </c>
      <c r="C4587" s="1">
        <v>1267149</v>
      </c>
      <c r="D4587" s="3">
        <v>-0.33999999999999903</v>
      </c>
      <c r="E4587" s="3">
        <v>-1.53222172149617</v>
      </c>
      <c r="F4587" s="3">
        <v>-1.53222172149617</v>
      </c>
      <c r="G4587" s="3">
        <v>21.85</v>
      </c>
      <c r="H4587" s="3">
        <v>508.89184971646199</v>
      </c>
      <c r="I4587" s="3">
        <v>22</v>
      </c>
      <c r="J4587" s="3">
        <v>22.24</v>
      </c>
      <c r="K4587" s="3">
        <v>21.75</v>
      </c>
      <c r="L4587" s="3">
        <v>508.89184971646199</v>
      </c>
    </row>
    <row r="4588" spans="1:12" ht="15" customHeight="1" x14ac:dyDescent="0.2">
      <c r="A4588" s="2">
        <v>39392</v>
      </c>
      <c r="B4588" s="3">
        <v>22.19</v>
      </c>
      <c r="C4588" s="1">
        <v>1420478</v>
      </c>
      <c r="D4588" s="3">
        <v>-0.17999999999999899</v>
      </c>
      <c r="E4588" s="3">
        <v>-0.80464908359410003</v>
      </c>
      <c r="F4588" s="3">
        <v>-0.80464908359410003</v>
      </c>
      <c r="G4588" s="3">
        <v>22.19</v>
      </c>
      <c r="H4588" s="3">
        <v>518.36659703470502</v>
      </c>
      <c r="I4588" s="3">
        <v>22.4</v>
      </c>
      <c r="J4588" s="3">
        <v>22.53</v>
      </c>
      <c r="K4588" s="3">
        <v>22.09</v>
      </c>
      <c r="L4588" s="3">
        <v>518.36659703470502</v>
      </c>
    </row>
    <row r="4589" spans="1:12" ht="15" customHeight="1" x14ac:dyDescent="0.2">
      <c r="A4589" s="2">
        <v>39391</v>
      </c>
      <c r="B4589" s="3">
        <v>22.37</v>
      </c>
      <c r="C4589" s="1">
        <v>1839608</v>
      </c>
      <c r="D4589" s="3">
        <v>0.71</v>
      </c>
      <c r="E4589" s="3">
        <v>3.2779316712834698</v>
      </c>
      <c r="F4589" s="3">
        <v>3.2779316712834698</v>
      </c>
      <c r="G4589" s="3">
        <v>22.37</v>
      </c>
      <c r="H4589" s="3">
        <v>523.38263973259802</v>
      </c>
      <c r="I4589" s="3">
        <v>22.03</v>
      </c>
      <c r="J4589" s="3">
        <v>22.45</v>
      </c>
      <c r="K4589" s="3">
        <v>21.98</v>
      </c>
      <c r="L4589" s="3">
        <v>523.38263973259802</v>
      </c>
    </row>
    <row r="4590" spans="1:12" ht="15" customHeight="1" x14ac:dyDescent="0.2">
      <c r="A4590" s="2">
        <v>39388</v>
      </c>
      <c r="B4590" s="3">
        <v>21.66</v>
      </c>
      <c r="C4590" s="1">
        <v>1385689</v>
      </c>
      <c r="D4590" s="3">
        <v>-0.26000000000000101</v>
      </c>
      <c r="E4590" s="3">
        <v>-1.1861313868613199</v>
      </c>
      <c r="F4590" s="3">
        <v>-1.1861313868613199</v>
      </c>
      <c r="G4590" s="3">
        <v>21.66</v>
      </c>
      <c r="H4590" s="3">
        <v>503.59713797979703</v>
      </c>
      <c r="I4590" s="3">
        <v>22</v>
      </c>
      <c r="J4590" s="3">
        <v>22.05</v>
      </c>
      <c r="K4590" s="3">
        <v>21.45</v>
      </c>
      <c r="L4590" s="3">
        <v>503.59713797979703</v>
      </c>
    </row>
    <row r="4591" spans="1:12" ht="15" customHeight="1" x14ac:dyDescent="0.2">
      <c r="A4591" s="2">
        <v>39387</v>
      </c>
      <c r="B4591" s="3">
        <v>21.92</v>
      </c>
      <c r="C4591" s="1">
        <v>1502507</v>
      </c>
      <c r="D4591" s="3">
        <v>-0.50999999999999801</v>
      </c>
      <c r="E4591" s="3">
        <v>-2.2737405260811299</v>
      </c>
      <c r="F4591" s="3">
        <v>-2.2737405260811299</v>
      </c>
      <c r="G4591" s="3">
        <v>21.92</v>
      </c>
      <c r="H4591" s="3">
        <v>510.84253298786501</v>
      </c>
      <c r="I4591" s="3">
        <v>22.31</v>
      </c>
      <c r="J4591" s="3">
        <v>22.31</v>
      </c>
      <c r="K4591" s="3">
        <v>21.89</v>
      </c>
      <c r="L4591" s="3">
        <v>510.84253298786501</v>
      </c>
    </row>
    <row r="4592" spans="1:12" ht="15" customHeight="1" x14ac:dyDescent="0.2">
      <c r="A4592" s="2">
        <v>39386</v>
      </c>
      <c r="B4592" s="3">
        <v>22.43</v>
      </c>
      <c r="C4592" s="1">
        <v>1784282</v>
      </c>
      <c r="D4592" s="3">
        <v>0.17999999999999899</v>
      </c>
      <c r="E4592" s="3">
        <v>0.80898876404493703</v>
      </c>
      <c r="F4592" s="3">
        <v>0.80898876404493703</v>
      </c>
      <c r="G4592" s="3">
        <v>22.43</v>
      </c>
      <c r="H4592" s="3">
        <v>525.05465396522902</v>
      </c>
      <c r="I4592" s="3">
        <v>22.3</v>
      </c>
      <c r="J4592" s="3">
        <v>22.49</v>
      </c>
      <c r="K4592" s="3">
        <v>22</v>
      </c>
      <c r="L4592" s="3">
        <v>525.05465396522902</v>
      </c>
    </row>
    <row r="4593" spans="1:12" ht="15" customHeight="1" x14ac:dyDescent="0.2">
      <c r="A4593" s="2">
        <v>39385</v>
      </c>
      <c r="B4593" s="3">
        <v>22.25</v>
      </c>
      <c r="C4593" s="1">
        <v>1207389</v>
      </c>
      <c r="D4593" s="3">
        <v>-0.16</v>
      </c>
      <c r="E4593" s="3">
        <v>-0.71396697902722495</v>
      </c>
      <c r="F4593" s="3">
        <v>-0.71396697902722495</v>
      </c>
      <c r="G4593" s="3">
        <v>22.25</v>
      </c>
      <c r="H4593" s="3">
        <v>520.03861126733602</v>
      </c>
      <c r="I4593" s="3">
        <v>22.26</v>
      </c>
      <c r="J4593" s="3">
        <v>22.3</v>
      </c>
      <c r="K4593" s="3">
        <v>22.09</v>
      </c>
      <c r="L4593" s="3">
        <v>520.03861126733602</v>
      </c>
    </row>
    <row r="4594" spans="1:12" ht="15" customHeight="1" x14ac:dyDescent="0.2">
      <c r="A4594" s="2">
        <v>39384</v>
      </c>
      <c r="B4594" s="3">
        <v>22.41</v>
      </c>
      <c r="C4594" s="1">
        <v>1035263.99999999</v>
      </c>
      <c r="D4594" s="3">
        <v>-1.0000000000001501E-2</v>
      </c>
      <c r="E4594" s="3">
        <v>-4.4603033006251902E-2</v>
      </c>
      <c r="F4594" s="3">
        <v>-4.4603033006251902E-2</v>
      </c>
      <c r="G4594" s="3">
        <v>22.41</v>
      </c>
      <c r="H4594" s="3">
        <v>524.49731588768498</v>
      </c>
      <c r="I4594" s="3">
        <v>22.33</v>
      </c>
      <c r="J4594" s="3">
        <v>22.51</v>
      </c>
      <c r="K4594" s="3">
        <v>22.129000000000001</v>
      </c>
      <c r="L4594" s="3">
        <v>524.49731588768498</v>
      </c>
    </row>
    <row r="4595" spans="1:12" ht="15" customHeight="1" x14ac:dyDescent="0.2">
      <c r="A4595" s="2">
        <v>39381</v>
      </c>
      <c r="B4595" s="3">
        <v>22.42</v>
      </c>
      <c r="C4595" s="1">
        <v>955969</v>
      </c>
      <c r="D4595" s="3">
        <v>0.21</v>
      </c>
      <c r="E4595" s="3">
        <v>0.94552003601982004</v>
      </c>
      <c r="F4595" s="3">
        <v>0.94552003601982004</v>
      </c>
      <c r="G4595" s="3">
        <v>22.42</v>
      </c>
      <c r="H4595" s="3">
        <v>524.775984926457</v>
      </c>
      <c r="I4595" s="3">
        <v>22.29</v>
      </c>
      <c r="J4595" s="3">
        <v>22.5</v>
      </c>
      <c r="K4595" s="3">
        <v>22.19</v>
      </c>
      <c r="L4595" s="3">
        <v>524.775984926457</v>
      </c>
    </row>
    <row r="4596" spans="1:12" ht="15" customHeight="1" x14ac:dyDescent="0.2">
      <c r="A4596" s="2">
        <v>39380</v>
      </c>
      <c r="B4596" s="3">
        <v>22.21</v>
      </c>
      <c r="C4596" s="1">
        <v>2032409</v>
      </c>
      <c r="D4596" s="3">
        <v>-0.32999999999999802</v>
      </c>
      <c r="E4596" s="3">
        <v>-1.46406388642412</v>
      </c>
      <c r="F4596" s="3">
        <v>-1.46406388642412</v>
      </c>
      <c r="G4596" s="3">
        <v>22.21</v>
      </c>
      <c r="H4596" s="3">
        <v>518.92393511224805</v>
      </c>
      <c r="I4596" s="3">
        <v>22.37</v>
      </c>
      <c r="J4596" s="3">
        <v>22.48</v>
      </c>
      <c r="K4596" s="3">
        <v>21.91</v>
      </c>
      <c r="L4596" s="3">
        <v>518.92393511224805</v>
      </c>
    </row>
    <row r="4597" spans="1:12" ht="15" customHeight="1" x14ac:dyDescent="0.2">
      <c r="A4597" s="2">
        <v>39379</v>
      </c>
      <c r="B4597" s="3">
        <v>22.54</v>
      </c>
      <c r="C4597" s="1">
        <v>4531418</v>
      </c>
      <c r="D4597" s="3">
        <v>-0.76000000000000101</v>
      </c>
      <c r="E4597" s="3">
        <v>-3.2618025751072901</v>
      </c>
      <c r="F4597" s="3">
        <v>-3.2618025751072901</v>
      </c>
      <c r="G4597" s="3">
        <v>22.54</v>
      </c>
      <c r="H4597" s="3">
        <v>528.120013391719</v>
      </c>
      <c r="I4597" s="3">
        <v>22.89</v>
      </c>
      <c r="J4597" s="3">
        <v>22.901399999999999</v>
      </c>
      <c r="K4597" s="3">
        <v>21.87</v>
      </c>
      <c r="L4597" s="3">
        <v>528.120013391719</v>
      </c>
    </row>
    <row r="4598" spans="1:12" ht="15" customHeight="1" x14ac:dyDescent="0.2">
      <c r="A4598" s="2">
        <v>39378</v>
      </c>
      <c r="B4598" s="3">
        <v>23.3</v>
      </c>
      <c r="C4598" s="1">
        <v>1852641</v>
      </c>
      <c r="D4598" s="3">
        <v>-0.439999999999997</v>
      </c>
      <c r="E4598" s="3">
        <v>-1.85341196293175</v>
      </c>
      <c r="F4598" s="3">
        <v>-1.85341196293175</v>
      </c>
      <c r="G4598" s="3">
        <v>23.3</v>
      </c>
      <c r="H4598" s="3">
        <v>549.29886033837795</v>
      </c>
      <c r="I4598" s="3">
        <v>23.84</v>
      </c>
      <c r="J4598" s="3">
        <v>23.87</v>
      </c>
      <c r="K4598" s="3">
        <v>23</v>
      </c>
      <c r="L4598" s="3">
        <v>549.29886033837795</v>
      </c>
    </row>
    <row r="4599" spans="1:12" ht="15" customHeight="1" x14ac:dyDescent="0.2">
      <c r="A4599" s="2">
        <v>39377</v>
      </c>
      <c r="B4599" s="3">
        <v>23.74</v>
      </c>
      <c r="C4599" s="1">
        <v>1516040</v>
      </c>
      <c r="D4599" s="3">
        <v>0.79999999999999705</v>
      </c>
      <c r="E4599" s="3">
        <v>3.4873583260679899</v>
      </c>
      <c r="F4599" s="3">
        <v>3.4873583260679899</v>
      </c>
      <c r="G4599" s="3">
        <v>23.74</v>
      </c>
      <c r="H4599" s="3">
        <v>561.56029804433899</v>
      </c>
      <c r="I4599" s="3">
        <v>22.81</v>
      </c>
      <c r="J4599" s="3">
        <v>23.9</v>
      </c>
      <c r="K4599" s="3">
        <v>22.72</v>
      </c>
      <c r="L4599" s="3">
        <v>561.56029804433899</v>
      </c>
    </row>
    <row r="4600" spans="1:12" ht="15" customHeight="1" x14ac:dyDescent="0.2">
      <c r="A4600" s="2">
        <v>39374</v>
      </c>
      <c r="B4600" s="3">
        <v>22.94</v>
      </c>
      <c r="C4600" s="1">
        <v>1280656</v>
      </c>
      <c r="D4600" s="3">
        <v>-2.9999999999997501E-2</v>
      </c>
      <c r="E4600" s="3">
        <v>-0.13060513713538599</v>
      </c>
      <c r="F4600" s="3">
        <v>-0.13060513713538599</v>
      </c>
      <c r="G4600" s="3">
        <v>22.94</v>
      </c>
      <c r="H4600" s="3">
        <v>539.26677494259195</v>
      </c>
      <c r="I4600" s="3">
        <v>22.95</v>
      </c>
      <c r="J4600" s="3">
        <v>23.21</v>
      </c>
      <c r="K4600" s="3">
        <v>22.71</v>
      </c>
      <c r="L4600" s="3">
        <v>539.26677494259195</v>
      </c>
    </row>
    <row r="4601" spans="1:12" ht="15" customHeight="1" x14ac:dyDescent="0.2">
      <c r="A4601" s="2">
        <v>39373</v>
      </c>
      <c r="B4601" s="3">
        <v>22.97</v>
      </c>
      <c r="C4601" s="1">
        <v>889198</v>
      </c>
      <c r="D4601" s="3">
        <v>-0.42999999999999899</v>
      </c>
      <c r="E4601" s="3">
        <v>-1.83760683760683</v>
      </c>
      <c r="F4601" s="3">
        <v>-1.83760683760683</v>
      </c>
      <c r="G4601" s="3">
        <v>22.97</v>
      </c>
      <c r="H4601" s="3">
        <v>540.10278205890802</v>
      </c>
      <c r="I4601" s="3">
        <v>23.28</v>
      </c>
      <c r="J4601" s="3">
        <v>23.43</v>
      </c>
      <c r="K4601" s="3">
        <v>22.94</v>
      </c>
      <c r="L4601" s="3">
        <v>540.10278205890802</v>
      </c>
    </row>
    <row r="4602" spans="1:12" ht="15" customHeight="1" x14ac:dyDescent="0.2">
      <c r="A4602" s="2">
        <v>39372</v>
      </c>
      <c r="B4602" s="3">
        <v>23.4</v>
      </c>
      <c r="C4602" s="1">
        <v>838388</v>
      </c>
      <c r="D4602" s="3">
        <v>0.16999999999999801</v>
      </c>
      <c r="E4602" s="3">
        <v>0.73181231166594696</v>
      </c>
      <c r="F4602" s="3">
        <v>0.73181231166594696</v>
      </c>
      <c r="G4602" s="3">
        <v>23.4</v>
      </c>
      <c r="H4602" s="3">
        <v>552.08555072609704</v>
      </c>
      <c r="I4602" s="3">
        <v>23.18</v>
      </c>
      <c r="J4602" s="3">
        <v>23.56</v>
      </c>
      <c r="K4602" s="3">
        <v>23.07</v>
      </c>
      <c r="L4602" s="3">
        <v>552.08555072609704</v>
      </c>
    </row>
    <row r="4603" spans="1:12" ht="15" customHeight="1" x14ac:dyDescent="0.2">
      <c r="A4603" s="2">
        <v>39371</v>
      </c>
      <c r="B4603" s="3">
        <v>23.23</v>
      </c>
      <c r="C4603" s="1">
        <v>747574</v>
      </c>
      <c r="D4603" s="3">
        <v>-0.35999999999999899</v>
      </c>
      <c r="E4603" s="3">
        <v>-1.5260703688003301</v>
      </c>
      <c r="F4603" s="3">
        <v>-1.5260703688003301</v>
      </c>
      <c r="G4603" s="3">
        <v>23.23</v>
      </c>
      <c r="H4603" s="3">
        <v>547.34817706697595</v>
      </c>
      <c r="I4603" s="3">
        <v>23.47</v>
      </c>
      <c r="J4603" s="3">
        <v>23.56</v>
      </c>
      <c r="K4603" s="3">
        <v>23.19</v>
      </c>
      <c r="L4603" s="3">
        <v>547.34817706697595</v>
      </c>
    </row>
    <row r="4604" spans="1:12" ht="15" customHeight="1" x14ac:dyDescent="0.2">
      <c r="A4604" s="2">
        <v>39370</v>
      </c>
      <c r="B4604" s="3">
        <v>23.59</v>
      </c>
      <c r="C4604" s="1">
        <v>763148</v>
      </c>
      <c r="D4604" s="3">
        <v>-0.109999999999999</v>
      </c>
      <c r="E4604" s="3">
        <v>-0.46413502109704502</v>
      </c>
      <c r="F4604" s="3">
        <v>-0.46413502109704502</v>
      </c>
      <c r="G4604" s="3">
        <v>23.59</v>
      </c>
      <c r="H4604" s="3">
        <v>557.38026246276195</v>
      </c>
      <c r="I4604" s="3">
        <v>23.67</v>
      </c>
      <c r="J4604" s="3">
        <v>23.78</v>
      </c>
      <c r="K4604" s="3">
        <v>23.3</v>
      </c>
      <c r="L4604" s="3">
        <v>557.38026246276195</v>
      </c>
    </row>
    <row r="4605" spans="1:12" ht="15" customHeight="1" x14ac:dyDescent="0.2">
      <c r="A4605" s="2">
        <v>39367</v>
      </c>
      <c r="B4605" s="3">
        <v>23.7</v>
      </c>
      <c r="C4605" s="1">
        <v>566623</v>
      </c>
      <c r="D4605" s="3">
        <v>-1.9999999999999501E-2</v>
      </c>
      <c r="E4605" s="3">
        <v>-8.4317032040470696E-2</v>
      </c>
      <c r="F4605" s="3">
        <v>-8.4317032040470696E-2</v>
      </c>
      <c r="G4605" s="3">
        <v>23.7</v>
      </c>
      <c r="H4605" s="3">
        <v>560.44562188925204</v>
      </c>
      <c r="I4605" s="3">
        <v>23.7</v>
      </c>
      <c r="J4605" s="3">
        <v>23.96</v>
      </c>
      <c r="K4605" s="3">
        <v>23.5</v>
      </c>
      <c r="L4605" s="3">
        <v>560.44562188925204</v>
      </c>
    </row>
    <row r="4606" spans="1:12" ht="15" customHeight="1" x14ac:dyDescent="0.2">
      <c r="A4606" s="2">
        <v>39366</v>
      </c>
      <c r="B4606" s="3">
        <v>23.72</v>
      </c>
      <c r="C4606" s="1">
        <v>2008437</v>
      </c>
      <c r="D4606" s="3">
        <v>-0.65000000000000202</v>
      </c>
      <c r="E4606" s="3">
        <v>-2.66721378744358</v>
      </c>
      <c r="F4606" s="3">
        <v>-2.66721378744358</v>
      </c>
      <c r="G4606" s="3">
        <v>23.72</v>
      </c>
      <c r="H4606" s="3">
        <v>561.00295996679597</v>
      </c>
      <c r="I4606" s="3">
        <v>24.25</v>
      </c>
      <c r="J4606" s="3">
        <v>24.29</v>
      </c>
      <c r="K4606" s="3">
        <v>23.4</v>
      </c>
      <c r="L4606" s="3">
        <v>561.00295996679597</v>
      </c>
    </row>
    <row r="4607" spans="1:12" ht="15" customHeight="1" x14ac:dyDescent="0.2">
      <c r="A4607" s="2">
        <v>39365</v>
      </c>
      <c r="B4607" s="3">
        <v>24.37</v>
      </c>
      <c r="C4607" s="1">
        <v>949828</v>
      </c>
      <c r="D4607" s="3">
        <v>-0.439999999999997</v>
      </c>
      <c r="E4607" s="3">
        <v>-1.77347843611446</v>
      </c>
      <c r="F4607" s="3">
        <v>-1.77347843611446</v>
      </c>
      <c r="G4607" s="3">
        <v>24.37</v>
      </c>
      <c r="H4607" s="3">
        <v>579.11644748696494</v>
      </c>
      <c r="I4607" s="3">
        <v>24.72</v>
      </c>
      <c r="J4607" s="3">
        <v>24.818999999999999</v>
      </c>
      <c r="K4607" s="3">
        <v>24.29</v>
      </c>
      <c r="L4607" s="3">
        <v>579.11644748696494</v>
      </c>
    </row>
    <row r="4608" spans="1:12" ht="15" customHeight="1" x14ac:dyDescent="0.2">
      <c r="A4608" s="2">
        <v>39364</v>
      </c>
      <c r="B4608" s="3">
        <v>24.81</v>
      </c>
      <c r="C4608" s="1">
        <v>726291</v>
      </c>
      <c r="D4608" s="3">
        <v>0.189999999999997</v>
      </c>
      <c r="E4608" s="3">
        <v>0.77173030056862901</v>
      </c>
      <c r="F4608" s="3">
        <v>0.77173030056862901</v>
      </c>
      <c r="G4608" s="3">
        <v>24.81</v>
      </c>
      <c r="H4608" s="3">
        <v>591.37788519292599</v>
      </c>
      <c r="I4608" s="3">
        <v>24.73</v>
      </c>
      <c r="J4608" s="3">
        <v>24.81</v>
      </c>
      <c r="K4608" s="3">
        <v>24.42</v>
      </c>
      <c r="L4608" s="3">
        <v>591.37788519292599</v>
      </c>
    </row>
    <row r="4609" spans="1:12" ht="15" customHeight="1" x14ac:dyDescent="0.2">
      <c r="A4609" s="2">
        <v>39363</v>
      </c>
      <c r="B4609" s="3">
        <v>24.62</v>
      </c>
      <c r="C4609" s="1">
        <v>740686</v>
      </c>
      <c r="D4609" s="3">
        <v>-0.439999999999997</v>
      </c>
      <c r="E4609" s="3">
        <v>-1.7557861133279999</v>
      </c>
      <c r="F4609" s="3">
        <v>-1.7557861133279999</v>
      </c>
      <c r="G4609" s="3">
        <v>24.62</v>
      </c>
      <c r="H4609" s="3">
        <v>586.08317345626097</v>
      </c>
      <c r="I4609" s="3">
        <v>25</v>
      </c>
      <c r="J4609" s="3">
        <v>25</v>
      </c>
      <c r="K4609" s="3">
        <v>24.45</v>
      </c>
      <c r="L4609" s="3">
        <v>586.08317345626097</v>
      </c>
    </row>
    <row r="4610" spans="1:12" ht="15" customHeight="1" x14ac:dyDescent="0.2">
      <c r="A4610" s="2">
        <v>39360</v>
      </c>
      <c r="B4610" s="3">
        <v>25.06</v>
      </c>
      <c r="C4610" s="1">
        <v>1211137</v>
      </c>
      <c r="D4610" s="3">
        <v>0.51999999999999902</v>
      </c>
      <c r="E4610" s="3">
        <v>2.1189894050529698</v>
      </c>
      <c r="F4610" s="3">
        <v>2.1189894050529698</v>
      </c>
      <c r="G4610" s="3">
        <v>25.06</v>
      </c>
      <c r="H4610" s="3">
        <v>598.34461116222201</v>
      </c>
      <c r="I4610" s="3">
        <v>24.58</v>
      </c>
      <c r="J4610" s="3">
        <v>25.11</v>
      </c>
      <c r="K4610" s="3">
        <v>24.58</v>
      </c>
      <c r="L4610" s="3">
        <v>598.34461116222201</v>
      </c>
    </row>
    <row r="4611" spans="1:12" ht="15" customHeight="1" x14ac:dyDescent="0.2">
      <c r="A4611" s="2">
        <v>39359</v>
      </c>
      <c r="B4611" s="3">
        <v>24.54</v>
      </c>
      <c r="C4611" s="1">
        <v>1237923</v>
      </c>
      <c r="D4611" s="3">
        <v>0.1399</v>
      </c>
      <c r="E4611" s="3">
        <v>0.57335830590858805</v>
      </c>
      <c r="F4611" s="3">
        <v>0.57335830590858805</v>
      </c>
      <c r="G4611" s="3">
        <v>24.54</v>
      </c>
      <c r="H4611" s="3">
        <v>583.85382114608603</v>
      </c>
      <c r="I4611" s="3">
        <v>24.45</v>
      </c>
      <c r="J4611" s="3">
        <v>24.99</v>
      </c>
      <c r="K4611" s="3">
        <v>24.45</v>
      </c>
      <c r="L4611" s="3">
        <v>583.85382114608603</v>
      </c>
    </row>
    <row r="4612" spans="1:12" ht="15" customHeight="1" x14ac:dyDescent="0.2">
      <c r="A4612" s="2">
        <v>39358</v>
      </c>
      <c r="B4612" s="3">
        <v>24.400099999999998</v>
      </c>
      <c r="C4612" s="1">
        <v>1099915</v>
      </c>
      <c r="D4612" s="3">
        <v>0.16009999999999899</v>
      </c>
      <c r="E4612" s="3">
        <v>0.660478547854781</v>
      </c>
      <c r="F4612" s="3">
        <v>0.660478547854781</v>
      </c>
      <c r="G4612" s="3">
        <v>24.400099999999998</v>
      </c>
      <c r="H4612" s="3">
        <v>579.955241293668</v>
      </c>
      <c r="I4612" s="3">
        <v>24.04</v>
      </c>
      <c r="J4612" s="3">
        <v>24.5</v>
      </c>
      <c r="K4612" s="3">
        <v>23.97</v>
      </c>
      <c r="L4612" s="3">
        <v>579.955241293668</v>
      </c>
    </row>
    <row r="4613" spans="1:12" ht="15" customHeight="1" x14ac:dyDescent="0.2">
      <c r="A4613" s="2">
        <v>39357</v>
      </c>
      <c r="B4613" s="3">
        <v>24.24</v>
      </c>
      <c r="C4613" s="1">
        <v>2434460</v>
      </c>
      <c r="D4613" s="3">
        <v>6.9999999999996704E-2</v>
      </c>
      <c r="E4613" s="3">
        <v>0.28961522548611701</v>
      </c>
      <c r="F4613" s="3">
        <v>0.28961522548611701</v>
      </c>
      <c r="G4613" s="3">
        <v>24.24</v>
      </c>
      <c r="H4613" s="3">
        <v>575.49374998293104</v>
      </c>
      <c r="I4613" s="3">
        <v>24.2</v>
      </c>
      <c r="J4613" s="3">
        <v>24.51</v>
      </c>
      <c r="K4613" s="3">
        <v>23.9</v>
      </c>
      <c r="L4613" s="3">
        <v>575.49374998293104</v>
      </c>
    </row>
    <row r="4614" spans="1:12" ht="15" customHeight="1" x14ac:dyDescent="0.2">
      <c r="A4614" s="2">
        <v>39356</v>
      </c>
      <c r="B4614" s="3">
        <v>24.17</v>
      </c>
      <c r="C4614" s="1">
        <v>1164165</v>
      </c>
      <c r="D4614" s="3">
        <v>0.70000000000000195</v>
      </c>
      <c r="E4614" s="3">
        <v>2.9825308904985102</v>
      </c>
      <c r="F4614" s="3">
        <v>2.9825308904985102</v>
      </c>
      <c r="G4614" s="3">
        <v>24.17</v>
      </c>
      <c r="H4614" s="3">
        <v>573.54306671152801</v>
      </c>
      <c r="I4614" s="3">
        <v>23.48</v>
      </c>
      <c r="J4614" s="3">
        <v>24.27</v>
      </c>
      <c r="K4614" s="3">
        <v>23.48</v>
      </c>
      <c r="L4614" s="3">
        <v>573.54306671152801</v>
      </c>
    </row>
    <row r="4615" spans="1:12" ht="15" customHeight="1" x14ac:dyDescent="0.2">
      <c r="A4615" s="2">
        <v>39353</v>
      </c>
      <c r="B4615" s="3">
        <v>23.47</v>
      </c>
      <c r="C4615" s="1">
        <v>620882</v>
      </c>
      <c r="D4615" s="3">
        <v>-0.310000000000002</v>
      </c>
      <c r="E4615" s="3">
        <v>-1.3036164844407101</v>
      </c>
      <c r="F4615" s="3">
        <v>-1.3036164844407101</v>
      </c>
      <c r="G4615" s="3">
        <v>23.47</v>
      </c>
      <c r="H4615" s="3">
        <v>554.03623399749995</v>
      </c>
      <c r="I4615" s="3">
        <v>23.71</v>
      </c>
      <c r="J4615" s="3">
        <v>23.8</v>
      </c>
      <c r="K4615" s="3">
        <v>23.47</v>
      </c>
      <c r="L4615" s="3">
        <v>554.03623399749995</v>
      </c>
    </row>
    <row r="4616" spans="1:12" ht="15" customHeight="1" x14ac:dyDescent="0.2">
      <c r="A4616" s="2">
        <v>39352</v>
      </c>
      <c r="B4616" s="3">
        <v>23.78</v>
      </c>
      <c r="C4616" s="1">
        <v>662452</v>
      </c>
      <c r="D4616" s="3">
        <v>0.220000000000002</v>
      </c>
      <c r="E4616" s="3">
        <v>0.93378607809848602</v>
      </c>
      <c r="F4616" s="3">
        <v>0.93378607809848602</v>
      </c>
      <c r="G4616" s="3">
        <v>23.78</v>
      </c>
      <c r="H4616" s="3">
        <v>562.67497419942697</v>
      </c>
      <c r="I4616" s="3">
        <v>23.55</v>
      </c>
      <c r="J4616" s="3">
        <v>23.8</v>
      </c>
      <c r="K4616" s="3">
        <v>23.38</v>
      </c>
      <c r="L4616" s="3">
        <v>562.67497419942697</v>
      </c>
    </row>
    <row r="4617" spans="1:12" ht="15" customHeight="1" x14ac:dyDescent="0.2">
      <c r="A4617" s="2">
        <v>39351</v>
      </c>
      <c r="B4617" s="3">
        <v>23.56</v>
      </c>
      <c r="C4617" s="1">
        <v>1138648</v>
      </c>
      <c r="D4617" s="3">
        <v>0.64999999999999802</v>
      </c>
      <c r="E4617" s="3">
        <v>2.8371890004364699</v>
      </c>
      <c r="F4617" s="3">
        <v>2.8371890004364699</v>
      </c>
      <c r="G4617" s="3">
        <v>23.56</v>
      </c>
      <c r="H4617" s="3">
        <v>556.54425534644599</v>
      </c>
      <c r="I4617" s="3">
        <v>22.98</v>
      </c>
      <c r="J4617" s="3">
        <v>23.83</v>
      </c>
      <c r="K4617" s="3">
        <v>22.98</v>
      </c>
      <c r="L4617" s="3">
        <v>556.54425534644599</v>
      </c>
    </row>
    <row r="4618" spans="1:12" ht="15" customHeight="1" x14ac:dyDescent="0.2">
      <c r="A4618" s="2">
        <v>39350</v>
      </c>
      <c r="B4618" s="3">
        <v>22.91</v>
      </c>
      <c r="C4618" s="1">
        <v>1898517</v>
      </c>
      <c r="D4618" s="3">
        <v>-0.60000000000000098</v>
      </c>
      <c r="E4618" s="3">
        <v>-2.5521054870267998</v>
      </c>
      <c r="F4618" s="3">
        <v>-2.5521054870267998</v>
      </c>
      <c r="G4618" s="3">
        <v>22.91</v>
      </c>
      <c r="H4618" s="3">
        <v>538.43076782627702</v>
      </c>
      <c r="I4618" s="3">
        <v>23.18</v>
      </c>
      <c r="J4618" s="3">
        <v>23.18</v>
      </c>
      <c r="K4618" s="3">
        <v>22.67</v>
      </c>
      <c r="L4618" s="3">
        <v>538.43076782627702</v>
      </c>
    </row>
    <row r="4619" spans="1:12" ht="15" customHeight="1" x14ac:dyDescent="0.2">
      <c r="A4619" s="2">
        <v>39349</v>
      </c>
      <c r="B4619" s="3">
        <v>23.51</v>
      </c>
      <c r="C4619" s="1">
        <v>1117102</v>
      </c>
      <c r="D4619" s="3">
        <v>-0.80999999999999805</v>
      </c>
      <c r="E4619" s="3">
        <v>-3.33059210526315</v>
      </c>
      <c r="F4619" s="3">
        <v>-3.33059210526315</v>
      </c>
      <c r="G4619" s="3">
        <v>23.51</v>
      </c>
      <c r="H4619" s="3">
        <v>555.15091015258702</v>
      </c>
      <c r="I4619" s="3">
        <v>24.2</v>
      </c>
      <c r="J4619" s="3">
        <v>24.32</v>
      </c>
      <c r="K4619" s="3">
        <v>23.51</v>
      </c>
      <c r="L4619" s="3">
        <v>555.15091015258702</v>
      </c>
    </row>
    <row r="4620" spans="1:12" ht="15" customHeight="1" x14ac:dyDescent="0.2">
      <c r="A4620" s="2">
        <v>39346</v>
      </c>
      <c r="B4620" s="3">
        <v>24.32</v>
      </c>
      <c r="C4620" s="1">
        <v>866378</v>
      </c>
      <c r="D4620" s="3">
        <v>0.149999999999998</v>
      </c>
      <c r="E4620" s="3">
        <v>0.62060405461314905</v>
      </c>
      <c r="F4620" s="3">
        <v>0.62060405461314905</v>
      </c>
      <c r="G4620" s="3">
        <v>24.32</v>
      </c>
      <c r="H4620" s="3">
        <v>577.72310229310597</v>
      </c>
      <c r="I4620" s="3">
        <v>24.28</v>
      </c>
      <c r="J4620" s="3">
        <v>24.41</v>
      </c>
      <c r="K4620" s="3">
        <v>24.17</v>
      </c>
      <c r="L4620" s="3">
        <v>577.72310229310597</v>
      </c>
    </row>
    <row r="4621" spans="1:12" ht="15" customHeight="1" x14ac:dyDescent="0.2">
      <c r="A4621" s="2">
        <v>39345</v>
      </c>
      <c r="B4621" s="3">
        <v>24.17</v>
      </c>
      <c r="C4621" s="1">
        <v>699257</v>
      </c>
      <c r="D4621" s="3">
        <v>-0.31999999999999601</v>
      </c>
      <c r="E4621" s="3">
        <v>-1.3066557778685</v>
      </c>
      <c r="F4621" s="3">
        <v>-1.3066557778685</v>
      </c>
      <c r="G4621" s="3">
        <v>24.17</v>
      </c>
      <c r="H4621" s="3">
        <v>573.54306671152801</v>
      </c>
      <c r="I4621" s="3">
        <v>24.42</v>
      </c>
      <c r="J4621" s="3">
        <v>24.43</v>
      </c>
      <c r="K4621" s="3">
        <v>24.1</v>
      </c>
      <c r="L4621" s="3">
        <v>573.54306671152801</v>
      </c>
    </row>
    <row r="4622" spans="1:12" ht="15" customHeight="1" x14ac:dyDescent="0.2">
      <c r="A4622" s="2">
        <v>39344</v>
      </c>
      <c r="B4622" s="3">
        <v>24.49</v>
      </c>
      <c r="C4622" s="1">
        <v>1097085</v>
      </c>
      <c r="D4622" s="3">
        <v>-0.29000000000000198</v>
      </c>
      <c r="E4622" s="3">
        <v>-1.1702986279257499</v>
      </c>
      <c r="F4622" s="3">
        <v>-1.1702986279257499</v>
      </c>
      <c r="G4622" s="3">
        <v>24.49</v>
      </c>
      <c r="H4622" s="3">
        <v>582.46047595222694</v>
      </c>
      <c r="I4622" s="3">
        <v>24.91</v>
      </c>
      <c r="J4622" s="3">
        <v>24.94</v>
      </c>
      <c r="K4622" s="3">
        <v>24.43</v>
      </c>
      <c r="L4622" s="3">
        <v>582.46047595222694</v>
      </c>
    </row>
    <row r="4623" spans="1:12" ht="15" customHeight="1" x14ac:dyDescent="0.2">
      <c r="A4623" s="2">
        <v>39343</v>
      </c>
      <c r="B4623" s="3">
        <v>24.78</v>
      </c>
      <c r="C4623" s="1">
        <v>1090998</v>
      </c>
      <c r="D4623" s="3">
        <v>0.90000000000000202</v>
      </c>
      <c r="E4623" s="3">
        <v>3.7688442211055202</v>
      </c>
      <c r="F4623" s="3">
        <v>3.7688442211055202</v>
      </c>
      <c r="G4623" s="3">
        <v>24.78</v>
      </c>
      <c r="H4623" s="3">
        <v>590.54187807661003</v>
      </c>
      <c r="I4623" s="3">
        <v>23.97</v>
      </c>
      <c r="J4623" s="3">
        <v>24.92</v>
      </c>
      <c r="K4623" s="3">
        <v>23.92</v>
      </c>
      <c r="L4623" s="3">
        <v>590.54187807661003</v>
      </c>
    </row>
    <row r="4624" spans="1:12" ht="15" customHeight="1" x14ac:dyDescent="0.2">
      <c r="A4624" s="2">
        <v>39342</v>
      </c>
      <c r="B4624" s="3">
        <v>23.88</v>
      </c>
      <c r="C4624" s="1">
        <v>600128</v>
      </c>
      <c r="D4624" s="3">
        <v>-0.380000000000002</v>
      </c>
      <c r="E4624" s="3">
        <v>-1.56636438582029</v>
      </c>
      <c r="F4624" s="3">
        <v>-1.56636438582029</v>
      </c>
      <c r="G4624" s="3">
        <v>23.88</v>
      </c>
      <c r="H4624" s="3">
        <v>565.46166458714504</v>
      </c>
      <c r="I4624" s="3">
        <v>24.19</v>
      </c>
      <c r="J4624" s="3">
        <v>24.27</v>
      </c>
      <c r="K4624" s="3">
        <v>23.88</v>
      </c>
      <c r="L4624" s="3">
        <v>565.46166458714504</v>
      </c>
    </row>
    <row r="4625" spans="1:12" ht="15" customHeight="1" x14ac:dyDescent="0.2">
      <c r="A4625" s="2">
        <v>39339</v>
      </c>
      <c r="B4625" s="3">
        <v>24.26</v>
      </c>
      <c r="C4625" s="1">
        <v>559392</v>
      </c>
      <c r="D4625" s="3">
        <v>0.380000000000002</v>
      </c>
      <c r="E4625" s="3">
        <v>1.59128978224456</v>
      </c>
      <c r="F4625" s="3">
        <v>1.59128978224456</v>
      </c>
      <c r="G4625" s="3">
        <v>24.26</v>
      </c>
      <c r="H4625" s="3">
        <v>576.05108806047497</v>
      </c>
      <c r="I4625" s="3">
        <v>23.84</v>
      </c>
      <c r="J4625" s="3">
        <v>24.31</v>
      </c>
      <c r="K4625" s="3">
        <v>23.7</v>
      </c>
      <c r="L4625" s="3">
        <v>576.05108806047497</v>
      </c>
    </row>
    <row r="4626" spans="1:12" ht="15" customHeight="1" x14ac:dyDescent="0.2">
      <c r="A4626" s="2">
        <v>39338</v>
      </c>
      <c r="B4626" s="3">
        <v>23.88</v>
      </c>
      <c r="C4626" s="1">
        <v>634238</v>
      </c>
      <c r="D4626" s="3">
        <v>0.25</v>
      </c>
      <c r="E4626" s="3">
        <v>1.0579771476936</v>
      </c>
      <c r="F4626" s="3">
        <v>1.0579771476936</v>
      </c>
      <c r="G4626" s="3">
        <v>23.88</v>
      </c>
      <c r="H4626" s="3">
        <v>565.46166458714504</v>
      </c>
      <c r="I4626" s="3">
        <v>23.72</v>
      </c>
      <c r="J4626" s="3">
        <v>24.07</v>
      </c>
      <c r="K4626" s="3">
        <v>23.6</v>
      </c>
      <c r="L4626" s="3">
        <v>565.46166458714504</v>
      </c>
    </row>
    <row r="4627" spans="1:12" ht="15" customHeight="1" x14ac:dyDescent="0.2">
      <c r="A4627" s="2">
        <v>39337</v>
      </c>
      <c r="B4627" s="3">
        <v>23.63</v>
      </c>
      <c r="C4627" s="1">
        <v>708486</v>
      </c>
      <c r="D4627" s="3">
        <v>-0.310000000000002</v>
      </c>
      <c r="E4627" s="3">
        <v>-1.2949039264828801</v>
      </c>
      <c r="F4627" s="3">
        <v>-1.2949039264828801</v>
      </c>
      <c r="G4627" s="3">
        <v>23.63</v>
      </c>
      <c r="H4627" s="3">
        <v>558.49493861784902</v>
      </c>
      <c r="I4627" s="3">
        <v>23.9</v>
      </c>
      <c r="J4627" s="3">
        <v>24</v>
      </c>
      <c r="K4627" s="3">
        <v>23.58</v>
      </c>
      <c r="L4627" s="3">
        <v>558.49493861784902</v>
      </c>
    </row>
    <row r="4628" spans="1:12" ht="15" customHeight="1" x14ac:dyDescent="0.2">
      <c r="A4628" s="2">
        <v>39336</v>
      </c>
      <c r="B4628" s="3">
        <v>23.94</v>
      </c>
      <c r="C4628" s="1">
        <v>806639</v>
      </c>
      <c r="D4628" s="3">
        <v>0.130000000000002</v>
      </c>
      <c r="E4628" s="3">
        <v>0.54598908021841197</v>
      </c>
      <c r="F4628" s="3">
        <v>0.54598908021841197</v>
      </c>
      <c r="G4628" s="3">
        <v>23.94</v>
      </c>
      <c r="H4628" s="3">
        <v>567.13367881977604</v>
      </c>
      <c r="I4628" s="3">
        <v>23.87</v>
      </c>
      <c r="J4628" s="3">
        <v>24.27</v>
      </c>
      <c r="K4628" s="3">
        <v>23.86</v>
      </c>
      <c r="L4628" s="3">
        <v>567.13367881977604</v>
      </c>
    </row>
    <row r="4629" spans="1:12" ht="15" customHeight="1" x14ac:dyDescent="0.2">
      <c r="A4629" s="2">
        <v>39335</v>
      </c>
      <c r="B4629" s="3">
        <v>23.81</v>
      </c>
      <c r="C4629" s="1">
        <v>1180016</v>
      </c>
      <c r="D4629" s="3">
        <v>-0.39</v>
      </c>
      <c r="E4629" s="3">
        <v>-1.61157024793389</v>
      </c>
      <c r="F4629" s="3">
        <v>-1.61157024793389</v>
      </c>
      <c r="G4629" s="3">
        <v>23.81</v>
      </c>
      <c r="H4629" s="3">
        <v>563.51098131574201</v>
      </c>
      <c r="I4629" s="3">
        <v>24.26</v>
      </c>
      <c r="J4629" s="3">
        <v>24.39</v>
      </c>
      <c r="K4629" s="3">
        <v>23.47</v>
      </c>
      <c r="L4629" s="3">
        <v>563.51098131574201</v>
      </c>
    </row>
    <row r="4630" spans="1:12" ht="15" customHeight="1" x14ac:dyDescent="0.2">
      <c r="A4630" s="2">
        <v>39332</v>
      </c>
      <c r="B4630" s="3">
        <v>24.2</v>
      </c>
      <c r="C4630" s="1">
        <v>875811</v>
      </c>
      <c r="D4630" s="3">
        <v>-0.78999999999999904</v>
      </c>
      <c r="E4630" s="3">
        <v>-3.1612645058023099</v>
      </c>
      <c r="F4630" s="3">
        <v>-3.1612645058023099</v>
      </c>
      <c r="G4630" s="3">
        <v>24.2</v>
      </c>
      <c r="H4630" s="3">
        <v>574.37907382784397</v>
      </c>
      <c r="I4630" s="3">
        <v>24.72</v>
      </c>
      <c r="J4630" s="3">
        <v>24.931999999999999</v>
      </c>
      <c r="K4630" s="3">
        <v>24.07</v>
      </c>
      <c r="L4630" s="3">
        <v>574.37907382784397</v>
      </c>
    </row>
    <row r="4631" spans="1:12" ht="15" customHeight="1" x14ac:dyDescent="0.2">
      <c r="A4631" s="2">
        <v>39331</v>
      </c>
      <c r="B4631" s="3">
        <v>24.99</v>
      </c>
      <c r="C4631" s="1">
        <v>860040</v>
      </c>
      <c r="D4631" s="3">
        <v>0.219999999999998</v>
      </c>
      <c r="E4631" s="3">
        <v>0.88817117480823804</v>
      </c>
      <c r="F4631" s="3">
        <v>0.88817117480823804</v>
      </c>
      <c r="G4631" s="3">
        <v>24.99</v>
      </c>
      <c r="H4631" s="3">
        <v>596.39392789081899</v>
      </c>
      <c r="I4631" s="3">
        <v>24.88</v>
      </c>
      <c r="J4631" s="3">
        <v>25.01</v>
      </c>
      <c r="K4631" s="3">
        <v>24.59</v>
      </c>
      <c r="L4631" s="3">
        <v>596.39392789081899</v>
      </c>
    </row>
    <row r="4632" spans="1:12" ht="15" customHeight="1" x14ac:dyDescent="0.2">
      <c r="A4632" s="2">
        <v>39330</v>
      </c>
      <c r="B4632" s="3">
        <v>24.77</v>
      </c>
      <c r="C4632" s="1">
        <v>748850</v>
      </c>
      <c r="D4632" s="3">
        <v>-0.33000000000000101</v>
      </c>
      <c r="E4632" s="3">
        <v>-1.3147410358565801</v>
      </c>
      <c r="F4632" s="3">
        <v>-1.3147410358565801</v>
      </c>
      <c r="G4632" s="3">
        <v>24.77</v>
      </c>
      <c r="H4632" s="3">
        <v>590.26320903783801</v>
      </c>
      <c r="I4632" s="3">
        <v>25.02</v>
      </c>
      <c r="J4632" s="3">
        <v>25.09</v>
      </c>
      <c r="K4632" s="3">
        <v>24.73</v>
      </c>
      <c r="L4632" s="3">
        <v>590.26320903783801</v>
      </c>
    </row>
    <row r="4633" spans="1:12" ht="15" customHeight="1" x14ac:dyDescent="0.2">
      <c r="A4633" s="2">
        <v>39329</v>
      </c>
      <c r="B4633" s="3">
        <v>25.1</v>
      </c>
      <c r="C4633" s="1">
        <v>880536</v>
      </c>
      <c r="D4633" s="3">
        <v>0.17000000000000101</v>
      </c>
      <c r="E4633" s="3">
        <v>0.68190934616927301</v>
      </c>
      <c r="F4633" s="3">
        <v>0.68190934616927301</v>
      </c>
      <c r="G4633" s="3">
        <v>25.1</v>
      </c>
      <c r="H4633" s="3">
        <v>599.45928731730896</v>
      </c>
      <c r="I4633" s="3">
        <v>24.81</v>
      </c>
      <c r="J4633" s="3">
        <v>25.15</v>
      </c>
      <c r="K4633" s="3">
        <v>24.8</v>
      </c>
      <c r="L4633" s="3">
        <v>599.45928731730896</v>
      </c>
    </row>
    <row r="4634" spans="1:12" ht="15" customHeight="1" x14ac:dyDescent="0.2">
      <c r="A4634" s="2">
        <v>39325</v>
      </c>
      <c r="B4634" s="3">
        <v>24.93</v>
      </c>
      <c r="C4634" s="1">
        <v>917369</v>
      </c>
      <c r="D4634" s="3">
        <v>-3.0000000000001099E-2</v>
      </c>
      <c r="E4634" s="3">
        <v>-0.120192307692312</v>
      </c>
      <c r="F4634" s="3">
        <v>-0.120192307692312</v>
      </c>
      <c r="G4634" s="3">
        <v>24.93</v>
      </c>
      <c r="H4634" s="3">
        <v>594.72191365818799</v>
      </c>
      <c r="I4634" s="3">
        <v>25.2</v>
      </c>
      <c r="J4634" s="3">
        <v>25.25</v>
      </c>
      <c r="K4634" s="3">
        <v>24.77</v>
      </c>
      <c r="L4634" s="3">
        <v>594.72191365818799</v>
      </c>
    </row>
    <row r="4635" spans="1:12" ht="15" customHeight="1" x14ac:dyDescent="0.2">
      <c r="A4635" s="2">
        <v>39324</v>
      </c>
      <c r="B4635" s="3">
        <v>24.96</v>
      </c>
      <c r="C4635" s="1">
        <v>1087572</v>
      </c>
      <c r="D4635" s="3">
        <v>3.0000000000001099E-2</v>
      </c>
      <c r="E4635" s="3">
        <v>0.120336943441645</v>
      </c>
      <c r="F4635" s="3">
        <v>0.120336943441645</v>
      </c>
      <c r="G4635" s="3">
        <v>24.96</v>
      </c>
      <c r="H4635" s="3">
        <v>595.55792077450303</v>
      </c>
      <c r="I4635" s="3">
        <v>24.75</v>
      </c>
      <c r="J4635" s="3">
        <v>25.23</v>
      </c>
      <c r="K4635" s="3">
        <v>24.75</v>
      </c>
      <c r="L4635" s="3">
        <v>595.55792077450303</v>
      </c>
    </row>
    <row r="4636" spans="1:12" ht="15" customHeight="1" x14ac:dyDescent="0.2">
      <c r="A4636" s="2">
        <v>39323</v>
      </c>
      <c r="B4636" s="3">
        <v>24.93</v>
      </c>
      <c r="C4636" s="1">
        <v>1056269</v>
      </c>
      <c r="D4636" s="3">
        <v>0.17999999999999899</v>
      </c>
      <c r="E4636" s="3">
        <v>0.72727272727273196</v>
      </c>
      <c r="F4636" s="3">
        <v>0.72727272727273196</v>
      </c>
      <c r="G4636" s="3">
        <v>24.93</v>
      </c>
      <c r="H4636" s="3">
        <v>594.72191365818799</v>
      </c>
      <c r="I4636" s="3">
        <v>24.85</v>
      </c>
      <c r="J4636" s="3">
        <v>25</v>
      </c>
      <c r="K4636" s="3">
        <v>24.75</v>
      </c>
      <c r="L4636" s="3">
        <v>594.72191365818799</v>
      </c>
    </row>
    <row r="4637" spans="1:12" ht="15" customHeight="1" x14ac:dyDescent="0.2">
      <c r="A4637" s="2">
        <v>39322</v>
      </c>
      <c r="B4637" s="3">
        <v>24.75</v>
      </c>
      <c r="C4637" s="1">
        <v>1278271</v>
      </c>
      <c r="D4637" s="3">
        <v>-0.26999999999999902</v>
      </c>
      <c r="E4637" s="3">
        <v>-1.07913669064747</v>
      </c>
      <c r="F4637" s="3">
        <v>-1.07913669064747</v>
      </c>
      <c r="G4637" s="3">
        <v>24.75</v>
      </c>
      <c r="H4637" s="3">
        <v>589.70587096029499</v>
      </c>
      <c r="I4637" s="3">
        <v>25.03</v>
      </c>
      <c r="J4637" s="3">
        <v>25.07</v>
      </c>
      <c r="K4637" s="3">
        <v>24.73</v>
      </c>
      <c r="L4637" s="3">
        <v>589.70587096029499</v>
      </c>
    </row>
    <row r="4638" spans="1:12" ht="15" customHeight="1" x14ac:dyDescent="0.2">
      <c r="A4638" s="2">
        <v>39321</v>
      </c>
      <c r="B4638" s="3">
        <v>25.02</v>
      </c>
      <c r="C4638" s="1">
        <v>693689</v>
      </c>
      <c r="D4638" s="3">
        <v>-0.33000000000000101</v>
      </c>
      <c r="E4638" s="3">
        <v>-1.3017751479289901</v>
      </c>
      <c r="F4638" s="3">
        <v>-1.3017751479289901</v>
      </c>
      <c r="G4638" s="3">
        <v>25.02</v>
      </c>
      <c r="H4638" s="3">
        <v>597.22993500713403</v>
      </c>
      <c r="I4638" s="3">
        <v>25.36</v>
      </c>
      <c r="J4638" s="3">
        <v>25.36</v>
      </c>
      <c r="K4638" s="3">
        <v>25</v>
      </c>
      <c r="L4638" s="3">
        <v>597.22993500713403</v>
      </c>
    </row>
    <row r="4639" spans="1:12" ht="15" customHeight="1" x14ac:dyDescent="0.2">
      <c r="A4639" s="2">
        <v>39318</v>
      </c>
      <c r="B4639" s="3">
        <v>25.35</v>
      </c>
      <c r="C4639" s="1">
        <v>877093</v>
      </c>
      <c r="D4639" s="3">
        <v>4.00000000000027E-2</v>
      </c>
      <c r="E4639" s="3">
        <v>0.15804030027657401</v>
      </c>
      <c r="F4639" s="3">
        <v>0.15804030027657401</v>
      </c>
      <c r="G4639" s="3">
        <v>25.35</v>
      </c>
      <c r="H4639" s="3">
        <v>606.42601328660498</v>
      </c>
      <c r="I4639" s="3">
        <v>25.22</v>
      </c>
      <c r="J4639" s="3">
        <v>25.57</v>
      </c>
      <c r="K4639" s="3">
        <v>25.07</v>
      </c>
      <c r="L4639" s="3">
        <v>606.42601328660498</v>
      </c>
    </row>
    <row r="4640" spans="1:12" ht="15" customHeight="1" x14ac:dyDescent="0.2">
      <c r="A4640" s="2">
        <v>39317</v>
      </c>
      <c r="B4640" s="3">
        <v>25.31</v>
      </c>
      <c r="C4640" s="1">
        <v>1125049</v>
      </c>
      <c r="D4640" s="3">
        <v>-0.69000000000000095</v>
      </c>
      <c r="E4640" s="3">
        <v>-2.65384615384616</v>
      </c>
      <c r="F4640" s="3">
        <v>-2.65384615384616</v>
      </c>
      <c r="G4640" s="3">
        <v>25.31</v>
      </c>
      <c r="H4640" s="3">
        <v>605.31133713151701</v>
      </c>
      <c r="I4640" s="3">
        <v>26.03</v>
      </c>
      <c r="J4640" s="3">
        <v>26.18</v>
      </c>
      <c r="K4640" s="3">
        <v>25.1</v>
      </c>
      <c r="L4640" s="3">
        <v>605.31133713151701</v>
      </c>
    </row>
    <row r="4641" spans="1:12" ht="15" customHeight="1" x14ac:dyDescent="0.2">
      <c r="A4641" s="2">
        <v>39316</v>
      </c>
      <c r="B4641" s="3">
        <v>26</v>
      </c>
      <c r="C4641" s="1">
        <v>729568</v>
      </c>
      <c r="D4641" s="3">
        <v>-0.12999999999999901</v>
      </c>
      <c r="E4641" s="3">
        <v>-0.49751243781094301</v>
      </c>
      <c r="F4641" s="3">
        <v>-0.49751243781094301</v>
      </c>
      <c r="G4641" s="3">
        <v>26</v>
      </c>
      <c r="H4641" s="3">
        <v>624.53950080677396</v>
      </c>
      <c r="I4641" s="3">
        <v>26.32</v>
      </c>
      <c r="J4641" s="3">
        <v>26.44</v>
      </c>
      <c r="K4641" s="3">
        <v>25.67</v>
      </c>
      <c r="L4641" s="3">
        <v>624.53950080677396</v>
      </c>
    </row>
    <row r="4642" spans="1:12" ht="15" customHeight="1" x14ac:dyDescent="0.2">
      <c r="A4642" s="2">
        <v>39315</v>
      </c>
      <c r="B4642" s="3">
        <v>26.13</v>
      </c>
      <c r="C4642" s="1">
        <v>655361</v>
      </c>
      <c r="D4642" s="3">
        <v>5.99999999999987E-2</v>
      </c>
      <c r="E4642" s="3">
        <v>0.230149597238193</v>
      </c>
      <c r="F4642" s="3">
        <v>0.230149597238193</v>
      </c>
      <c r="G4642" s="3">
        <v>26.13</v>
      </c>
      <c r="H4642" s="3">
        <v>628.16219831080798</v>
      </c>
      <c r="I4642" s="3">
        <v>25.93</v>
      </c>
      <c r="J4642" s="3">
        <v>26.27</v>
      </c>
      <c r="K4642" s="3">
        <v>25.7</v>
      </c>
      <c r="L4642" s="3">
        <v>628.16219831080798</v>
      </c>
    </row>
    <row r="4643" spans="1:12" ht="15" customHeight="1" x14ac:dyDescent="0.2">
      <c r="A4643" s="2">
        <v>39314</v>
      </c>
      <c r="B4643" s="3">
        <v>26.07</v>
      </c>
      <c r="C4643" s="1">
        <v>936068</v>
      </c>
      <c r="D4643" s="3">
        <v>3.0000000000001099E-2</v>
      </c>
      <c r="E4643" s="3">
        <v>0.115207373271886</v>
      </c>
      <c r="F4643" s="3">
        <v>0.115207373271886</v>
      </c>
      <c r="G4643" s="3">
        <v>26.07</v>
      </c>
      <c r="H4643" s="3">
        <v>626.49018407817698</v>
      </c>
      <c r="I4643" s="3">
        <v>26.33</v>
      </c>
      <c r="J4643" s="3">
        <v>26.69</v>
      </c>
      <c r="K4643" s="3">
        <v>25.97</v>
      </c>
      <c r="L4643" s="3">
        <v>626.49018407817698</v>
      </c>
    </row>
    <row r="4644" spans="1:12" ht="15" customHeight="1" x14ac:dyDescent="0.2">
      <c r="A4644" s="2">
        <v>39311</v>
      </c>
      <c r="B4644" s="3">
        <v>26.04</v>
      </c>
      <c r="C4644" s="1">
        <v>1212037</v>
      </c>
      <c r="D4644" s="3">
        <v>0.17999999999999899</v>
      </c>
      <c r="E4644" s="3">
        <v>0.69605568445476595</v>
      </c>
      <c r="F4644" s="3">
        <v>0.69605568445476595</v>
      </c>
      <c r="G4644" s="3">
        <v>26.04</v>
      </c>
      <c r="H4644" s="3">
        <v>625.65417696186205</v>
      </c>
      <c r="I4644" s="3">
        <v>26.47</v>
      </c>
      <c r="J4644" s="3">
        <v>26.92</v>
      </c>
      <c r="K4644" s="3">
        <v>25.72</v>
      </c>
      <c r="L4644" s="3">
        <v>625.65417696186205</v>
      </c>
    </row>
    <row r="4645" spans="1:12" ht="15" customHeight="1" x14ac:dyDescent="0.2">
      <c r="A4645" s="2">
        <v>39310</v>
      </c>
      <c r="B4645" s="3">
        <v>25.86</v>
      </c>
      <c r="C4645" s="1">
        <v>1633182</v>
      </c>
      <c r="D4645" s="3">
        <v>0.68999999999999695</v>
      </c>
      <c r="E4645" s="3">
        <v>2.7413587604290601</v>
      </c>
      <c r="F4645" s="3">
        <v>2.7413587604290601</v>
      </c>
      <c r="G4645" s="3">
        <v>25.86</v>
      </c>
      <c r="H4645" s="3">
        <v>620.63813426396905</v>
      </c>
      <c r="I4645" s="3">
        <v>25.02</v>
      </c>
      <c r="J4645" s="3">
        <v>26</v>
      </c>
      <c r="K4645" s="3">
        <v>24.93</v>
      </c>
      <c r="L4645" s="3">
        <v>620.63813426396905</v>
      </c>
    </row>
    <row r="4646" spans="1:12" ht="15" customHeight="1" x14ac:dyDescent="0.2">
      <c r="A4646" s="2">
        <v>39309</v>
      </c>
      <c r="B4646" s="3">
        <v>25.17</v>
      </c>
      <c r="C4646" s="1">
        <v>818205</v>
      </c>
      <c r="D4646" s="3">
        <v>-0.25</v>
      </c>
      <c r="E4646" s="3">
        <v>-0.98347757671125502</v>
      </c>
      <c r="F4646" s="3">
        <v>-0.98347757671125502</v>
      </c>
      <c r="G4646" s="3">
        <v>25.17</v>
      </c>
      <c r="H4646" s="3">
        <v>601.40997058871199</v>
      </c>
      <c r="I4646" s="3">
        <v>25.27</v>
      </c>
      <c r="J4646" s="3">
        <v>25.95</v>
      </c>
      <c r="K4646" s="3">
        <v>25.14</v>
      </c>
      <c r="L4646" s="3">
        <v>601.40997058871199</v>
      </c>
    </row>
    <row r="4647" spans="1:12" ht="15" customHeight="1" x14ac:dyDescent="0.2">
      <c r="A4647" s="2">
        <v>39308</v>
      </c>
      <c r="B4647" s="3">
        <v>25.42</v>
      </c>
      <c r="C4647" s="1">
        <v>1420940</v>
      </c>
      <c r="D4647" s="3">
        <v>-0.51999999999999902</v>
      </c>
      <c r="E4647" s="3">
        <v>-2.0046260601387802</v>
      </c>
      <c r="F4647" s="3">
        <v>-2.0046260601387802</v>
      </c>
      <c r="G4647" s="3">
        <v>25.42</v>
      </c>
      <c r="H4647" s="3">
        <v>608.37669655800801</v>
      </c>
      <c r="I4647" s="3">
        <v>25.86</v>
      </c>
      <c r="J4647" s="3">
        <v>25.99</v>
      </c>
      <c r="K4647" s="3">
        <v>25.14</v>
      </c>
      <c r="L4647" s="3">
        <v>608.37669655800801</v>
      </c>
    </row>
    <row r="4648" spans="1:12" ht="15" customHeight="1" x14ac:dyDescent="0.2">
      <c r="A4648" s="2">
        <v>39307</v>
      </c>
      <c r="B4648" s="3">
        <v>25.94</v>
      </c>
      <c r="C4648" s="1">
        <v>1876756</v>
      </c>
      <c r="D4648" s="3">
        <v>-0.37999999999999901</v>
      </c>
      <c r="E4648" s="3">
        <v>-1.4437689969604801</v>
      </c>
      <c r="F4648" s="3">
        <v>-1.4437689969604801</v>
      </c>
      <c r="G4648" s="3">
        <v>25.94</v>
      </c>
      <c r="H4648" s="3">
        <v>622.86748657414296</v>
      </c>
      <c r="I4648" s="3">
        <v>26.51</v>
      </c>
      <c r="J4648" s="3">
        <v>26.77</v>
      </c>
      <c r="K4648" s="3">
        <v>25.72</v>
      </c>
      <c r="L4648" s="3">
        <v>622.86748657414296</v>
      </c>
    </row>
    <row r="4649" spans="1:12" ht="15" customHeight="1" x14ac:dyDescent="0.2">
      <c r="A4649" s="2">
        <v>39304</v>
      </c>
      <c r="B4649" s="3">
        <v>26.32</v>
      </c>
      <c r="C4649" s="1">
        <v>2569319</v>
      </c>
      <c r="D4649" s="3">
        <v>-1.6</v>
      </c>
      <c r="E4649" s="3">
        <v>-5.7306590257879604</v>
      </c>
      <c r="F4649" s="3">
        <v>-5.7306590257879604</v>
      </c>
      <c r="G4649" s="3">
        <v>26.32</v>
      </c>
      <c r="H4649" s="3">
        <v>633.456910047473</v>
      </c>
      <c r="I4649" s="3">
        <v>27.37</v>
      </c>
      <c r="J4649" s="3">
        <v>28</v>
      </c>
      <c r="K4649" s="3">
        <v>26.11</v>
      </c>
      <c r="L4649" s="3">
        <v>633.456910047473</v>
      </c>
    </row>
    <row r="4650" spans="1:12" ht="15" customHeight="1" x14ac:dyDescent="0.2">
      <c r="A4650" s="2">
        <v>39303</v>
      </c>
      <c r="B4650" s="3">
        <v>27.92</v>
      </c>
      <c r="C4650" s="1">
        <v>3077071</v>
      </c>
      <c r="D4650" s="3">
        <v>0.40000000000000202</v>
      </c>
      <c r="E4650" s="3">
        <v>1.4534883720930201</v>
      </c>
      <c r="F4650" s="3">
        <v>1.4534883720930201</v>
      </c>
      <c r="G4650" s="3">
        <v>27.92</v>
      </c>
      <c r="H4650" s="3">
        <v>678.04395625096697</v>
      </c>
      <c r="I4650" s="3">
        <v>26.91</v>
      </c>
      <c r="J4650" s="3">
        <v>28.24</v>
      </c>
      <c r="K4650" s="3">
        <v>26.91</v>
      </c>
      <c r="L4650" s="3">
        <v>678.04395625096697</v>
      </c>
    </row>
    <row r="4651" spans="1:12" ht="15" customHeight="1" x14ac:dyDescent="0.2">
      <c r="A4651" s="2">
        <v>39302</v>
      </c>
      <c r="B4651" s="3">
        <v>27.52</v>
      </c>
      <c r="C4651" s="1">
        <v>2800622</v>
      </c>
      <c r="D4651" s="3">
        <v>0.82</v>
      </c>
      <c r="E4651" s="3">
        <v>3.0711610486891399</v>
      </c>
      <c r="F4651" s="3">
        <v>3.0711610486891399</v>
      </c>
      <c r="G4651" s="3">
        <v>27.52</v>
      </c>
      <c r="H4651" s="3">
        <v>666.897194700093</v>
      </c>
      <c r="I4651" s="3">
        <v>26.58</v>
      </c>
      <c r="J4651" s="3">
        <v>28.12</v>
      </c>
      <c r="K4651" s="3">
        <v>26.17</v>
      </c>
      <c r="L4651" s="3">
        <v>666.897194700093</v>
      </c>
    </row>
    <row r="4652" spans="1:12" ht="15" customHeight="1" x14ac:dyDescent="0.2">
      <c r="A4652" s="2">
        <v>39301</v>
      </c>
      <c r="B4652" s="3">
        <v>26.7</v>
      </c>
      <c r="C4652" s="1">
        <v>2047331</v>
      </c>
      <c r="D4652" s="3">
        <v>1.1200000000000001</v>
      </c>
      <c r="E4652" s="3">
        <v>4.3784206411258797</v>
      </c>
      <c r="F4652" s="3">
        <v>4.3784206411258797</v>
      </c>
      <c r="G4652" s="3">
        <v>26.7</v>
      </c>
      <c r="H4652" s="3">
        <v>644.04633352080305</v>
      </c>
      <c r="I4652" s="3">
        <v>25.61</v>
      </c>
      <c r="J4652" s="3">
        <v>26.73</v>
      </c>
      <c r="K4652" s="3">
        <v>25.54</v>
      </c>
      <c r="L4652" s="3">
        <v>644.04633352080305</v>
      </c>
    </row>
    <row r="4653" spans="1:12" ht="15" customHeight="1" x14ac:dyDescent="0.2">
      <c r="A4653" s="2">
        <v>39300</v>
      </c>
      <c r="B4653" s="3">
        <v>25.58</v>
      </c>
      <c r="C4653" s="1">
        <v>2093190</v>
      </c>
      <c r="D4653" s="3">
        <v>0.619999999999997</v>
      </c>
      <c r="E4653" s="3">
        <v>2.4839743589743302</v>
      </c>
      <c r="F4653" s="3">
        <v>2.4839743589743302</v>
      </c>
      <c r="G4653" s="3">
        <v>25.58</v>
      </c>
      <c r="H4653" s="3">
        <v>612.83540117835696</v>
      </c>
      <c r="I4653" s="3">
        <v>25.15</v>
      </c>
      <c r="J4653" s="3">
        <v>25.73</v>
      </c>
      <c r="K4653" s="3">
        <v>24.86</v>
      </c>
      <c r="L4653" s="3">
        <v>612.83540117835696</v>
      </c>
    </row>
    <row r="4654" spans="1:12" ht="15" customHeight="1" x14ac:dyDescent="0.2">
      <c r="A4654" s="2">
        <v>39297</v>
      </c>
      <c r="B4654" s="3">
        <v>24.96</v>
      </c>
      <c r="C4654" s="1">
        <v>1940747</v>
      </c>
      <c r="D4654" s="3">
        <v>1.9999999999999501E-2</v>
      </c>
      <c r="E4654" s="3">
        <v>8.0192461908579205E-2</v>
      </c>
      <c r="F4654" s="3">
        <v>8.0192461908579205E-2</v>
      </c>
      <c r="G4654" s="3">
        <v>24.96</v>
      </c>
      <c r="H4654" s="3">
        <v>595.55792077450303</v>
      </c>
      <c r="I4654" s="3">
        <v>24.82</v>
      </c>
      <c r="J4654" s="3">
        <v>25.73</v>
      </c>
      <c r="K4654" s="3">
        <v>24.81</v>
      </c>
      <c r="L4654" s="3">
        <v>595.55792077450303</v>
      </c>
    </row>
    <row r="4655" spans="1:12" ht="15" customHeight="1" x14ac:dyDescent="0.2">
      <c r="A4655" s="2">
        <v>39296</v>
      </c>
      <c r="B4655" s="3">
        <v>24.94</v>
      </c>
      <c r="C4655" s="1">
        <v>854920</v>
      </c>
      <c r="D4655" s="3">
        <v>0.15000000000000199</v>
      </c>
      <c r="E4655" s="3">
        <v>0.60508269463495001</v>
      </c>
      <c r="F4655" s="3">
        <v>0.60508269463495001</v>
      </c>
      <c r="G4655" s="3">
        <v>24.94</v>
      </c>
      <c r="H4655" s="3">
        <v>595.00058269696001</v>
      </c>
      <c r="I4655" s="3">
        <v>24.8</v>
      </c>
      <c r="J4655" s="3">
        <v>25.094999999999999</v>
      </c>
      <c r="K4655" s="3">
        <v>24.67</v>
      </c>
      <c r="L4655" s="3">
        <v>595.00058269696001</v>
      </c>
    </row>
    <row r="4656" spans="1:12" ht="15" customHeight="1" x14ac:dyDescent="0.2">
      <c r="A4656" s="2">
        <v>39295</v>
      </c>
      <c r="B4656" s="3">
        <v>24.79</v>
      </c>
      <c r="C4656" s="1">
        <v>2275567</v>
      </c>
      <c r="D4656" s="3">
        <v>0.16999999999999801</v>
      </c>
      <c r="E4656" s="3">
        <v>0.69049553208773096</v>
      </c>
      <c r="F4656" s="3">
        <v>0.69049553208773096</v>
      </c>
      <c r="G4656" s="3">
        <v>24.79</v>
      </c>
      <c r="H4656" s="3">
        <v>590.82054711538206</v>
      </c>
      <c r="I4656" s="3">
        <v>24.51</v>
      </c>
      <c r="J4656" s="3">
        <v>24.82</v>
      </c>
      <c r="K4656" s="3">
        <v>24.05</v>
      </c>
      <c r="L4656" s="3">
        <v>590.82054711538206</v>
      </c>
    </row>
    <row r="4657" spans="1:12" ht="15" customHeight="1" x14ac:dyDescent="0.2">
      <c r="A4657" s="2">
        <v>39294</v>
      </c>
      <c r="B4657" s="3">
        <v>24.62</v>
      </c>
      <c r="C4657" s="1">
        <v>1503651</v>
      </c>
      <c r="D4657" s="3">
        <v>-0.16999999999999801</v>
      </c>
      <c r="E4657" s="3">
        <v>-0.68576038725291999</v>
      </c>
      <c r="F4657" s="3">
        <v>-0.68576038725291999</v>
      </c>
      <c r="G4657" s="3">
        <v>24.62</v>
      </c>
      <c r="H4657" s="3">
        <v>586.08317345626097</v>
      </c>
      <c r="I4657" s="3">
        <v>24.74</v>
      </c>
      <c r="J4657" s="3">
        <v>25.34</v>
      </c>
      <c r="K4657" s="3">
        <v>24.62</v>
      </c>
      <c r="L4657" s="3">
        <v>586.08317345626097</v>
      </c>
    </row>
    <row r="4658" spans="1:12" ht="15" customHeight="1" x14ac:dyDescent="0.2">
      <c r="A4658" s="2">
        <v>39293</v>
      </c>
      <c r="B4658" s="3">
        <v>24.79</v>
      </c>
      <c r="C4658" s="1">
        <v>1532853</v>
      </c>
      <c r="D4658" s="3">
        <v>0.41</v>
      </c>
      <c r="E4658" s="3">
        <v>1.68170631665298</v>
      </c>
      <c r="F4658" s="3">
        <v>1.68170631665298</v>
      </c>
      <c r="G4658" s="3">
        <v>24.79</v>
      </c>
      <c r="H4658" s="3">
        <v>590.82054711538206</v>
      </c>
      <c r="I4658" s="3">
        <v>24.32</v>
      </c>
      <c r="J4658" s="3">
        <v>24.91</v>
      </c>
      <c r="K4658" s="3">
        <v>24.07</v>
      </c>
      <c r="L4658" s="3">
        <v>590.82054711538206</v>
      </c>
    </row>
    <row r="4659" spans="1:12" ht="15" customHeight="1" x14ac:dyDescent="0.2">
      <c r="A4659" s="2">
        <v>39290</v>
      </c>
      <c r="B4659" s="3">
        <v>24.38</v>
      </c>
      <c r="C4659" s="1">
        <v>2079344</v>
      </c>
      <c r="D4659" s="3">
        <v>-0.19999999999999901</v>
      </c>
      <c r="E4659" s="3">
        <v>-0.81366965012204995</v>
      </c>
      <c r="F4659" s="3">
        <v>-0.81366965012204995</v>
      </c>
      <c r="G4659" s="3">
        <v>24.38</v>
      </c>
      <c r="H4659" s="3">
        <v>579.39511652573697</v>
      </c>
      <c r="I4659" s="3">
        <v>24.49</v>
      </c>
      <c r="J4659" s="3">
        <v>24.94</v>
      </c>
      <c r="K4659" s="3">
        <v>24.08</v>
      </c>
      <c r="L4659" s="3">
        <v>579.39511652573697</v>
      </c>
    </row>
    <row r="4660" spans="1:12" ht="15" customHeight="1" x14ac:dyDescent="0.2">
      <c r="A4660" s="2">
        <v>39289</v>
      </c>
      <c r="B4660" s="3">
        <v>24.58</v>
      </c>
      <c r="C4660" s="1">
        <v>2121213</v>
      </c>
      <c r="D4660" s="3">
        <v>-0.92000000000000104</v>
      </c>
      <c r="E4660" s="3">
        <v>-3.6078431372548998</v>
      </c>
      <c r="F4660" s="3">
        <v>-3.6078431372548998</v>
      </c>
      <c r="G4660" s="3">
        <v>24.58</v>
      </c>
      <c r="H4660" s="3">
        <v>584.96849730117299</v>
      </c>
      <c r="I4660" s="3">
        <v>25.23</v>
      </c>
      <c r="J4660" s="3">
        <v>25.3</v>
      </c>
      <c r="K4660" s="3">
        <v>24.5</v>
      </c>
      <c r="L4660" s="3">
        <v>584.96849730117299</v>
      </c>
    </row>
    <row r="4661" spans="1:12" ht="15" customHeight="1" x14ac:dyDescent="0.2">
      <c r="A4661" s="2">
        <v>39288</v>
      </c>
      <c r="B4661" s="3">
        <v>25.5</v>
      </c>
      <c r="C4661" s="1">
        <v>4780281</v>
      </c>
      <c r="D4661" s="3">
        <v>0.89999999999999802</v>
      </c>
      <c r="E4661" s="3">
        <v>3.6585365853658498</v>
      </c>
      <c r="F4661" s="3">
        <v>3.6585365853658498</v>
      </c>
      <c r="G4661" s="3">
        <v>25.5</v>
      </c>
      <c r="H4661" s="3">
        <v>610.60604886818203</v>
      </c>
      <c r="I4661" s="3">
        <v>25.85</v>
      </c>
      <c r="J4661" s="3">
        <v>26.69</v>
      </c>
      <c r="K4661" s="3">
        <v>25.24</v>
      </c>
      <c r="L4661" s="3">
        <v>610.60604886818203</v>
      </c>
    </row>
    <row r="4662" spans="1:12" ht="15" customHeight="1" x14ac:dyDescent="0.2">
      <c r="A4662" s="2">
        <v>39287</v>
      </c>
      <c r="B4662" s="3">
        <v>24.6</v>
      </c>
      <c r="C4662" s="1">
        <v>1437962</v>
      </c>
      <c r="D4662" s="3">
        <v>-0.41</v>
      </c>
      <c r="E4662" s="3">
        <v>-1.63934426229508</v>
      </c>
      <c r="F4662" s="3">
        <v>-1.63934426229508</v>
      </c>
      <c r="G4662" s="3">
        <v>24.6</v>
      </c>
      <c r="H4662" s="3">
        <v>585.52583537871703</v>
      </c>
      <c r="I4662" s="3">
        <v>24.8</v>
      </c>
      <c r="J4662" s="3">
        <v>25.04</v>
      </c>
      <c r="K4662" s="3">
        <v>24.49</v>
      </c>
      <c r="L4662" s="3">
        <v>585.52583537871703</v>
      </c>
    </row>
    <row r="4663" spans="1:12" ht="15" customHeight="1" x14ac:dyDescent="0.2">
      <c r="A4663" s="2">
        <v>39286</v>
      </c>
      <c r="B4663" s="3">
        <v>25.01</v>
      </c>
      <c r="C4663" s="1">
        <v>1712063</v>
      </c>
      <c r="D4663" s="3">
        <v>0.220000000000002</v>
      </c>
      <c r="E4663" s="3">
        <v>0.88745461879791099</v>
      </c>
      <c r="F4663" s="3">
        <v>0.88745461879791099</v>
      </c>
      <c r="G4663" s="3">
        <v>25.01</v>
      </c>
      <c r="H4663" s="3">
        <v>596.95126596836201</v>
      </c>
      <c r="I4663" s="3">
        <v>24.8</v>
      </c>
      <c r="J4663" s="3">
        <v>25.15</v>
      </c>
      <c r="K4663" s="3">
        <v>24.720400000000001</v>
      </c>
      <c r="L4663" s="3">
        <v>596.95126596836201</v>
      </c>
    </row>
    <row r="4664" spans="1:12" ht="15" customHeight="1" x14ac:dyDescent="0.2">
      <c r="A4664" s="2">
        <v>39283</v>
      </c>
      <c r="B4664" s="3">
        <v>24.79</v>
      </c>
      <c r="C4664" s="1">
        <v>1333950</v>
      </c>
      <c r="D4664" s="3">
        <v>-0.24000000000000199</v>
      </c>
      <c r="E4664" s="3">
        <v>-0.95884938074311998</v>
      </c>
      <c r="F4664" s="3">
        <v>-0.95884938074311998</v>
      </c>
      <c r="G4664" s="3">
        <v>24.79</v>
      </c>
      <c r="H4664" s="3">
        <v>590.82054711538206</v>
      </c>
      <c r="I4664" s="3">
        <v>24.88</v>
      </c>
      <c r="J4664" s="3">
        <v>25.11</v>
      </c>
      <c r="K4664" s="3">
        <v>24.52</v>
      </c>
      <c r="L4664" s="3">
        <v>590.82054711538206</v>
      </c>
    </row>
    <row r="4665" spans="1:12" ht="15" customHeight="1" x14ac:dyDescent="0.2">
      <c r="A4665" s="2">
        <v>39282</v>
      </c>
      <c r="B4665" s="3">
        <v>25.03</v>
      </c>
      <c r="C4665" s="1">
        <v>1050758</v>
      </c>
      <c r="D4665" s="3">
        <v>0.109999999999999</v>
      </c>
      <c r="E4665" s="3">
        <v>0.44141252006419901</v>
      </c>
      <c r="F4665" s="3">
        <v>0.44141252006419901</v>
      </c>
      <c r="G4665" s="3">
        <v>25.03</v>
      </c>
      <c r="H4665" s="3">
        <v>597.50860404590605</v>
      </c>
      <c r="I4665" s="3">
        <v>24.98</v>
      </c>
      <c r="J4665" s="3">
        <v>25.2</v>
      </c>
      <c r="K4665" s="3">
        <v>24.89</v>
      </c>
      <c r="L4665" s="3">
        <v>597.50860404590605</v>
      </c>
    </row>
    <row r="4666" spans="1:12" ht="15" customHeight="1" x14ac:dyDescent="0.2">
      <c r="A4666" s="2">
        <v>39281</v>
      </c>
      <c r="B4666" s="3">
        <v>24.92</v>
      </c>
      <c r="C4666" s="1">
        <v>1679332</v>
      </c>
      <c r="D4666" s="3">
        <v>-0.369999999999997</v>
      </c>
      <c r="E4666" s="3">
        <v>-1.4630288651640799</v>
      </c>
      <c r="F4666" s="3">
        <v>-1.4630288651640799</v>
      </c>
      <c r="G4666" s="3">
        <v>24.92</v>
      </c>
      <c r="H4666" s="3">
        <v>594.44324461941596</v>
      </c>
      <c r="I4666" s="3">
        <v>25.26</v>
      </c>
      <c r="J4666" s="3">
        <v>25.34</v>
      </c>
      <c r="K4666" s="3">
        <v>24.87</v>
      </c>
      <c r="L4666" s="3">
        <v>594.44324461941596</v>
      </c>
    </row>
    <row r="4667" spans="1:12" ht="15" customHeight="1" x14ac:dyDescent="0.2">
      <c r="A4667" s="2">
        <v>39280</v>
      </c>
      <c r="B4667" s="3">
        <v>25.29</v>
      </c>
      <c r="C4667" s="1">
        <v>1140968</v>
      </c>
      <c r="D4667" s="3">
        <v>-0.26000000000000101</v>
      </c>
      <c r="E4667" s="3">
        <v>-1.0176125244618399</v>
      </c>
      <c r="F4667" s="3">
        <v>-1.0176125244618399</v>
      </c>
      <c r="G4667" s="3">
        <v>25.29</v>
      </c>
      <c r="H4667" s="3">
        <v>604.75399905397398</v>
      </c>
      <c r="I4667" s="3">
        <v>25.59</v>
      </c>
      <c r="J4667" s="3">
        <v>25.6</v>
      </c>
      <c r="K4667" s="3">
        <v>25.26</v>
      </c>
      <c r="L4667" s="3">
        <v>604.75399905397398</v>
      </c>
    </row>
    <row r="4668" spans="1:12" ht="15" customHeight="1" x14ac:dyDescent="0.2">
      <c r="A4668" s="2">
        <v>39279</v>
      </c>
      <c r="B4668" s="3">
        <v>25.55</v>
      </c>
      <c r="C4668" s="1">
        <v>740643</v>
      </c>
      <c r="D4668" s="3">
        <v>-0.23</v>
      </c>
      <c r="E4668" s="3">
        <v>-0.89216446858029197</v>
      </c>
      <c r="F4668" s="3">
        <v>-0.89216446858029197</v>
      </c>
      <c r="G4668" s="3">
        <v>25.55</v>
      </c>
      <c r="H4668" s="3">
        <v>611.99939406204203</v>
      </c>
      <c r="I4668" s="3">
        <v>25.76</v>
      </c>
      <c r="J4668" s="3">
        <v>25.86</v>
      </c>
      <c r="K4668" s="3">
        <v>25.49</v>
      </c>
      <c r="L4668" s="3">
        <v>611.99939406204203</v>
      </c>
    </row>
    <row r="4669" spans="1:12" ht="15" customHeight="1" x14ac:dyDescent="0.2">
      <c r="A4669" s="2">
        <v>39276</v>
      </c>
      <c r="B4669" s="3">
        <v>25.78</v>
      </c>
      <c r="C4669" s="1">
        <v>935342</v>
      </c>
      <c r="D4669" s="3">
        <v>0.25</v>
      </c>
      <c r="E4669" s="3">
        <v>0.97924010967489405</v>
      </c>
      <c r="F4669" s="3">
        <v>0.97924010967489405</v>
      </c>
      <c r="G4669" s="3">
        <v>25.78</v>
      </c>
      <c r="H4669" s="3">
        <v>618.408781953794</v>
      </c>
      <c r="I4669" s="3">
        <v>25.45</v>
      </c>
      <c r="J4669" s="3">
        <v>25.88</v>
      </c>
      <c r="K4669" s="3">
        <v>25.42</v>
      </c>
      <c r="L4669" s="3">
        <v>618.408781953794</v>
      </c>
    </row>
    <row r="4670" spans="1:12" ht="15" customHeight="1" x14ac:dyDescent="0.2">
      <c r="A4670" s="2">
        <v>39275</v>
      </c>
      <c r="B4670" s="3">
        <v>25.53</v>
      </c>
      <c r="C4670" s="1">
        <v>1461875</v>
      </c>
      <c r="D4670" s="3">
        <v>6.0000000000002197E-2</v>
      </c>
      <c r="E4670" s="3">
        <v>0.23557126030624401</v>
      </c>
      <c r="F4670" s="3">
        <v>0.23557126030624401</v>
      </c>
      <c r="G4670" s="3">
        <v>25.53</v>
      </c>
      <c r="H4670" s="3">
        <v>611.44205598449798</v>
      </c>
      <c r="I4670" s="3">
        <v>25.47</v>
      </c>
      <c r="J4670" s="3">
        <v>25.83</v>
      </c>
      <c r="K4670" s="3">
        <v>25.45</v>
      </c>
      <c r="L4670" s="3">
        <v>611.44205598449798</v>
      </c>
    </row>
    <row r="4671" spans="1:12" ht="15" customHeight="1" x14ac:dyDescent="0.2">
      <c r="A4671" s="2">
        <v>39274</v>
      </c>
      <c r="B4671" s="3">
        <v>25.47</v>
      </c>
      <c r="C4671" s="1">
        <v>1083683</v>
      </c>
      <c r="D4671" s="3">
        <v>0.109999999999999</v>
      </c>
      <c r="E4671" s="3">
        <v>0.43375394321767402</v>
      </c>
      <c r="F4671" s="3">
        <v>0.43375394321767402</v>
      </c>
      <c r="G4671" s="3">
        <v>25.47</v>
      </c>
      <c r="H4671" s="3">
        <v>609.77004175186698</v>
      </c>
      <c r="I4671" s="3">
        <v>25.32</v>
      </c>
      <c r="J4671" s="3">
        <v>25.68</v>
      </c>
      <c r="K4671" s="3">
        <v>25.32</v>
      </c>
      <c r="L4671" s="3">
        <v>609.77004175186698</v>
      </c>
    </row>
    <row r="4672" spans="1:12" ht="15" customHeight="1" x14ac:dyDescent="0.2">
      <c r="A4672" s="2">
        <v>39273</v>
      </c>
      <c r="B4672" s="3">
        <v>25.36</v>
      </c>
      <c r="C4672" s="1">
        <v>2357679</v>
      </c>
      <c r="D4672" s="3"/>
      <c r="E4672" s="3"/>
      <c r="F4672" s="3"/>
      <c r="G4672" s="3">
        <v>25.36</v>
      </c>
      <c r="H4672" s="3">
        <v>606.70468232537701</v>
      </c>
      <c r="I4672" s="3">
        <v>26.25</v>
      </c>
      <c r="J4672" s="3">
        <v>26.4</v>
      </c>
      <c r="K4672" s="3">
        <v>25.36</v>
      </c>
      <c r="L4672" s="3">
        <v>606.70468232537701</v>
      </c>
    </row>
    <row r="4673" spans="1:12" ht="15" customHeight="1" x14ac:dyDescent="0.2">
      <c r="A4673" s="2">
        <v>39272</v>
      </c>
      <c r="B4673" s="3">
        <v>25.36</v>
      </c>
      <c r="C4673" s="1">
        <v>1221929</v>
      </c>
      <c r="D4673" s="3">
        <v>-0.12999999999999901</v>
      </c>
      <c r="E4673" s="3">
        <v>-0.51000392310709397</v>
      </c>
      <c r="F4673" s="3">
        <v>-0.51000392310709397</v>
      </c>
      <c r="G4673" s="3">
        <v>25.36</v>
      </c>
      <c r="H4673" s="3">
        <v>606.70468232537701</v>
      </c>
      <c r="I4673" s="3">
        <v>25.59</v>
      </c>
      <c r="J4673" s="3">
        <v>25.66</v>
      </c>
      <c r="K4673" s="3">
        <v>25.17</v>
      </c>
      <c r="L4673" s="3">
        <v>606.70468232537701</v>
      </c>
    </row>
    <row r="4674" spans="1:12" ht="15" customHeight="1" x14ac:dyDescent="0.2">
      <c r="A4674" s="2">
        <v>39269</v>
      </c>
      <c r="B4674" s="3">
        <v>25.49</v>
      </c>
      <c r="C4674" s="1">
        <v>945644</v>
      </c>
      <c r="D4674" s="3">
        <v>0.19999999999999901</v>
      </c>
      <c r="E4674" s="3">
        <v>0.79082641360221895</v>
      </c>
      <c r="F4674" s="3">
        <v>0.79082641360221895</v>
      </c>
      <c r="G4674" s="3">
        <v>25.49</v>
      </c>
      <c r="H4674" s="3">
        <v>610.32737982941103</v>
      </c>
      <c r="I4674" s="3">
        <v>25.46</v>
      </c>
      <c r="J4674" s="3">
        <v>25.59</v>
      </c>
      <c r="K4674" s="3">
        <v>25.27</v>
      </c>
      <c r="L4674" s="3">
        <v>610.32737982941103</v>
      </c>
    </row>
    <row r="4675" spans="1:12" ht="15" customHeight="1" x14ac:dyDescent="0.2">
      <c r="A4675" s="2">
        <v>39268</v>
      </c>
      <c r="B4675" s="3">
        <v>25.29</v>
      </c>
      <c r="C4675" s="1">
        <v>1825639</v>
      </c>
      <c r="D4675" s="3">
        <v>0.41</v>
      </c>
      <c r="E4675" s="3">
        <v>1.6479099678456499</v>
      </c>
      <c r="F4675" s="3">
        <v>1.6479099678456499</v>
      </c>
      <c r="G4675" s="3">
        <v>25.29</v>
      </c>
      <c r="H4675" s="3">
        <v>604.75399905397398</v>
      </c>
      <c r="I4675" s="3">
        <v>24.98</v>
      </c>
      <c r="J4675" s="3">
        <v>25.47</v>
      </c>
      <c r="K4675" s="3">
        <v>24.94</v>
      </c>
      <c r="L4675" s="3">
        <v>604.75399905397398</v>
      </c>
    </row>
    <row r="4676" spans="1:12" ht="15" customHeight="1" x14ac:dyDescent="0.2">
      <c r="A4676" s="2">
        <v>39266</v>
      </c>
      <c r="B4676" s="3">
        <v>24.88</v>
      </c>
      <c r="C4676" s="1">
        <v>777137</v>
      </c>
      <c r="D4676" s="3">
        <v>0.309999999999998</v>
      </c>
      <c r="E4676" s="3">
        <v>1.26170126170126</v>
      </c>
      <c r="F4676" s="3">
        <v>1.26170126170126</v>
      </c>
      <c r="G4676" s="3">
        <v>24.88</v>
      </c>
      <c r="H4676" s="3">
        <v>593.32856846432901</v>
      </c>
      <c r="I4676" s="3">
        <v>24.58</v>
      </c>
      <c r="J4676" s="3">
        <v>25.03</v>
      </c>
      <c r="K4676" s="3">
        <v>24.58</v>
      </c>
      <c r="L4676" s="3">
        <v>593.32856846432901</v>
      </c>
    </row>
    <row r="4677" spans="1:12" ht="15" customHeight="1" x14ac:dyDescent="0.2">
      <c r="A4677" s="2">
        <v>39265</v>
      </c>
      <c r="B4677" s="3">
        <v>24.57</v>
      </c>
      <c r="C4677" s="1">
        <v>1304576</v>
      </c>
      <c r="D4677" s="3">
        <v>5.0000000000000697E-2</v>
      </c>
      <c r="E4677" s="3">
        <v>0.203915171288748</v>
      </c>
      <c r="F4677" s="3">
        <v>0.203915171288748</v>
      </c>
      <c r="G4677" s="3">
        <v>24.57</v>
      </c>
      <c r="H4677" s="3">
        <v>584.68982826240199</v>
      </c>
      <c r="I4677" s="3">
        <v>24.73</v>
      </c>
      <c r="J4677" s="3">
        <v>24.78</v>
      </c>
      <c r="K4677" s="3">
        <v>24.46</v>
      </c>
      <c r="L4677" s="3">
        <v>584.68982826240199</v>
      </c>
    </row>
    <row r="4678" spans="1:12" ht="15" customHeight="1" x14ac:dyDescent="0.2">
      <c r="A4678" s="2">
        <v>39262</v>
      </c>
      <c r="B4678" s="3">
        <v>24.52</v>
      </c>
      <c r="C4678" s="1">
        <v>2383314</v>
      </c>
      <c r="D4678" s="3">
        <v>-0.60999999999999899</v>
      </c>
      <c r="E4678" s="3">
        <v>-2.42737763629128</v>
      </c>
      <c r="F4678" s="3">
        <v>-2.42737763629128</v>
      </c>
      <c r="G4678" s="3">
        <v>24.52</v>
      </c>
      <c r="H4678" s="3">
        <v>583.29648306854199</v>
      </c>
      <c r="I4678" s="3">
        <v>25.18</v>
      </c>
      <c r="J4678" s="3">
        <v>25.365600000000001</v>
      </c>
      <c r="K4678" s="3">
        <v>24.44</v>
      </c>
      <c r="L4678" s="3">
        <v>583.29648306854199</v>
      </c>
    </row>
    <row r="4679" spans="1:12" ht="15" customHeight="1" x14ac:dyDescent="0.2">
      <c r="A4679" s="2">
        <v>39261</v>
      </c>
      <c r="B4679" s="3">
        <v>25.13</v>
      </c>
      <c r="C4679" s="1">
        <v>1496829</v>
      </c>
      <c r="D4679" s="3">
        <v>0.119999999999997</v>
      </c>
      <c r="E4679" s="3">
        <v>0.479808076769283</v>
      </c>
      <c r="F4679" s="3">
        <v>0.479808076769283</v>
      </c>
      <c r="G4679" s="3">
        <v>25.13</v>
      </c>
      <c r="H4679" s="3">
        <v>600.29529443362401</v>
      </c>
      <c r="I4679" s="3">
        <v>24.97</v>
      </c>
      <c r="J4679" s="3">
        <v>25.46</v>
      </c>
      <c r="K4679" s="3">
        <v>24.81</v>
      </c>
      <c r="L4679" s="3">
        <v>600.29529443362401</v>
      </c>
    </row>
    <row r="4680" spans="1:12" ht="15" customHeight="1" x14ac:dyDescent="0.2">
      <c r="A4680" s="2">
        <v>39260</v>
      </c>
      <c r="B4680" s="3">
        <v>25.01</v>
      </c>
      <c r="C4680" s="1">
        <v>1532466</v>
      </c>
      <c r="D4680" s="3">
        <v>7.0000000000000201E-2</v>
      </c>
      <c r="E4680" s="3">
        <v>0.28067361668002699</v>
      </c>
      <c r="F4680" s="3">
        <v>0.28067361668002699</v>
      </c>
      <c r="G4680" s="3">
        <v>25.01</v>
      </c>
      <c r="H4680" s="3">
        <v>596.95126596836201</v>
      </c>
      <c r="I4680" s="3">
        <v>24.86</v>
      </c>
      <c r="J4680" s="3">
        <v>25.07</v>
      </c>
      <c r="K4680" s="3">
        <v>24.82</v>
      </c>
      <c r="L4680" s="3">
        <v>596.95126596836201</v>
      </c>
    </row>
    <row r="4681" spans="1:12" ht="15" customHeight="1" x14ac:dyDescent="0.2">
      <c r="A4681" s="2">
        <v>39259</v>
      </c>
      <c r="B4681" s="3">
        <v>24.94</v>
      </c>
      <c r="C4681" s="1">
        <v>1636871</v>
      </c>
      <c r="D4681" s="3">
        <v>0.110000000000002</v>
      </c>
      <c r="E4681" s="3">
        <v>0.44301248489730899</v>
      </c>
      <c r="F4681" s="3">
        <v>0.44301248489730899</v>
      </c>
      <c r="G4681" s="3">
        <v>24.94</v>
      </c>
      <c r="H4681" s="3">
        <v>595.00058269696001</v>
      </c>
      <c r="I4681" s="3">
        <v>24.94</v>
      </c>
      <c r="J4681" s="3">
        <v>25.09</v>
      </c>
      <c r="K4681" s="3">
        <v>24.86</v>
      </c>
      <c r="L4681" s="3">
        <v>595.00058269696001</v>
      </c>
    </row>
    <row r="4682" spans="1:12" ht="15" customHeight="1" x14ac:dyDescent="0.2">
      <c r="A4682" s="2">
        <v>39258</v>
      </c>
      <c r="B4682" s="3">
        <v>24.83</v>
      </c>
      <c r="C4682" s="1">
        <v>1993799</v>
      </c>
      <c r="D4682" s="3">
        <v>1.9999999999999501E-2</v>
      </c>
      <c r="E4682" s="3">
        <v>8.0612656187017906E-2</v>
      </c>
      <c r="F4682" s="3">
        <v>8.0612656187017906E-2</v>
      </c>
      <c r="G4682" s="3">
        <v>24.83</v>
      </c>
      <c r="H4682" s="3">
        <v>591.93522327046901</v>
      </c>
      <c r="I4682" s="3">
        <v>24.69</v>
      </c>
      <c r="J4682" s="3">
        <v>25.04</v>
      </c>
      <c r="K4682" s="3">
        <v>24.55</v>
      </c>
      <c r="L4682" s="3">
        <v>591.93522327046901</v>
      </c>
    </row>
    <row r="4683" spans="1:12" ht="15" customHeight="1" x14ac:dyDescent="0.2">
      <c r="A4683" s="2">
        <v>39255</v>
      </c>
      <c r="B4683" s="3">
        <v>24.81</v>
      </c>
      <c r="C4683" s="1">
        <v>3477914</v>
      </c>
      <c r="D4683" s="3">
        <v>-4.00000000000027E-2</v>
      </c>
      <c r="E4683" s="3">
        <v>-0.160965794768619</v>
      </c>
      <c r="F4683" s="3">
        <v>-0.160965794768619</v>
      </c>
      <c r="G4683" s="3">
        <v>24.81</v>
      </c>
      <c r="H4683" s="3">
        <v>591.37788519292599</v>
      </c>
      <c r="I4683" s="3">
        <v>25</v>
      </c>
      <c r="J4683" s="3">
        <v>25.02</v>
      </c>
      <c r="K4683" s="3">
        <v>24.66</v>
      </c>
      <c r="L4683" s="3">
        <v>591.37788519292599</v>
      </c>
    </row>
    <row r="4684" spans="1:12" ht="15" customHeight="1" x14ac:dyDescent="0.2">
      <c r="A4684" s="2">
        <v>39254</v>
      </c>
      <c r="B4684" s="3">
        <v>24.85</v>
      </c>
      <c r="C4684" s="1">
        <v>6691593</v>
      </c>
      <c r="D4684" s="3">
        <v>-1.8999999999999899</v>
      </c>
      <c r="E4684" s="3">
        <v>-7.1028037383177498</v>
      </c>
      <c r="F4684" s="3">
        <v>-7.1028037383177498</v>
      </c>
      <c r="G4684" s="3">
        <v>24.85</v>
      </c>
      <c r="H4684" s="3">
        <v>592.49256134801306</v>
      </c>
      <c r="I4684" s="3">
        <v>25.16</v>
      </c>
      <c r="J4684" s="3">
        <v>25.4</v>
      </c>
      <c r="K4684" s="3">
        <v>24.61</v>
      </c>
      <c r="L4684" s="3">
        <v>592.49256134801306</v>
      </c>
    </row>
    <row r="4685" spans="1:12" ht="15" customHeight="1" x14ac:dyDescent="0.2">
      <c r="A4685" s="2">
        <v>39253</v>
      </c>
      <c r="B4685" s="3">
        <v>26.75</v>
      </c>
      <c r="C4685" s="1">
        <v>829979</v>
      </c>
      <c r="D4685" s="3">
        <v>-0.3</v>
      </c>
      <c r="E4685" s="3">
        <v>-1.1090573012939</v>
      </c>
      <c r="F4685" s="3">
        <v>-1.1090573012939</v>
      </c>
      <c r="G4685" s="3">
        <v>26.75</v>
      </c>
      <c r="H4685" s="3">
        <v>645.43967871466202</v>
      </c>
      <c r="I4685" s="3">
        <v>27.08</v>
      </c>
      <c r="J4685" s="3">
        <v>27.1</v>
      </c>
      <c r="K4685" s="3">
        <v>26.72</v>
      </c>
      <c r="L4685" s="3">
        <v>645.43967871466202</v>
      </c>
    </row>
    <row r="4686" spans="1:12" ht="15" customHeight="1" x14ac:dyDescent="0.2">
      <c r="A4686" s="2">
        <v>39252</v>
      </c>
      <c r="B4686" s="3">
        <v>27.05</v>
      </c>
      <c r="C4686" s="1">
        <v>824004</v>
      </c>
      <c r="D4686" s="3">
        <v>-8.9999999999999802E-2</v>
      </c>
      <c r="E4686" s="3">
        <v>-0.33161385408990701</v>
      </c>
      <c r="F4686" s="3">
        <v>-0.33161385408990701</v>
      </c>
      <c r="G4686" s="3">
        <v>27.05</v>
      </c>
      <c r="H4686" s="3">
        <v>653.79974987781702</v>
      </c>
      <c r="I4686" s="3">
        <v>27.14</v>
      </c>
      <c r="J4686" s="3">
        <v>27.21</v>
      </c>
      <c r="K4686" s="3">
        <v>26.83</v>
      </c>
      <c r="L4686" s="3">
        <v>653.79974987781702</v>
      </c>
    </row>
    <row r="4687" spans="1:12" ht="15" customHeight="1" x14ac:dyDescent="0.2">
      <c r="A4687" s="2">
        <v>39251</v>
      </c>
      <c r="B4687" s="3">
        <v>27.14</v>
      </c>
      <c r="C4687" s="1">
        <v>1530747</v>
      </c>
      <c r="D4687" s="3">
        <v>0.60000000000000098</v>
      </c>
      <c r="E4687" s="3">
        <v>2.2607385079125901</v>
      </c>
      <c r="F4687" s="3">
        <v>2.2607385079125901</v>
      </c>
      <c r="G4687" s="3">
        <v>27.14</v>
      </c>
      <c r="H4687" s="3">
        <v>656.30777122676398</v>
      </c>
      <c r="I4687" s="3">
        <v>26.8</v>
      </c>
      <c r="J4687" s="3">
        <v>27.27</v>
      </c>
      <c r="K4687" s="3">
        <v>26.77</v>
      </c>
      <c r="L4687" s="3">
        <v>656.30777122676398</v>
      </c>
    </row>
    <row r="4688" spans="1:12" ht="15" customHeight="1" x14ac:dyDescent="0.2">
      <c r="A4688" s="2">
        <v>39248</v>
      </c>
      <c r="B4688" s="3">
        <v>26.54</v>
      </c>
      <c r="C4688" s="1">
        <v>1324160</v>
      </c>
      <c r="D4688" s="3">
        <v>-0.23</v>
      </c>
      <c r="E4688" s="3">
        <v>-0.85917071348524598</v>
      </c>
      <c r="F4688" s="3">
        <v>-0.85917071348524598</v>
      </c>
      <c r="G4688" s="3">
        <v>26.54</v>
      </c>
      <c r="H4688" s="3">
        <v>639.58762890045398</v>
      </c>
      <c r="I4688" s="3">
        <v>26.82</v>
      </c>
      <c r="J4688" s="3">
        <v>26.9</v>
      </c>
      <c r="K4688" s="3">
        <v>26.49</v>
      </c>
      <c r="L4688" s="3">
        <v>639.58762890045398</v>
      </c>
    </row>
    <row r="4689" spans="1:12" ht="15" customHeight="1" x14ac:dyDescent="0.2">
      <c r="A4689" s="2">
        <v>39247</v>
      </c>
      <c r="B4689" s="3">
        <v>26.77</v>
      </c>
      <c r="C4689" s="1">
        <v>693172</v>
      </c>
      <c r="D4689" s="3">
        <v>9.9999999999997799E-2</v>
      </c>
      <c r="E4689" s="3">
        <v>0.37495313085862397</v>
      </c>
      <c r="F4689" s="3">
        <v>0.37495313085862397</v>
      </c>
      <c r="G4689" s="3">
        <v>26.77</v>
      </c>
      <c r="H4689" s="3">
        <v>645.99701679220595</v>
      </c>
      <c r="I4689" s="3">
        <v>26.68</v>
      </c>
      <c r="J4689" s="3">
        <v>26.95</v>
      </c>
      <c r="K4689" s="3">
        <v>26.59</v>
      </c>
      <c r="L4689" s="3">
        <v>645.99701679220595</v>
      </c>
    </row>
    <row r="4690" spans="1:12" ht="15" customHeight="1" x14ac:dyDescent="0.2">
      <c r="A4690" s="2">
        <v>39246</v>
      </c>
      <c r="B4690" s="3">
        <v>26.67</v>
      </c>
      <c r="C4690" s="1">
        <v>1183082</v>
      </c>
      <c r="D4690" s="3">
        <v>0.33000000000000101</v>
      </c>
      <c r="E4690" s="3">
        <v>1.25284738041002</v>
      </c>
      <c r="F4690" s="3">
        <v>1.25284738041002</v>
      </c>
      <c r="G4690" s="3">
        <v>26.67</v>
      </c>
      <c r="H4690" s="3">
        <v>643.21032640448698</v>
      </c>
      <c r="I4690" s="3">
        <v>26.5</v>
      </c>
      <c r="J4690" s="3">
        <v>26.83</v>
      </c>
      <c r="K4690" s="3">
        <v>26.41</v>
      </c>
      <c r="L4690" s="3">
        <v>643.21032640448698</v>
      </c>
    </row>
    <row r="4691" spans="1:12" ht="15" customHeight="1" x14ac:dyDescent="0.2">
      <c r="A4691" s="2">
        <v>39245</v>
      </c>
      <c r="B4691" s="3">
        <v>26.34</v>
      </c>
      <c r="C4691" s="1">
        <v>1562855</v>
      </c>
      <c r="D4691" s="3">
        <v>-0.28000000000000103</v>
      </c>
      <c r="E4691" s="3">
        <v>-1.0518407212622001</v>
      </c>
      <c r="F4691" s="3">
        <v>-1.0518407212622001</v>
      </c>
      <c r="G4691" s="3">
        <v>26.34</v>
      </c>
      <c r="H4691" s="3">
        <v>634.01424812501705</v>
      </c>
      <c r="I4691" s="3">
        <v>26.51</v>
      </c>
      <c r="J4691" s="3">
        <v>26.6</v>
      </c>
      <c r="K4691" s="3">
        <v>26.2</v>
      </c>
      <c r="L4691" s="3">
        <v>634.01424812501705</v>
      </c>
    </row>
    <row r="4692" spans="1:12" ht="15" customHeight="1" x14ac:dyDescent="0.2">
      <c r="A4692" s="2">
        <v>39244</v>
      </c>
      <c r="B4692" s="3">
        <v>26.62</v>
      </c>
      <c r="C4692" s="1">
        <v>862589</v>
      </c>
      <c r="D4692" s="3">
        <v>5.0000000000000697E-2</v>
      </c>
      <c r="E4692" s="3">
        <v>0.18818216033120699</v>
      </c>
      <c r="F4692" s="3">
        <v>0.18818216033120699</v>
      </c>
      <c r="G4692" s="3">
        <v>26.62</v>
      </c>
      <c r="H4692" s="3">
        <v>641.816981210628</v>
      </c>
      <c r="I4692" s="3">
        <v>26.56</v>
      </c>
      <c r="J4692" s="3">
        <v>26.66</v>
      </c>
      <c r="K4692" s="3">
        <v>26.28</v>
      </c>
      <c r="L4692" s="3">
        <v>641.816981210628</v>
      </c>
    </row>
    <row r="4693" spans="1:12" ht="15" customHeight="1" x14ac:dyDescent="0.2">
      <c r="A4693" s="2">
        <v>39241</v>
      </c>
      <c r="B4693" s="3">
        <v>26.57</v>
      </c>
      <c r="C4693" s="1">
        <v>1466223</v>
      </c>
      <c r="D4693" s="3">
        <v>0.219999999999998</v>
      </c>
      <c r="E4693" s="3">
        <v>0.83491461100568798</v>
      </c>
      <c r="F4693" s="3">
        <v>0.83491461100568798</v>
      </c>
      <c r="G4693" s="3">
        <v>26.57</v>
      </c>
      <c r="H4693" s="3">
        <v>640.42363601676902</v>
      </c>
      <c r="I4693" s="3">
        <v>26.3</v>
      </c>
      <c r="J4693" s="3">
        <v>26.68</v>
      </c>
      <c r="K4693" s="3">
        <v>25.86</v>
      </c>
      <c r="L4693" s="3">
        <v>640.42363601676902</v>
      </c>
    </row>
    <row r="4694" spans="1:12" ht="15" customHeight="1" x14ac:dyDescent="0.2">
      <c r="A4694" s="2">
        <v>39240</v>
      </c>
      <c r="B4694" s="3">
        <v>26.35</v>
      </c>
      <c r="C4694" s="1">
        <v>2437104</v>
      </c>
      <c r="D4694" s="3">
        <v>-0.88999999999999702</v>
      </c>
      <c r="E4694" s="3">
        <v>-3.26725403817913</v>
      </c>
      <c r="F4694" s="3">
        <v>-3.26725403817913</v>
      </c>
      <c r="G4694" s="3">
        <v>26.35</v>
      </c>
      <c r="H4694" s="3">
        <v>634.29291716378896</v>
      </c>
      <c r="I4694" s="3">
        <v>27.1</v>
      </c>
      <c r="J4694" s="3">
        <v>27.19</v>
      </c>
      <c r="K4694" s="3">
        <v>26.33</v>
      </c>
      <c r="L4694" s="3">
        <v>634.29291716378896</v>
      </c>
    </row>
    <row r="4695" spans="1:12" ht="15" customHeight="1" x14ac:dyDescent="0.2">
      <c r="A4695" s="2">
        <v>39239</v>
      </c>
      <c r="B4695" s="3">
        <v>27.24</v>
      </c>
      <c r="C4695" s="1">
        <v>1741160</v>
      </c>
      <c r="D4695" s="3">
        <v>-0.99000000000000199</v>
      </c>
      <c r="E4695" s="3">
        <v>-3.50690754516472</v>
      </c>
      <c r="F4695" s="3">
        <v>-3.50690754516472</v>
      </c>
      <c r="G4695" s="3">
        <v>27.24</v>
      </c>
      <c r="H4695" s="3">
        <v>659.09446161448204</v>
      </c>
      <c r="I4695" s="3">
        <v>27.8</v>
      </c>
      <c r="J4695" s="3">
        <v>27.8</v>
      </c>
      <c r="K4695" s="3">
        <v>27.1</v>
      </c>
      <c r="L4695" s="3">
        <v>659.09446161448204</v>
      </c>
    </row>
    <row r="4696" spans="1:12" ht="15" customHeight="1" x14ac:dyDescent="0.2">
      <c r="A4696" s="2">
        <v>39238</v>
      </c>
      <c r="B4696" s="3">
        <v>28.23</v>
      </c>
      <c r="C4696" s="1">
        <v>688352</v>
      </c>
      <c r="D4696" s="3">
        <v>-0.50999999999999801</v>
      </c>
      <c r="E4696" s="3">
        <v>-1.7745302713987401</v>
      </c>
      <c r="F4696" s="3">
        <v>-1.7745302713987401</v>
      </c>
      <c r="G4696" s="3">
        <v>28.23</v>
      </c>
      <c r="H4696" s="3">
        <v>686.68269645289399</v>
      </c>
      <c r="I4696" s="3">
        <v>28.71</v>
      </c>
      <c r="J4696" s="3">
        <v>28.76</v>
      </c>
      <c r="K4696" s="3">
        <v>28.12</v>
      </c>
      <c r="L4696" s="3">
        <v>686.68269645289399</v>
      </c>
    </row>
    <row r="4697" spans="1:12" ht="15" customHeight="1" x14ac:dyDescent="0.2">
      <c r="A4697" s="2">
        <v>39237</v>
      </c>
      <c r="B4697" s="3">
        <v>28.74</v>
      </c>
      <c r="C4697" s="1">
        <v>820909</v>
      </c>
      <c r="D4697" s="3">
        <v>0.34999999999999698</v>
      </c>
      <c r="E4697" s="3">
        <v>1.2328284607256099</v>
      </c>
      <c r="F4697" s="3">
        <v>1.2328284607256099</v>
      </c>
      <c r="G4697" s="3">
        <v>28.74</v>
      </c>
      <c r="H4697" s="3">
        <v>700.89481743025704</v>
      </c>
      <c r="I4697" s="3">
        <v>28.36</v>
      </c>
      <c r="J4697" s="3">
        <v>28.79</v>
      </c>
      <c r="K4697" s="3">
        <v>28.18</v>
      </c>
      <c r="L4697" s="3">
        <v>700.89481743025704</v>
      </c>
    </row>
    <row r="4698" spans="1:12" ht="15" customHeight="1" x14ac:dyDescent="0.2">
      <c r="A4698" s="2">
        <v>39234</v>
      </c>
      <c r="B4698" s="3">
        <v>28.39</v>
      </c>
      <c r="C4698" s="1">
        <v>604718</v>
      </c>
      <c r="D4698" s="3">
        <v>0.17000000000000101</v>
      </c>
      <c r="E4698" s="3">
        <v>0.60240963855422403</v>
      </c>
      <c r="F4698" s="3">
        <v>0.60240963855422403</v>
      </c>
      <c r="G4698" s="3">
        <v>28.39</v>
      </c>
      <c r="H4698" s="3">
        <v>691.14140107324295</v>
      </c>
      <c r="I4698" s="3">
        <v>28.3</v>
      </c>
      <c r="J4698" s="3">
        <v>28.56</v>
      </c>
      <c r="K4698" s="3">
        <v>28.17</v>
      </c>
      <c r="L4698" s="3">
        <v>691.14140107324295</v>
      </c>
    </row>
    <row r="4699" spans="1:12" ht="15" customHeight="1" x14ac:dyDescent="0.2">
      <c r="A4699" s="2">
        <v>39233</v>
      </c>
      <c r="B4699" s="3">
        <v>28.22</v>
      </c>
      <c r="C4699" s="1">
        <v>851579</v>
      </c>
      <c r="D4699" s="3">
        <v>7.0000000000000201E-2</v>
      </c>
      <c r="E4699" s="3">
        <v>0.24866785079928899</v>
      </c>
      <c r="F4699" s="3">
        <v>0.24866785079928899</v>
      </c>
      <c r="G4699" s="3">
        <v>28.22</v>
      </c>
      <c r="H4699" s="3">
        <v>686.40402741412197</v>
      </c>
      <c r="I4699" s="3">
        <v>28.2</v>
      </c>
      <c r="J4699" s="3">
        <v>28.244399999999999</v>
      </c>
      <c r="K4699" s="3">
        <v>27.91</v>
      </c>
      <c r="L4699" s="3">
        <v>686.40402741412197</v>
      </c>
    </row>
    <row r="4700" spans="1:12" ht="15" customHeight="1" x14ac:dyDescent="0.2">
      <c r="A4700" s="2">
        <v>39232</v>
      </c>
      <c r="B4700" s="3">
        <v>28.15</v>
      </c>
      <c r="C4700" s="1">
        <v>900228</v>
      </c>
      <c r="D4700" s="3">
        <v>0.12999999999999901</v>
      </c>
      <c r="E4700" s="3">
        <v>0.463954318344028</v>
      </c>
      <c r="F4700" s="3">
        <v>0.463954318344028</v>
      </c>
      <c r="G4700" s="3">
        <v>28.15</v>
      </c>
      <c r="H4700" s="3">
        <v>684.45334414271895</v>
      </c>
      <c r="I4700" s="3">
        <v>27.9</v>
      </c>
      <c r="J4700" s="3">
        <v>28.38</v>
      </c>
      <c r="K4700" s="3">
        <v>27.71</v>
      </c>
      <c r="L4700" s="3">
        <v>684.45334414271895</v>
      </c>
    </row>
    <row r="4701" spans="1:12" ht="15" customHeight="1" x14ac:dyDescent="0.2">
      <c r="A4701" s="2">
        <v>39231</v>
      </c>
      <c r="B4701" s="3">
        <v>28.02</v>
      </c>
      <c r="C4701" s="1">
        <v>753538</v>
      </c>
      <c r="D4701" s="3">
        <v>-0.24000000000000199</v>
      </c>
      <c r="E4701" s="3">
        <v>-0.84925690021232503</v>
      </c>
      <c r="F4701" s="3">
        <v>-0.84925690021232503</v>
      </c>
      <c r="G4701" s="3">
        <v>28.02</v>
      </c>
      <c r="H4701" s="3">
        <v>680.83064663868504</v>
      </c>
      <c r="I4701" s="3">
        <v>28.25</v>
      </c>
      <c r="J4701" s="3">
        <v>28.34</v>
      </c>
      <c r="K4701" s="3">
        <v>27.76</v>
      </c>
      <c r="L4701" s="3">
        <v>680.83064663868504</v>
      </c>
    </row>
    <row r="4702" spans="1:12" ht="15" customHeight="1" x14ac:dyDescent="0.2">
      <c r="A4702" s="2">
        <v>39227</v>
      </c>
      <c r="B4702" s="3">
        <v>28.26</v>
      </c>
      <c r="C4702" s="1">
        <v>914451</v>
      </c>
      <c r="D4702" s="3">
        <v>0.25</v>
      </c>
      <c r="E4702" s="3">
        <v>0.89253837915030898</v>
      </c>
      <c r="F4702" s="3">
        <v>0.89253837915030898</v>
      </c>
      <c r="G4702" s="3">
        <v>28.26</v>
      </c>
      <c r="H4702" s="3">
        <v>687.51870356920904</v>
      </c>
      <c r="I4702" s="3">
        <v>28.11</v>
      </c>
      <c r="J4702" s="3">
        <v>28.44</v>
      </c>
      <c r="K4702" s="3">
        <v>28</v>
      </c>
      <c r="L4702" s="3">
        <v>687.51870356920904</v>
      </c>
    </row>
    <row r="4703" spans="1:12" ht="15" customHeight="1" x14ac:dyDescent="0.2">
      <c r="A4703" s="2">
        <v>39226</v>
      </c>
      <c r="B4703" s="3">
        <v>28.01</v>
      </c>
      <c r="C4703" s="1">
        <v>1326801</v>
      </c>
      <c r="D4703" s="3">
        <v>8.9999999999999802E-2</v>
      </c>
      <c r="E4703" s="3">
        <v>0.32234957020056398</v>
      </c>
      <c r="F4703" s="3">
        <v>0.32234957020056398</v>
      </c>
      <c r="G4703" s="3">
        <v>28.01</v>
      </c>
      <c r="H4703" s="3">
        <v>680.55197759991302</v>
      </c>
      <c r="I4703" s="3">
        <v>27.86</v>
      </c>
      <c r="J4703" s="3">
        <v>28.3</v>
      </c>
      <c r="K4703" s="3">
        <v>27.71</v>
      </c>
      <c r="L4703" s="3">
        <v>680.55197759991302</v>
      </c>
    </row>
    <row r="4704" spans="1:12" ht="15" customHeight="1" x14ac:dyDescent="0.2">
      <c r="A4704" s="2">
        <v>39225</v>
      </c>
      <c r="B4704" s="3">
        <v>27.92</v>
      </c>
      <c r="C4704" s="1">
        <v>887256</v>
      </c>
      <c r="D4704" s="3">
        <v>-0.27999999999999697</v>
      </c>
      <c r="E4704" s="3">
        <v>-0.99290780141843005</v>
      </c>
      <c r="F4704" s="3">
        <v>-0.99290780141843005</v>
      </c>
      <c r="G4704" s="3">
        <v>27.92</v>
      </c>
      <c r="H4704" s="3">
        <v>678.04395625096697</v>
      </c>
      <c r="I4704" s="3">
        <v>28.2</v>
      </c>
      <c r="J4704" s="3">
        <v>28.2744</v>
      </c>
      <c r="K4704" s="3">
        <v>27.83</v>
      </c>
      <c r="L4704" s="3">
        <v>678.04395625096697</v>
      </c>
    </row>
    <row r="4705" spans="1:12" ht="15" customHeight="1" x14ac:dyDescent="0.2">
      <c r="A4705" s="2">
        <v>39224</v>
      </c>
      <c r="B4705" s="3">
        <v>28.2</v>
      </c>
      <c r="C4705" s="1">
        <v>1383529</v>
      </c>
      <c r="D4705" s="3">
        <v>0.66</v>
      </c>
      <c r="E4705" s="3">
        <v>2.3965141612200398</v>
      </c>
      <c r="F4705" s="3">
        <v>2.3965141612200398</v>
      </c>
      <c r="G4705" s="3">
        <v>28.2</v>
      </c>
      <c r="H4705" s="3">
        <v>685.84668933657804</v>
      </c>
      <c r="I4705" s="3">
        <v>27.43</v>
      </c>
      <c r="J4705" s="3">
        <v>28.21</v>
      </c>
      <c r="K4705" s="3">
        <v>27.35</v>
      </c>
      <c r="L4705" s="3">
        <v>685.84668933657804</v>
      </c>
    </row>
    <row r="4706" spans="1:12" ht="15" customHeight="1" x14ac:dyDescent="0.2">
      <c r="A4706" s="2">
        <v>39223</v>
      </c>
      <c r="B4706" s="3">
        <v>27.54</v>
      </c>
      <c r="C4706" s="1">
        <v>641424</v>
      </c>
      <c r="D4706" s="3">
        <v>-0.25</v>
      </c>
      <c r="E4706" s="3">
        <v>-0.89960417416337002</v>
      </c>
      <c r="F4706" s="3">
        <v>-0.89960417416337002</v>
      </c>
      <c r="G4706" s="3">
        <v>27.54</v>
      </c>
      <c r="H4706" s="3">
        <v>667.45453277763704</v>
      </c>
      <c r="I4706" s="3">
        <v>27.68</v>
      </c>
      <c r="J4706" s="3">
        <v>27.92</v>
      </c>
      <c r="K4706" s="3">
        <v>27.4</v>
      </c>
      <c r="L4706" s="3">
        <v>667.45453277763704</v>
      </c>
    </row>
    <row r="4707" spans="1:12" ht="15" customHeight="1" x14ac:dyDescent="0.2">
      <c r="A4707" s="2">
        <v>39220</v>
      </c>
      <c r="B4707" s="3">
        <v>27.79</v>
      </c>
      <c r="C4707" s="1">
        <v>1882527</v>
      </c>
      <c r="D4707" s="3">
        <v>0.46</v>
      </c>
      <c r="E4707" s="3">
        <v>1.6831320892791899</v>
      </c>
      <c r="F4707" s="3">
        <v>1.6831320892791899</v>
      </c>
      <c r="G4707" s="3">
        <v>27.79</v>
      </c>
      <c r="H4707" s="3">
        <v>674.42125874693295</v>
      </c>
      <c r="I4707" s="3">
        <v>27.37</v>
      </c>
      <c r="J4707" s="3">
        <v>27.86</v>
      </c>
      <c r="K4707" s="3">
        <v>27.26</v>
      </c>
      <c r="L4707" s="3">
        <v>674.42125874693295</v>
      </c>
    </row>
    <row r="4708" spans="1:12" ht="15" customHeight="1" x14ac:dyDescent="0.2">
      <c r="A4708" s="2">
        <v>39219</v>
      </c>
      <c r="B4708" s="3">
        <v>27.33</v>
      </c>
      <c r="C4708" s="1">
        <v>889120</v>
      </c>
      <c r="D4708" s="3">
        <v>-0.12000000000000099</v>
      </c>
      <c r="E4708" s="3">
        <v>-0.43715846994535301</v>
      </c>
      <c r="F4708" s="3">
        <v>-0.43715846994535301</v>
      </c>
      <c r="G4708" s="3">
        <v>27.33</v>
      </c>
      <c r="H4708" s="3">
        <v>661.60248296342797</v>
      </c>
      <c r="I4708" s="3">
        <v>27.33</v>
      </c>
      <c r="J4708" s="3">
        <v>27.5</v>
      </c>
      <c r="K4708" s="3">
        <v>27.17</v>
      </c>
      <c r="L4708" s="3">
        <v>661.60248296342797</v>
      </c>
    </row>
    <row r="4709" spans="1:12" ht="15" customHeight="1" x14ac:dyDescent="0.2">
      <c r="A4709" s="2">
        <v>39218</v>
      </c>
      <c r="B4709" s="3">
        <v>27.45</v>
      </c>
      <c r="C4709" s="1">
        <v>853759</v>
      </c>
      <c r="D4709" s="3">
        <v>0.189999999999997</v>
      </c>
      <c r="E4709" s="3">
        <v>0.69699192956711398</v>
      </c>
      <c r="F4709" s="3">
        <v>0.69699192956711398</v>
      </c>
      <c r="G4709" s="3">
        <v>27.45</v>
      </c>
      <c r="H4709" s="3">
        <v>664.94651142868997</v>
      </c>
      <c r="I4709" s="3">
        <v>27.3</v>
      </c>
      <c r="J4709" s="3">
        <v>27.49</v>
      </c>
      <c r="K4709" s="3">
        <v>27.22</v>
      </c>
      <c r="L4709" s="3">
        <v>664.94651142868997</v>
      </c>
    </row>
    <row r="4710" spans="1:12" ht="15" customHeight="1" x14ac:dyDescent="0.2">
      <c r="A4710" s="2">
        <v>39217</v>
      </c>
      <c r="B4710" s="3">
        <v>27.26</v>
      </c>
      <c r="C4710" s="1">
        <v>959332</v>
      </c>
      <c r="D4710" s="3">
        <v>-0.119999999999997</v>
      </c>
      <c r="E4710" s="3">
        <v>-0.43827611395178501</v>
      </c>
      <c r="F4710" s="3">
        <v>-0.43827611395178501</v>
      </c>
      <c r="G4710" s="3">
        <v>27.26</v>
      </c>
      <c r="H4710" s="3">
        <v>659.65179969202597</v>
      </c>
      <c r="I4710" s="3">
        <v>27.34</v>
      </c>
      <c r="J4710" s="3">
        <v>27.64</v>
      </c>
      <c r="K4710" s="3">
        <v>27.08</v>
      </c>
      <c r="L4710" s="3">
        <v>659.65179969202597</v>
      </c>
    </row>
    <row r="4711" spans="1:12" ht="15" customHeight="1" x14ac:dyDescent="0.2">
      <c r="A4711" s="2">
        <v>39216</v>
      </c>
      <c r="B4711" s="3">
        <v>27.38</v>
      </c>
      <c r="C4711" s="1">
        <v>966292</v>
      </c>
      <c r="D4711" s="3">
        <v>-0.53000000000000103</v>
      </c>
      <c r="E4711" s="3">
        <v>-1.8989609458975301</v>
      </c>
      <c r="F4711" s="3">
        <v>-1.8989609458975301</v>
      </c>
      <c r="G4711" s="3">
        <v>27.38</v>
      </c>
      <c r="H4711" s="3">
        <v>662.99582815728797</v>
      </c>
      <c r="I4711" s="3">
        <v>27.91</v>
      </c>
      <c r="J4711" s="3">
        <v>28.01</v>
      </c>
      <c r="K4711" s="3">
        <v>27.33</v>
      </c>
      <c r="L4711" s="3">
        <v>662.99582815728797</v>
      </c>
    </row>
    <row r="4712" spans="1:12" ht="15" customHeight="1" x14ac:dyDescent="0.2">
      <c r="A4712" s="2">
        <v>39213</v>
      </c>
      <c r="B4712" s="3">
        <v>27.91</v>
      </c>
      <c r="C4712" s="1">
        <v>592281</v>
      </c>
      <c r="D4712" s="3">
        <v>1.9999999999999501E-2</v>
      </c>
      <c r="E4712" s="3">
        <v>7.1710290426674206E-2</v>
      </c>
      <c r="F4712" s="3">
        <v>7.1710290426674206E-2</v>
      </c>
      <c r="G4712" s="3">
        <v>27.91</v>
      </c>
      <c r="H4712" s="3">
        <v>677.76528721219495</v>
      </c>
      <c r="I4712" s="3">
        <v>27.8</v>
      </c>
      <c r="J4712" s="3">
        <v>28.03</v>
      </c>
      <c r="K4712" s="3">
        <v>27.68</v>
      </c>
      <c r="L4712" s="3">
        <v>677.76528721219495</v>
      </c>
    </row>
    <row r="4713" spans="1:12" ht="15" customHeight="1" x14ac:dyDescent="0.2">
      <c r="A4713" s="2">
        <v>39212</v>
      </c>
      <c r="B4713" s="3">
        <v>27.89</v>
      </c>
      <c r="C4713" s="1">
        <v>917772</v>
      </c>
      <c r="D4713" s="3">
        <v>-0.28000000000000103</v>
      </c>
      <c r="E4713" s="3">
        <v>-0.99396521121760595</v>
      </c>
      <c r="F4713" s="3">
        <v>-0.99396521121760595</v>
      </c>
      <c r="G4713" s="3">
        <v>27.89</v>
      </c>
      <c r="H4713" s="3">
        <v>677.20794913465102</v>
      </c>
      <c r="I4713" s="3">
        <v>28.1</v>
      </c>
      <c r="J4713" s="3">
        <v>28.1</v>
      </c>
      <c r="K4713" s="3">
        <v>27.76</v>
      </c>
      <c r="L4713" s="3">
        <v>677.20794913465102</v>
      </c>
    </row>
    <row r="4714" spans="1:12" ht="15" customHeight="1" x14ac:dyDescent="0.2">
      <c r="A4714" s="2">
        <v>39211</v>
      </c>
      <c r="B4714" s="3">
        <v>28.17</v>
      </c>
      <c r="C4714" s="1">
        <v>779300</v>
      </c>
      <c r="D4714" s="3">
        <v>0.110000000000002</v>
      </c>
      <c r="E4714" s="3">
        <v>0.392017106201003</v>
      </c>
      <c r="F4714" s="3">
        <v>0.392017106201003</v>
      </c>
      <c r="G4714" s="3">
        <v>28.17</v>
      </c>
      <c r="H4714" s="3">
        <v>685.01068222026299</v>
      </c>
      <c r="I4714" s="3">
        <v>27.96</v>
      </c>
      <c r="J4714" s="3">
        <v>28.37</v>
      </c>
      <c r="K4714" s="3">
        <v>27.95</v>
      </c>
      <c r="L4714" s="3">
        <v>685.01068222026299</v>
      </c>
    </row>
    <row r="4715" spans="1:12" ht="15" customHeight="1" x14ac:dyDescent="0.2">
      <c r="A4715" s="2">
        <v>39210</v>
      </c>
      <c r="B4715" s="3">
        <v>28.06</v>
      </c>
      <c r="C4715" s="1">
        <v>924256</v>
      </c>
      <c r="D4715" s="3">
        <v>9.9999999999980105E-3</v>
      </c>
      <c r="E4715" s="3">
        <v>3.5650623885907701E-2</v>
      </c>
      <c r="F4715" s="3">
        <v>3.5650623885907701E-2</v>
      </c>
      <c r="G4715" s="3">
        <v>28.06</v>
      </c>
      <c r="H4715" s="3">
        <v>681.94532279377199</v>
      </c>
      <c r="I4715" s="3">
        <v>28.04</v>
      </c>
      <c r="J4715" s="3">
        <v>28.1</v>
      </c>
      <c r="K4715" s="3">
        <v>27.71</v>
      </c>
      <c r="L4715" s="3">
        <v>681.94532279377199</v>
      </c>
    </row>
    <row r="4716" spans="1:12" ht="15" customHeight="1" x14ac:dyDescent="0.2">
      <c r="A4716" s="2">
        <v>39209</v>
      </c>
      <c r="B4716" s="3">
        <v>28.05</v>
      </c>
      <c r="C4716" s="1">
        <v>797850</v>
      </c>
      <c r="D4716" s="3">
        <v>0.12999999999999901</v>
      </c>
      <c r="E4716" s="3">
        <v>0.465616045845274</v>
      </c>
      <c r="F4716" s="3">
        <v>0.465616045845274</v>
      </c>
      <c r="G4716" s="3">
        <v>28.05</v>
      </c>
      <c r="H4716" s="3">
        <v>681.66665375500099</v>
      </c>
      <c r="I4716" s="3">
        <v>27.86</v>
      </c>
      <c r="J4716" s="3">
        <v>28.35</v>
      </c>
      <c r="K4716" s="3">
        <v>27.86</v>
      </c>
      <c r="L4716" s="3">
        <v>681.66665375500099</v>
      </c>
    </row>
    <row r="4717" spans="1:12" ht="15" customHeight="1" x14ac:dyDescent="0.2">
      <c r="A4717" s="2">
        <v>39206</v>
      </c>
      <c r="B4717" s="3">
        <v>27.92</v>
      </c>
      <c r="C4717" s="1">
        <v>1398369</v>
      </c>
      <c r="D4717" s="3">
        <v>-0.19999999999999901</v>
      </c>
      <c r="E4717" s="3">
        <v>-0.71123755334281302</v>
      </c>
      <c r="F4717" s="3">
        <v>-0.71123755334281302</v>
      </c>
      <c r="G4717" s="3">
        <v>27.92</v>
      </c>
      <c r="H4717" s="3">
        <v>678.04395625096697</v>
      </c>
      <c r="I4717" s="3">
        <v>28.15</v>
      </c>
      <c r="J4717" s="3">
        <v>28.2</v>
      </c>
      <c r="K4717" s="3">
        <v>27.710100000000001</v>
      </c>
      <c r="L4717" s="3">
        <v>678.04395625096697</v>
      </c>
    </row>
    <row r="4718" spans="1:12" ht="15" customHeight="1" x14ac:dyDescent="0.2">
      <c r="A4718" s="2">
        <v>39205</v>
      </c>
      <c r="B4718" s="3">
        <v>28.12</v>
      </c>
      <c r="C4718" s="1">
        <v>1043943</v>
      </c>
      <c r="D4718" s="3">
        <v>5.0000000000000697E-2</v>
      </c>
      <c r="E4718" s="3">
        <v>0.17812611328820099</v>
      </c>
      <c r="F4718" s="3">
        <v>0.17812611328820099</v>
      </c>
      <c r="G4718" s="3">
        <v>28.12</v>
      </c>
      <c r="H4718" s="3">
        <v>683.61733702640402</v>
      </c>
      <c r="I4718" s="3">
        <v>28.23</v>
      </c>
      <c r="J4718" s="3">
        <v>28.26</v>
      </c>
      <c r="K4718" s="3">
        <v>28.04</v>
      </c>
      <c r="L4718" s="3">
        <v>683.61733702640402</v>
      </c>
    </row>
    <row r="4719" spans="1:12" ht="15" customHeight="1" x14ac:dyDescent="0.2">
      <c r="A4719" s="2">
        <v>39204</v>
      </c>
      <c r="B4719" s="3">
        <v>28.07</v>
      </c>
      <c r="C4719" s="1">
        <v>2028570</v>
      </c>
      <c r="D4719" s="3">
        <v>-7.9999999999998295E-2</v>
      </c>
      <c r="E4719" s="3">
        <v>-0.28419182948489202</v>
      </c>
      <c r="F4719" s="3">
        <v>-0.28419182948489202</v>
      </c>
      <c r="G4719" s="3">
        <v>28.07</v>
      </c>
      <c r="H4719" s="3">
        <v>682.22399183254402</v>
      </c>
      <c r="I4719" s="3">
        <v>27.91</v>
      </c>
      <c r="J4719" s="3">
        <v>28.41</v>
      </c>
      <c r="K4719" s="3">
        <v>27.88</v>
      </c>
      <c r="L4719" s="3">
        <v>682.22399183254402</v>
      </c>
    </row>
    <row r="4720" spans="1:12" ht="15" customHeight="1" x14ac:dyDescent="0.2">
      <c r="A4720" s="2">
        <v>39203</v>
      </c>
      <c r="B4720" s="3">
        <v>28.15</v>
      </c>
      <c r="C4720" s="1">
        <v>2609253</v>
      </c>
      <c r="D4720" s="3">
        <v>0.54999999999999705</v>
      </c>
      <c r="E4720" s="3">
        <v>1.9927536231884</v>
      </c>
      <c r="F4720" s="3">
        <v>1.9927536231884</v>
      </c>
      <c r="G4720" s="3">
        <v>28.15</v>
      </c>
      <c r="H4720" s="3">
        <v>684.45334414271895</v>
      </c>
      <c r="I4720" s="3">
        <v>27.59</v>
      </c>
      <c r="J4720" s="3">
        <v>28.16</v>
      </c>
      <c r="K4720" s="3">
        <v>27.3</v>
      </c>
      <c r="L4720" s="3">
        <v>684.45334414271895</v>
      </c>
    </row>
    <row r="4721" spans="1:12" ht="15" customHeight="1" x14ac:dyDescent="0.2">
      <c r="A4721" s="2">
        <v>39202</v>
      </c>
      <c r="B4721" s="3">
        <v>27.6</v>
      </c>
      <c r="C4721" s="1">
        <v>3889730</v>
      </c>
      <c r="D4721" s="3">
        <v>-0.78999999999999904</v>
      </c>
      <c r="E4721" s="3">
        <v>-2.7826699542092199</v>
      </c>
      <c r="F4721" s="3">
        <v>-2.7826699542092199</v>
      </c>
      <c r="G4721" s="3">
        <v>27.6</v>
      </c>
      <c r="H4721" s="3">
        <v>669.12654701026804</v>
      </c>
      <c r="I4721" s="3">
        <v>28.38</v>
      </c>
      <c r="J4721" s="3">
        <v>28.47</v>
      </c>
      <c r="K4721" s="3">
        <v>27.53</v>
      </c>
      <c r="L4721" s="3">
        <v>669.12654701026804</v>
      </c>
    </row>
    <row r="4722" spans="1:12" ht="15" customHeight="1" x14ac:dyDescent="0.2">
      <c r="A4722" s="2">
        <v>39199</v>
      </c>
      <c r="B4722" s="3">
        <v>28.39</v>
      </c>
      <c r="C4722" s="1">
        <v>1710037</v>
      </c>
      <c r="D4722" s="3">
        <v>-0.48999999999999799</v>
      </c>
      <c r="E4722" s="3">
        <v>-1.696675900277</v>
      </c>
      <c r="F4722" s="3">
        <v>-1.696675900277</v>
      </c>
      <c r="G4722" s="3">
        <v>28.39</v>
      </c>
      <c r="H4722" s="3">
        <v>691.14140107324295</v>
      </c>
      <c r="I4722" s="3">
        <v>28.8</v>
      </c>
      <c r="J4722" s="3">
        <v>28.9</v>
      </c>
      <c r="K4722" s="3">
        <v>28.28</v>
      </c>
      <c r="L4722" s="3">
        <v>691.14140107324295</v>
      </c>
    </row>
    <row r="4723" spans="1:12" ht="15" customHeight="1" x14ac:dyDescent="0.2">
      <c r="A4723" s="2">
        <v>39198</v>
      </c>
      <c r="B4723" s="3">
        <v>28.88</v>
      </c>
      <c r="C4723" s="1">
        <v>3960365</v>
      </c>
      <c r="D4723" s="3">
        <v>0.5</v>
      </c>
      <c r="E4723" s="3">
        <v>1.7618040873854801</v>
      </c>
      <c r="F4723" s="3">
        <v>1.7618040873854801</v>
      </c>
      <c r="G4723" s="3">
        <v>28.88</v>
      </c>
      <c r="H4723" s="3">
        <v>704.79618397306297</v>
      </c>
      <c r="I4723" s="3">
        <v>29.49</v>
      </c>
      <c r="J4723" s="3">
        <v>29.78</v>
      </c>
      <c r="K4723" s="3">
        <v>28.77</v>
      </c>
      <c r="L4723" s="3">
        <v>704.79618397306297</v>
      </c>
    </row>
    <row r="4724" spans="1:12" ht="15" customHeight="1" x14ac:dyDescent="0.2">
      <c r="A4724" s="2">
        <v>39197</v>
      </c>
      <c r="B4724" s="3">
        <v>28.38</v>
      </c>
      <c r="C4724" s="1">
        <v>5788886</v>
      </c>
      <c r="D4724" s="3">
        <v>2.3499999999999899</v>
      </c>
      <c r="E4724" s="3">
        <v>9.0280445639646398</v>
      </c>
      <c r="F4724" s="3">
        <v>9.0280445639646398</v>
      </c>
      <c r="G4724" s="3">
        <v>28.38</v>
      </c>
      <c r="H4724" s="3">
        <v>690.86273203447104</v>
      </c>
      <c r="I4724" s="3">
        <v>28</v>
      </c>
      <c r="J4724" s="3">
        <v>29.03</v>
      </c>
      <c r="K4724" s="3">
        <v>27.02</v>
      </c>
      <c r="L4724" s="3">
        <v>690.86273203447104</v>
      </c>
    </row>
    <row r="4725" spans="1:12" ht="15" customHeight="1" x14ac:dyDescent="0.2">
      <c r="A4725" s="2">
        <v>39196</v>
      </c>
      <c r="B4725" s="3">
        <v>26.03</v>
      </c>
      <c r="C4725" s="1">
        <v>1843217</v>
      </c>
      <c r="D4725" s="3">
        <v>-9.9999999999997799E-2</v>
      </c>
      <c r="E4725" s="3">
        <v>-0.38270187523917698</v>
      </c>
      <c r="F4725" s="3">
        <v>-0.38270187523917698</v>
      </c>
      <c r="G4725" s="3">
        <v>26.03</v>
      </c>
      <c r="H4725" s="3">
        <v>625.37550792309003</v>
      </c>
      <c r="I4725" s="3">
        <v>26.12</v>
      </c>
      <c r="J4725" s="3">
        <v>26.19</v>
      </c>
      <c r="K4725" s="3">
        <v>25.65</v>
      </c>
      <c r="L4725" s="3">
        <v>625.37550792309003</v>
      </c>
    </row>
    <row r="4726" spans="1:12" ht="15" customHeight="1" x14ac:dyDescent="0.2">
      <c r="A4726" s="2">
        <v>39195</v>
      </c>
      <c r="B4726" s="3">
        <v>26.13</v>
      </c>
      <c r="C4726" s="1">
        <v>1428861</v>
      </c>
      <c r="D4726" s="3">
        <v>-3.0000000000001099E-2</v>
      </c>
      <c r="E4726" s="3">
        <v>-0.114678899082576</v>
      </c>
      <c r="F4726" s="3">
        <v>-0.114678899082576</v>
      </c>
      <c r="G4726" s="3">
        <v>26.13</v>
      </c>
      <c r="H4726" s="3">
        <v>628.16219831080798</v>
      </c>
      <c r="I4726" s="3">
        <v>26.18</v>
      </c>
      <c r="J4726" s="3">
        <v>26.59</v>
      </c>
      <c r="K4726" s="3">
        <v>25.96</v>
      </c>
      <c r="L4726" s="3">
        <v>628.16219831080798</v>
      </c>
    </row>
    <row r="4727" spans="1:12" ht="15" customHeight="1" x14ac:dyDescent="0.2">
      <c r="A4727" s="2">
        <v>39192</v>
      </c>
      <c r="B4727" s="3">
        <v>26.16</v>
      </c>
      <c r="C4727" s="1">
        <v>1107412</v>
      </c>
      <c r="D4727" s="3">
        <v>0.26999999999999902</v>
      </c>
      <c r="E4727" s="3">
        <v>1.04287369640787</v>
      </c>
      <c r="F4727" s="3">
        <v>1.04287369640787</v>
      </c>
      <c r="G4727" s="3">
        <v>26.16</v>
      </c>
      <c r="H4727" s="3">
        <v>628.99820542712405</v>
      </c>
      <c r="I4727" s="3">
        <v>26.07</v>
      </c>
      <c r="J4727" s="3">
        <v>26.18</v>
      </c>
      <c r="K4727" s="3">
        <v>25.88</v>
      </c>
      <c r="L4727" s="3">
        <v>628.99820542712405</v>
      </c>
    </row>
    <row r="4728" spans="1:12" ht="15" customHeight="1" x14ac:dyDescent="0.2">
      <c r="A4728" s="2">
        <v>39191</v>
      </c>
      <c r="B4728" s="3">
        <v>25.89</v>
      </c>
      <c r="C4728" s="1">
        <v>1773583</v>
      </c>
      <c r="D4728" s="3">
        <v>0.100000000000001</v>
      </c>
      <c r="E4728" s="3">
        <v>0.38774718883287601</v>
      </c>
      <c r="F4728" s="3">
        <v>0.38774718883287601</v>
      </c>
      <c r="G4728" s="3">
        <v>25.89</v>
      </c>
      <c r="H4728" s="3">
        <v>621.47414138028398</v>
      </c>
      <c r="I4728" s="3">
        <v>25.815000000000001</v>
      </c>
      <c r="J4728" s="3">
        <v>25.95</v>
      </c>
      <c r="K4728" s="3">
        <v>25.5</v>
      </c>
      <c r="L4728" s="3">
        <v>621.47414138028398</v>
      </c>
    </row>
    <row r="4729" spans="1:12" ht="15" customHeight="1" x14ac:dyDescent="0.2">
      <c r="A4729" s="2">
        <v>39190</v>
      </c>
      <c r="B4729" s="3">
        <v>25.79</v>
      </c>
      <c r="C4729" s="1">
        <v>2644635</v>
      </c>
      <c r="D4729" s="3">
        <v>-0.19999999999999901</v>
      </c>
      <c r="E4729" s="3">
        <v>-0.76952674105424901</v>
      </c>
      <c r="F4729" s="3">
        <v>-0.76952674105424901</v>
      </c>
      <c r="G4729" s="3">
        <v>25.79</v>
      </c>
      <c r="H4729" s="3">
        <v>618.68745099256603</v>
      </c>
      <c r="I4729" s="3">
        <v>25.84</v>
      </c>
      <c r="J4729" s="3">
        <v>26</v>
      </c>
      <c r="K4729" s="3">
        <v>25.31</v>
      </c>
      <c r="L4729" s="3">
        <v>618.68745099256603</v>
      </c>
    </row>
    <row r="4730" spans="1:12" ht="15" customHeight="1" x14ac:dyDescent="0.2">
      <c r="A4730" s="2">
        <v>39189</v>
      </c>
      <c r="B4730" s="3">
        <v>25.99</v>
      </c>
      <c r="C4730" s="1">
        <v>1345261</v>
      </c>
      <c r="D4730" s="3">
        <v>-0.39</v>
      </c>
      <c r="E4730" s="3">
        <v>-1.4783927217589099</v>
      </c>
      <c r="F4730" s="3">
        <v>-1.4783927217589099</v>
      </c>
      <c r="G4730" s="3">
        <v>25.99</v>
      </c>
      <c r="H4730" s="3">
        <v>624.26083176800205</v>
      </c>
      <c r="I4730" s="3">
        <v>26.32</v>
      </c>
      <c r="J4730" s="3">
        <v>26.42</v>
      </c>
      <c r="K4730" s="3">
        <v>25.87</v>
      </c>
      <c r="L4730" s="3">
        <v>624.26083176800205</v>
      </c>
    </row>
    <row r="4731" spans="1:12" ht="15" customHeight="1" x14ac:dyDescent="0.2">
      <c r="A4731" s="2">
        <v>39188</v>
      </c>
      <c r="B4731" s="3">
        <v>26.38</v>
      </c>
      <c r="C4731" s="1">
        <v>1117892</v>
      </c>
      <c r="D4731" s="3">
        <v>0.41</v>
      </c>
      <c r="E4731" s="3">
        <v>1.57874470542933</v>
      </c>
      <c r="F4731" s="3">
        <v>1.57874470542933</v>
      </c>
      <c r="G4731" s="3">
        <v>26.38</v>
      </c>
      <c r="H4731" s="3">
        <v>635.128924280104</v>
      </c>
      <c r="I4731" s="3">
        <v>25.92</v>
      </c>
      <c r="J4731" s="3">
        <v>26.39</v>
      </c>
      <c r="K4731" s="3">
        <v>25.92</v>
      </c>
      <c r="L4731" s="3">
        <v>635.128924280104</v>
      </c>
    </row>
    <row r="4732" spans="1:12" ht="15" customHeight="1" x14ac:dyDescent="0.2">
      <c r="A4732" s="2">
        <v>39185</v>
      </c>
      <c r="B4732" s="3">
        <v>25.97</v>
      </c>
      <c r="C4732" s="1">
        <v>894484</v>
      </c>
      <c r="D4732" s="3">
        <v>0.23</v>
      </c>
      <c r="E4732" s="3">
        <v>0.89355089355089801</v>
      </c>
      <c r="F4732" s="3">
        <v>0.89355089355089801</v>
      </c>
      <c r="G4732" s="3">
        <v>25.97</v>
      </c>
      <c r="H4732" s="3">
        <v>623.70349369045903</v>
      </c>
      <c r="I4732" s="3">
        <v>25.8</v>
      </c>
      <c r="J4732" s="3">
        <v>25.97</v>
      </c>
      <c r="K4732" s="3">
        <v>25.55</v>
      </c>
      <c r="L4732" s="3">
        <v>623.70349369045903</v>
      </c>
    </row>
    <row r="4733" spans="1:12" ht="15" customHeight="1" x14ac:dyDescent="0.2">
      <c r="A4733" s="2">
        <v>39184</v>
      </c>
      <c r="B4733" s="3">
        <v>25.74</v>
      </c>
      <c r="C4733" s="1">
        <v>1701298</v>
      </c>
      <c r="D4733" s="3">
        <v>2.9999999999997501E-2</v>
      </c>
      <c r="E4733" s="3">
        <v>0.11668611435238201</v>
      </c>
      <c r="F4733" s="3">
        <v>0.11668611435238201</v>
      </c>
      <c r="G4733" s="3">
        <v>25.74</v>
      </c>
      <c r="H4733" s="3">
        <v>617.29410579870603</v>
      </c>
      <c r="I4733" s="3">
        <v>25.71</v>
      </c>
      <c r="J4733" s="3">
        <v>25.92</v>
      </c>
      <c r="K4733" s="3">
        <v>25.32</v>
      </c>
      <c r="L4733" s="3">
        <v>617.29410579870603</v>
      </c>
    </row>
    <row r="4734" spans="1:12" ht="15" customHeight="1" x14ac:dyDescent="0.2">
      <c r="A4734" s="2">
        <v>39183</v>
      </c>
      <c r="B4734" s="3">
        <v>25.71</v>
      </c>
      <c r="C4734" s="1">
        <v>2432463</v>
      </c>
      <c r="D4734" s="3">
        <v>-0.53999999999999904</v>
      </c>
      <c r="E4734" s="3">
        <v>-2.0571428571428498</v>
      </c>
      <c r="F4734" s="3">
        <v>-2.0571428571428498</v>
      </c>
      <c r="G4734" s="3">
        <v>25.71</v>
      </c>
      <c r="H4734" s="3">
        <v>616.45809868239098</v>
      </c>
      <c r="I4734" s="3">
        <v>26.23</v>
      </c>
      <c r="J4734" s="3">
        <v>26.31</v>
      </c>
      <c r="K4734" s="3">
        <v>25.54</v>
      </c>
      <c r="L4734" s="3">
        <v>616.45809868239098</v>
      </c>
    </row>
    <row r="4735" spans="1:12" ht="15" customHeight="1" x14ac:dyDescent="0.2">
      <c r="A4735" s="2">
        <v>39182</v>
      </c>
      <c r="B4735" s="3">
        <v>26.25</v>
      </c>
      <c r="C4735" s="1">
        <v>818256</v>
      </c>
      <c r="D4735" s="3">
        <v>-0.190000000000001</v>
      </c>
      <c r="E4735" s="3">
        <v>-0.71860816944024897</v>
      </c>
      <c r="F4735" s="3">
        <v>-0.71860816944024897</v>
      </c>
      <c r="G4735" s="3">
        <v>26.25</v>
      </c>
      <c r="H4735" s="3">
        <v>631.50622677606998</v>
      </c>
      <c r="I4735" s="3">
        <v>26.44</v>
      </c>
      <c r="J4735" s="3">
        <v>26.465</v>
      </c>
      <c r="K4735" s="3">
        <v>26.22</v>
      </c>
      <c r="L4735" s="3">
        <v>631.50622677606998</v>
      </c>
    </row>
    <row r="4736" spans="1:12" ht="15" customHeight="1" x14ac:dyDescent="0.2">
      <c r="A4736" s="2">
        <v>39181</v>
      </c>
      <c r="B4736" s="3">
        <v>26.44</v>
      </c>
      <c r="C4736" s="1">
        <v>609319</v>
      </c>
      <c r="D4736" s="3">
        <v>-0.109999999999999</v>
      </c>
      <c r="E4736" s="3">
        <v>-0.41431261770244998</v>
      </c>
      <c r="F4736" s="3">
        <v>-0.41431261770244998</v>
      </c>
      <c r="G4736" s="3">
        <v>26.44</v>
      </c>
      <c r="H4736" s="3">
        <v>636.800938512735</v>
      </c>
      <c r="I4736" s="3">
        <v>26.53</v>
      </c>
      <c r="J4736" s="3">
        <v>26.64</v>
      </c>
      <c r="K4736" s="3">
        <v>26.43</v>
      </c>
      <c r="L4736" s="3">
        <v>636.800938512735</v>
      </c>
    </row>
    <row r="4737" spans="1:12" ht="15" customHeight="1" x14ac:dyDescent="0.2">
      <c r="A4737" s="2">
        <v>39177</v>
      </c>
      <c r="B4737" s="3">
        <v>26.55</v>
      </c>
      <c r="C4737" s="1">
        <v>857081</v>
      </c>
      <c r="D4737" s="3">
        <v>-2.9999999999997501E-2</v>
      </c>
      <c r="E4737" s="3">
        <v>-0.112866817155743</v>
      </c>
      <c r="F4737" s="3">
        <v>-0.112866817155743</v>
      </c>
      <c r="G4737" s="3">
        <v>26.55</v>
      </c>
      <c r="H4737" s="3">
        <v>639.86629793922498</v>
      </c>
      <c r="I4737" s="3">
        <v>26.58</v>
      </c>
      <c r="J4737" s="3">
        <v>26.78</v>
      </c>
      <c r="K4737" s="3">
        <v>26.5</v>
      </c>
      <c r="L4737" s="3">
        <v>639.86629793922498</v>
      </c>
    </row>
    <row r="4738" spans="1:12" ht="15" customHeight="1" x14ac:dyDescent="0.2">
      <c r="A4738" s="2">
        <v>39176</v>
      </c>
      <c r="B4738" s="3">
        <v>26.58</v>
      </c>
      <c r="C4738" s="1">
        <v>1197642</v>
      </c>
      <c r="D4738" s="3">
        <v>-0.53000000000000103</v>
      </c>
      <c r="E4738" s="3">
        <v>-1.9549981556621201</v>
      </c>
      <c r="F4738" s="3">
        <v>-1.9549981556621201</v>
      </c>
      <c r="G4738" s="3">
        <v>26.58</v>
      </c>
      <c r="H4738" s="3">
        <v>640.70230505554105</v>
      </c>
      <c r="I4738" s="3">
        <v>27.01</v>
      </c>
      <c r="J4738" s="3">
        <v>27.12</v>
      </c>
      <c r="K4738" s="3">
        <v>26.45</v>
      </c>
      <c r="L4738" s="3">
        <v>640.70230505554105</v>
      </c>
    </row>
    <row r="4739" spans="1:12" ht="15" customHeight="1" x14ac:dyDescent="0.2">
      <c r="A4739" s="2">
        <v>39175</v>
      </c>
      <c r="B4739" s="3">
        <v>27.11</v>
      </c>
      <c r="C4739" s="1">
        <v>995938</v>
      </c>
      <c r="D4739" s="3">
        <v>0.32</v>
      </c>
      <c r="E4739" s="3">
        <v>1.19447555057856</v>
      </c>
      <c r="F4739" s="3">
        <v>1.19447555057856</v>
      </c>
      <c r="G4739" s="3">
        <v>27.11</v>
      </c>
      <c r="H4739" s="3">
        <v>655.47176411044802</v>
      </c>
      <c r="I4739" s="3">
        <v>26.9</v>
      </c>
      <c r="J4739" s="3">
        <v>27.29</v>
      </c>
      <c r="K4739" s="3">
        <v>26.81</v>
      </c>
      <c r="L4739" s="3">
        <v>655.47176411044802</v>
      </c>
    </row>
    <row r="4740" spans="1:12" ht="15" customHeight="1" x14ac:dyDescent="0.2">
      <c r="A4740" s="2">
        <v>39174</v>
      </c>
      <c r="B4740" s="3">
        <v>26.79</v>
      </c>
      <c r="C4740" s="1">
        <v>675438</v>
      </c>
      <c r="D4740" s="3">
        <v>0.14000000000000001</v>
      </c>
      <c r="E4740" s="3">
        <v>0.52532833020637604</v>
      </c>
      <c r="F4740" s="3">
        <v>0.52532833020637604</v>
      </c>
      <c r="G4740" s="3">
        <v>26.79</v>
      </c>
      <c r="H4740" s="3">
        <v>646.55435486974898</v>
      </c>
      <c r="I4740" s="3">
        <v>26.7</v>
      </c>
      <c r="J4740" s="3">
        <v>26.79</v>
      </c>
      <c r="K4740" s="3">
        <v>26.52</v>
      </c>
      <c r="L4740" s="3">
        <v>646.55435486974898</v>
      </c>
    </row>
    <row r="4741" spans="1:12" ht="15" customHeight="1" x14ac:dyDescent="0.2">
      <c r="A4741" s="2">
        <v>39171</v>
      </c>
      <c r="B4741" s="3">
        <v>26.65</v>
      </c>
      <c r="C4741" s="1">
        <v>982531</v>
      </c>
      <c r="D4741" s="3">
        <v>-7.0000000000000201E-2</v>
      </c>
      <c r="E4741" s="3">
        <v>-0.26197604790418799</v>
      </c>
      <c r="F4741" s="3">
        <v>-0.26197604790418799</v>
      </c>
      <c r="G4741" s="3">
        <v>26.65</v>
      </c>
      <c r="H4741" s="3">
        <v>642.65298832694396</v>
      </c>
      <c r="I4741" s="3">
        <v>26.8</v>
      </c>
      <c r="J4741" s="3">
        <v>26.87</v>
      </c>
      <c r="K4741" s="3">
        <v>26.57</v>
      </c>
      <c r="L4741" s="3">
        <v>642.65298832694396</v>
      </c>
    </row>
    <row r="4742" spans="1:12" ht="15" customHeight="1" x14ac:dyDescent="0.2">
      <c r="A4742" s="2">
        <v>39170</v>
      </c>
      <c r="B4742" s="3">
        <v>26.72</v>
      </c>
      <c r="C4742" s="1">
        <v>1293653</v>
      </c>
      <c r="D4742" s="3">
        <v>-0.23</v>
      </c>
      <c r="E4742" s="3">
        <v>-0.85343228200370702</v>
      </c>
      <c r="F4742" s="3">
        <v>-0.85343228200370702</v>
      </c>
      <c r="G4742" s="3">
        <v>26.72</v>
      </c>
      <c r="H4742" s="3">
        <v>644.60367159834698</v>
      </c>
      <c r="I4742" s="3">
        <v>26.97</v>
      </c>
      <c r="J4742" s="3">
        <v>27.1</v>
      </c>
      <c r="K4742" s="3">
        <v>26.66</v>
      </c>
      <c r="L4742" s="3">
        <v>644.60367159834698</v>
      </c>
    </row>
    <row r="4743" spans="1:12" ht="15" customHeight="1" x14ac:dyDescent="0.2">
      <c r="A4743" s="2">
        <v>39169</v>
      </c>
      <c r="B4743" s="3">
        <v>26.95</v>
      </c>
      <c r="C4743" s="1">
        <v>1013893</v>
      </c>
      <c r="D4743" s="3">
        <v>-0.15000000000000199</v>
      </c>
      <c r="E4743" s="3">
        <v>-0.55350553505535405</v>
      </c>
      <c r="F4743" s="3">
        <v>-0.55350553505535405</v>
      </c>
      <c r="G4743" s="3">
        <v>26.95</v>
      </c>
      <c r="H4743" s="3">
        <v>651.01305949009895</v>
      </c>
      <c r="I4743" s="3">
        <v>27.08</v>
      </c>
      <c r="J4743" s="3">
        <v>27.14</v>
      </c>
      <c r="K4743" s="3">
        <v>26.78</v>
      </c>
      <c r="L4743" s="3">
        <v>651.01305949009895</v>
      </c>
    </row>
    <row r="4744" spans="1:12" ht="15" customHeight="1" x14ac:dyDescent="0.2">
      <c r="A4744" s="2">
        <v>39168</v>
      </c>
      <c r="B4744" s="3">
        <v>27.1</v>
      </c>
      <c r="C4744" s="1">
        <v>841846</v>
      </c>
      <c r="D4744" s="3">
        <v>-0.27999999999999697</v>
      </c>
      <c r="E4744" s="3">
        <v>-1.0226442658874899</v>
      </c>
      <c r="F4744" s="3">
        <v>-1.0226442658874899</v>
      </c>
      <c r="G4744" s="3">
        <v>27.1</v>
      </c>
      <c r="H4744" s="3">
        <v>655.193095071676</v>
      </c>
      <c r="I4744" s="3">
        <v>27.03</v>
      </c>
      <c r="J4744" s="3">
        <v>27.25</v>
      </c>
      <c r="K4744" s="3">
        <v>27</v>
      </c>
      <c r="L4744" s="3">
        <v>655.193095071676</v>
      </c>
    </row>
    <row r="4745" spans="1:12" ht="15" customHeight="1" x14ac:dyDescent="0.2">
      <c r="A4745" s="2">
        <v>39167</v>
      </c>
      <c r="B4745" s="3">
        <v>27.38</v>
      </c>
      <c r="C4745" s="1">
        <v>1092147</v>
      </c>
      <c r="D4745" s="3">
        <v>5.0000000000000697E-2</v>
      </c>
      <c r="E4745" s="3">
        <v>0.182949140139054</v>
      </c>
      <c r="F4745" s="3">
        <v>0.182949140139054</v>
      </c>
      <c r="G4745" s="3">
        <v>27.38</v>
      </c>
      <c r="H4745" s="3">
        <v>662.99582815728797</v>
      </c>
      <c r="I4745" s="3">
        <v>27.31</v>
      </c>
      <c r="J4745" s="3">
        <v>27.43</v>
      </c>
      <c r="K4745" s="3">
        <v>26.91</v>
      </c>
      <c r="L4745" s="3">
        <v>662.99582815728797</v>
      </c>
    </row>
    <row r="4746" spans="1:12" ht="15" customHeight="1" x14ac:dyDescent="0.2">
      <c r="A4746" s="2">
        <v>39164</v>
      </c>
      <c r="B4746" s="3">
        <v>27.33</v>
      </c>
      <c r="C4746" s="1">
        <v>1157141</v>
      </c>
      <c r="D4746" s="3">
        <v>-0.12000000000000099</v>
      </c>
      <c r="E4746" s="3">
        <v>-0.43715846994535301</v>
      </c>
      <c r="F4746" s="3">
        <v>-0.43715846994535301</v>
      </c>
      <c r="G4746" s="3">
        <v>27.33</v>
      </c>
      <c r="H4746" s="3">
        <v>661.60248296342797</v>
      </c>
      <c r="I4746" s="3">
        <v>27.45</v>
      </c>
      <c r="J4746" s="3">
        <v>27.53</v>
      </c>
      <c r="K4746" s="3">
        <v>27.19</v>
      </c>
      <c r="L4746" s="3">
        <v>661.60248296342797</v>
      </c>
    </row>
    <row r="4747" spans="1:12" ht="15" customHeight="1" x14ac:dyDescent="0.2">
      <c r="A4747" s="2">
        <v>39163</v>
      </c>
      <c r="B4747" s="3">
        <v>27.45</v>
      </c>
      <c r="C4747" s="1">
        <v>995469</v>
      </c>
      <c r="D4747" s="3">
        <v>0.3</v>
      </c>
      <c r="E4747" s="3">
        <v>1.1049723756906</v>
      </c>
      <c r="F4747" s="3">
        <v>1.1049723756906</v>
      </c>
      <c r="G4747" s="3">
        <v>27.45</v>
      </c>
      <c r="H4747" s="3">
        <v>664.94651142868997</v>
      </c>
      <c r="I4747" s="3">
        <v>27.01</v>
      </c>
      <c r="J4747" s="3">
        <v>27.46</v>
      </c>
      <c r="K4747" s="3">
        <v>26.93</v>
      </c>
      <c r="L4747" s="3">
        <v>664.94651142868997</v>
      </c>
    </row>
    <row r="4748" spans="1:12" ht="15" customHeight="1" x14ac:dyDescent="0.2">
      <c r="A4748" s="2">
        <v>39162</v>
      </c>
      <c r="B4748" s="3">
        <v>27.15</v>
      </c>
      <c r="C4748" s="1">
        <v>1799224</v>
      </c>
      <c r="D4748" s="3">
        <v>-5.0000000000000697E-2</v>
      </c>
      <c r="E4748" s="3">
        <v>-0.183823529411764</v>
      </c>
      <c r="F4748" s="3">
        <v>-0.183823529411764</v>
      </c>
      <c r="G4748" s="3">
        <v>27.15</v>
      </c>
      <c r="H4748" s="3">
        <v>656.586440265536</v>
      </c>
      <c r="I4748" s="3">
        <v>27.14</v>
      </c>
      <c r="J4748" s="3">
        <v>27.17</v>
      </c>
      <c r="K4748" s="3">
        <v>26.65</v>
      </c>
      <c r="L4748" s="3">
        <v>656.586440265536</v>
      </c>
    </row>
    <row r="4749" spans="1:12" ht="15" customHeight="1" x14ac:dyDescent="0.2">
      <c r="A4749" s="2">
        <v>39161</v>
      </c>
      <c r="B4749" s="3">
        <v>27.2</v>
      </c>
      <c r="C4749" s="1">
        <v>2785139</v>
      </c>
      <c r="D4749" s="3">
        <v>-0.51000000000000101</v>
      </c>
      <c r="E4749" s="3">
        <v>-1.8404907975460101</v>
      </c>
      <c r="F4749" s="3">
        <v>-1.8404907975460101</v>
      </c>
      <c r="G4749" s="3">
        <v>27.2</v>
      </c>
      <c r="H4749" s="3">
        <v>657.97978545939498</v>
      </c>
      <c r="I4749" s="3">
        <v>27.62</v>
      </c>
      <c r="J4749" s="3">
        <v>28.07</v>
      </c>
      <c r="K4749" s="3">
        <v>26.91</v>
      </c>
      <c r="L4749" s="3">
        <v>657.97978545939498</v>
      </c>
    </row>
    <row r="4750" spans="1:12" ht="15" customHeight="1" x14ac:dyDescent="0.2">
      <c r="A4750" s="2">
        <v>39160</v>
      </c>
      <c r="B4750" s="3">
        <v>27.71</v>
      </c>
      <c r="C4750" s="1">
        <v>1008912</v>
      </c>
      <c r="D4750" s="3">
        <v>0.25</v>
      </c>
      <c r="E4750" s="3">
        <v>0.91041514930807399</v>
      </c>
      <c r="F4750" s="3">
        <v>0.91041514930807399</v>
      </c>
      <c r="G4750" s="3">
        <v>27.71</v>
      </c>
      <c r="H4750" s="3">
        <v>672.19190643675802</v>
      </c>
      <c r="I4750" s="3">
        <v>27.63</v>
      </c>
      <c r="J4750" s="3">
        <v>27.74</v>
      </c>
      <c r="K4750" s="3">
        <v>27.37</v>
      </c>
      <c r="L4750" s="3">
        <v>672.19190643675802</v>
      </c>
    </row>
    <row r="4751" spans="1:12" ht="15" customHeight="1" x14ac:dyDescent="0.2">
      <c r="A4751" s="2">
        <v>39157</v>
      </c>
      <c r="B4751" s="3">
        <v>27.46</v>
      </c>
      <c r="C4751" s="1">
        <v>999079</v>
      </c>
      <c r="D4751" s="3">
        <v>-0.12999999999999901</v>
      </c>
      <c r="E4751" s="3">
        <v>-0.47118521203334202</v>
      </c>
      <c r="F4751" s="3">
        <v>-0.47118521203334202</v>
      </c>
      <c r="G4751" s="3">
        <v>27.46</v>
      </c>
      <c r="H4751" s="3">
        <v>665.225180467462</v>
      </c>
      <c r="I4751" s="3">
        <v>27.61</v>
      </c>
      <c r="J4751" s="3">
        <v>27.71</v>
      </c>
      <c r="K4751" s="3">
        <v>27.28</v>
      </c>
      <c r="L4751" s="3">
        <v>665.225180467462</v>
      </c>
    </row>
    <row r="4752" spans="1:12" ht="15" customHeight="1" x14ac:dyDescent="0.2">
      <c r="A4752" s="2">
        <v>39156</v>
      </c>
      <c r="B4752" s="3">
        <v>27.59</v>
      </c>
      <c r="C4752" s="1">
        <v>1466965</v>
      </c>
      <c r="D4752" s="3">
        <v>0.25</v>
      </c>
      <c r="E4752" s="3">
        <v>0.91441111923920004</v>
      </c>
      <c r="F4752" s="3">
        <v>0.91441111923920004</v>
      </c>
      <c r="G4752" s="3">
        <v>27.59</v>
      </c>
      <c r="H4752" s="3">
        <v>668.84787797149602</v>
      </c>
      <c r="I4752" s="3">
        <v>27.26</v>
      </c>
      <c r="J4752" s="3">
        <v>27.85</v>
      </c>
      <c r="K4752" s="3">
        <v>27.25</v>
      </c>
      <c r="L4752" s="3">
        <v>668.84787797149602</v>
      </c>
    </row>
    <row r="4753" spans="1:12" ht="15" customHeight="1" x14ac:dyDescent="0.2">
      <c r="A4753" s="2">
        <v>39155</v>
      </c>
      <c r="B4753" s="3">
        <v>27.34</v>
      </c>
      <c r="C4753" s="1">
        <v>2211442</v>
      </c>
      <c r="D4753" s="3">
        <v>0.62999999999999901</v>
      </c>
      <c r="E4753" s="3">
        <v>2.3586671658554801</v>
      </c>
      <c r="F4753" s="3">
        <v>2.3586671658554801</v>
      </c>
      <c r="G4753" s="3">
        <v>27.34</v>
      </c>
      <c r="H4753" s="3">
        <v>661.8811520022</v>
      </c>
      <c r="I4753" s="3">
        <v>27.204999999999998</v>
      </c>
      <c r="J4753" s="3">
        <v>27.42</v>
      </c>
      <c r="K4753" s="3">
        <v>26.82</v>
      </c>
      <c r="L4753" s="3">
        <v>661.8811520022</v>
      </c>
    </row>
    <row r="4754" spans="1:12" ht="15" customHeight="1" x14ac:dyDescent="0.2">
      <c r="A4754" s="2">
        <v>39154</v>
      </c>
      <c r="B4754" s="3">
        <v>26.71</v>
      </c>
      <c r="C4754" s="1">
        <v>1274034</v>
      </c>
      <c r="D4754" s="3">
        <v>-0.32</v>
      </c>
      <c r="E4754" s="3">
        <v>-1.1838697743248301</v>
      </c>
      <c r="F4754" s="3">
        <v>-1.1838697743248301</v>
      </c>
      <c r="G4754" s="3">
        <v>26.71</v>
      </c>
      <c r="H4754" s="3">
        <v>644.32500255957495</v>
      </c>
      <c r="I4754" s="3">
        <v>26.86</v>
      </c>
      <c r="J4754" s="3">
        <v>27.05</v>
      </c>
      <c r="K4754" s="3">
        <v>26.51</v>
      </c>
      <c r="L4754" s="3">
        <v>644.32500255957495</v>
      </c>
    </row>
    <row r="4755" spans="1:12" ht="15" customHeight="1" x14ac:dyDescent="0.2">
      <c r="A4755" s="2">
        <v>39153</v>
      </c>
      <c r="B4755" s="3">
        <v>27.03</v>
      </c>
      <c r="C4755" s="1">
        <v>867715</v>
      </c>
      <c r="D4755" s="3">
        <v>8.9999999999999802E-2</v>
      </c>
      <c r="E4755" s="3">
        <v>0.33407572383072898</v>
      </c>
      <c r="F4755" s="3">
        <v>0.33407572383072898</v>
      </c>
      <c r="G4755" s="3">
        <v>27.03</v>
      </c>
      <c r="H4755" s="3">
        <v>653.24241180027298</v>
      </c>
      <c r="I4755" s="3">
        <v>27</v>
      </c>
      <c r="J4755" s="3">
        <v>27.32</v>
      </c>
      <c r="K4755" s="3">
        <v>26.84</v>
      </c>
      <c r="L4755" s="3">
        <v>653.24241180027298</v>
      </c>
    </row>
    <row r="4756" spans="1:12" ht="15" customHeight="1" x14ac:dyDescent="0.2">
      <c r="A4756" s="2">
        <v>39150</v>
      </c>
      <c r="B4756" s="3">
        <v>26.94</v>
      </c>
      <c r="C4756" s="1">
        <v>1988853</v>
      </c>
      <c r="D4756" s="3">
        <v>-0.66</v>
      </c>
      <c r="E4756" s="3">
        <v>-2.3913043478260798</v>
      </c>
      <c r="F4756" s="3">
        <v>-2.3913043478260798</v>
      </c>
      <c r="G4756" s="3">
        <v>26.94</v>
      </c>
      <c r="H4756" s="3">
        <v>650.73439045132704</v>
      </c>
      <c r="I4756" s="3">
        <v>27</v>
      </c>
      <c r="J4756" s="3">
        <v>27.48</v>
      </c>
      <c r="K4756" s="3">
        <v>26.59</v>
      </c>
      <c r="L4756" s="3">
        <v>650.73439045132704</v>
      </c>
    </row>
    <row r="4757" spans="1:12" ht="15" customHeight="1" x14ac:dyDescent="0.2">
      <c r="A4757" s="2">
        <v>39149</v>
      </c>
      <c r="B4757" s="3">
        <v>27.6</v>
      </c>
      <c r="C4757" s="1">
        <v>1625207</v>
      </c>
      <c r="D4757" s="3">
        <v>0.24000000000000199</v>
      </c>
      <c r="E4757" s="3">
        <v>0.87719298245614297</v>
      </c>
      <c r="F4757" s="3">
        <v>0.87719298245614297</v>
      </c>
      <c r="G4757" s="3">
        <v>27.6</v>
      </c>
      <c r="H4757" s="3">
        <v>669.12654701026804</v>
      </c>
      <c r="I4757" s="3">
        <v>27.5</v>
      </c>
      <c r="J4757" s="3">
        <v>27.82</v>
      </c>
      <c r="K4757" s="3">
        <v>27.34</v>
      </c>
      <c r="L4757" s="3">
        <v>669.12654701026804</v>
      </c>
    </row>
    <row r="4758" spans="1:12" ht="15" customHeight="1" x14ac:dyDescent="0.2">
      <c r="A4758" s="2">
        <v>39148</v>
      </c>
      <c r="B4758" s="3">
        <v>27.36</v>
      </c>
      <c r="C4758" s="1">
        <v>2078806</v>
      </c>
      <c r="D4758" s="3">
        <v>0.73</v>
      </c>
      <c r="E4758" s="3">
        <v>2.7412692452121599</v>
      </c>
      <c r="F4758" s="3">
        <v>2.7412692452121599</v>
      </c>
      <c r="G4758" s="3">
        <v>27.36</v>
      </c>
      <c r="H4758" s="3">
        <v>662.43849007974404</v>
      </c>
      <c r="I4758" s="3">
        <v>27.16</v>
      </c>
      <c r="J4758" s="3">
        <v>27.47</v>
      </c>
      <c r="K4758" s="3">
        <v>26.82</v>
      </c>
      <c r="L4758" s="3">
        <v>662.43849007974404</v>
      </c>
    </row>
    <row r="4759" spans="1:12" ht="15" customHeight="1" x14ac:dyDescent="0.2">
      <c r="A4759" s="2">
        <v>39147</v>
      </c>
      <c r="B4759" s="3">
        <v>26.63</v>
      </c>
      <c r="C4759" s="1">
        <v>919144</v>
      </c>
      <c r="D4759" s="3">
        <v>0.56999999999999995</v>
      </c>
      <c r="E4759" s="3">
        <v>2.1872601688411399</v>
      </c>
      <c r="F4759" s="3">
        <v>2.1872601688411399</v>
      </c>
      <c r="G4759" s="3">
        <v>26.63</v>
      </c>
      <c r="H4759" s="3">
        <v>642.09565024940002</v>
      </c>
      <c r="I4759" s="3">
        <v>26.18</v>
      </c>
      <c r="J4759" s="3">
        <v>26.91</v>
      </c>
      <c r="K4759" s="3">
        <v>26.18</v>
      </c>
      <c r="L4759" s="3">
        <v>642.09565024940002</v>
      </c>
    </row>
    <row r="4760" spans="1:12" ht="15" customHeight="1" x14ac:dyDescent="0.2">
      <c r="A4760" s="2">
        <v>39146</v>
      </c>
      <c r="B4760" s="3">
        <v>26.06</v>
      </c>
      <c r="C4760" s="1">
        <v>845655</v>
      </c>
      <c r="D4760" s="3">
        <v>-0.62000000000000099</v>
      </c>
      <c r="E4760" s="3">
        <v>-2.3238380809595198</v>
      </c>
      <c r="F4760" s="3">
        <v>-2.3238380809595198</v>
      </c>
      <c r="G4760" s="3">
        <v>26.06</v>
      </c>
      <c r="H4760" s="3">
        <v>626.21151503940496</v>
      </c>
      <c r="I4760" s="3">
        <v>26.45</v>
      </c>
      <c r="J4760" s="3">
        <v>26.62</v>
      </c>
      <c r="K4760" s="3">
        <v>26.06</v>
      </c>
      <c r="L4760" s="3">
        <v>626.21151503940496</v>
      </c>
    </row>
    <row r="4761" spans="1:12" ht="15" customHeight="1" x14ac:dyDescent="0.2">
      <c r="A4761" s="2">
        <v>39143</v>
      </c>
      <c r="B4761" s="3">
        <v>26.68</v>
      </c>
      <c r="C4761" s="1">
        <v>1026990</v>
      </c>
      <c r="D4761" s="3">
        <v>-0.33999999999999903</v>
      </c>
      <c r="E4761" s="3">
        <v>-1.25832716506291</v>
      </c>
      <c r="F4761" s="3">
        <v>-1.25832716506291</v>
      </c>
      <c r="G4761" s="3">
        <v>26.68</v>
      </c>
      <c r="H4761" s="3">
        <v>643.488995443259</v>
      </c>
      <c r="I4761" s="3">
        <v>26.92</v>
      </c>
      <c r="J4761" s="3">
        <v>27.03</v>
      </c>
      <c r="K4761" s="3">
        <v>26.66</v>
      </c>
      <c r="L4761" s="3">
        <v>643.488995443259</v>
      </c>
    </row>
    <row r="4762" spans="1:12" ht="15" customHeight="1" x14ac:dyDescent="0.2">
      <c r="A4762" s="2">
        <v>39142</v>
      </c>
      <c r="B4762" s="3">
        <v>27.02</v>
      </c>
      <c r="C4762" s="1">
        <v>1257337</v>
      </c>
      <c r="D4762" s="3">
        <v>-0.26999999999999902</v>
      </c>
      <c r="E4762" s="3">
        <v>-0.98937339684865799</v>
      </c>
      <c r="F4762" s="3">
        <v>-0.98937339684865799</v>
      </c>
      <c r="G4762" s="3">
        <v>27.02</v>
      </c>
      <c r="H4762" s="3">
        <v>652.96374276150198</v>
      </c>
      <c r="I4762" s="3">
        <v>27.03</v>
      </c>
      <c r="J4762" s="3">
        <v>27.5</v>
      </c>
      <c r="K4762" s="3">
        <v>26.6</v>
      </c>
      <c r="L4762" s="3">
        <v>652.96374276150198</v>
      </c>
    </row>
    <row r="4763" spans="1:12" ht="15" customHeight="1" x14ac:dyDescent="0.2">
      <c r="A4763" s="2">
        <v>39141</v>
      </c>
      <c r="B4763" s="3">
        <v>27.29</v>
      </c>
      <c r="C4763" s="1">
        <v>1015961</v>
      </c>
      <c r="D4763" s="3">
        <v>1.9999999999999501E-2</v>
      </c>
      <c r="E4763" s="3">
        <v>7.3340667400079093E-2</v>
      </c>
      <c r="F4763" s="3">
        <v>7.3340667400079093E-2</v>
      </c>
      <c r="G4763" s="3">
        <v>27.29</v>
      </c>
      <c r="H4763" s="3">
        <v>660.48780680834102</v>
      </c>
      <c r="I4763" s="3">
        <v>27.37</v>
      </c>
      <c r="J4763" s="3">
        <v>27.52</v>
      </c>
      <c r="K4763" s="3">
        <v>27.05</v>
      </c>
      <c r="L4763" s="3">
        <v>660.48780680834102</v>
      </c>
    </row>
    <row r="4764" spans="1:12" ht="15" customHeight="1" x14ac:dyDescent="0.2">
      <c r="A4764" s="2">
        <v>39140</v>
      </c>
      <c r="B4764" s="3">
        <v>27.27</v>
      </c>
      <c r="C4764" s="1">
        <v>1392829</v>
      </c>
      <c r="D4764" s="3">
        <v>-0.89</v>
      </c>
      <c r="E4764" s="3">
        <v>-3.1605113636363602</v>
      </c>
      <c r="F4764" s="3">
        <v>-3.1605113636363602</v>
      </c>
      <c r="G4764" s="3">
        <v>27.27</v>
      </c>
      <c r="H4764" s="3">
        <v>659.93046873079697</v>
      </c>
      <c r="I4764" s="3">
        <v>27.67</v>
      </c>
      <c r="J4764" s="3">
        <v>27.88</v>
      </c>
      <c r="K4764" s="3">
        <v>27.18</v>
      </c>
      <c r="L4764" s="3">
        <v>659.93046873079697</v>
      </c>
    </row>
    <row r="4765" spans="1:12" ht="15" customHeight="1" x14ac:dyDescent="0.2">
      <c r="A4765" s="2">
        <v>39139</v>
      </c>
      <c r="B4765" s="3">
        <v>28.16</v>
      </c>
      <c r="C4765" s="1">
        <v>626662</v>
      </c>
      <c r="D4765" s="3">
        <v>-1.0000000000001501E-2</v>
      </c>
      <c r="E4765" s="3">
        <v>-3.5498757543494998E-2</v>
      </c>
      <c r="F4765" s="3">
        <v>-3.5498757543494998E-2</v>
      </c>
      <c r="G4765" s="3">
        <v>28.16</v>
      </c>
      <c r="H4765" s="3">
        <v>684.73201318149097</v>
      </c>
      <c r="I4765" s="3">
        <v>28.32</v>
      </c>
      <c r="J4765" s="3">
        <v>28.46</v>
      </c>
      <c r="K4765" s="3">
        <v>28.05</v>
      </c>
      <c r="L4765" s="3">
        <v>684.73201318149097</v>
      </c>
    </row>
    <row r="4766" spans="1:12" ht="15" customHeight="1" x14ac:dyDescent="0.2">
      <c r="A4766" s="2">
        <v>39136</v>
      </c>
      <c r="B4766" s="3">
        <v>28.17</v>
      </c>
      <c r="C4766" s="1">
        <v>867822</v>
      </c>
      <c r="D4766" s="3">
        <v>0.25</v>
      </c>
      <c r="E4766" s="3">
        <v>0.89541547277935896</v>
      </c>
      <c r="F4766" s="3">
        <v>0.89541547277935896</v>
      </c>
      <c r="G4766" s="3">
        <v>28.17</v>
      </c>
      <c r="H4766" s="3">
        <v>685.01068222026299</v>
      </c>
      <c r="I4766" s="3">
        <v>27.98</v>
      </c>
      <c r="J4766" s="3">
        <v>28.32</v>
      </c>
      <c r="K4766" s="3">
        <v>27.71</v>
      </c>
      <c r="L4766" s="3">
        <v>685.01068222026299</v>
      </c>
    </row>
    <row r="4767" spans="1:12" ht="15" customHeight="1" x14ac:dyDescent="0.2">
      <c r="A4767" s="2">
        <v>39135</v>
      </c>
      <c r="B4767" s="3">
        <v>27.92</v>
      </c>
      <c r="C4767" s="1">
        <v>1101453</v>
      </c>
      <c r="D4767" s="3">
        <v>-0.5</v>
      </c>
      <c r="E4767" s="3">
        <v>-1.7593244194229301</v>
      </c>
      <c r="F4767" s="3">
        <v>-1.7593244194229301</v>
      </c>
      <c r="G4767" s="3">
        <v>27.92</v>
      </c>
      <c r="H4767" s="3">
        <v>678.04395625096697</v>
      </c>
      <c r="I4767" s="3">
        <v>28.51</v>
      </c>
      <c r="J4767" s="3">
        <v>28.54</v>
      </c>
      <c r="K4767" s="3">
        <v>27.870999999999999</v>
      </c>
      <c r="L4767" s="3">
        <v>678.04395625096697</v>
      </c>
    </row>
    <row r="4768" spans="1:12" ht="15" customHeight="1" x14ac:dyDescent="0.2">
      <c r="A4768" s="2">
        <v>39134</v>
      </c>
      <c r="B4768" s="3">
        <v>28.42</v>
      </c>
      <c r="C4768" s="1">
        <v>2598164</v>
      </c>
      <c r="D4768" s="3">
        <v>0.630000000000002</v>
      </c>
      <c r="E4768" s="3">
        <v>2.2670025188916898</v>
      </c>
      <c r="F4768" s="3">
        <v>2.2670025188916898</v>
      </c>
      <c r="G4768" s="3">
        <v>28.42</v>
      </c>
      <c r="H4768" s="3">
        <v>691.97740818955901</v>
      </c>
      <c r="I4768" s="3">
        <v>27.7</v>
      </c>
      <c r="J4768" s="3">
        <v>28.89</v>
      </c>
      <c r="K4768" s="3">
        <v>27.58</v>
      </c>
      <c r="L4768" s="3">
        <v>691.97740818955901</v>
      </c>
    </row>
    <row r="4769" spans="1:12" ht="15" customHeight="1" x14ac:dyDescent="0.2">
      <c r="A4769" s="2">
        <v>39133</v>
      </c>
      <c r="B4769" s="3">
        <v>27.79</v>
      </c>
      <c r="C4769" s="1">
        <v>1327873</v>
      </c>
      <c r="D4769" s="3">
        <v>0.57999999999999796</v>
      </c>
      <c r="E4769" s="3">
        <v>2.1315692760014602</v>
      </c>
      <c r="F4769" s="3">
        <v>2.1315692760014602</v>
      </c>
      <c r="G4769" s="3">
        <v>27.79</v>
      </c>
      <c r="H4769" s="3">
        <v>674.42125874693295</v>
      </c>
      <c r="I4769" s="3">
        <v>27.13</v>
      </c>
      <c r="J4769" s="3">
        <v>27.83</v>
      </c>
      <c r="K4769" s="3">
        <v>27.04</v>
      </c>
      <c r="L4769" s="3">
        <v>674.42125874693295</v>
      </c>
    </row>
    <row r="4770" spans="1:12" ht="15" customHeight="1" x14ac:dyDescent="0.2">
      <c r="A4770" s="2">
        <v>39129</v>
      </c>
      <c r="B4770" s="3">
        <v>27.21</v>
      </c>
      <c r="C4770" s="1">
        <v>576488</v>
      </c>
      <c r="D4770" s="3">
        <v>5.0000000000000697E-2</v>
      </c>
      <c r="E4770" s="3">
        <v>0.184094256259204</v>
      </c>
      <c r="F4770" s="3">
        <v>0.184094256259204</v>
      </c>
      <c r="G4770" s="3">
        <v>27.21</v>
      </c>
      <c r="H4770" s="3">
        <v>658.258454498167</v>
      </c>
      <c r="I4770" s="3">
        <v>27.201000000000001</v>
      </c>
      <c r="J4770" s="3">
        <v>27.24</v>
      </c>
      <c r="K4770" s="3">
        <v>26.8855</v>
      </c>
      <c r="L4770" s="3">
        <v>658.258454498167</v>
      </c>
    </row>
    <row r="4771" spans="1:12" ht="15" customHeight="1" x14ac:dyDescent="0.2">
      <c r="A4771" s="2">
        <v>39128</v>
      </c>
      <c r="B4771" s="3">
        <v>27.16</v>
      </c>
      <c r="C4771" s="1">
        <v>760493</v>
      </c>
      <c r="D4771" s="3">
        <v>0.26999999999999902</v>
      </c>
      <c r="E4771" s="3">
        <v>1.00409074005205</v>
      </c>
      <c r="F4771" s="3">
        <v>1.00409074005205</v>
      </c>
      <c r="G4771" s="3">
        <v>27.16</v>
      </c>
      <c r="H4771" s="3">
        <v>656.865109304307</v>
      </c>
      <c r="I4771" s="3">
        <v>26.85</v>
      </c>
      <c r="J4771" s="3">
        <v>27.25</v>
      </c>
      <c r="K4771" s="3">
        <v>26.81</v>
      </c>
      <c r="L4771" s="3">
        <v>656.865109304307</v>
      </c>
    </row>
    <row r="4772" spans="1:12" ht="15" customHeight="1" x14ac:dyDescent="0.2">
      <c r="A4772" s="2">
        <v>39127</v>
      </c>
      <c r="B4772" s="3">
        <v>26.89</v>
      </c>
      <c r="C4772" s="1">
        <v>1623917</v>
      </c>
      <c r="D4772" s="3">
        <v>0.40000000000000202</v>
      </c>
      <c r="E4772" s="3">
        <v>1.5100037750094399</v>
      </c>
      <c r="F4772" s="3">
        <v>1.5100037750094399</v>
      </c>
      <c r="G4772" s="3">
        <v>26.89</v>
      </c>
      <c r="H4772" s="3">
        <v>649.34104525746795</v>
      </c>
      <c r="I4772" s="3">
        <v>26.89</v>
      </c>
      <c r="J4772" s="3">
        <v>27.13</v>
      </c>
      <c r="K4772" s="3">
        <v>26.5</v>
      </c>
      <c r="L4772" s="3">
        <v>649.34104525746795</v>
      </c>
    </row>
    <row r="4773" spans="1:12" ht="15" customHeight="1" x14ac:dyDescent="0.2">
      <c r="A4773" s="2">
        <v>39126</v>
      </c>
      <c r="B4773" s="3">
        <v>26.49</v>
      </c>
      <c r="C4773" s="1">
        <v>2453633</v>
      </c>
      <c r="D4773" s="3">
        <v>0.20999999999999699</v>
      </c>
      <c r="E4773" s="3">
        <v>0.79908675799085205</v>
      </c>
      <c r="F4773" s="3">
        <v>0.79908675799085205</v>
      </c>
      <c r="G4773" s="3">
        <v>26.49</v>
      </c>
      <c r="H4773" s="3">
        <v>638.19428370659398</v>
      </c>
      <c r="I4773" s="3">
        <v>26.87</v>
      </c>
      <c r="J4773" s="3">
        <v>27.23</v>
      </c>
      <c r="K4773" s="3">
        <v>26.45</v>
      </c>
      <c r="L4773" s="3">
        <v>638.19428370659398</v>
      </c>
    </row>
    <row r="4774" spans="1:12" ht="15" customHeight="1" x14ac:dyDescent="0.2">
      <c r="A4774" s="2">
        <v>39125</v>
      </c>
      <c r="B4774" s="3">
        <v>26.28</v>
      </c>
      <c r="C4774" s="1">
        <v>1215733</v>
      </c>
      <c r="D4774" s="3">
        <v>-0.23999999999999799</v>
      </c>
      <c r="E4774" s="3">
        <v>-0.90497737556560698</v>
      </c>
      <c r="F4774" s="3">
        <v>-0.90497737556560698</v>
      </c>
      <c r="G4774" s="3">
        <v>26.28</v>
      </c>
      <c r="H4774" s="3">
        <v>632.34223389238605</v>
      </c>
      <c r="I4774" s="3">
        <v>26.45</v>
      </c>
      <c r="J4774" s="3">
        <v>26.715399999999999</v>
      </c>
      <c r="K4774" s="3">
        <v>26.1828</v>
      </c>
      <c r="L4774" s="3">
        <v>632.34223389238605</v>
      </c>
    </row>
    <row r="4775" spans="1:12" ht="15" customHeight="1" x14ac:dyDescent="0.2">
      <c r="A4775" s="2">
        <v>39122</v>
      </c>
      <c r="B4775" s="3">
        <v>26.52</v>
      </c>
      <c r="C4775" s="1">
        <v>1014265</v>
      </c>
      <c r="D4775" s="3">
        <v>-0.28000000000000103</v>
      </c>
      <c r="E4775" s="3">
        <v>-1.0447761194029901</v>
      </c>
      <c r="F4775" s="3">
        <v>-1.0447761194029901</v>
      </c>
      <c r="G4775" s="3">
        <v>26.52</v>
      </c>
      <c r="H4775" s="3">
        <v>639.03029082291005</v>
      </c>
      <c r="I4775" s="3">
        <v>26.76</v>
      </c>
      <c r="J4775" s="3">
        <v>27</v>
      </c>
      <c r="K4775" s="3">
        <v>26.45</v>
      </c>
      <c r="L4775" s="3">
        <v>639.03029082291005</v>
      </c>
    </row>
    <row r="4776" spans="1:12" ht="15" customHeight="1" x14ac:dyDescent="0.2">
      <c r="A4776" s="2">
        <v>39121</v>
      </c>
      <c r="B4776" s="3">
        <v>26.8</v>
      </c>
      <c r="C4776" s="1">
        <v>2437480</v>
      </c>
      <c r="D4776" s="3">
        <v>-9.9999999999997799E-2</v>
      </c>
      <c r="E4776" s="3">
        <v>-0.37174721189589999</v>
      </c>
      <c r="F4776" s="3">
        <v>-0.37174721189589999</v>
      </c>
      <c r="G4776" s="3">
        <v>26.8</v>
      </c>
      <c r="H4776" s="3">
        <v>646.833023908521</v>
      </c>
      <c r="I4776" s="3">
        <v>27.05</v>
      </c>
      <c r="J4776" s="3">
        <v>27.19</v>
      </c>
      <c r="K4776" s="3">
        <v>26.53</v>
      </c>
      <c r="L4776" s="3">
        <v>646.833023908521</v>
      </c>
    </row>
    <row r="4777" spans="1:12" ht="15" customHeight="1" x14ac:dyDescent="0.2">
      <c r="A4777" s="2">
        <v>39120</v>
      </c>
      <c r="B4777" s="3">
        <v>26.9</v>
      </c>
      <c r="C4777" s="1">
        <v>4508218</v>
      </c>
      <c r="D4777" s="3">
        <v>-0.86000000000000298</v>
      </c>
      <c r="E4777" s="3">
        <v>-3.09798270893373</v>
      </c>
      <c r="F4777" s="3">
        <v>-3.09798270893373</v>
      </c>
      <c r="G4777" s="3">
        <v>26.9</v>
      </c>
      <c r="H4777" s="3">
        <v>649.61971429623998</v>
      </c>
      <c r="I4777" s="3">
        <v>26.86</v>
      </c>
      <c r="J4777" s="3">
        <v>27.25</v>
      </c>
      <c r="K4777" s="3">
        <v>26.45</v>
      </c>
      <c r="L4777" s="3">
        <v>649.61971429623998</v>
      </c>
    </row>
    <row r="4778" spans="1:12" ht="15" customHeight="1" x14ac:dyDescent="0.2">
      <c r="A4778" s="2">
        <v>39119</v>
      </c>
      <c r="B4778" s="3">
        <v>27.76</v>
      </c>
      <c r="C4778" s="1">
        <v>1088598</v>
      </c>
      <c r="D4778" s="3">
        <v>7.0000000000000201E-2</v>
      </c>
      <c r="E4778" s="3">
        <v>0.25279884434814498</v>
      </c>
      <c r="F4778" s="3">
        <v>0.25279884434814498</v>
      </c>
      <c r="G4778" s="3">
        <v>27.76</v>
      </c>
      <c r="H4778" s="3">
        <v>673.58525163061699</v>
      </c>
      <c r="I4778" s="3">
        <v>27.99</v>
      </c>
      <c r="J4778" s="3">
        <v>28</v>
      </c>
      <c r="K4778" s="3">
        <v>27.43</v>
      </c>
      <c r="L4778" s="3">
        <v>673.58525163061699</v>
      </c>
    </row>
    <row r="4779" spans="1:12" ht="15" customHeight="1" x14ac:dyDescent="0.2">
      <c r="A4779" s="2">
        <v>39118</v>
      </c>
      <c r="B4779" s="3">
        <v>27.69</v>
      </c>
      <c r="C4779" s="1">
        <v>1505004</v>
      </c>
      <c r="D4779" s="3">
        <v>3.0000000000001099E-2</v>
      </c>
      <c r="E4779" s="3">
        <v>0.10845986984815401</v>
      </c>
      <c r="F4779" s="3">
        <v>0.10845986984815401</v>
      </c>
      <c r="G4779" s="3">
        <v>27.69</v>
      </c>
      <c r="H4779" s="3">
        <v>671.634568359215</v>
      </c>
      <c r="I4779" s="3">
        <v>27.7</v>
      </c>
      <c r="J4779" s="3">
        <v>28.2</v>
      </c>
      <c r="K4779" s="3">
        <v>27.45</v>
      </c>
      <c r="L4779" s="3">
        <v>671.634568359215</v>
      </c>
    </row>
    <row r="4780" spans="1:12" ht="15" customHeight="1" x14ac:dyDescent="0.2">
      <c r="A4780" s="2">
        <v>39115</v>
      </c>
      <c r="B4780" s="3">
        <v>27.66</v>
      </c>
      <c r="C4780" s="1">
        <v>701526</v>
      </c>
      <c r="D4780" s="3">
        <v>-5.99999999999987E-2</v>
      </c>
      <c r="E4780" s="3">
        <v>-0.21645021645021401</v>
      </c>
      <c r="F4780" s="3">
        <v>-0.21645021645021401</v>
      </c>
      <c r="G4780" s="3">
        <v>27.66</v>
      </c>
      <c r="H4780" s="3">
        <v>670.79856124289904</v>
      </c>
      <c r="I4780" s="3">
        <v>27.76</v>
      </c>
      <c r="J4780" s="3">
        <v>27.87</v>
      </c>
      <c r="K4780" s="3">
        <v>27.53</v>
      </c>
      <c r="L4780" s="3">
        <v>670.79856124289904</v>
      </c>
    </row>
    <row r="4781" spans="1:12" ht="15" customHeight="1" x14ac:dyDescent="0.2">
      <c r="A4781" s="2">
        <v>39114</v>
      </c>
      <c r="B4781" s="3">
        <v>27.72</v>
      </c>
      <c r="C4781" s="1">
        <v>1217339</v>
      </c>
      <c r="D4781" s="3">
        <v>8.9999999999999802E-2</v>
      </c>
      <c r="E4781" s="3">
        <v>0.325732899022801</v>
      </c>
      <c r="F4781" s="3">
        <v>0.325732899022801</v>
      </c>
      <c r="G4781" s="3">
        <v>27.72</v>
      </c>
      <c r="H4781" s="3">
        <v>672.47057547553004</v>
      </c>
      <c r="I4781" s="3">
        <v>27.65</v>
      </c>
      <c r="J4781" s="3">
        <v>28.1</v>
      </c>
      <c r="K4781" s="3">
        <v>27.4</v>
      </c>
      <c r="L4781" s="3">
        <v>672.47057547553004</v>
      </c>
    </row>
    <row r="4782" spans="1:12" ht="15" customHeight="1" x14ac:dyDescent="0.2">
      <c r="A4782" s="2">
        <v>39113</v>
      </c>
      <c r="B4782" s="3">
        <v>27.63</v>
      </c>
      <c r="C4782" s="1">
        <v>1174689</v>
      </c>
      <c r="D4782" s="3">
        <v>0.68999999999999695</v>
      </c>
      <c r="E4782" s="3">
        <v>2.5612472160356301</v>
      </c>
      <c r="F4782" s="3">
        <v>2.5612472160356301</v>
      </c>
      <c r="G4782" s="3">
        <v>27.63</v>
      </c>
      <c r="H4782" s="3">
        <v>669.962554126584</v>
      </c>
      <c r="I4782" s="3">
        <v>26.91</v>
      </c>
      <c r="J4782" s="3">
        <v>27.68</v>
      </c>
      <c r="K4782" s="3">
        <v>26.78</v>
      </c>
      <c r="L4782" s="3">
        <v>669.962554126584</v>
      </c>
    </row>
    <row r="4783" spans="1:12" ht="15" customHeight="1" x14ac:dyDescent="0.2">
      <c r="A4783" s="2">
        <v>39112</v>
      </c>
      <c r="B4783" s="3">
        <v>26.94</v>
      </c>
      <c r="C4783" s="1">
        <v>814795</v>
      </c>
      <c r="D4783" s="3">
        <v>0.220000000000002</v>
      </c>
      <c r="E4783" s="3">
        <v>0.82335329341318697</v>
      </c>
      <c r="F4783" s="3">
        <v>0.82335329341318697</v>
      </c>
      <c r="G4783" s="3">
        <v>26.94</v>
      </c>
      <c r="H4783" s="3">
        <v>650.73439045132704</v>
      </c>
      <c r="I4783" s="3">
        <v>26.72</v>
      </c>
      <c r="J4783" s="3">
        <v>26.99</v>
      </c>
      <c r="K4783" s="3">
        <v>26.6</v>
      </c>
      <c r="L4783" s="3">
        <v>650.73439045132704</v>
      </c>
    </row>
    <row r="4784" spans="1:12" ht="15" customHeight="1" x14ac:dyDescent="0.2">
      <c r="A4784" s="2">
        <v>39111</v>
      </c>
      <c r="B4784" s="3">
        <v>26.72</v>
      </c>
      <c r="C4784" s="1">
        <v>1287242</v>
      </c>
      <c r="D4784" s="3">
        <v>0.20999999999999699</v>
      </c>
      <c r="E4784" s="3">
        <v>0.79215390418709797</v>
      </c>
      <c r="F4784" s="3">
        <v>0.79215390418709797</v>
      </c>
      <c r="G4784" s="3">
        <v>26.72</v>
      </c>
      <c r="H4784" s="3">
        <v>644.60367159834698</v>
      </c>
      <c r="I4784" s="3">
        <v>26.51</v>
      </c>
      <c r="J4784" s="3">
        <v>27.2</v>
      </c>
      <c r="K4784" s="3">
        <v>26.5</v>
      </c>
      <c r="L4784" s="3">
        <v>644.60367159834698</v>
      </c>
    </row>
    <row r="4785" spans="1:12" ht="15" customHeight="1" x14ac:dyDescent="0.2">
      <c r="A4785" s="2">
        <v>39108</v>
      </c>
      <c r="B4785" s="3">
        <v>26.51</v>
      </c>
      <c r="C4785" s="1">
        <v>598454</v>
      </c>
      <c r="D4785" s="3">
        <v>-7.9999999999998295E-2</v>
      </c>
      <c r="E4785" s="3">
        <v>-0.30086498683714602</v>
      </c>
      <c r="F4785" s="3">
        <v>-0.30086498683714602</v>
      </c>
      <c r="G4785" s="3">
        <v>26.51</v>
      </c>
      <c r="H4785" s="3">
        <v>638.75162178413802</v>
      </c>
      <c r="I4785" s="3">
        <v>26.59</v>
      </c>
      <c r="J4785" s="3">
        <v>26.8</v>
      </c>
      <c r="K4785" s="3">
        <v>26.23</v>
      </c>
      <c r="L4785" s="3">
        <v>638.75162178413802</v>
      </c>
    </row>
    <row r="4786" spans="1:12" ht="15" customHeight="1" x14ac:dyDescent="0.2">
      <c r="A4786" s="2">
        <v>39107</v>
      </c>
      <c r="B4786" s="3">
        <v>26.59</v>
      </c>
      <c r="C4786" s="1">
        <v>1051715</v>
      </c>
      <c r="D4786" s="3">
        <v>-0.48</v>
      </c>
      <c r="E4786" s="3">
        <v>-1.7731806427779799</v>
      </c>
      <c r="F4786" s="3">
        <v>-1.7731806427779799</v>
      </c>
      <c r="G4786" s="3">
        <v>26.59</v>
      </c>
      <c r="H4786" s="3">
        <v>640.98097409431296</v>
      </c>
      <c r="I4786" s="3">
        <v>27.01</v>
      </c>
      <c r="J4786" s="3">
        <v>27.07</v>
      </c>
      <c r="K4786" s="3">
        <v>26.381</v>
      </c>
      <c r="L4786" s="3">
        <v>640.98097409431296</v>
      </c>
    </row>
    <row r="4787" spans="1:12" ht="15" customHeight="1" x14ac:dyDescent="0.2">
      <c r="A4787" s="2">
        <v>39106</v>
      </c>
      <c r="B4787" s="3">
        <v>27.07</v>
      </c>
      <c r="C4787" s="1">
        <v>1134947</v>
      </c>
      <c r="D4787" s="3">
        <v>-0.109999999999999</v>
      </c>
      <c r="E4787" s="3">
        <v>-0.40470934510668999</v>
      </c>
      <c r="F4787" s="3">
        <v>-0.40470934510668999</v>
      </c>
      <c r="G4787" s="3">
        <v>27.07</v>
      </c>
      <c r="H4787" s="3">
        <v>654.35708795536095</v>
      </c>
      <c r="I4787" s="3">
        <v>27.2</v>
      </c>
      <c r="J4787" s="3">
        <v>27.25</v>
      </c>
      <c r="K4787" s="3">
        <v>26.77</v>
      </c>
      <c r="L4787" s="3">
        <v>654.35708795536095</v>
      </c>
    </row>
    <row r="4788" spans="1:12" ht="15" customHeight="1" x14ac:dyDescent="0.2">
      <c r="A4788" s="2">
        <v>39105</v>
      </c>
      <c r="B4788" s="3">
        <v>27.18</v>
      </c>
      <c r="C4788" s="1">
        <v>4472250</v>
      </c>
      <c r="D4788" s="3">
        <v>0.96999999999999797</v>
      </c>
      <c r="E4788" s="3">
        <v>3.70087752766119</v>
      </c>
      <c r="F4788" s="3">
        <v>3.70087752766119</v>
      </c>
      <c r="G4788" s="3">
        <v>27.18</v>
      </c>
      <c r="H4788" s="3">
        <v>657.42244738185104</v>
      </c>
      <c r="I4788" s="3">
        <v>26.23</v>
      </c>
      <c r="J4788" s="3">
        <v>28.21</v>
      </c>
      <c r="K4788" s="3">
        <v>26.18</v>
      </c>
      <c r="L4788" s="3">
        <v>657.42244738185104</v>
      </c>
    </row>
    <row r="4789" spans="1:12" ht="15" customHeight="1" x14ac:dyDescent="0.2">
      <c r="A4789" s="2">
        <v>39104</v>
      </c>
      <c r="B4789" s="3">
        <v>26.21</v>
      </c>
      <c r="C4789" s="1">
        <v>1654336</v>
      </c>
      <c r="D4789" s="3">
        <v>-0.46</v>
      </c>
      <c r="E4789" s="3">
        <v>-1.72478440194976</v>
      </c>
      <c r="F4789" s="3">
        <v>-1.72478440194976</v>
      </c>
      <c r="G4789" s="3">
        <v>26.21</v>
      </c>
      <c r="H4789" s="3">
        <v>630.39155062098303</v>
      </c>
      <c r="I4789" s="3">
        <v>26.72</v>
      </c>
      <c r="J4789" s="3">
        <v>26.72</v>
      </c>
      <c r="K4789" s="3">
        <v>25.95</v>
      </c>
      <c r="L4789" s="3">
        <v>630.39155062098303</v>
      </c>
    </row>
    <row r="4790" spans="1:12" ht="15" customHeight="1" x14ac:dyDescent="0.2">
      <c r="A4790" s="2">
        <v>39101</v>
      </c>
      <c r="B4790" s="3">
        <v>26.67</v>
      </c>
      <c r="C4790" s="1">
        <v>1123326</v>
      </c>
      <c r="D4790" s="3">
        <v>-0.33999999999999903</v>
      </c>
      <c r="E4790" s="3">
        <v>-1.25879303961495</v>
      </c>
      <c r="F4790" s="3">
        <v>-1.25879303961495</v>
      </c>
      <c r="G4790" s="3">
        <v>26.67</v>
      </c>
      <c r="H4790" s="3">
        <v>643.21032640448698</v>
      </c>
      <c r="I4790" s="3">
        <v>26.94</v>
      </c>
      <c r="J4790" s="3">
        <v>26.956499999999998</v>
      </c>
      <c r="K4790" s="3">
        <v>26.54</v>
      </c>
      <c r="L4790" s="3">
        <v>643.21032640448698</v>
      </c>
    </row>
    <row r="4791" spans="1:12" ht="15" customHeight="1" x14ac:dyDescent="0.2">
      <c r="A4791" s="2">
        <v>39100</v>
      </c>
      <c r="B4791" s="3">
        <v>27.01</v>
      </c>
      <c r="C4791" s="1">
        <v>936091</v>
      </c>
      <c r="D4791" s="3">
        <v>1.0000000000001501E-2</v>
      </c>
      <c r="E4791" s="3">
        <v>3.7037037037035397E-2</v>
      </c>
      <c r="F4791" s="3">
        <v>3.7037037037035397E-2</v>
      </c>
      <c r="G4791" s="3">
        <v>27.01</v>
      </c>
      <c r="H4791" s="3">
        <v>652.68507372272995</v>
      </c>
      <c r="I4791" s="3">
        <v>26.84</v>
      </c>
      <c r="J4791" s="3">
        <v>27.17</v>
      </c>
      <c r="K4791" s="3">
        <v>26.81</v>
      </c>
      <c r="L4791" s="3">
        <v>652.68507372272995</v>
      </c>
    </row>
    <row r="4792" spans="1:12" ht="15" customHeight="1" x14ac:dyDescent="0.2">
      <c r="A4792" s="2">
        <v>39099</v>
      </c>
      <c r="B4792" s="3">
        <v>27</v>
      </c>
      <c r="C4792" s="1">
        <v>1805799</v>
      </c>
      <c r="D4792" s="3">
        <v>-0.82999999999999796</v>
      </c>
      <c r="E4792" s="3">
        <v>-2.9823931009701701</v>
      </c>
      <c r="F4792" s="3">
        <v>-2.9823931009701701</v>
      </c>
      <c r="G4792" s="3">
        <v>27</v>
      </c>
      <c r="H4792" s="3">
        <v>652.40640468395804</v>
      </c>
      <c r="I4792" s="3">
        <v>27.47</v>
      </c>
      <c r="J4792" s="3">
        <v>27.57</v>
      </c>
      <c r="K4792" s="3">
        <v>26.85</v>
      </c>
      <c r="L4792" s="3">
        <v>652.40640468395804</v>
      </c>
    </row>
    <row r="4793" spans="1:12" ht="15" customHeight="1" x14ac:dyDescent="0.2">
      <c r="A4793" s="2">
        <v>39098</v>
      </c>
      <c r="B4793" s="3">
        <v>27.83</v>
      </c>
      <c r="C4793" s="1">
        <v>889439</v>
      </c>
      <c r="D4793" s="3">
        <v>0.15999999999999601</v>
      </c>
      <c r="E4793" s="3">
        <v>0.57824358511020502</v>
      </c>
      <c r="F4793" s="3">
        <v>0.57824358511020502</v>
      </c>
      <c r="G4793" s="3">
        <v>27.83</v>
      </c>
      <c r="H4793" s="3">
        <v>675.53593490202002</v>
      </c>
      <c r="I4793" s="3">
        <v>27.5</v>
      </c>
      <c r="J4793" s="3">
        <v>27.98</v>
      </c>
      <c r="K4793" s="3">
        <v>27.499700000000001</v>
      </c>
      <c r="L4793" s="3">
        <v>675.53593490202002</v>
      </c>
    </row>
    <row r="4794" spans="1:12" ht="15" customHeight="1" x14ac:dyDescent="0.2">
      <c r="A4794" s="2">
        <v>39094</v>
      </c>
      <c r="B4794" s="3">
        <v>27.67</v>
      </c>
      <c r="C4794" s="1">
        <v>910520</v>
      </c>
      <c r="D4794" s="3">
        <v>0.14000000000000001</v>
      </c>
      <c r="E4794" s="3">
        <v>0.50853614239012501</v>
      </c>
      <c r="F4794" s="3">
        <v>0.50853614239012501</v>
      </c>
      <c r="G4794" s="3">
        <v>27.67</v>
      </c>
      <c r="H4794" s="3">
        <v>671.07723028167095</v>
      </c>
      <c r="I4794" s="3">
        <v>27.55</v>
      </c>
      <c r="J4794" s="3">
        <v>27.75</v>
      </c>
      <c r="K4794" s="3">
        <v>27.43</v>
      </c>
      <c r="L4794" s="3">
        <v>671.07723028167095</v>
      </c>
    </row>
    <row r="4795" spans="1:12" ht="15" customHeight="1" x14ac:dyDescent="0.2">
      <c r="A4795" s="2">
        <v>39093</v>
      </c>
      <c r="B4795" s="3">
        <v>27.53</v>
      </c>
      <c r="C4795" s="1">
        <v>1346428</v>
      </c>
      <c r="D4795" s="3">
        <v>0.51000000000000101</v>
      </c>
      <c r="E4795" s="3">
        <v>1.8874907475943701</v>
      </c>
      <c r="F4795" s="3">
        <v>1.8874907475943701</v>
      </c>
      <c r="G4795" s="3">
        <v>27.53</v>
      </c>
      <c r="H4795" s="3">
        <v>667.17586373886502</v>
      </c>
      <c r="I4795" s="3">
        <v>27.27</v>
      </c>
      <c r="J4795" s="3">
        <v>27.6</v>
      </c>
      <c r="K4795" s="3">
        <v>27.15</v>
      </c>
      <c r="L4795" s="3">
        <v>667.17586373886502</v>
      </c>
    </row>
    <row r="4796" spans="1:12" ht="15" customHeight="1" x14ac:dyDescent="0.2">
      <c r="A4796" s="2">
        <v>39092</v>
      </c>
      <c r="B4796" s="3">
        <v>27.02</v>
      </c>
      <c r="C4796" s="1">
        <v>1813562</v>
      </c>
      <c r="D4796" s="3">
        <v>3.0000000000001099E-2</v>
      </c>
      <c r="E4796" s="3">
        <v>0.111152278621706</v>
      </c>
      <c r="F4796" s="3">
        <v>0.111152278621706</v>
      </c>
      <c r="G4796" s="3">
        <v>27.02</v>
      </c>
      <c r="H4796" s="3">
        <v>652.96374276150198</v>
      </c>
      <c r="I4796" s="3">
        <v>26.8</v>
      </c>
      <c r="J4796" s="3">
        <v>27.35</v>
      </c>
      <c r="K4796" s="3">
        <v>26.68</v>
      </c>
      <c r="L4796" s="3">
        <v>652.96374276150198</v>
      </c>
    </row>
    <row r="4797" spans="1:12" ht="15" customHeight="1" x14ac:dyDescent="0.2">
      <c r="A4797" s="2">
        <v>39091</v>
      </c>
      <c r="B4797" s="3">
        <v>26.99</v>
      </c>
      <c r="C4797" s="1">
        <v>5733413</v>
      </c>
      <c r="D4797" s="3">
        <v>2.4299999999999899</v>
      </c>
      <c r="E4797" s="3">
        <v>9.8941368078175795</v>
      </c>
      <c r="F4797" s="3">
        <v>9.8941368078175795</v>
      </c>
      <c r="G4797" s="3">
        <v>26.99</v>
      </c>
      <c r="H4797" s="3">
        <v>652.12773564518602</v>
      </c>
      <c r="I4797" s="3">
        <v>26.48</v>
      </c>
      <c r="J4797" s="3">
        <v>27.38</v>
      </c>
      <c r="K4797" s="3">
        <v>26.15</v>
      </c>
      <c r="L4797" s="3">
        <v>652.12773564518602</v>
      </c>
    </row>
    <row r="4798" spans="1:12" ht="15" customHeight="1" x14ac:dyDescent="0.2">
      <c r="A4798" s="2">
        <v>39090</v>
      </c>
      <c r="B4798" s="3">
        <v>24.56</v>
      </c>
      <c r="C4798" s="1">
        <v>1372002</v>
      </c>
      <c r="D4798" s="3">
        <v>-0.100000000000001</v>
      </c>
      <c r="E4798" s="3">
        <v>-0.405515004055156</v>
      </c>
      <c r="F4798" s="3">
        <v>-0.405515004055156</v>
      </c>
      <c r="G4798" s="3">
        <v>24.56</v>
      </c>
      <c r="H4798" s="3">
        <v>584.41115922362997</v>
      </c>
      <c r="I4798" s="3">
        <v>24.65</v>
      </c>
      <c r="J4798" s="3">
        <v>24.88</v>
      </c>
      <c r="K4798" s="3">
        <v>24.29</v>
      </c>
      <c r="L4798" s="3">
        <v>584.41115922362997</v>
      </c>
    </row>
    <row r="4799" spans="1:12" ht="15" customHeight="1" x14ac:dyDescent="0.2">
      <c r="A4799" s="2">
        <v>39087</v>
      </c>
      <c r="B4799" s="3">
        <v>24.66</v>
      </c>
      <c r="C4799" s="1">
        <v>1123648</v>
      </c>
      <c r="D4799" s="3">
        <v>-0.440000000000001</v>
      </c>
      <c r="E4799" s="3">
        <v>-1.7529880478087601</v>
      </c>
      <c r="F4799" s="3">
        <v>-1.7529880478087601</v>
      </c>
      <c r="G4799" s="3">
        <v>24.66</v>
      </c>
      <c r="H4799" s="3">
        <v>587.19784961134803</v>
      </c>
      <c r="I4799" s="3">
        <v>25.01</v>
      </c>
      <c r="J4799" s="3">
        <v>25.07</v>
      </c>
      <c r="K4799" s="3">
        <v>24.59</v>
      </c>
      <c r="L4799" s="3">
        <v>587.19784961134803</v>
      </c>
    </row>
    <row r="4800" spans="1:12" ht="15" customHeight="1" x14ac:dyDescent="0.2">
      <c r="A4800" s="2">
        <v>39086</v>
      </c>
      <c r="B4800" s="3">
        <v>25.1</v>
      </c>
      <c r="C4800" s="1">
        <v>1111482</v>
      </c>
      <c r="D4800" s="3">
        <v>0.41</v>
      </c>
      <c r="E4800" s="3">
        <v>1.6605913325232899</v>
      </c>
      <c r="F4800" s="3">
        <v>1.6605913325232899</v>
      </c>
      <c r="G4800" s="3">
        <v>25.1</v>
      </c>
      <c r="H4800" s="3">
        <v>599.45928731730896</v>
      </c>
      <c r="I4800" s="3">
        <v>24.89</v>
      </c>
      <c r="J4800" s="3">
        <v>25.17</v>
      </c>
      <c r="K4800" s="3">
        <v>24.53</v>
      </c>
      <c r="L4800" s="3">
        <v>599.45928731730896</v>
      </c>
    </row>
    <row r="4801" spans="1:12" ht="15" customHeight="1" x14ac:dyDescent="0.2">
      <c r="A4801" s="2">
        <v>39085</v>
      </c>
      <c r="B4801" s="3">
        <v>24.69</v>
      </c>
      <c r="C4801" s="1">
        <v>1750987</v>
      </c>
      <c r="D4801" s="3">
        <v>8.9999999999999802E-2</v>
      </c>
      <c r="E4801" s="3">
        <v>0.36585365853658502</v>
      </c>
      <c r="F4801" s="3">
        <v>0.36585365853658502</v>
      </c>
      <c r="G4801" s="3">
        <v>24.69</v>
      </c>
      <c r="H4801" s="3">
        <v>588.03385672766399</v>
      </c>
      <c r="I4801" s="3">
        <v>24.82</v>
      </c>
      <c r="J4801" s="3">
        <v>25.32</v>
      </c>
      <c r="K4801" s="3">
        <v>24.5</v>
      </c>
      <c r="L4801" s="3">
        <v>588.03385672766399</v>
      </c>
    </row>
    <row r="4802" spans="1:12" ht="15" customHeight="1" x14ac:dyDescent="0.2">
      <c r="A4802" s="2">
        <v>39080</v>
      </c>
      <c r="B4802" s="3">
        <v>24.6</v>
      </c>
      <c r="C4802" s="1">
        <v>633707</v>
      </c>
      <c r="D4802" s="3">
        <v>-0.25</v>
      </c>
      <c r="E4802" s="3">
        <v>-1.00603621730381</v>
      </c>
      <c r="F4802" s="3">
        <v>-1.00603621730381</v>
      </c>
      <c r="G4802" s="3">
        <v>24.6</v>
      </c>
      <c r="H4802" s="3">
        <v>585.52583537871703</v>
      </c>
      <c r="I4802" s="3">
        <v>24.77</v>
      </c>
      <c r="J4802" s="3">
        <v>25.04</v>
      </c>
      <c r="K4802" s="3">
        <v>24.53</v>
      </c>
      <c r="L4802" s="3">
        <v>585.52583537871703</v>
      </c>
    </row>
    <row r="4803" spans="1:12" ht="15" customHeight="1" x14ac:dyDescent="0.2">
      <c r="A4803" s="2">
        <v>39079</v>
      </c>
      <c r="B4803" s="3">
        <v>24.85</v>
      </c>
      <c r="C4803" s="1">
        <v>802194</v>
      </c>
      <c r="D4803" s="3">
        <v>-4.9999999999997102E-2</v>
      </c>
      <c r="E4803" s="3">
        <v>-0.20080321285139699</v>
      </c>
      <c r="F4803" s="3">
        <v>-0.20080321285139699</v>
      </c>
      <c r="G4803" s="3">
        <v>24.85</v>
      </c>
      <c r="H4803" s="3">
        <v>592.49256134801306</v>
      </c>
      <c r="I4803" s="3">
        <v>24.85</v>
      </c>
      <c r="J4803" s="3">
        <v>24.99</v>
      </c>
      <c r="K4803" s="3">
        <v>24.61</v>
      </c>
      <c r="L4803" s="3">
        <v>592.49256134801306</v>
      </c>
    </row>
    <row r="4804" spans="1:12" ht="15" customHeight="1" x14ac:dyDescent="0.2">
      <c r="A4804" s="2">
        <v>39078</v>
      </c>
      <c r="B4804" s="3">
        <v>24.9</v>
      </c>
      <c r="C4804" s="1">
        <v>695243</v>
      </c>
      <c r="D4804" s="3">
        <v>0.219999999999998</v>
      </c>
      <c r="E4804" s="3">
        <v>0.89141004862236495</v>
      </c>
      <c r="F4804" s="3">
        <v>0.89141004862236495</v>
      </c>
      <c r="G4804" s="3">
        <v>24.9</v>
      </c>
      <c r="H4804" s="3">
        <v>593.88590654187203</v>
      </c>
      <c r="I4804" s="3">
        <v>24.8</v>
      </c>
      <c r="J4804" s="3">
        <v>25.18</v>
      </c>
      <c r="K4804" s="3">
        <v>24.6737</v>
      </c>
      <c r="L4804" s="3">
        <v>593.88590654187203</v>
      </c>
    </row>
    <row r="4805" spans="1:12" ht="15" customHeight="1" x14ac:dyDescent="0.2">
      <c r="A4805" s="2">
        <v>39077</v>
      </c>
      <c r="B4805" s="3">
        <v>24.68</v>
      </c>
      <c r="C4805" s="1">
        <v>699761</v>
      </c>
      <c r="D4805" s="3">
        <v>-0.190000000000001</v>
      </c>
      <c r="E4805" s="3">
        <v>-0.76397265782067703</v>
      </c>
      <c r="F4805" s="3">
        <v>-0.76397265782067703</v>
      </c>
      <c r="G4805" s="3">
        <v>24.68</v>
      </c>
      <c r="H4805" s="3">
        <v>587.75518768889197</v>
      </c>
      <c r="I4805" s="3">
        <v>25</v>
      </c>
      <c r="J4805" s="3">
        <v>25</v>
      </c>
      <c r="K4805" s="3">
        <v>24.56</v>
      </c>
      <c r="L4805" s="3">
        <v>587.75518768889197</v>
      </c>
    </row>
    <row r="4806" spans="1:12" ht="15" customHeight="1" x14ac:dyDescent="0.2">
      <c r="A4806" s="2">
        <v>39073</v>
      </c>
      <c r="B4806" s="3">
        <v>24.87</v>
      </c>
      <c r="C4806" s="1">
        <v>971265</v>
      </c>
      <c r="D4806" s="3">
        <v>-7.0000000000000201E-2</v>
      </c>
      <c r="E4806" s="3">
        <v>-0.28067361668003799</v>
      </c>
      <c r="F4806" s="3">
        <v>-0.28067361668003799</v>
      </c>
      <c r="G4806" s="3">
        <v>24.87</v>
      </c>
      <c r="H4806" s="3">
        <v>593.04989942555699</v>
      </c>
      <c r="I4806" s="3">
        <v>24.88</v>
      </c>
      <c r="J4806" s="3">
        <v>25.08</v>
      </c>
      <c r="K4806" s="3">
        <v>24.76</v>
      </c>
      <c r="L4806" s="3">
        <v>593.04989942555699</v>
      </c>
    </row>
    <row r="4807" spans="1:12" ht="15" customHeight="1" x14ac:dyDescent="0.2">
      <c r="A4807" s="2">
        <v>39072</v>
      </c>
      <c r="B4807" s="3">
        <v>24.94</v>
      </c>
      <c r="C4807" s="1">
        <v>1357964</v>
      </c>
      <c r="D4807" s="3">
        <v>8.9999999999999802E-2</v>
      </c>
      <c r="E4807" s="3">
        <v>0.36217303822938501</v>
      </c>
      <c r="F4807" s="3">
        <v>0.36217303822938501</v>
      </c>
      <c r="G4807" s="3">
        <v>24.94</v>
      </c>
      <c r="H4807" s="3">
        <v>595.00058269696001</v>
      </c>
      <c r="I4807" s="3">
        <v>25</v>
      </c>
      <c r="J4807" s="3">
        <v>25.17</v>
      </c>
      <c r="K4807" s="3">
        <v>24.85</v>
      </c>
      <c r="L4807" s="3">
        <v>595.00058269696001</v>
      </c>
    </row>
    <row r="4808" spans="1:12" ht="15" customHeight="1" x14ac:dyDescent="0.2">
      <c r="A4808" s="2">
        <v>39071</v>
      </c>
      <c r="B4808" s="3">
        <v>24.85</v>
      </c>
      <c r="C4808" s="1">
        <v>1889897</v>
      </c>
      <c r="D4808" s="3">
        <v>-0.29999999999999699</v>
      </c>
      <c r="E4808" s="3">
        <v>-1.1928429423459099</v>
      </c>
      <c r="F4808" s="3">
        <v>-1.1928429423459099</v>
      </c>
      <c r="G4808" s="3">
        <v>24.85</v>
      </c>
      <c r="H4808" s="3">
        <v>592.49256134801306</v>
      </c>
      <c r="I4808" s="3">
        <v>25.02</v>
      </c>
      <c r="J4808" s="3">
        <v>25.24</v>
      </c>
      <c r="K4808" s="3">
        <v>24.77</v>
      </c>
      <c r="L4808" s="3">
        <v>592.49256134801306</v>
      </c>
    </row>
    <row r="4809" spans="1:12" ht="15" customHeight="1" x14ac:dyDescent="0.2">
      <c r="A4809" s="2">
        <v>39070</v>
      </c>
      <c r="B4809" s="3">
        <v>25.15</v>
      </c>
      <c r="C4809" s="1">
        <v>3130811</v>
      </c>
      <c r="D4809" s="3">
        <v>5.99999999999987E-2</v>
      </c>
      <c r="E4809" s="3">
        <v>0.23913909924271301</v>
      </c>
      <c r="F4809" s="3">
        <v>0.23913909924271301</v>
      </c>
      <c r="G4809" s="3">
        <v>25.15</v>
      </c>
      <c r="H4809" s="3">
        <v>600.85263251116805</v>
      </c>
      <c r="I4809" s="3">
        <v>25.01</v>
      </c>
      <c r="J4809" s="3">
        <v>25.73</v>
      </c>
      <c r="K4809" s="3">
        <v>24.88</v>
      </c>
      <c r="L4809" s="3">
        <v>600.85263251116805</v>
      </c>
    </row>
    <row r="4810" spans="1:12" ht="15" customHeight="1" x14ac:dyDescent="0.2">
      <c r="A4810" s="2">
        <v>39069</v>
      </c>
      <c r="B4810" s="3">
        <v>25.09</v>
      </c>
      <c r="C4810" s="1">
        <v>3461648</v>
      </c>
      <c r="D4810" s="3">
        <v>-0.76999999999999902</v>
      </c>
      <c r="E4810" s="3">
        <v>-2.9775715390564499</v>
      </c>
      <c r="F4810" s="3">
        <v>-2.9775715390564499</v>
      </c>
      <c r="G4810" s="3">
        <v>25.09</v>
      </c>
      <c r="H4810" s="3">
        <v>599.18061827853705</v>
      </c>
      <c r="I4810" s="3">
        <v>25.76</v>
      </c>
      <c r="J4810" s="3">
        <v>25.96</v>
      </c>
      <c r="K4810" s="3">
        <v>25.04</v>
      </c>
      <c r="L4810" s="3">
        <v>599.18061827853705</v>
      </c>
    </row>
    <row r="4811" spans="1:12" ht="15" customHeight="1" x14ac:dyDescent="0.2">
      <c r="A4811" s="2">
        <v>39066</v>
      </c>
      <c r="B4811" s="3">
        <v>25.86</v>
      </c>
      <c r="C4811" s="1">
        <v>1664834</v>
      </c>
      <c r="D4811" s="3">
        <v>-0.40000000000000202</v>
      </c>
      <c r="E4811" s="3">
        <v>-1.52322924600153</v>
      </c>
      <c r="F4811" s="3">
        <v>-1.52322924600153</v>
      </c>
      <c r="G4811" s="3">
        <v>25.86</v>
      </c>
      <c r="H4811" s="3">
        <v>620.63813426396905</v>
      </c>
      <c r="I4811" s="3">
        <v>26.37</v>
      </c>
      <c r="J4811" s="3">
        <v>26.46</v>
      </c>
      <c r="K4811" s="3">
        <v>25.83</v>
      </c>
      <c r="L4811" s="3">
        <v>620.63813426396905</v>
      </c>
    </row>
    <row r="4812" spans="1:12" ht="15" customHeight="1" x14ac:dyDescent="0.2">
      <c r="A4812" s="2">
        <v>39065</v>
      </c>
      <c r="B4812" s="3">
        <v>26.26</v>
      </c>
      <c r="C4812" s="1">
        <v>724299</v>
      </c>
      <c r="D4812" s="3">
        <v>7.0000000000000201E-2</v>
      </c>
      <c r="E4812" s="3">
        <v>0.26727758686522202</v>
      </c>
      <c r="F4812" s="3">
        <v>0.26727758686522202</v>
      </c>
      <c r="G4812" s="3">
        <v>26.26</v>
      </c>
      <c r="H4812" s="3">
        <v>631.784895814842</v>
      </c>
      <c r="I4812" s="3">
        <v>26.14</v>
      </c>
      <c r="J4812" s="3">
        <v>26.55</v>
      </c>
      <c r="K4812" s="3">
        <v>26.06</v>
      </c>
      <c r="L4812" s="3">
        <v>631.784895814842</v>
      </c>
    </row>
    <row r="4813" spans="1:12" ht="15" customHeight="1" x14ac:dyDescent="0.2">
      <c r="A4813" s="2">
        <v>39064</v>
      </c>
      <c r="B4813" s="3">
        <v>26.19</v>
      </c>
      <c r="C4813" s="1">
        <v>1164884</v>
      </c>
      <c r="D4813" s="3">
        <v>0.16</v>
      </c>
      <c r="E4813" s="3">
        <v>0.61467537456780796</v>
      </c>
      <c r="F4813" s="3">
        <v>0.61467537456780796</v>
      </c>
      <c r="G4813" s="3">
        <v>26.19</v>
      </c>
      <c r="H4813" s="3">
        <v>629.83421254343898</v>
      </c>
      <c r="I4813" s="3">
        <v>26.25</v>
      </c>
      <c r="J4813" s="3">
        <v>26.41</v>
      </c>
      <c r="K4813" s="3">
        <v>26</v>
      </c>
      <c r="L4813" s="3">
        <v>629.83421254343898</v>
      </c>
    </row>
    <row r="4814" spans="1:12" ht="15" customHeight="1" x14ac:dyDescent="0.2">
      <c r="A4814" s="2">
        <v>39063</v>
      </c>
      <c r="B4814" s="3">
        <v>26.03</v>
      </c>
      <c r="C4814" s="1">
        <v>1026755</v>
      </c>
      <c r="D4814" s="3">
        <v>-0.32</v>
      </c>
      <c r="E4814" s="3">
        <v>-1.21442125237192</v>
      </c>
      <c r="F4814" s="3">
        <v>-1.21442125237192</v>
      </c>
      <c r="G4814" s="3">
        <v>26.03</v>
      </c>
      <c r="H4814" s="3">
        <v>625.37550792309003</v>
      </c>
      <c r="I4814" s="3">
        <v>26.471</v>
      </c>
      <c r="J4814" s="3">
        <v>26.48</v>
      </c>
      <c r="K4814" s="3">
        <v>25.95</v>
      </c>
      <c r="L4814" s="3">
        <v>625.37550792309003</v>
      </c>
    </row>
    <row r="4815" spans="1:12" ht="15" customHeight="1" x14ac:dyDescent="0.2">
      <c r="A4815" s="2">
        <v>39062</v>
      </c>
      <c r="B4815" s="3">
        <v>26.35</v>
      </c>
      <c r="C4815" s="1">
        <v>857438</v>
      </c>
      <c r="D4815" s="3">
        <v>-0.34999999999999698</v>
      </c>
      <c r="E4815" s="3">
        <v>-1.3108614232209601</v>
      </c>
      <c r="F4815" s="3">
        <v>-1.3108614232209601</v>
      </c>
      <c r="G4815" s="3">
        <v>26.35</v>
      </c>
      <c r="H4815" s="3">
        <v>634.29291716378896</v>
      </c>
      <c r="I4815" s="3">
        <v>26.69</v>
      </c>
      <c r="J4815" s="3">
        <v>26.74</v>
      </c>
      <c r="K4815" s="3">
        <v>26.26</v>
      </c>
      <c r="L4815" s="3">
        <v>634.29291716378896</v>
      </c>
    </row>
    <row r="4816" spans="1:12" ht="15" customHeight="1" x14ac:dyDescent="0.2">
      <c r="A4816" s="2">
        <v>39059</v>
      </c>
      <c r="B4816" s="3">
        <v>26.7</v>
      </c>
      <c r="C4816" s="1">
        <v>908477</v>
      </c>
      <c r="D4816" s="3">
        <v>0.12000000000000099</v>
      </c>
      <c r="E4816" s="3">
        <v>0.451467268623018</v>
      </c>
      <c r="F4816" s="3">
        <v>0.451467268623018</v>
      </c>
      <c r="G4816" s="3">
        <v>26.7</v>
      </c>
      <c r="H4816" s="3">
        <v>644.04633352080305</v>
      </c>
      <c r="I4816" s="3">
        <v>26.5</v>
      </c>
      <c r="J4816" s="3">
        <v>26.95</v>
      </c>
      <c r="K4816" s="3">
        <v>26.31</v>
      </c>
      <c r="L4816" s="3">
        <v>644.04633352080305</v>
      </c>
    </row>
    <row r="4817" spans="1:12" ht="15" customHeight="1" x14ac:dyDescent="0.2">
      <c r="A4817" s="2">
        <v>39058</v>
      </c>
      <c r="B4817" s="3">
        <v>26.58</v>
      </c>
      <c r="C4817" s="1">
        <v>931831</v>
      </c>
      <c r="D4817" s="3">
        <v>-0.17000000000000101</v>
      </c>
      <c r="E4817" s="3">
        <v>-0.63551401869159596</v>
      </c>
      <c r="F4817" s="3">
        <v>-0.63551401869159596</v>
      </c>
      <c r="G4817" s="3">
        <v>26.58</v>
      </c>
      <c r="H4817" s="3">
        <v>640.70230505554105</v>
      </c>
      <c r="I4817" s="3">
        <v>26.86</v>
      </c>
      <c r="J4817" s="3">
        <v>27</v>
      </c>
      <c r="K4817" s="3">
        <v>26.45</v>
      </c>
      <c r="L4817" s="3">
        <v>640.70230505554105</v>
      </c>
    </row>
    <row r="4818" spans="1:12" ht="15" customHeight="1" x14ac:dyDescent="0.2">
      <c r="A4818" s="2">
        <v>39057</v>
      </c>
      <c r="B4818" s="3">
        <v>26.75</v>
      </c>
      <c r="C4818" s="1">
        <v>1208909</v>
      </c>
      <c r="D4818" s="3">
        <v>0.149999999999998</v>
      </c>
      <c r="E4818" s="3">
        <v>0.56390977443607704</v>
      </c>
      <c r="F4818" s="3">
        <v>0.56390977443607704</v>
      </c>
      <c r="G4818" s="3">
        <v>26.75</v>
      </c>
      <c r="H4818" s="3">
        <v>645.43967871466202</v>
      </c>
      <c r="I4818" s="3">
        <v>26.5</v>
      </c>
      <c r="J4818" s="3">
        <v>26.99</v>
      </c>
      <c r="K4818" s="3">
        <v>26.11</v>
      </c>
      <c r="L4818" s="3">
        <v>645.43967871466202</v>
      </c>
    </row>
    <row r="4819" spans="1:12" ht="15" customHeight="1" x14ac:dyDescent="0.2">
      <c r="A4819" s="2">
        <v>39056</v>
      </c>
      <c r="B4819" s="3">
        <v>26.6</v>
      </c>
      <c r="C4819" s="1">
        <v>1119781</v>
      </c>
      <c r="D4819" s="3">
        <v>-0.44999999999999901</v>
      </c>
      <c r="E4819" s="3">
        <v>-1.66358595194084</v>
      </c>
      <c r="F4819" s="3">
        <v>-1.66358595194084</v>
      </c>
      <c r="G4819" s="3">
        <v>26.6</v>
      </c>
      <c r="H4819" s="3">
        <v>641.25964313308498</v>
      </c>
      <c r="I4819" s="3">
        <v>26.65</v>
      </c>
      <c r="J4819" s="3">
        <v>27.05</v>
      </c>
      <c r="K4819" s="3">
        <v>26.5</v>
      </c>
      <c r="L4819" s="3">
        <v>641.25964313308498</v>
      </c>
    </row>
    <row r="4820" spans="1:12" ht="15" customHeight="1" x14ac:dyDescent="0.2">
      <c r="A4820" s="2">
        <v>39055</v>
      </c>
      <c r="B4820" s="3">
        <v>27.05</v>
      </c>
      <c r="C4820" s="1">
        <v>1632878</v>
      </c>
      <c r="D4820" s="3">
        <v>0.64</v>
      </c>
      <c r="E4820" s="3">
        <v>2.4233244982960902</v>
      </c>
      <c r="F4820" s="3">
        <v>2.4233244982960902</v>
      </c>
      <c r="G4820" s="3">
        <v>27.05</v>
      </c>
      <c r="H4820" s="3">
        <v>653.79974987781702</v>
      </c>
      <c r="I4820" s="3">
        <v>26.41</v>
      </c>
      <c r="J4820" s="3">
        <v>27.26</v>
      </c>
      <c r="K4820" s="3">
        <v>26.15</v>
      </c>
      <c r="L4820" s="3">
        <v>653.79974987781702</v>
      </c>
    </row>
    <row r="4821" spans="1:12" ht="15" customHeight="1" x14ac:dyDescent="0.2">
      <c r="A4821" s="2">
        <v>39052</v>
      </c>
      <c r="B4821" s="3">
        <v>26.41</v>
      </c>
      <c r="C4821" s="1">
        <v>4999098</v>
      </c>
      <c r="D4821" s="3">
        <v>-1.28999999999999</v>
      </c>
      <c r="E4821" s="3">
        <v>-4.65703971119133</v>
      </c>
      <c r="F4821" s="3">
        <v>-4.65703971119133</v>
      </c>
      <c r="G4821" s="3">
        <v>26.41</v>
      </c>
      <c r="H4821" s="3">
        <v>635.96493139641996</v>
      </c>
      <c r="I4821" s="3">
        <v>27.93</v>
      </c>
      <c r="J4821" s="3">
        <v>28.05</v>
      </c>
      <c r="K4821" s="3">
        <v>25.75</v>
      </c>
      <c r="L4821" s="3">
        <v>635.96493139641996</v>
      </c>
    </row>
    <row r="4822" spans="1:12" ht="15" customHeight="1" x14ac:dyDescent="0.2">
      <c r="A4822" s="2">
        <v>39051</v>
      </c>
      <c r="B4822" s="3">
        <v>27.7</v>
      </c>
      <c r="C4822" s="1">
        <v>1495435</v>
      </c>
      <c r="D4822" s="3">
        <v>0.109999999999999</v>
      </c>
      <c r="E4822" s="3">
        <v>0.39869517941282201</v>
      </c>
      <c r="F4822" s="3">
        <v>0.39869517941282201</v>
      </c>
      <c r="G4822" s="3">
        <v>27.7</v>
      </c>
      <c r="H4822" s="3">
        <v>671.91323739798599</v>
      </c>
      <c r="I4822" s="3">
        <v>27.82</v>
      </c>
      <c r="J4822" s="3">
        <v>27.94</v>
      </c>
      <c r="K4822" s="3">
        <v>27.47</v>
      </c>
      <c r="L4822" s="3">
        <v>671.91323739798599</v>
      </c>
    </row>
    <row r="4823" spans="1:12" ht="15" customHeight="1" x14ac:dyDescent="0.2">
      <c r="A4823" s="2">
        <v>39050</v>
      </c>
      <c r="B4823" s="3">
        <v>27.59</v>
      </c>
      <c r="C4823" s="1">
        <v>1245342</v>
      </c>
      <c r="D4823" s="3">
        <v>0.12000000000000099</v>
      </c>
      <c r="E4823" s="3">
        <v>0.43684018929741603</v>
      </c>
      <c r="F4823" s="3">
        <v>0.43684018929741603</v>
      </c>
      <c r="G4823" s="3">
        <v>27.59</v>
      </c>
      <c r="H4823" s="3">
        <v>668.84787797149602</v>
      </c>
      <c r="I4823" s="3">
        <v>27.49</v>
      </c>
      <c r="J4823" s="3">
        <v>27.89</v>
      </c>
      <c r="K4823" s="3">
        <v>27.25</v>
      </c>
      <c r="L4823" s="3">
        <v>668.84787797149602</v>
      </c>
    </row>
    <row r="4824" spans="1:12" ht="15" customHeight="1" x14ac:dyDescent="0.2">
      <c r="A4824" s="2">
        <v>39049</v>
      </c>
      <c r="B4824" s="3">
        <v>27.47</v>
      </c>
      <c r="C4824" s="1">
        <v>1585029</v>
      </c>
      <c r="D4824" s="3">
        <v>-0.67000000000000104</v>
      </c>
      <c r="E4824" s="3">
        <v>-2.38095238095238</v>
      </c>
      <c r="F4824" s="3">
        <v>-2.38095238095238</v>
      </c>
      <c r="G4824" s="3">
        <v>27.47</v>
      </c>
      <c r="H4824" s="3">
        <v>665.50384950623402</v>
      </c>
      <c r="I4824" s="3">
        <v>28.03</v>
      </c>
      <c r="J4824" s="3">
        <v>28.13</v>
      </c>
      <c r="K4824" s="3">
        <v>27.05</v>
      </c>
      <c r="L4824" s="3">
        <v>665.50384950623402</v>
      </c>
    </row>
    <row r="4825" spans="1:12" ht="15" customHeight="1" x14ac:dyDescent="0.2">
      <c r="A4825" s="2">
        <v>39048</v>
      </c>
      <c r="B4825" s="3">
        <v>28.14</v>
      </c>
      <c r="C4825" s="1">
        <v>1527595</v>
      </c>
      <c r="D4825" s="3">
        <v>-0.71</v>
      </c>
      <c r="E4825" s="3">
        <v>-2.4610051993067601</v>
      </c>
      <c r="F4825" s="3">
        <v>-2.4610051993067601</v>
      </c>
      <c r="G4825" s="3">
        <v>28.14</v>
      </c>
      <c r="H4825" s="3">
        <v>684.17467510394704</v>
      </c>
      <c r="I4825" s="3">
        <v>28.71</v>
      </c>
      <c r="J4825" s="3">
        <v>28.79</v>
      </c>
      <c r="K4825" s="3">
        <v>28.08</v>
      </c>
      <c r="L4825" s="3">
        <v>684.17467510394704</v>
      </c>
    </row>
    <row r="4826" spans="1:12" ht="15" customHeight="1" x14ac:dyDescent="0.2">
      <c r="A4826" s="2">
        <v>39045</v>
      </c>
      <c r="B4826" s="3">
        <v>28.85</v>
      </c>
      <c r="C4826" s="1">
        <v>249700</v>
      </c>
      <c r="D4826" s="3">
        <v>-0.12999999999999901</v>
      </c>
      <c r="E4826" s="3">
        <v>-0.44858523119392002</v>
      </c>
      <c r="F4826" s="3">
        <v>-0.44858523119392002</v>
      </c>
      <c r="G4826" s="3">
        <v>28.85</v>
      </c>
      <c r="H4826" s="3">
        <v>703.96017685674803</v>
      </c>
      <c r="I4826" s="3">
        <v>28.85</v>
      </c>
      <c r="J4826" s="3">
        <v>29.06</v>
      </c>
      <c r="K4826" s="3">
        <v>28.68</v>
      </c>
      <c r="L4826" s="3">
        <v>703.96017685674803</v>
      </c>
    </row>
    <row r="4827" spans="1:12" ht="15" customHeight="1" x14ac:dyDescent="0.2">
      <c r="A4827" s="2">
        <v>39043</v>
      </c>
      <c r="B4827" s="3">
        <v>28.98</v>
      </c>
      <c r="C4827" s="1">
        <v>643164</v>
      </c>
      <c r="D4827" s="3">
        <v>0.25</v>
      </c>
      <c r="E4827" s="3">
        <v>0.87017055342846195</v>
      </c>
      <c r="F4827" s="3">
        <v>0.87017055342846195</v>
      </c>
      <c r="G4827" s="3">
        <v>28.98</v>
      </c>
      <c r="H4827" s="3">
        <v>707.58287436078194</v>
      </c>
      <c r="I4827" s="3">
        <v>28.77</v>
      </c>
      <c r="J4827" s="3">
        <v>29.1</v>
      </c>
      <c r="K4827" s="3">
        <v>28.58</v>
      </c>
      <c r="L4827" s="3">
        <v>707.58287436078194</v>
      </c>
    </row>
    <row r="4828" spans="1:12" ht="15" customHeight="1" x14ac:dyDescent="0.2">
      <c r="A4828" s="2">
        <v>39042</v>
      </c>
      <c r="B4828" s="3">
        <v>28.73</v>
      </c>
      <c r="C4828" s="1">
        <v>782388</v>
      </c>
      <c r="D4828" s="3">
        <v>0.16</v>
      </c>
      <c r="E4828" s="3">
        <v>0.56002800140007003</v>
      </c>
      <c r="F4828" s="3">
        <v>0.56002800140007003</v>
      </c>
      <c r="G4828" s="3">
        <v>28.73</v>
      </c>
      <c r="H4828" s="3">
        <v>700.61614839148604</v>
      </c>
      <c r="I4828" s="3">
        <v>28.58</v>
      </c>
      <c r="J4828" s="3">
        <v>28.93</v>
      </c>
      <c r="K4828" s="3">
        <v>28.58</v>
      </c>
      <c r="L4828" s="3">
        <v>700.61614839148604</v>
      </c>
    </row>
    <row r="4829" spans="1:12" ht="15" customHeight="1" x14ac:dyDescent="0.2">
      <c r="A4829" s="2">
        <v>39041</v>
      </c>
      <c r="B4829" s="3">
        <v>28.57</v>
      </c>
      <c r="C4829" s="1">
        <v>1220728</v>
      </c>
      <c r="D4829" s="3">
        <v>0.37000000000000099</v>
      </c>
      <c r="E4829" s="3">
        <v>1.31205673758865</v>
      </c>
      <c r="F4829" s="3">
        <v>1.31205673758865</v>
      </c>
      <c r="G4829" s="3">
        <v>28.57</v>
      </c>
      <c r="H4829" s="3">
        <v>696.15744377113595</v>
      </c>
      <c r="I4829" s="3">
        <v>28.59</v>
      </c>
      <c r="J4829" s="3">
        <v>28.82</v>
      </c>
      <c r="K4829" s="3">
        <v>28.18</v>
      </c>
      <c r="L4829" s="3">
        <v>696.15744377113595</v>
      </c>
    </row>
    <row r="4830" spans="1:12" ht="15" customHeight="1" x14ac:dyDescent="0.2">
      <c r="A4830" s="2">
        <v>39038</v>
      </c>
      <c r="B4830" s="3">
        <v>28.2</v>
      </c>
      <c r="C4830" s="1">
        <v>1022385</v>
      </c>
      <c r="D4830" s="3">
        <v>-0.33999999999999903</v>
      </c>
      <c r="E4830" s="3">
        <v>-1.1913104414856299</v>
      </c>
      <c r="F4830" s="3">
        <v>-1.1913104414856299</v>
      </c>
      <c r="G4830" s="3">
        <v>28.2</v>
      </c>
      <c r="H4830" s="3">
        <v>685.84668933657804</v>
      </c>
      <c r="I4830" s="3">
        <v>28.56</v>
      </c>
      <c r="J4830" s="3">
        <v>28.6</v>
      </c>
      <c r="K4830" s="3">
        <v>28.02</v>
      </c>
      <c r="L4830" s="3">
        <v>685.84668933657804</v>
      </c>
    </row>
    <row r="4831" spans="1:12" ht="15" customHeight="1" x14ac:dyDescent="0.2">
      <c r="A4831" s="2">
        <v>39037</v>
      </c>
      <c r="B4831" s="3">
        <v>28.54</v>
      </c>
      <c r="C4831" s="1">
        <v>1172976</v>
      </c>
      <c r="D4831" s="3">
        <v>-0.25</v>
      </c>
      <c r="E4831" s="3">
        <v>-0.86835706842653904</v>
      </c>
      <c r="F4831" s="3">
        <v>-0.86835706842653904</v>
      </c>
      <c r="G4831" s="3">
        <v>28.54</v>
      </c>
      <c r="H4831" s="3">
        <v>695.32143665482101</v>
      </c>
      <c r="I4831" s="3">
        <v>29</v>
      </c>
      <c r="J4831" s="3">
        <v>29.06</v>
      </c>
      <c r="K4831" s="3">
        <v>28.39</v>
      </c>
      <c r="L4831" s="3">
        <v>695.32143665482101</v>
      </c>
    </row>
    <row r="4832" spans="1:12" ht="15" customHeight="1" x14ac:dyDescent="0.2">
      <c r="A4832" s="2">
        <v>39036</v>
      </c>
      <c r="B4832" s="3">
        <v>28.79</v>
      </c>
      <c r="C4832" s="1">
        <v>2796134</v>
      </c>
      <c r="D4832" s="3">
        <v>1.52999999999999</v>
      </c>
      <c r="E4832" s="3">
        <v>5.6126192223037297</v>
      </c>
      <c r="F4832" s="3">
        <v>5.6126192223037297</v>
      </c>
      <c r="G4832" s="3">
        <v>28.79</v>
      </c>
      <c r="H4832" s="3">
        <v>702.28816262411704</v>
      </c>
      <c r="I4832" s="3">
        <v>28.65</v>
      </c>
      <c r="J4832" s="3">
        <v>29.56</v>
      </c>
      <c r="K4832" s="3">
        <v>28.55</v>
      </c>
      <c r="L4832" s="3">
        <v>702.28816262411704</v>
      </c>
    </row>
    <row r="4833" spans="1:12" ht="15" customHeight="1" x14ac:dyDescent="0.2">
      <c r="A4833" s="2">
        <v>39035</v>
      </c>
      <c r="B4833" s="3">
        <v>27.26</v>
      </c>
      <c r="C4833" s="1">
        <v>784257</v>
      </c>
      <c r="D4833" s="3">
        <v>0.16</v>
      </c>
      <c r="E4833" s="3">
        <v>0.59040590405903204</v>
      </c>
      <c r="F4833" s="3">
        <v>0.59040590405903204</v>
      </c>
      <c r="G4833" s="3">
        <v>27.26</v>
      </c>
      <c r="H4833" s="3">
        <v>659.65179969202597</v>
      </c>
      <c r="I4833" s="3">
        <v>27</v>
      </c>
      <c r="J4833" s="3">
        <v>27.29</v>
      </c>
      <c r="K4833" s="3">
        <v>26.49</v>
      </c>
      <c r="L4833" s="3">
        <v>659.65179969202597</v>
      </c>
    </row>
    <row r="4834" spans="1:12" ht="15" customHeight="1" x14ac:dyDescent="0.2">
      <c r="A4834" s="2">
        <v>39034</v>
      </c>
      <c r="B4834" s="3">
        <v>27.1</v>
      </c>
      <c r="C4834" s="1">
        <v>1167762</v>
      </c>
      <c r="D4834" s="3">
        <v>0.26000000000000101</v>
      </c>
      <c r="E4834" s="3">
        <v>0.96870342771981899</v>
      </c>
      <c r="F4834" s="3">
        <v>0.96870342771981899</v>
      </c>
      <c r="G4834" s="3">
        <v>27.1</v>
      </c>
      <c r="H4834" s="3">
        <v>655.193095071676</v>
      </c>
      <c r="I4834" s="3">
        <v>26.95</v>
      </c>
      <c r="J4834" s="3">
        <v>27.177600000000002</v>
      </c>
      <c r="K4834" s="3">
        <v>26.76</v>
      </c>
      <c r="L4834" s="3">
        <v>655.193095071676</v>
      </c>
    </row>
    <row r="4835" spans="1:12" ht="15" customHeight="1" x14ac:dyDescent="0.2">
      <c r="A4835" s="2">
        <v>39031</v>
      </c>
      <c r="B4835" s="3">
        <v>26.84</v>
      </c>
      <c r="C4835" s="1">
        <v>924194</v>
      </c>
      <c r="D4835" s="3">
        <v>0.440000000000001</v>
      </c>
      <c r="E4835" s="3">
        <v>1.6666666666666601</v>
      </c>
      <c r="F4835" s="3">
        <v>1.6666666666666601</v>
      </c>
      <c r="G4835" s="3">
        <v>26.84</v>
      </c>
      <c r="H4835" s="3">
        <v>647.94770006360795</v>
      </c>
      <c r="I4835" s="3">
        <v>26.26</v>
      </c>
      <c r="J4835" s="3">
        <v>26.88</v>
      </c>
      <c r="K4835" s="3">
        <v>26.21</v>
      </c>
      <c r="L4835" s="3">
        <v>647.94770006360795</v>
      </c>
    </row>
    <row r="4836" spans="1:12" ht="15" customHeight="1" x14ac:dyDescent="0.2">
      <c r="A4836" s="2">
        <v>39030</v>
      </c>
      <c r="B4836" s="3">
        <v>26.4</v>
      </c>
      <c r="C4836" s="1">
        <v>655165</v>
      </c>
      <c r="D4836" s="3">
        <v>-0.39</v>
      </c>
      <c r="E4836" s="3">
        <v>-1.4557670772676401</v>
      </c>
      <c r="F4836" s="3">
        <v>-1.4557670772676401</v>
      </c>
      <c r="G4836" s="3">
        <v>26.4</v>
      </c>
      <c r="H4836" s="3">
        <v>635.68626235764805</v>
      </c>
      <c r="I4836" s="3">
        <v>26.76</v>
      </c>
      <c r="J4836" s="3">
        <v>26.81</v>
      </c>
      <c r="K4836" s="3">
        <v>26.25</v>
      </c>
      <c r="L4836" s="3">
        <v>635.68626235764805</v>
      </c>
    </row>
    <row r="4837" spans="1:12" ht="15" customHeight="1" x14ac:dyDescent="0.2">
      <c r="A4837" s="2">
        <v>39029</v>
      </c>
      <c r="B4837" s="3">
        <v>26.79</v>
      </c>
      <c r="C4837" s="1">
        <v>1430883</v>
      </c>
      <c r="D4837" s="3">
        <v>0.309999999999998</v>
      </c>
      <c r="E4837" s="3">
        <v>1.1706948640483199</v>
      </c>
      <c r="F4837" s="3">
        <v>1.1706948640483199</v>
      </c>
      <c r="G4837" s="3">
        <v>26.79</v>
      </c>
      <c r="H4837" s="3">
        <v>646.55435486974898</v>
      </c>
      <c r="I4837" s="3">
        <v>26.32</v>
      </c>
      <c r="J4837" s="3">
        <v>26.9</v>
      </c>
      <c r="K4837" s="3">
        <v>26.18</v>
      </c>
      <c r="L4837" s="3">
        <v>646.55435486974898</v>
      </c>
    </row>
    <row r="4838" spans="1:12" ht="15" customHeight="1" x14ac:dyDescent="0.2">
      <c r="A4838" s="2">
        <v>39028</v>
      </c>
      <c r="B4838" s="3">
        <v>26.48</v>
      </c>
      <c r="C4838" s="1">
        <v>1303341</v>
      </c>
      <c r="D4838" s="3">
        <v>-0.23</v>
      </c>
      <c r="E4838" s="3">
        <v>-0.86110071134406496</v>
      </c>
      <c r="F4838" s="3">
        <v>-0.86110071134406496</v>
      </c>
      <c r="G4838" s="3">
        <v>26.48</v>
      </c>
      <c r="H4838" s="3">
        <v>637.91561466782196</v>
      </c>
      <c r="I4838" s="3">
        <v>26.8</v>
      </c>
      <c r="J4838" s="3">
        <v>26.93</v>
      </c>
      <c r="K4838" s="3">
        <v>26.32</v>
      </c>
      <c r="L4838" s="3">
        <v>637.91561466782196</v>
      </c>
    </row>
    <row r="4839" spans="1:12" ht="15" customHeight="1" x14ac:dyDescent="0.2">
      <c r="A4839" s="2">
        <v>39027</v>
      </c>
      <c r="B4839" s="3">
        <v>26.71</v>
      </c>
      <c r="C4839" s="1">
        <v>1739669</v>
      </c>
      <c r="D4839" s="3">
        <v>0.65000000000000202</v>
      </c>
      <c r="E4839" s="3">
        <v>2.4942440521872702</v>
      </c>
      <c r="F4839" s="3">
        <v>2.4942440521872702</v>
      </c>
      <c r="G4839" s="3">
        <v>26.71</v>
      </c>
      <c r="H4839" s="3">
        <v>644.32500255957495</v>
      </c>
      <c r="I4839" s="3">
        <v>26.32</v>
      </c>
      <c r="J4839" s="3">
        <v>27.06</v>
      </c>
      <c r="K4839" s="3">
        <v>26.31</v>
      </c>
      <c r="L4839" s="3">
        <v>644.32500255957495</v>
      </c>
    </row>
    <row r="4840" spans="1:12" ht="15" customHeight="1" x14ac:dyDescent="0.2">
      <c r="A4840" s="2">
        <v>39024</v>
      </c>
      <c r="B4840" s="3">
        <v>26.06</v>
      </c>
      <c r="C4840" s="1">
        <v>2443433</v>
      </c>
      <c r="D4840" s="3">
        <v>-1.1399999999999999</v>
      </c>
      <c r="E4840" s="3">
        <v>-4.1911764705882399</v>
      </c>
      <c r="F4840" s="3">
        <v>-4.1911764705882399</v>
      </c>
      <c r="G4840" s="3">
        <v>26.06</v>
      </c>
      <c r="H4840" s="3">
        <v>626.21151503940496</v>
      </c>
      <c r="I4840" s="3">
        <v>27.35</v>
      </c>
      <c r="J4840" s="3">
        <v>27.35</v>
      </c>
      <c r="K4840" s="3">
        <v>25.79</v>
      </c>
      <c r="L4840" s="3">
        <v>626.21151503940496</v>
      </c>
    </row>
    <row r="4841" spans="1:12" ht="15" customHeight="1" x14ac:dyDescent="0.2">
      <c r="A4841" s="2">
        <v>39023</v>
      </c>
      <c r="B4841" s="3">
        <v>27.2</v>
      </c>
      <c r="C4841" s="1">
        <v>1030199</v>
      </c>
      <c r="D4841" s="3">
        <v>-0.48</v>
      </c>
      <c r="E4841" s="3">
        <v>-1.7341040462427699</v>
      </c>
      <c r="F4841" s="3">
        <v>-1.7341040462427699</v>
      </c>
      <c r="G4841" s="3">
        <v>27.2</v>
      </c>
      <c r="H4841" s="3">
        <v>657.97978545939498</v>
      </c>
      <c r="I4841" s="3">
        <v>27.52</v>
      </c>
      <c r="J4841" s="3">
        <v>27.7</v>
      </c>
      <c r="K4841" s="3">
        <v>27.11</v>
      </c>
      <c r="L4841" s="3">
        <v>657.97978545939498</v>
      </c>
    </row>
    <row r="4842" spans="1:12" ht="15" customHeight="1" x14ac:dyDescent="0.2">
      <c r="A4842" s="2">
        <v>39022</v>
      </c>
      <c r="B4842" s="3">
        <v>27.68</v>
      </c>
      <c r="C4842" s="1">
        <v>811444</v>
      </c>
      <c r="D4842" s="3">
        <v>-0.56999999999999995</v>
      </c>
      <c r="E4842" s="3">
        <v>-2.0176991150442398</v>
      </c>
      <c r="F4842" s="3">
        <v>-2.0176991150442398</v>
      </c>
      <c r="G4842" s="3">
        <v>27.68</v>
      </c>
      <c r="H4842" s="3">
        <v>671.35589932044297</v>
      </c>
      <c r="I4842" s="3">
        <v>28.04</v>
      </c>
      <c r="J4842" s="3">
        <v>28.28</v>
      </c>
      <c r="K4842" s="3">
        <v>27.62</v>
      </c>
      <c r="L4842" s="3">
        <v>671.35589932044297</v>
      </c>
    </row>
    <row r="4843" spans="1:12" ht="15" customHeight="1" x14ac:dyDescent="0.2">
      <c r="A4843" s="2">
        <v>39021</v>
      </c>
      <c r="B4843" s="3">
        <v>28.25</v>
      </c>
      <c r="C4843" s="1">
        <v>669920</v>
      </c>
      <c r="D4843" s="3">
        <v>-0.16</v>
      </c>
      <c r="E4843" s="3">
        <v>-0.56318197817669602</v>
      </c>
      <c r="F4843" s="3">
        <v>-0.56318197817669602</v>
      </c>
      <c r="G4843" s="3">
        <v>28.25</v>
      </c>
      <c r="H4843" s="3">
        <v>687.24003453043701</v>
      </c>
      <c r="I4843" s="3">
        <v>28.67</v>
      </c>
      <c r="J4843" s="3">
        <v>28.73</v>
      </c>
      <c r="K4843" s="3">
        <v>28.06</v>
      </c>
      <c r="L4843" s="3">
        <v>687.24003453043701</v>
      </c>
    </row>
    <row r="4844" spans="1:12" ht="15" customHeight="1" x14ac:dyDescent="0.2">
      <c r="A4844" s="2">
        <v>39020</v>
      </c>
      <c r="B4844" s="3">
        <v>28.41</v>
      </c>
      <c r="C4844" s="1">
        <v>1026625</v>
      </c>
      <c r="D4844" s="3">
        <v>0.309999999999998</v>
      </c>
      <c r="E4844" s="3">
        <v>1.1032028469750901</v>
      </c>
      <c r="F4844" s="3">
        <v>1.1032028469750901</v>
      </c>
      <c r="G4844" s="3">
        <v>28.41</v>
      </c>
      <c r="H4844" s="3">
        <v>691.69873915078699</v>
      </c>
      <c r="I4844" s="3">
        <v>28.02</v>
      </c>
      <c r="J4844" s="3">
        <v>28.62</v>
      </c>
      <c r="K4844" s="3">
        <v>27.96</v>
      </c>
      <c r="L4844" s="3">
        <v>691.69873915078699</v>
      </c>
    </row>
    <row r="4845" spans="1:12" ht="15" customHeight="1" x14ac:dyDescent="0.2">
      <c r="A4845" s="2">
        <v>39017</v>
      </c>
      <c r="B4845" s="3">
        <v>28.1</v>
      </c>
      <c r="C4845" s="1">
        <v>994828</v>
      </c>
      <c r="D4845" s="3">
        <v>-0.26999999999999902</v>
      </c>
      <c r="E4845" s="3">
        <v>-0.95170955234402599</v>
      </c>
      <c r="F4845" s="3">
        <v>-0.95170955234402599</v>
      </c>
      <c r="G4845" s="3">
        <v>28.1</v>
      </c>
      <c r="H4845" s="3">
        <v>683.05999894885997</v>
      </c>
      <c r="I4845" s="3">
        <v>28.25</v>
      </c>
      <c r="J4845" s="3">
        <v>28.68</v>
      </c>
      <c r="K4845" s="3">
        <v>27.7</v>
      </c>
      <c r="L4845" s="3">
        <v>683.05999894885997</v>
      </c>
    </row>
    <row r="4846" spans="1:12" ht="15" customHeight="1" x14ac:dyDescent="0.2">
      <c r="A4846" s="2">
        <v>39016</v>
      </c>
      <c r="B4846" s="3">
        <v>28.37</v>
      </c>
      <c r="C4846" s="1">
        <v>1695576</v>
      </c>
      <c r="D4846" s="3">
        <v>-0.23</v>
      </c>
      <c r="E4846" s="3">
        <v>-0.80419580419580605</v>
      </c>
      <c r="F4846" s="3">
        <v>-0.80419580419580605</v>
      </c>
      <c r="G4846" s="3">
        <v>28.37</v>
      </c>
      <c r="H4846" s="3">
        <v>690.58406299569901</v>
      </c>
      <c r="I4846" s="3">
        <v>28.68</v>
      </c>
      <c r="J4846" s="3">
        <v>28.72</v>
      </c>
      <c r="K4846" s="3">
        <v>27.75</v>
      </c>
      <c r="L4846" s="3">
        <v>690.58406299569901</v>
      </c>
    </row>
    <row r="4847" spans="1:12" ht="15" customHeight="1" x14ac:dyDescent="0.2">
      <c r="A4847" s="2">
        <v>39015</v>
      </c>
      <c r="B4847" s="3">
        <v>28.6</v>
      </c>
      <c r="C4847" s="1">
        <v>3638538</v>
      </c>
      <c r="D4847" s="3">
        <v>1.53</v>
      </c>
      <c r="E4847" s="3">
        <v>5.6520132988548299</v>
      </c>
      <c r="F4847" s="3">
        <v>5.6520132988548299</v>
      </c>
      <c r="G4847" s="3">
        <v>28.6</v>
      </c>
      <c r="H4847" s="3">
        <v>696.99345088745201</v>
      </c>
      <c r="I4847" s="3">
        <v>27.08</v>
      </c>
      <c r="J4847" s="3">
        <v>29.73</v>
      </c>
      <c r="K4847" s="3">
        <v>26.87</v>
      </c>
      <c r="L4847" s="3">
        <v>696.99345088745201</v>
      </c>
    </row>
    <row r="4848" spans="1:12" ht="15" customHeight="1" x14ac:dyDescent="0.2">
      <c r="A4848" s="2">
        <v>39014</v>
      </c>
      <c r="B4848" s="3">
        <v>27.07</v>
      </c>
      <c r="C4848" s="1">
        <v>1589747</v>
      </c>
      <c r="D4848" s="3">
        <v>0.73</v>
      </c>
      <c r="E4848" s="3">
        <v>2.7714502657555098</v>
      </c>
      <c r="F4848" s="3">
        <v>2.7714502657555098</v>
      </c>
      <c r="G4848" s="3">
        <v>27.07</v>
      </c>
      <c r="H4848" s="3">
        <v>654.35708795536095</v>
      </c>
      <c r="I4848" s="3">
        <v>26.16</v>
      </c>
      <c r="J4848" s="3">
        <v>27.07</v>
      </c>
      <c r="K4848" s="3">
        <v>26.05</v>
      </c>
      <c r="L4848" s="3">
        <v>654.35708795536095</v>
      </c>
    </row>
    <row r="4849" spans="1:12" ht="15" customHeight="1" x14ac:dyDescent="0.2">
      <c r="A4849" s="2">
        <v>39013</v>
      </c>
      <c r="B4849" s="3">
        <v>26.34</v>
      </c>
      <c r="C4849" s="1">
        <v>1676620</v>
      </c>
      <c r="D4849" s="3">
        <v>7.9999999999998295E-2</v>
      </c>
      <c r="E4849" s="3">
        <v>0.30464584920029097</v>
      </c>
      <c r="F4849" s="3">
        <v>0.30464584920029097</v>
      </c>
      <c r="G4849" s="3">
        <v>26.34</v>
      </c>
      <c r="H4849" s="3">
        <v>634.01424812501705</v>
      </c>
      <c r="I4849" s="3">
        <v>26</v>
      </c>
      <c r="J4849" s="3">
        <v>26.83</v>
      </c>
      <c r="K4849" s="3">
        <v>26</v>
      </c>
      <c r="L4849" s="3">
        <v>634.01424812501705</v>
      </c>
    </row>
    <row r="4850" spans="1:12" ht="15" customHeight="1" x14ac:dyDescent="0.2">
      <c r="A4850" s="2">
        <v>39010</v>
      </c>
      <c r="B4850" s="3">
        <v>26.26</v>
      </c>
      <c r="C4850" s="1">
        <v>1699420</v>
      </c>
      <c r="D4850" s="3">
        <v>-0.51999999999999902</v>
      </c>
      <c r="E4850" s="3">
        <v>-1.94174757281553</v>
      </c>
      <c r="F4850" s="3">
        <v>-1.94174757281553</v>
      </c>
      <c r="G4850" s="3">
        <v>26.26</v>
      </c>
      <c r="H4850" s="3">
        <v>631.784895814842</v>
      </c>
      <c r="I4850" s="3">
        <v>26.83</v>
      </c>
      <c r="J4850" s="3">
        <v>26.86</v>
      </c>
      <c r="K4850" s="3">
        <v>25.9</v>
      </c>
      <c r="L4850" s="3">
        <v>631.784895814842</v>
      </c>
    </row>
    <row r="4851" spans="1:12" ht="15" customHeight="1" x14ac:dyDescent="0.2">
      <c r="A4851" s="2">
        <v>39009</v>
      </c>
      <c r="B4851" s="3">
        <v>26.78</v>
      </c>
      <c r="C4851" s="1">
        <v>1582338</v>
      </c>
      <c r="D4851" s="3">
        <v>-0.82999999999999796</v>
      </c>
      <c r="E4851" s="3">
        <v>-3.0061571894241101</v>
      </c>
      <c r="F4851" s="3">
        <v>-3.0061571894241101</v>
      </c>
      <c r="G4851" s="3">
        <v>26.78</v>
      </c>
      <c r="H4851" s="3">
        <v>646.27568583097798</v>
      </c>
      <c r="I4851" s="3">
        <v>27.3</v>
      </c>
      <c r="J4851" s="3">
        <v>27.33</v>
      </c>
      <c r="K4851" s="3">
        <v>26.58</v>
      </c>
      <c r="L4851" s="3">
        <v>646.27568583097798</v>
      </c>
    </row>
    <row r="4852" spans="1:12" ht="15" customHeight="1" x14ac:dyDescent="0.2">
      <c r="A4852" s="2">
        <v>39008</v>
      </c>
      <c r="B4852" s="3">
        <v>27.61</v>
      </c>
      <c r="C4852" s="1">
        <v>1115911</v>
      </c>
      <c r="D4852" s="3">
        <v>-7.0000000000000201E-2</v>
      </c>
      <c r="E4852" s="3">
        <v>-0.25289017341040199</v>
      </c>
      <c r="F4852" s="3">
        <v>-0.25289017341040199</v>
      </c>
      <c r="G4852" s="3">
        <v>27.61</v>
      </c>
      <c r="H4852" s="3">
        <v>669.40521604903995</v>
      </c>
      <c r="I4852" s="3">
        <v>27.8</v>
      </c>
      <c r="J4852" s="3">
        <v>28.06</v>
      </c>
      <c r="K4852" s="3">
        <v>27.44</v>
      </c>
      <c r="L4852" s="3">
        <v>669.40521604903995</v>
      </c>
    </row>
    <row r="4853" spans="1:12" ht="15" customHeight="1" x14ac:dyDescent="0.2">
      <c r="A4853" s="2">
        <v>39007</v>
      </c>
      <c r="B4853" s="3">
        <v>27.68</v>
      </c>
      <c r="C4853" s="1">
        <v>782688</v>
      </c>
      <c r="D4853" s="3">
        <v>-0.35999999999999899</v>
      </c>
      <c r="E4853" s="3">
        <v>-1.28388017118401</v>
      </c>
      <c r="F4853" s="3">
        <v>-1.28388017118401</v>
      </c>
      <c r="G4853" s="3">
        <v>27.68</v>
      </c>
      <c r="H4853" s="3">
        <v>671.35589932044297</v>
      </c>
      <c r="I4853" s="3">
        <v>27.82</v>
      </c>
      <c r="J4853" s="3">
        <v>28.15</v>
      </c>
      <c r="K4853" s="3">
        <v>27.39</v>
      </c>
      <c r="L4853" s="3">
        <v>671.35589932044297</v>
      </c>
    </row>
    <row r="4854" spans="1:12" ht="15" customHeight="1" x14ac:dyDescent="0.2">
      <c r="A4854" s="2">
        <v>39006</v>
      </c>
      <c r="B4854" s="3">
        <v>28.04</v>
      </c>
      <c r="C4854" s="1">
        <v>699301</v>
      </c>
      <c r="D4854" s="3">
        <v>0.14000000000000001</v>
      </c>
      <c r="E4854" s="3">
        <v>0.50179211469534302</v>
      </c>
      <c r="F4854" s="3">
        <v>0.50179211469534302</v>
      </c>
      <c r="G4854" s="3">
        <v>28.04</v>
      </c>
      <c r="H4854" s="3">
        <v>681.38798471622897</v>
      </c>
      <c r="I4854" s="3">
        <v>27.79</v>
      </c>
      <c r="J4854" s="3">
        <v>28.08</v>
      </c>
      <c r="K4854" s="3">
        <v>27.34</v>
      </c>
      <c r="L4854" s="3">
        <v>681.38798471622897</v>
      </c>
    </row>
    <row r="4855" spans="1:12" ht="15" customHeight="1" x14ac:dyDescent="0.2">
      <c r="A4855" s="2">
        <v>39003</v>
      </c>
      <c r="B4855" s="3">
        <v>27.9</v>
      </c>
      <c r="C4855" s="1">
        <v>1147818</v>
      </c>
      <c r="D4855" s="3">
        <v>-8.9999999999999802E-2</v>
      </c>
      <c r="E4855" s="3">
        <v>-0.32154340836012502</v>
      </c>
      <c r="F4855" s="3">
        <v>-0.32154340836012502</v>
      </c>
      <c r="G4855" s="3">
        <v>27.9</v>
      </c>
      <c r="H4855" s="3">
        <v>677.48661817342304</v>
      </c>
      <c r="I4855" s="3">
        <v>28</v>
      </c>
      <c r="J4855" s="3">
        <v>28.24</v>
      </c>
      <c r="K4855" s="3">
        <v>27.72</v>
      </c>
      <c r="L4855" s="3">
        <v>677.48661817342304</v>
      </c>
    </row>
    <row r="4856" spans="1:12" ht="15" customHeight="1" x14ac:dyDescent="0.2">
      <c r="A4856" s="2">
        <v>39002</v>
      </c>
      <c r="B4856" s="3">
        <v>27.99</v>
      </c>
      <c r="C4856" s="1">
        <v>1240133</v>
      </c>
      <c r="D4856" s="3">
        <v>1.03999999999999</v>
      </c>
      <c r="E4856" s="3">
        <v>3.85899814471242</v>
      </c>
      <c r="F4856" s="3">
        <v>3.85899814471242</v>
      </c>
      <c r="G4856" s="3">
        <v>27.99</v>
      </c>
      <c r="H4856" s="3">
        <v>679.99463952236999</v>
      </c>
      <c r="I4856" s="3">
        <v>27.04</v>
      </c>
      <c r="J4856" s="3">
        <v>28.21</v>
      </c>
      <c r="K4856" s="3">
        <v>26.98</v>
      </c>
      <c r="L4856" s="3">
        <v>679.99463952236999</v>
      </c>
    </row>
    <row r="4857" spans="1:12" ht="15" customHeight="1" x14ac:dyDescent="0.2">
      <c r="A4857" s="2">
        <v>39001</v>
      </c>
      <c r="B4857" s="3">
        <v>26.95</v>
      </c>
      <c r="C4857" s="1">
        <v>725135</v>
      </c>
      <c r="D4857" s="3">
        <v>-0.33000000000000101</v>
      </c>
      <c r="E4857" s="3">
        <v>-1.2096774193548401</v>
      </c>
      <c r="F4857" s="3">
        <v>-1.2096774193548401</v>
      </c>
      <c r="G4857" s="3">
        <v>26.95</v>
      </c>
      <c r="H4857" s="3">
        <v>651.01305949009895</v>
      </c>
      <c r="I4857" s="3">
        <v>27.248999999999999</v>
      </c>
      <c r="J4857" s="3">
        <v>27.32</v>
      </c>
      <c r="K4857" s="3">
        <v>26.7301</v>
      </c>
      <c r="L4857" s="3">
        <v>651.01305949009895</v>
      </c>
    </row>
    <row r="4858" spans="1:12" ht="15" customHeight="1" x14ac:dyDescent="0.2">
      <c r="A4858" s="2">
        <v>39000</v>
      </c>
      <c r="B4858" s="3">
        <v>27.28</v>
      </c>
      <c r="C4858" s="1">
        <v>1590474</v>
      </c>
      <c r="D4858" s="3">
        <v>-0.29999999999999699</v>
      </c>
      <c r="E4858" s="3">
        <v>-1.0877447425670601</v>
      </c>
      <c r="F4858" s="3">
        <v>-1.0877447425670601</v>
      </c>
      <c r="G4858" s="3">
        <v>27.28</v>
      </c>
      <c r="H4858" s="3">
        <v>660.209137769569</v>
      </c>
      <c r="I4858" s="3">
        <v>27.46</v>
      </c>
      <c r="J4858" s="3">
        <v>27.5</v>
      </c>
      <c r="K4858" s="3">
        <v>26.96</v>
      </c>
      <c r="L4858" s="3">
        <v>660.209137769569</v>
      </c>
    </row>
    <row r="4859" spans="1:12" ht="15" customHeight="1" x14ac:dyDescent="0.2">
      <c r="A4859" s="2">
        <v>38999</v>
      </c>
      <c r="B4859" s="3">
        <v>27.58</v>
      </c>
      <c r="C4859" s="1">
        <v>1684547</v>
      </c>
      <c r="D4859" s="3">
        <v>-0.110000000000002</v>
      </c>
      <c r="E4859" s="3">
        <v>-0.39725532683280101</v>
      </c>
      <c r="F4859" s="3">
        <v>-0.39725532683280101</v>
      </c>
      <c r="G4859" s="3">
        <v>27.58</v>
      </c>
      <c r="H4859" s="3">
        <v>668.569208932724</v>
      </c>
      <c r="I4859" s="3">
        <v>26.22</v>
      </c>
      <c r="J4859" s="3">
        <v>27.86</v>
      </c>
      <c r="K4859" s="3">
        <v>25.69</v>
      </c>
      <c r="L4859" s="3">
        <v>668.569208932724</v>
      </c>
    </row>
    <row r="4860" spans="1:12" ht="15" customHeight="1" x14ac:dyDescent="0.2">
      <c r="A4860" s="2">
        <v>38996</v>
      </c>
      <c r="B4860" s="3">
        <v>27.69</v>
      </c>
      <c r="C4860" s="1">
        <v>629699</v>
      </c>
      <c r="D4860" s="3">
        <v>-0.26999999999999902</v>
      </c>
      <c r="E4860" s="3">
        <v>-0.965665236051505</v>
      </c>
      <c r="F4860" s="3">
        <v>-0.965665236051505</v>
      </c>
      <c r="G4860" s="3">
        <v>27.69</v>
      </c>
      <c r="H4860" s="3">
        <v>671.634568359215</v>
      </c>
      <c r="I4860" s="3">
        <v>27.96</v>
      </c>
      <c r="J4860" s="3">
        <v>27.96</v>
      </c>
      <c r="K4860" s="3">
        <v>27.52</v>
      </c>
      <c r="L4860" s="3">
        <v>671.634568359215</v>
      </c>
    </row>
    <row r="4861" spans="1:12" ht="15" customHeight="1" x14ac:dyDescent="0.2">
      <c r="A4861" s="2">
        <v>38995</v>
      </c>
      <c r="B4861" s="3">
        <v>27.96</v>
      </c>
      <c r="C4861" s="1">
        <v>1119893</v>
      </c>
      <c r="D4861" s="3">
        <v>0.100000000000001</v>
      </c>
      <c r="E4861" s="3">
        <v>0.35893754486719898</v>
      </c>
      <c r="F4861" s="3">
        <v>0.35893754486719898</v>
      </c>
      <c r="G4861" s="3">
        <v>27.96</v>
      </c>
      <c r="H4861" s="3">
        <v>679.15863240605404</v>
      </c>
      <c r="I4861" s="3">
        <v>28</v>
      </c>
      <c r="J4861" s="3">
        <v>28.19</v>
      </c>
      <c r="K4861" s="3">
        <v>27.54</v>
      </c>
      <c r="L4861" s="3">
        <v>679.15863240605404</v>
      </c>
    </row>
    <row r="4862" spans="1:12" ht="15" customHeight="1" x14ac:dyDescent="0.2">
      <c r="A4862" s="2">
        <v>38994</v>
      </c>
      <c r="B4862" s="3">
        <v>27.86</v>
      </c>
      <c r="C4862" s="1">
        <v>1469537</v>
      </c>
      <c r="D4862" s="3">
        <v>1.25999999999999</v>
      </c>
      <c r="E4862" s="3">
        <v>4.7368421052631504</v>
      </c>
      <c r="F4862" s="3">
        <v>4.7368421052631504</v>
      </c>
      <c r="G4862" s="3">
        <v>27.86</v>
      </c>
      <c r="H4862" s="3">
        <v>676.37194201833597</v>
      </c>
      <c r="I4862" s="3">
        <v>26.48</v>
      </c>
      <c r="J4862" s="3">
        <v>27.87</v>
      </c>
      <c r="K4862" s="3">
        <v>26.37</v>
      </c>
      <c r="L4862" s="3">
        <v>676.37194201833597</v>
      </c>
    </row>
    <row r="4863" spans="1:12" ht="15" customHeight="1" x14ac:dyDescent="0.2">
      <c r="A4863" s="2">
        <v>38993</v>
      </c>
      <c r="B4863" s="3">
        <v>26.6</v>
      </c>
      <c r="C4863" s="1">
        <v>1485670</v>
      </c>
      <c r="D4863" s="3">
        <v>3.0000000000001099E-2</v>
      </c>
      <c r="E4863" s="3">
        <v>0.112909296198715</v>
      </c>
      <c r="F4863" s="3">
        <v>0.112909296198715</v>
      </c>
      <c r="G4863" s="3">
        <v>26.6</v>
      </c>
      <c r="H4863" s="3">
        <v>641.25964313308498</v>
      </c>
      <c r="I4863" s="3">
        <v>26.41</v>
      </c>
      <c r="J4863" s="3">
        <v>26.74</v>
      </c>
      <c r="K4863" s="3">
        <v>25.81</v>
      </c>
      <c r="L4863" s="3">
        <v>641.25964313308498</v>
      </c>
    </row>
    <row r="4864" spans="1:12" ht="15" customHeight="1" x14ac:dyDescent="0.2">
      <c r="A4864" s="2">
        <v>38992</v>
      </c>
      <c r="B4864" s="3">
        <v>26.57</v>
      </c>
      <c r="C4864" s="1">
        <v>1440800</v>
      </c>
      <c r="D4864" s="3">
        <v>-0.62000000000000099</v>
      </c>
      <c r="E4864" s="3">
        <v>-2.2802500919455602</v>
      </c>
      <c r="F4864" s="3">
        <v>-2.2802500919455602</v>
      </c>
      <c r="G4864" s="3">
        <v>26.57</v>
      </c>
      <c r="H4864" s="3">
        <v>640.42363601676902</v>
      </c>
      <c r="I4864" s="3">
        <v>27.2</v>
      </c>
      <c r="J4864" s="3">
        <v>27.38</v>
      </c>
      <c r="K4864" s="3">
        <v>26.4</v>
      </c>
      <c r="L4864" s="3">
        <v>640.42363601676902</v>
      </c>
    </row>
    <row r="4865" spans="1:12" ht="15" customHeight="1" x14ac:dyDescent="0.2">
      <c r="A4865" s="2">
        <v>38989</v>
      </c>
      <c r="B4865" s="3">
        <v>27.19</v>
      </c>
      <c r="C4865" s="1">
        <v>1289629</v>
      </c>
      <c r="D4865" s="3">
        <v>-0.26999999999999902</v>
      </c>
      <c r="E4865" s="3">
        <v>-0.98324836125273096</v>
      </c>
      <c r="F4865" s="3">
        <v>-0.98324836125273096</v>
      </c>
      <c r="G4865" s="3">
        <v>27.19</v>
      </c>
      <c r="H4865" s="3">
        <v>657.70111642062295</v>
      </c>
      <c r="I4865" s="3">
        <v>27.62</v>
      </c>
      <c r="J4865" s="3">
        <v>27.68</v>
      </c>
      <c r="K4865" s="3">
        <v>27.17</v>
      </c>
      <c r="L4865" s="3">
        <v>657.70111642062295</v>
      </c>
    </row>
    <row r="4866" spans="1:12" ht="15" customHeight="1" x14ac:dyDescent="0.2">
      <c r="A4866" s="2">
        <v>38988</v>
      </c>
      <c r="B4866" s="3">
        <v>27.46</v>
      </c>
      <c r="C4866" s="1">
        <v>1585403</v>
      </c>
      <c r="D4866" s="3">
        <v>0.35000000000000098</v>
      </c>
      <c r="E4866" s="3">
        <v>1.29103651789008</v>
      </c>
      <c r="F4866" s="3">
        <v>1.29103651789008</v>
      </c>
      <c r="G4866" s="3">
        <v>27.46</v>
      </c>
      <c r="H4866" s="3">
        <v>665.225180467462</v>
      </c>
      <c r="I4866" s="3">
        <v>27.5</v>
      </c>
      <c r="J4866" s="3">
        <v>27.58</v>
      </c>
      <c r="K4866" s="3">
        <v>27.05</v>
      </c>
      <c r="L4866" s="3">
        <v>665.225180467462</v>
      </c>
    </row>
    <row r="4867" spans="1:12" ht="15" customHeight="1" x14ac:dyDescent="0.2">
      <c r="A4867" s="2">
        <v>38987</v>
      </c>
      <c r="B4867" s="3">
        <v>27.11</v>
      </c>
      <c r="C4867" s="1">
        <v>1602881</v>
      </c>
      <c r="D4867" s="3">
        <v>0.39999999999999802</v>
      </c>
      <c r="E4867" s="3">
        <v>1.49756645451142</v>
      </c>
      <c r="F4867" s="3">
        <v>1.49756645451142</v>
      </c>
      <c r="G4867" s="3">
        <v>27.11</v>
      </c>
      <c r="H4867" s="3">
        <v>655.47176411044802</v>
      </c>
      <c r="I4867" s="3">
        <v>26.74</v>
      </c>
      <c r="J4867" s="3">
        <v>27.39</v>
      </c>
      <c r="K4867" s="3">
        <v>26.55</v>
      </c>
      <c r="L4867" s="3">
        <v>655.47176411044802</v>
      </c>
    </row>
    <row r="4868" spans="1:12" ht="15" customHeight="1" x14ac:dyDescent="0.2">
      <c r="A4868" s="2">
        <v>38986</v>
      </c>
      <c r="B4868" s="3">
        <v>26.71</v>
      </c>
      <c r="C4868" s="1">
        <v>1466675</v>
      </c>
      <c r="D4868" s="3">
        <v>0.109999999999999</v>
      </c>
      <c r="E4868" s="3">
        <v>0.41353383458646498</v>
      </c>
      <c r="F4868" s="3">
        <v>0.41353383458646498</v>
      </c>
      <c r="G4868" s="3">
        <v>26.71</v>
      </c>
      <c r="H4868" s="3">
        <v>644.32500255957495</v>
      </c>
      <c r="I4868" s="3">
        <v>26.72</v>
      </c>
      <c r="J4868" s="3">
        <v>27.1</v>
      </c>
      <c r="K4868" s="3">
        <v>26.2</v>
      </c>
      <c r="L4868" s="3">
        <v>644.32500255957495</v>
      </c>
    </row>
    <row r="4869" spans="1:12" ht="15" customHeight="1" x14ac:dyDescent="0.2">
      <c r="A4869" s="2">
        <v>38985</v>
      </c>
      <c r="B4869" s="3">
        <v>26.6</v>
      </c>
      <c r="C4869" s="1">
        <v>868821</v>
      </c>
      <c r="D4869" s="3">
        <v>0.29000000000000198</v>
      </c>
      <c r="E4869" s="3">
        <v>1.10224249334853</v>
      </c>
      <c r="F4869" s="3">
        <v>1.10224249334853</v>
      </c>
      <c r="G4869" s="3">
        <v>26.6</v>
      </c>
      <c r="H4869" s="3">
        <v>641.25964313308498</v>
      </c>
      <c r="I4869" s="3">
        <v>26.42</v>
      </c>
      <c r="J4869" s="3">
        <v>26.79</v>
      </c>
      <c r="K4869" s="3">
        <v>26.02</v>
      </c>
      <c r="L4869" s="3">
        <v>641.25964313308498</v>
      </c>
    </row>
    <row r="4870" spans="1:12" ht="15" customHeight="1" x14ac:dyDescent="0.2">
      <c r="A4870" s="2">
        <v>38982</v>
      </c>
      <c r="B4870" s="3">
        <v>26.31</v>
      </c>
      <c r="C4870" s="1">
        <v>1151524</v>
      </c>
      <c r="D4870" s="3">
        <v>-8.9999999999999802E-2</v>
      </c>
      <c r="E4870" s="3">
        <v>-0.34090909090909099</v>
      </c>
      <c r="F4870" s="3">
        <v>-0.34090909090909099</v>
      </c>
      <c r="G4870" s="3">
        <v>26.31</v>
      </c>
      <c r="H4870" s="3">
        <v>633.17824100870098</v>
      </c>
      <c r="I4870" s="3">
        <v>26.4</v>
      </c>
      <c r="J4870" s="3">
        <v>26.4</v>
      </c>
      <c r="K4870" s="3">
        <v>25.55</v>
      </c>
      <c r="L4870" s="3">
        <v>633.17824100870098</v>
      </c>
    </row>
    <row r="4871" spans="1:12" ht="15" customHeight="1" x14ac:dyDescent="0.2">
      <c r="A4871" s="2">
        <v>38981</v>
      </c>
      <c r="B4871" s="3">
        <v>26.4</v>
      </c>
      <c r="C4871" s="1">
        <v>1231820</v>
      </c>
      <c r="D4871" s="3">
        <v>-0.27000000000000302</v>
      </c>
      <c r="E4871" s="3">
        <v>-1.0123734533183399</v>
      </c>
      <c r="F4871" s="3">
        <v>-1.0123734533183399</v>
      </c>
      <c r="G4871" s="3">
        <v>26.4</v>
      </c>
      <c r="H4871" s="3">
        <v>635.68626235764805</v>
      </c>
      <c r="I4871" s="3">
        <v>26.67</v>
      </c>
      <c r="J4871" s="3">
        <v>26.82</v>
      </c>
      <c r="K4871" s="3">
        <v>26.34</v>
      </c>
      <c r="L4871" s="3">
        <v>635.68626235764805</v>
      </c>
    </row>
    <row r="4872" spans="1:12" ht="15" customHeight="1" x14ac:dyDescent="0.2">
      <c r="A4872" s="2">
        <v>38980</v>
      </c>
      <c r="B4872" s="3">
        <v>26.67</v>
      </c>
      <c r="C4872" s="1">
        <v>1150256</v>
      </c>
      <c r="D4872" s="3">
        <v>1.03</v>
      </c>
      <c r="E4872" s="3">
        <v>4.0171606864274496</v>
      </c>
      <c r="F4872" s="3">
        <v>4.0171606864274496</v>
      </c>
      <c r="G4872" s="3">
        <v>26.67</v>
      </c>
      <c r="H4872" s="3">
        <v>643.21032640448698</v>
      </c>
      <c r="I4872" s="3">
        <v>25.72</v>
      </c>
      <c r="J4872" s="3">
        <v>26.72</v>
      </c>
      <c r="K4872" s="3">
        <v>25.72</v>
      </c>
      <c r="L4872" s="3">
        <v>643.21032640448698</v>
      </c>
    </row>
    <row r="4873" spans="1:12" ht="15" customHeight="1" x14ac:dyDescent="0.2">
      <c r="A4873" s="2">
        <v>38979</v>
      </c>
      <c r="B4873" s="3">
        <v>25.64</v>
      </c>
      <c r="C4873" s="1">
        <v>2392692</v>
      </c>
      <c r="D4873" s="3">
        <v>-0.46</v>
      </c>
      <c r="E4873" s="3">
        <v>-1.7624521072796899</v>
      </c>
      <c r="F4873" s="3">
        <v>-1.7624521072796899</v>
      </c>
      <c r="G4873" s="3">
        <v>25.64</v>
      </c>
      <c r="H4873" s="3">
        <v>614.50741541098796</v>
      </c>
      <c r="I4873" s="3">
        <v>24.99</v>
      </c>
      <c r="J4873" s="3">
        <v>25.82</v>
      </c>
      <c r="K4873" s="3">
        <v>24.8</v>
      </c>
      <c r="L4873" s="3">
        <v>614.50741541098796</v>
      </c>
    </row>
    <row r="4874" spans="1:12" ht="15" customHeight="1" x14ac:dyDescent="0.2">
      <c r="A4874" s="2">
        <v>38978</v>
      </c>
      <c r="B4874" s="3">
        <v>26.1</v>
      </c>
      <c r="C4874" s="1">
        <v>1097714</v>
      </c>
      <c r="D4874" s="3">
        <v>-0.309999999999998</v>
      </c>
      <c r="E4874" s="3">
        <v>-1.1737978038621599</v>
      </c>
      <c r="F4874" s="3">
        <v>-1.1737978038621599</v>
      </c>
      <c r="G4874" s="3">
        <v>26.1</v>
      </c>
      <c r="H4874" s="3">
        <v>627.32619119449305</v>
      </c>
      <c r="I4874" s="3">
        <v>26.3</v>
      </c>
      <c r="J4874" s="3">
        <v>26.4</v>
      </c>
      <c r="K4874" s="3">
        <v>25.94</v>
      </c>
      <c r="L4874" s="3">
        <v>627.32619119449305</v>
      </c>
    </row>
    <row r="4875" spans="1:12" ht="15" customHeight="1" x14ac:dyDescent="0.2">
      <c r="A4875" s="2">
        <v>38975</v>
      </c>
      <c r="B4875" s="3">
        <v>26.41</v>
      </c>
      <c r="C4875" s="1">
        <v>1125482</v>
      </c>
      <c r="D4875" s="3">
        <v>0.440000000000001</v>
      </c>
      <c r="E4875" s="3">
        <v>1.6942626107046601</v>
      </c>
      <c r="F4875" s="3">
        <v>1.6942626107046601</v>
      </c>
      <c r="G4875" s="3">
        <v>26.41</v>
      </c>
      <c r="H4875" s="3">
        <v>635.96493139641996</v>
      </c>
      <c r="I4875" s="3">
        <v>26.03</v>
      </c>
      <c r="J4875" s="3">
        <v>26.87</v>
      </c>
      <c r="K4875" s="3">
        <v>25.9</v>
      </c>
      <c r="L4875" s="3">
        <v>635.96493139641996</v>
      </c>
    </row>
    <row r="4876" spans="1:12" ht="15" customHeight="1" x14ac:dyDescent="0.2">
      <c r="A4876" s="2">
        <v>38974</v>
      </c>
      <c r="B4876" s="3">
        <v>25.97</v>
      </c>
      <c r="C4876" s="1">
        <v>2217674</v>
      </c>
      <c r="D4876" s="3">
        <v>-1.06</v>
      </c>
      <c r="E4876" s="3">
        <v>-3.9215686274509798</v>
      </c>
      <c r="F4876" s="3">
        <v>-3.9215686274509798</v>
      </c>
      <c r="G4876" s="3">
        <v>25.97</v>
      </c>
      <c r="H4876" s="3">
        <v>623.70349369045903</v>
      </c>
      <c r="I4876" s="3">
        <v>26.8</v>
      </c>
      <c r="J4876" s="3">
        <v>26.81</v>
      </c>
      <c r="K4876" s="3">
        <v>25.6</v>
      </c>
      <c r="L4876" s="3">
        <v>623.70349369045903</v>
      </c>
    </row>
    <row r="4877" spans="1:12" ht="15" customHeight="1" x14ac:dyDescent="0.2">
      <c r="A4877" s="2">
        <v>38973</v>
      </c>
      <c r="B4877" s="3">
        <v>27.03</v>
      </c>
      <c r="C4877" s="1">
        <v>2645680</v>
      </c>
      <c r="D4877" s="3">
        <v>-0.17999999999999899</v>
      </c>
      <c r="E4877" s="3">
        <v>-0.66152149944873595</v>
      </c>
      <c r="F4877" s="3">
        <v>-0.66152149944873595</v>
      </c>
      <c r="G4877" s="3">
        <v>27.03</v>
      </c>
      <c r="H4877" s="3">
        <v>653.24241180027298</v>
      </c>
      <c r="I4877" s="3">
        <v>27.21</v>
      </c>
      <c r="J4877" s="3">
        <v>27.27</v>
      </c>
      <c r="K4877" s="3">
        <v>26.42</v>
      </c>
      <c r="L4877" s="3">
        <v>653.24241180027298</v>
      </c>
    </row>
    <row r="4878" spans="1:12" ht="15" customHeight="1" x14ac:dyDescent="0.2">
      <c r="A4878" s="2">
        <v>38972</v>
      </c>
      <c r="B4878" s="3">
        <v>27.21</v>
      </c>
      <c r="C4878" s="1">
        <v>2275336</v>
      </c>
      <c r="D4878" s="3">
        <v>1.62</v>
      </c>
      <c r="E4878" s="3">
        <v>6.3305978898006998</v>
      </c>
      <c r="F4878" s="3">
        <v>6.3305978898006998</v>
      </c>
      <c r="G4878" s="3">
        <v>27.21</v>
      </c>
      <c r="H4878" s="3">
        <v>658.258454498167</v>
      </c>
      <c r="I4878" s="3">
        <v>25.69</v>
      </c>
      <c r="J4878" s="3">
        <v>27.27</v>
      </c>
      <c r="K4878" s="3">
        <v>25.62</v>
      </c>
      <c r="L4878" s="3">
        <v>658.258454498167</v>
      </c>
    </row>
    <row r="4879" spans="1:12" ht="15" customHeight="1" x14ac:dyDescent="0.2">
      <c r="A4879" s="2">
        <v>38971</v>
      </c>
      <c r="B4879" s="3">
        <v>25.59</v>
      </c>
      <c r="C4879" s="1">
        <v>1664180</v>
      </c>
      <c r="D4879" s="3">
        <v>0.41</v>
      </c>
      <c r="E4879" s="3">
        <v>1.6282764098490801</v>
      </c>
      <c r="F4879" s="3">
        <v>1.6282764098490801</v>
      </c>
      <c r="G4879" s="3">
        <v>25.59</v>
      </c>
      <c r="H4879" s="3">
        <v>613.11407021712898</v>
      </c>
      <c r="I4879" s="3">
        <v>25.24</v>
      </c>
      <c r="J4879" s="3">
        <v>25.72</v>
      </c>
      <c r="K4879" s="3">
        <v>24.96</v>
      </c>
      <c r="L4879" s="3">
        <v>613.11407021712898</v>
      </c>
    </row>
    <row r="4880" spans="1:12" ht="15" customHeight="1" x14ac:dyDescent="0.2">
      <c r="A4880" s="2">
        <v>38968</v>
      </c>
      <c r="B4880" s="3">
        <v>25.18</v>
      </c>
      <c r="C4880" s="1">
        <v>1295855</v>
      </c>
      <c r="D4880" s="3">
        <v>0.67999999999999905</v>
      </c>
      <c r="E4880" s="3">
        <v>2.7755102040816202</v>
      </c>
      <c r="F4880" s="3">
        <v>2.7755102040816202</v>
      </c>
      <c r="G4880" s="3">
        <v>25.18</v>
      </c>
      <c r="H4880" s="3">
        <v>601.68863962748401</v>
      </c>
      <c r="I4880" s="3">
        <v>24.49</v>
      </c>
      <c r="J4880" s="3">
        <v>25.24</v>
      </c>
      <c r="K4880" s="3">
        <v>24.36</v>
      </c>
      <c r="L4880" s="3">
        <v>601.68863962748401</v>
      </c>
    </row>
    <row r="4881" spans="1:12" ht="15" customHeight="1" x14ac:dyDescent="0.2">
      <c r="A4881" s="2">
        <v>38967</v>
      </c>
      <c r="B4881" s="3">
        <v>24.5</v>
      </c>
      <c r="C4881" s="1">
        <v>916279</v>
      </c>
      <c r="D4881" s="3">
        <v>-0.60999999999999899</v>
      </c>
      <c r="E4881" s="3">
        <v>-2.4293110314615598</v>
      </c>
      <c r="F4881" s="3">
        <v>-2.4293110314615598</v>
      </c>
      <c r="G4881" s="3">
        <v>24.5</v>
      </c>
      <c r="H4881" s="3">
        <v>582.73914499099897</v>
      </c>
      <c r="I4881" s="3">
        <v>24.87</v>
      </c>
      <c r="J4881" s="3">
        <v>24.97</v>
      </c>
      <c r="K4881" s="3">
        <v>24.3</v>
      </c>
      <c r="L4881" s="3">
        <v>582.73914499099897</v>
      </c>
    </row>
    <row r="4882" spans="1:12" ht="15" customHeight="1" x14ac:dyDescent="0.2">
      <c r="A4882" s="2">
        <v>38966</v>
      </c>
      <c r="B4882" s="3">
        <v>25.11</v>
      </c>
      <c r="C4882" s="1">
        <v>1101819</v>
      </c>
      <c r="D4882" s="3">
        <v>-0.17999999999999899</v>
      </c>
      <c r="E4882" s="3">
        <v>-0.71174377224199004</v>
      </c>
      <c r="F4882" s="3">
        <v>-0.71174377224199004</v>
      </c>
      <c r="G4882" s="3">
        <v>25.11</v>
      </c>
      <c r="H4882" s="3">
        <v>599.73795635608099</v>
      </c>
      <c r="I4882" s="3">
        <v>25.23</v>
      </c>
      <c r="J4882" s="3">
        <v>25.29</v>
      </c>
      <c r="K4882" s="3">
        <v>24.75</v>
      </c>
      <c r="L4882" s="3">
        <v>599.73795635608099</v>
      </c>
    </row>
    <row r="4883" spans="1:12" ht="15" customHeight="1" x14ac:dyDescent="0.2">
      <c r="A4883" s="2">
        <v>38965</v>
      </c>
      <c r="B4883" s="3">
        <v>25.29</v>
      </c>
      <c r="C4883" s="1">
        <v>795210</v>
      </c>
      <c r="D4883" s="3">
        <v>0.23999999999999799</v>
      </c>
      <c r="E4883" s="3">
        <v>0.95808383233533201</v>
      </c>
      <c r="F4883" s="3">
        <v>0.95808383233533201</v>
      </c>
      <c r="G4883" s="3">
        <v>25.29</v>
      </c>
      <c r="H4883" s="3">
        <v>604.75399905397398</v>
      </c>
      <c r="I4883" s="3">
        <v>25.19</v>
      </c>
      <c r="J4883" s="3">
        <v>25.32</v>
      </c>
      <c r="K4883" s="3">
        <v>24.98</v>
      </c>
      <c r="L4883" s="3">
        <v>604.75399905397398</v>
      </c>
    </row>
    <row r="4884" spans="1:12" ht="15" customHeight="1" x14ac:dyDescent="0.2">
      <c r="A4884" s="2">
        <v>38961</v>
      </c>
      <c r="B4884" s="3">
        <v>25.05</v>
      </c>
      <c r="C4884" s="1">
        <v>783026</v>
      </c>
      <c r="D4884" s="3">
        <v>0.16</v>
      </c>
      <c r="E4884" s="3">
        <v>0.64282844515870496</v>
      </c>
      <c r="F4884" s="3">
        <v>0.64282844515870496</v>
      </c>
      <c r="G4884" s="3">
        <v>25.05</v>
      </c>
      <c r="H4884" s="3">
        <v>598.06594212344999</v>
      </c>
      <c r="I4884" s="3">
        <v>25</v>
      </c>
      <c r="J4884" s="3">
        <v>25.23</v>
      </c>
      <c r="K4884" s="3">
        <v>24.849900000000002</v>
      </c>
      <c r="L4884" s="3">
        <v>598.06594212344999</v>
      </c>
    </row>
    <row r="4885" spans="1:12" ht="15" customHeight="1" x14ac:dyDescent="0.2">
      <c r="A4885" s="2">
        <v>38960</v>
      </c>
      <c r="B4885" s="3">
        <v>24.89</v>
      </c>
      <c r="C4885" s="1">
        <v>1015498</v>
      </c>
      <c r="D4885" s="3">
        <v>0.58999999999999897</v>
      </c>
      <c r="E4885" s="3">
        <v>2.42798353909465</v>
      </c>
      <c r="F4885" s="3">
        <v>2.42798353909465</v>
      </c>
      <c r="G4885" s="3">
        <v>24.89</v>
      </c>
      <c r="H4885" s="3">
        <v>593.60723750310001</v>
      </c>
      <c r="I4885" s="3">
        <v>24.27</v>
      </c>
      <c r="J4885" s="3">
        <v>24.91</v>
      </c>
      <c r="K4885" s="3">
        <v>24.27</v>
      </c>
      <c r="L4885" s="3">
        <v>593.60723750310001</v>
      </c>
    </row>
    <row r="4886" spans="1:12" ht="15" customHeight="1" x14ac:dyDescent="0.2">
      <c r="A4886" s="2">
        <v>38959</v>
      </c>
      <c r="B4886" s="3">
        <v>24.3</v>
      </c>
      <c r="C4886" s="1">
        <v>535409</v>
      </c>
      <c r="D4886" s="3">
        <v>5.0000000000000697E-2</v>
      </c>
      <c r="E4886" s="3">
        <v>0.20618556701030799</v>
      </c>
      <c r="F4886" s="3">
        <v>0.20618556701030799</v>
      </c>
      <c r="G4886" s="3">
        <v>24.3</v>
      </c>
      <c r="H4886" s="3">
        <v>577.16576421556204</v>
      </c>
      <c r="I4886" s="3">
        <v>24.4</v>
      </c>
      <c r="J4886" s="3">
        <v>24.6478</v>
      </c>
      <c r="K4886" s="3">
        <v>24.24</v>
      </c>
      <c r="L4886" s="3">
        <v>577.16576421556204</v>
      </c>
    </row>
    <row r="4887" spans="1:12" ht="15" customHeight="1" x14ac:dyDescent="0.2">
      <c r="A4887" s="2">
        <v>38958</v>
      </c>
      <c r="B4887" s="3">
        <v>24.25</v>
      </c>
      <c r="C4887" s="1">
        <v>1074731</v>
      </c>
      <c r="D4887" s="3">
        <v>0.55000000000000004</v>
      </c>
      <c r="E4887" s="3">
        <v>2.3206751054852299</v>
      </c>
      <c r="F4887" s="3">
        <v>2.3206751054852299</v>
      </c>
      <c r="G4887" s="3">
        <v>24.25</v>
      </c>
      <c r="H4887" s="3">
        <v>575.77241902170294</v>
      </c>
      <c r="I4887" s="3">
        <v>23.85</v>
      </c>
      <c r="J4887" s="3">
        <v>24.6</v>
      </c>
      <c r="K4887" s="3">
        <v>23.7</v>
      </c>
      <c r="L4887" s="3">
        <v>575.77241902170294</v>
      </c>
    </row>
    <row r="4888" spans="1:12" ht="15" customHeight="1" x14ac:dyDescent="0.2">
      <c r="A4888" s="2">
        <v>38957</v>
      </c>
      <c r="B4888" s="3">
        <v>23.7</v>
      </c>
      <c r="C4888" s="1">
        <v>613000</v>
      </c>
      <c r="D4888" s="3">
        <v>0.50999999999999801</v>
      </c>
      <c r="E4888" s="3">
        <v>2.1992238033635001</v>
      </c>
      <c r="F4888" s="3">
        <v>2.1992238033635001</v>
      </c>
      <c r="G4888" s="3">
        <v>23.7</v>
      </c>
      <c r="H4888" s="3">
        <v>560.44562188925204</v>
      </c>
      <c r="I4888" s="3">
        <v>23.19</v>
      </c>
      <c r="J4888" s="3">
        <v>23.9</v>
      </c>
      <c r="K4888" s="3">
        <v>23.1</v>
      </c>
      <c r="L4888" s="3">
        <v>560.44562188925204</v>
      </c>
    </row>
    <row r="4889" spans="1:12" ht="15" customHeight="1" x14ac:dyDescent="0.2">
      <c r="A4889" s="2">
        <v>38954</v>
      </c>
      <c r="B4889" s="3">
        <v>23.19</v>
      </c>
      <c r="C4889" s="1">
        <v>823205</v>
      </c>
      <c r="D4889" s="3">
        <v>-0.26999999999999902</v>
      </c>
      <c r="E4889" s="3">
        <v>-1.1508951406649599</v>
      </c>
      <c r="F4889" s="3">
        <v>-1.1508951406649599</v>
      </c>
      <c r="G4889" s="3">
        <v>23.19</v>
      </c>
      <c r="H4889" s="3">
        <v>546.23350091188797</v>
      </c>
      <c r="I4889" s="3">
        <v>23.32</v>
      </c>
      <c r="J4889" s="3">
        <v>23.5</v>
      </c>
      <c r="K4889" s="3">
        <v>22.97</v>
      </c>
      <c r="L4889" s="3">
        <v>546.23350091188797</v>
      </c>
    </row>
    <row r="4890" spans="1:12" ht="15" customHeight="1" x14ac:dyDescent="0.2">
      <c r="A4890" s="2">
        <v>38953</v>
      </c>
      <c r="B4890" s="3">
        <v>23.46</v>
      </c>
      <c r="C4890" s="1">
        <v>764140</v>
      </c>
      <c r="D4890" s="3">
        <v>-0.41999999999999799</v>
      </c>
      <c r="E4890" s="3">
        <v>-1.7587939698492301</v>
      </c>
      <c r="F4890" s="3">
        <v>-1.7587939698492301</v>
      </c>
      <c r="G4890" s="3">
        <v>23.46</v>
      </c>
      <c r="H4890" s="3">
        <v>553.75756495872804</v>
      </c>
      <c r="I4890" s="3">
        <v>23.8</v>
      </c>
      <c r="J4890" s="3">
        <v>23.88</v>
      </c>
      <c r="K4890" s="3">
        <v>23.07</v>
      </c>
      <c r="L4890" s="3">
        <v>553.75756495872804</v>
      </c>
    </row>
    <row r="4891" spans="1:12" ht="15" customHeight="1" x14ac:dyDescent="0.2">
      <c r="A4891" s="2">
        <v>38952</v>
      </c>
      <c r="B4891" s="3">
        <v>23.88</v>
      </c>
      <c r="C4891" s="1">
        <v>637882</v>
      </c>
      <c r="D4891" s="3">
        <v>2.9999999999997501E-2</v>
      </c>
      <c r="E4891" s="3">
        <v>0.125786163522012</v>
      </c>
      <c r="F4891" s="3">
        <v>0.125786163522012</v>
      </c>
      <c r="G4891" s="3">
        <v>23.88</v>
      </c>
      <c r="H4891" s="3">
        <v>565.46166458714504</v>
      </c>
      <c r="I4891" s="3">
        <v>23.74</v>
      </c>
      <c r="J4891" s="3">
        <v>24.15</v>
      </c>
      <c r="K4891" s="3">
        <v>23.5</v>
      </c>
      <c r="L4891" s="3">
        <v>565.46166458714504</v>
      </c>
    </row>
    <row r="4892" spans="1:12" ht="15" customHeight="1" x14ac:dyDescent="0.2">
      <c r="A4892" s="2">
        <v>38951</v>
      </c>
      <c r="B4892" s="3">
        <v>23.85</v>
      </c>
      <c r="C4892" s="1">
        <v>519366.99999999901</v>
      </c>
      <c r="D4892" s="3">
        <v>-0.13999999999999699</v>
      </c>
      <c r="E4892" s="3">
        <v>-0.58357649020423996</v>
      </c>
      <c r="F4892" s="3">
        <v>-0.58357649020423996</v>
      </c>
      <c r="G4892" s="3">
        <v>23.85</v>
      </c>
      <c r="H4892" s="3">
        <v>564.62565747082999</v>
      </c>
      <c r="I4892" s="3">
        <v>23.92</v>
      </c>
      <c r="J4892" s="3">
        <v>24.091200000000001</v>
      </c>
      <c r="K4892" s="3">
        <v>23.78</v>
      </c>
      <c r="L4892" s="3">
        <v>564.62565747082999</v>
      </c>
    </row>
    <row r="4893" spans="1:12" ht="15" customHeight="1" x14ac:dyDescent="0.2">
      <c r="A4893" s="2">
        <v>38950</v>
      </c>
      <c r="B4893" s="3">
        <v>23.99</v>
      </c>
      <c r="C4893" s="1">
        <v>979211</v>
      </c>
      <c r="D4893" s="3">
        <v>-0.67000000000000104</v>
      </c>
      <c r="E4893" s="3">
        <v>-2.71695052716951</v>
      </c>
      <c r="F4893" s="3">
        <v>-2.71695052716951</v>
      </c>
      <c r="G4893" s="3">
        <v>23.99</v>
      </c>
      <c r="H4893" s="3">
        <v>568.52702401363501</v>
      </c>
      <c r="I4893" s="3">
        <v>24.48</v>
      </c>
      <c r="J4893" s="3">
        <v>24.48</v>
      </c>
      <c r="K4893" s="3">
        <v>23.79</v>
      </c>
      <c r="L4893" s="3">
        <v>568.52702401363501</v>
      </c>
    </row>
    <row r="4894" spans="1:12" ht="15" customHeight="1" x14ac:dyDescent="0.2">
      <c r="A4894" s="2">
        <v>38947</v>
      </c>
      <c r="B4894" s="3">
        <v>24.66</v>
      </c>
      <c r="C4894" s="1">
        <v>586449</v>
      </c>
      <c r="D4894" s="3">
        <v>-0.100000000000001</v>
      </c>
      <c r="E4894" s="3">
        <v>-0.40387722132472198</v>
      </c>
      <c r="F4894" s="3">
        <v>-0.40387722132472198</v>
      </c>
      <c r="G4894" s="3">
        <v>24.66</v>
      </c>
      <c r="H4894" s="3">
        <v>587.19784961134803</v>
      </c>
      <c r="I4894" s="3">
        <v>24.86</v>
      </c>
      <c r="J4894" s="3">
        <v>24.92</v>
      </c>
      <c r="K4894" s="3">
        <v>24.21</v>
      </c>
      <c r="L4894" s="3">
        <v>587.19784961134803</v>
      </c>
    </row>
    <row r="4895" spans="1:12" ht="15" customHeight="1" x14ac:dyDescent="0.2">
      <c r="A4895" s="2">
        <v>38946</v>
      </c>
      <c r="B4895" s="3">
        <v>24.76</v>
      </c>
      <c r="C4895" s="1">
        <v>1130459</v>
      </c>
      <c r="D4895" s="3">
        <v>0.61000000000000298</v>
      </c>
      <c r="E4895" s="3">
        <v>2.5258799171842701</v>
      </c>
      <c r="F4895" s="3">
        <v>2.5258799171842701</v>
      </c>
      <c r="G4895" s="3">
        <v>24.76</v>
      </c>
      <c r="H4895" s="3">
        <v>589.98453999906599</v>
      </c>
      <c r="I4895" s="3">
        <v>24.25</v>
      </c>
      <c r="J4895" s="3">
        <v>25.13</v>
      </c>
      <c r="K4895" s="3">
        <v>24.15</v>
      </c>
      <c r="L4895" s="3">
        <v>589.98453999906599</v>
      </c>
    </row>
    <row r="4896" spans="1:12" ht="15" customHeight="1" x14ac:dyDescent="0.2">
      <c r="A4896" s="2">
        <v>38945</v>
      </c>
      <c r="B4896" s="3">
        <v>24.15</v>
      </c>
      <c r="C4896" s="1">
        <v>2191631</v>
      </c>
      <c r="D4896" s="3">
        <v>0.369999999999997</v>
      </c>
      <c r="E4896" s="3">
        <v>1.55592935239696</v>
      </c>
      <c r="F4896" s="3">
        <v>1.55592935239696</v>
      </c>
      <c r="G4896" s="3">
        <v>24.15</v>
      </c>
      <c r="H4896" s="3">
        <v>572.98572863398499</v>
      </c>
      <c r="I4896" s="3">
        <v>23.4</v>
      </c>
      <c r="J4896" s="3">
        <v>24.24</v>
      </c>
      <c r="K4896" s="3">
        <v>23.4</v>
      </c>
      <c r="L4896" s="3">
        <v>572.98572863398499</v>
      </c>
    </row>
    <row r="4897" spans="1:12" ht="15" customHeight="1" x14ac:dyDescent="0.2">
      <c r="A4897" s="2">
        <v>38944</v>
      </c>
      <c r="B4897" s="3">
        <v>23.78</v>
      </c>
      <c r="C4897" s="1">
        <v>977518</v>
      </c>
      <c r="D4897" s="3">
        <v>0.65000000000000202</v>
      </c>
      <c r="E4897" s="3">
        <v>2.8102031993082699</v>
      </c>
      <c r="F4897" s="3">
        <v>2.8102031993082699</v>
      </c>
      <c r="G4897" s="3">
        <v>23.78</v>
      </c>
      <c r="H4897" s="3">
        <v>562.67497419942697</v>
      </c>
      <c r="I4897" s="3">
        <v>23.52</v>
      </c>
      <c r="J4897" s="3">
        <v>23.78</v>
      </c>
      <c r="K4897" s="3">
        <v>23.14</v>
      </c>
      <c r="L4897" s="3">
        <v>562.67497419942697</v>
      </c>
    </row>
    <row r="4898" spans="1:12" ht="15" customHeight="1" x14ac:dyDescent="0.2">
      <c r="A4898" s="2">
        <v>38943</v>
      </c>
      <c r="B4898" s="3">
        <v>23.13</v>
      </c>
      <c r="C4898" s="1">
        <v>1097003</v>
      </c>
      <c r="D4898" s="3">
        <v>0.73999999999999799</v>
      </c>
      <c r="E4898" s="3">
        <v>3.30504689593567</v>
      </c>
      <c r="F4898" s="3">
        <v>3.30504689593567</v>
      </c>
      <c r="G4898" s="3">
        <v>23.13</v>
      </c>
      <c r="H4898" s="3">
        <v>544.56148667925697</v>
      </c>
      <c r="I4898" s="3">
        <v>22.37</v>
      </c>
      <c r="J4898" s="3">
        <v>23.47</v>
      </c>
      <c r="K4898" s="3">
        <v>22.34</v>
      </c>
      <c r="L4898" s="3">
        <v>544.56148667925697</v>
      </c>
    </row>
    <row r="4899" spans="1:12" ht="15" customHeight="1" x14ac:dyDescent="0.2">
      <c r="A4899" s="2">
        <v>38940</v>
      </c>
      <c r="B4899" s="3">
        <v>22.39</v>
      </c>
      <c r="C4899" s="1">
        <v>1049668</v>
      </c>
      <c r="D4899" s="3">
        <v>-9.9999999999980105E-3</v>
      </c>
      <c r="E4899" s="3">
        <v>-4.4642857142851398E-2</v>
      </c>
      <c r="F4899" s="3">
        <v>-4.4642857142851398E-2</v>
      </c>
      <c r="G4899" s="3">
        <v>22.39</v>
      </c>
      <c r="H4899" s="3">
        <v>523.93997781014104</v>
      </c>
      <c r="I4899" s="3">
        <v>22.43</v>
      </c>
      <c r="J4899" s="3">
        <v>22.62</v>
      </c>
      <c r="K4899" s="3">
        <v>22.11</v>
      </c>
      <c r="L4899" s="3">
        <v>523.93997781014104</v>
      </c>
    </row>
    <row r="4900" spans="1:12" ht="15" customHeight="1" x14ac:dyDescent="0.2">
      <c r="A4900" s="2">
        <v>38939</v>
      </c>
      <c r="B4900" s="3">
        <v>22.4</v>
      </c>
      <c r="C4900" s="1">
        <v>1974396</v>
      </c>
      <c r="D4900" s="3">
        <v>0.46999999999999797</v>
      </c>
      <c r="E4900" s="3">
        <v>2.1431828545371601</v>
      </c>
      <c r="F4900" s="3">
        <v>2.1431828545371601</v>
      </c>
      <c r="G4900" s="3">
        <v>22.4</v>
      </c>
      <c r="H4900" s="3">
        <v>524.21864684891295</v>
      </c>
      <c r="I4900" s="3">
        <v>21.8</v>
      </c>
      <c r="J4900" s="3">
        <v>22.59</v>
      </c>
      <c r="K4900" s="3">
        <v>21.65</v>
      </c>
      <c r="L4900" s="3">
        <v>524.21864684891295</v>
      </c>
    </row>
    <row r="4901" spans="1:12" ht="15" customHeight="1" x14ac:dyDescent="0.2">
      <c r="A4901" s="2">
        <v>38938</v>
      </c>
      <c r="B4901" s="3">
        <v>21.93</v>
      </c>
      <c r="C4901" s="1">
        <v>1291223</v>
      </c>
      <c r="D4901" s="3">
        <v>-0.78000000000000103</v>
      </c>
      <c r="E4901" s="3">
        <v>-3.4346103038309201</v>
      </c>
      <c r="F4901" s="3">
        <v>-3.4346103038309201</v>
      </c>
      <c r="G4901" s="3">
        <v>21.93</v>
      </c>
      <c r="H4901" s="3">
        <v>511.12120202663698</v>
      </c>
      <c r="I4901" s="3">
        <v>22.84</v>
      </c>
      <c r="J4901" s="3">
        <v>22.87</v>
      </c>
      <c r="K4901" s="3">
        <v>21.9</v>
      </c>
      <c r="L4901" s="3">
        <v>511.12120202663698</v>
      </c>
    </row>
    <row r="4902" spans="1:12" ht="15" customHeight="1" x14ac:dyDescent="0.2">
      <c r="A4902" s="2">
        <v>38937</v>
      </c>
      <c r="B4902" s="3">
        <v>22.71</v>
      </c>
      <c r="C4902" s="1">
        <v>1815439</v>
      </c>
      <c r="D4902" s="3">
        <v>-0.42999999999999899</v>
      </c>
      <c r="E4902" s="3">
        <v>-1.85825410544511</v>
      </c>
      <c r="F4902" s="3">
        <v>-1.85825410544511</v>
      </c>
      <c r="G4902" s="3">
        <v>22.71</v>
      </c>
      <c r="H4902" s="3">
        <v>532.85738705083998</v>
      </c>
      <c r="I4902" s="3">
        <v>23.2</v>
      </c>
      <c r="J4902" s="3">
        <v>23.34</v>
      </c>
      <c r="K4902" s="3">
        <v>22.58</v>
      </c>
      <c r="L4902" s="3">
        <v>532.85738705083998</v>
      </c>
    </row>
    <row r="4903" spans="1:12" ht="15" customHeight="1" x14ac:dyDescent="0.2">
      <c r="A4903" s="2">
        <v>38936</v>
      </c>
      <c r="B4903" s="3">
        <v>23.14</v>
      </c>
      <c r="C4903" s="1">
        <v>2133104</v>
      </c>
      <c r="D4903" s="3">
        <v>-0.64</v>
      </c>
      <c r="E4903" s="3">
        <v>-2.6913372582001598</v>
      </c>
      <c r="F4903" s="3">
        <v>-2.6913372582001598</v>
      </c>
      <c r="G4903" s="3">
        <v>23.14</v>
      </c>
      <c r="H4903" s="3">
        <v>544.840155718029</v>
      </c>
      <c r="I4903" s="3">
        <v>23.78</v>
      </c>
      <c r="J4903" s="3">
        <v>23.79</v>
      </c>
      <c r="K4903" s="3">
        <v>22.91</v>
      </c>
      <c r="L4903" s="3">
        <v>544.840155718029</v>
      </c>
    </row>
    <row r="4904" spans="1:12" ht="15" customHeight="1" x14ac:dyDescent="0.2">
      <c r="A4904" s="2">
        <v>38933</v>
      </c>
      <c r="B4904" s="3">
        <v>23.78</v>
      </c>
      <c r="C4904" s="1">
        <v>2008800</v>
      </c>
      <c r="D4904" s="3">
        <v>0.49000000000000199</v>
      </c>
      <c r="E4904" s="3">
        <v>2.1039072563332</v>
      </c>
      <c r="F4904" s="3">
        <v>2.1039072563332</v>
      </c>
      <c r="G4904" s="3">
        <v>23.78</v>
      </c>
      <c r="H4904" s="3">
        <v>562.67497419942697</v>
      </c>
      <c r="I4904" s="3">
        <v>23.57</v>
      </c>
      <c r="J4904" s="3">
        <v>24.2</v>
      </c>
      <c r="K4904" s="3">
        <v>23.45</v>
      </c>
      <c r="L4904" s="3">
        <v>562.67497419942697</v>
      </c>
    </row>
    <row r="4905" spans="1:12" ht="15" customHeight="1" x14ac:dyDescent="0.2">
      <c r="A4905" s="2">
        <v>38932</v>
      </c>
      <c r="B4905" s="3">
        <v>23.29</v>
      </c>
      <c r="C4905" s="1">
        <v>2257124</v>
      </c>
      <c r="D4905" s="3">
        <v>0.309999999999998</v>
      </c>
      <c r="E4905" s="3">
        <v>1.34899912967798</v>
      </c>
      <c r="F4905" s="3">
        <v>1.34899912967798</v>
      </c>
      <c r="G4905" s="3">
        <v>23.29</v>
      </c>
      <c r="H4905" s="3">
        <v>549.02019129960695</v>
      </c>
      <c r="I4905" s="3">
        <v>22.88</v>
      </c>
      <c r="J4905" s="3">
        <v>23.46</v>
      </c>
      <c r="K4905" s="3">
        <v>22.19</v>
      </c>
      <c r="L4905" s="3">
        <v>549.02019129960695</v>
      </c>
    </row>
    <row r="4906" spans="1:12" ht="15" customHeight="1" x14ac:dyDescent="0.2">
      <c r="A4906" s="2">
        <v>38931</v>
      </c>
      <c r="B4906" s="3">
        <v>22.98</v>
      </c>
      <c r="C4906" s="1">
        <v>1897069</v>
      </c>
      <c r="D4906" s="3">
        <v>0.62000000000000099</v>
      </c>
      <c r="E4906" s="3">
        <v>2.77280858676207</v>
      </c>
      <c r="F4906" s="3">
        <v>2.77280858676207</v>
      </c>
      <c r="G4906" s="3">
        <v>22.98</v>
      </c>
      <c r="H4906" s="3">
        <v>540.38145109768004</v>
      </c>
      <c r="I4906" s="3">
        <v>22.52</v>
      </c>
      <c r="J4906" s="3">
        <v>23.04</v>
      </c>
      <c r="K4906" s="3">
        <v>22.49</v>
      </c>
      <c r="L4906" s="3">
        <v>540.38145109768004</v>
      </c>
    </row>
    <row r="4907" spans="1:12" ht="15" customHeight="1" x14ac:dyDescent="0.2">
      <c r="A4907" s="2">
        <v>38930</v>
      </c>
      <c r="B4907" s="3">
        <v>22.36</v>
      </c>
      <c r="C4907" s="1">
        <v>1178258</v>
      </c>
      <c r="D4907" s="3">
        <v>-0.49000000000000199</v>
      </c>
      <c r="E4907" s="3">
        <v>-2.1444201312910298</v>
      </c>
      <c r="F4907" s="3">
        <v>-2.1444201312910298</v>
      </c>
      <c r="G4907" s="3">
        <v>22.36</v>
      </c>
      <c r="H4907" s="3">
        <v>523.103970693826</v>
      </c>
      <c r="I4907" s="3">
        <v>22.83</v>
      </c>
      <c r="J4907" s="3">
        <v>22.97</v>
      </c>
      <c r="K4907" s="3">
        <v>22.19</v>
      </c>
      <c r="L4907" s="3">
        <v>523.103970693826</v>
      </c>
    </row>
    <row r="4908" spans="1:12" ht="15" customHeight="1" x14ac:dyDescent="0.2">
      <c r="A4908" s="2">
        <v>38929</v>
      </c>
      <c r="B4908" s="3">
        <v>22.85</v>
      </c>
      <c r="C4908" s="1">
        <v>867244</v>
      </c>
      <c r="D4908" s="3">
        <v>-0.32</v>
      </c>
      <c r="E4908" s="3">
        <v>-1.3810962451445801</v>
      </c>
      <c r="F4908" s="3">
        <v>-1.3810962451445801</v>
      </c>
      <c r="G4908" s="3">
        <v>22.85</v>
      </c>
      <c r="H4908" s="3">
        <v>536.75875359364602</v>
      </c>
      <c r="I4908" s="3">
        <v>23.23</v>
      </c>
      <c r="J4908" s="3">
        <v>23.23</v>
      </c>
      <c r="K4908" s="3">
        <v>22.84</v>
      </c>
      <c r="L4908" s="3">
        <v>536.75875359364602</v>
      </c>
    </row>
    <row r="4909" spans="1:12" ht="15" customHeight="1" x14ac:dyDescent="0.2">
      <c r="A4909" s="2">
        <v>38926</v>
      </c>
      <c r="B4909" s="3">
        <v>23.17</v>
      </c>
      <c r="C4909" s="1">
        <v>1163477</v>
      </c>
      <c r="D4909" s="3">
        <v>0.12000000000000099</v>
      </c>
      <c r="E4909" s="3">
        <v>0.52060737527115297</v>
      </c>
      <c r="F4909" s="3">
        <v>0.52060737527115297</v>
      </c>
      <c r="G4909" s="3">
        <v>23.17</v>
      </c>
      <c r="H4909" s="3">
        <v>545.67616283434495</v>
      </c>
      <c r="I4909" s="3">
        <v>23.21</v>
      </c>
      <c r="J4909" s="3">
        <v>23.27</v>
      </c>
      <c r="K4909" s="3">
        <v>22.8</v>
      </c>
      <c r="L4909" s="3">
        <v>545.67616283434495</v>
      </c>
    </row>
    <row r="4910" spans="1:12" ht="15" customHeight="1" x14ac:dyDescent="0.2">
      <c r="A4910" s="2">
        <v>38925</v>
      </c>
      <c r="B4910" s="3">
        <v>23.05</v>
      </c>
      <c r="C4910" s="1">
        <v>1014144</v>
      </c>
      <c r="D4910" s="3">
        <v>-0.19999999999999901</v>
      </c>
      <c r="E4910" s="3">
        <v>-0.86021505376343499</v>
      </c>
      <c r="F4910" s="3">
        <v>-0.86021505376343499</v>
      </c>
      <c r="G4910" s="3">
        <v>23.05</v>
      </c>
      <c r="H4910" s="3">
        <v>542.33213436908295</v>
      </c>
      <c r="I4910" s="3">
        <v>23.41</v>
      </c>
      <c r="J4910" s="3">
        <v>23.75</v>
      </c>
      <c r="K4910" s="3">
        <v>22.98</v>
      </c>
      <c r="L4910" s="3">
        <v>542.33213436908295</v>
      </c>
    </row>
    <row r="4911" spans="1:12" ht="15" customHeight="1" x14ac:dyDescent="0.2">
      <c r="A4911" s="2">
        <v>38924</v>
      </c>
      <c r="B4911" s="3">
        <v>23.25</v>
      </c>
      <c r="C4911" s="1">
        <v>1263272</v>
      </c>
      <c r="D4911" s="3">
        <v>-0.219999999999998</v>
      </c>
      <c r="E4911" s="3">
        <v>-0.93736685129952502</v>
      </c>
      <c r="F4911" s="3">
        <v>-0.93736685129952502</v>
      </c>
      <c r="G4911" s="3">
        <v>23.25</v>
      </c>
      <c r="H4911" s="3">
        <v>547.90551514451897</v>
      </c>
      <c r="I4911" s="3">
        <v>23.47</v>
      </c>
      <c r="J4911" s="3">
        <v>23.5</v>
      </c>
      <c r="K4911" s="3">
        <v>22.85</v>
      </c>
      <c r="L4911" s="3">
        <v>547.90551514451897</v>
      </c>
    </row>
    <row r="4912" spans="1:12" ht="15" customHeight="1" x14ac:dyDescent="0.2">
      <c r="A4912" s="2">
        <v>38923</v>
      </c>
      <c r="B4912" s="3">
        <v>23.47</v>
      </c>
      <c r="C4912" s="1">
        <v>1550414</v>
      </c>
      <c r="D4912" s="3">
        <v>7.9999999999998295E-2</v>
      </c>
      <c r="E4912" s="3">
        <v>0.342026507054282</v>
      </c>
      <c r="F4912" s="3">
        <v>0.342026507054282</v>
      </c>
      <c r="G4912" s="3">
        <v>23.47</v>
      </c>
      <c r="H4912" s="3">
        <v>554.03623399749995</v>
      </c>
      <c r="I4912" s="3">
        <v>23.35</v>
      </c>
      <c r="J4912" s="3">
        <v>23.7</v>
      </c>
      <c r="K4912" s="3">
        <v>23.18</v>
      </c>
      <c r="L4912" s="3">
        <v>554.03623399749995</v>
      </c>
    </row>
    <row r="4913" spans="1:12" ht="15" customHeight="1" x14ac:dyDescent="0.2">
      <c r="A4913" s="2">
        <v>38922</v>
      </c>
      <c r="B4913" s="3">
        <v>23.39</v>
      </c>
      <c r="C4913" s="1">
        <v>1845624</v>
      </c>
      <c r="D4913" s="3">
        <v>0.51999999999999902</v>
      </c>
      <c r="E4913" s="3">
        <v>2.27372103191954</v>
      </c>
      <c r="F4913" s="3">
        <v>2.27372103191954</v>
      </c>
      <c r="G4913" s="3">
        <v>23.39</v>
      </c>
      <c r="H4913" s="3">
        <v>551.80688168732502</v>
      </c>
      <c r="I4913" s="3">
        <v>22.88</v>
      </c>
      <c r="J4913" s="3">
        <v>23.66</v>
      </c>
      <c r="K4913" s="3">
        <v>22.88</v>
      </c>
      <c r="L4913" s="3">
        <v>551.80688168732502</v>
      </c>
    </row>
    <row r="4914" spans="1:12" ht="15" customHeight="1" x14ac:dyDescent="0.2">
      <c r="A4914" s="2">
        <v>38919</v>
      </c>
      <c r="B4914" s="3">
        <v>22.87</v>
      </c>
      <c r="C4914" s="1">
        <v>2709548</v>
      </c>
      <c r="D4914" s="3">
        <v>0.440000000000001</v>
      </c>
      <c r="E4914" s="3">
        <v>1.9616584930896199</v>
      </c>
      <c r="F4914" s="3">
        <v>1.9616584930896199</v>
      </c>
      <c r="G4914" s="3">
        <v>22.87</v>
      </c>
      <c r="H4914" s="3">
        <v>537.31609167118904</v>
      </c>
      <c r="I4914" s="3">
        <v>22.57</v>
      </c>
      <c r="J4914" s="3">
        <v>23.04</v>
      </c>
      <c r="K4914" s="3">
        <v>22.11</v>
      </c>
      <c r="L4914" s="3">
        <v>537.31609167118904</v>
      </c>
    </row>
    <row r="4915" spans="1:12" ht="15" customHeight="1" x14ac:dyDescent="0.2">
      <c r="A4915" s="2">
        <v>38918</v>
      </c>
      <c r="B4915" s="3">
        <v>22.43</v>
      </c>
      <c r="C4915" s="1">
        <v>2545691</v>
      </c>
      <c r="D4915" s="3">
        <v>-1.0899999999999901</v>
      </c>
      <c r="E4915" s="3">
        <v>-4.6343537414966001</v>
      </c>
      <c r="F4915" s="3">
        <v>-4.6343537414966001</v>
      </c>
      <c r="G4915" s="3">
        <v>22.43</v>
      </c>
      <c r="H4915" s="3">
        <v>525.05465396522902</v>
      </c>
      <c r="I4915" s="3">
        <v>23.45</v>
      </c>
      <c r="J4915" s="3">
        <v>23.69</v>
      </c>
      <c r="K4915" s="3">
        <v>22.38</v>
      </c>
      <c r="L4915" s="3">
        <v>525.05465396522902</v>
      </c>
    </row>
    <row r="4916" spans="1:12" ht="15" customHeight="1" x14ac:dyDescent="0.2">
      <c r="A4916" s="2">
        <v>38917</v>
      </c>
      <c r="B4916" s="3">
        <v>23.52</v>
      </c>
      <c r="C4916" s="1">
        <v>3400158</v>
      </c>
      <c r="D4916" s="3">
        <v>-0.28999999999999898</v>
      </c>
      <c r="E4916" s="3">
        <v>-1.21797564048719</v>
      </c>
      <c r="F4916" s="3">
        <v>-1.21797564048719</v>
      </c>
      <c r="G4916" s="3">
        <v>23.52</v>
      </c>
      <c r="H4916" s="3">
        <v>555.42957919135904</v>
      </c>
      <c r="I4916" s="3">
        <v>23.48</v>
      </c>
      <c r="J4916" s="3">
        <v>24.25</v>
      </c>
      <c r="K4916" s="3">
        <v>23.26</v>
      </c>
      <c r="L4916" s="3">
        <v>555.42957919135904</v>
      </c>
    </row>
    <row r="4917" spans="1:12" ht="15" customHeight="1" x14ac:dyDescent="0.2">
      <c r="A4917" s="2">
        <v>38916</v>
      </c>
      <c r="B4917" s="3">
        <v>23.81</v>
      </c>
      <c r="C4917" s="1">
        <v>1809808</v>
      </c>
      <c r="D4917" s="3">
        <v>-0.85000000000000098</v>
      </c>
      <c r="E4917" s="3">
        <v>-3.4468775344687801</v>
      </c>
      <c r="F4917" s="3">
        <v>-3.4468775344687801</v>
      </c>
      <c r="G4917" s="3">
        <v>23.81</v>
      </c>
      <c r="H4917" s="3">
        <v>563.51098131574201</v>
      </c>
      <c r="I4917" s="3">
        <v>24.84</v>
      </c>
      <c r="J4917" s="3">
        <v>25.08</v>
      </c>
      <c r="K4917" s="3">
        <v>23.5</v>
      </c>
      <c r="L4917" s="3">
        <v>563.51098131574201</v>
      </c>
    </row>
    <row r="4918" spans="1:12" ht="15" customHeight="1" x14ac:dyDescent="0.2">
      <c r="A4918" s="2">
        <v>38915</v>
      </c>
      <c r="B4918" s="3">
        <v>24.66</v>
      </c>
      <c r="C4918" s="1">
        <v>1345900</v>
      </c>
      <c r="D4918" s="3">
        <v>0.12000000000000099</v>
      </c>
      <c r="E4918" s="3">
        <v>0.48899755501223802</v>
      </c>
      <c r="F4918" s="3">
        <v>0.48899755501223802</v>
      </c>
      <c r="G4918" s="3">
        <v>24.66</v>
      </c>
      <c r="H4918" s="3">
        <v>587.19784961134803</v>
      </c>
      <c r="I4918" s="3">
        <v>24.6</v>
      </c>
      <c r="J4918" s="3">
        <v>24.94</v>
      </c>
      <c r="K4918" s="3">
        <v>24.39</v>
      </c>
      <c r="L4918" s="3">
        <v>587.19784961134803</v>
      </c>
    </row>
    <row r="4919" spans="1:12" ht="15" customHeight="1" x14ac:dyDescent="0.2">
      <c r="A4919" s="2">
        <v>38912</v>
      </c>
      <c r="B4919" s="3">
        <v>24.54</v>
      </c>
      <c r="C4919" s="1">
        <v>1426349</v>
      </c>
      <c r="D4919" s="3">
        <v>-0.21</v>
      </c>
      <c r="E4919" s="3">
        <v>-0.84848484848485395</v>
      </c>
      <c r="F4919" s="3">
        <v>-0.84848484848485395</v>
      </c>
      <c r="G4919" s="3">
        <v>24.54</v>
      </c>
      <c r="H4919" s="3">
        <v>583.85382114608603</v>
      </c>
      <c r="I4919" s="3">
        <v>24.7</v>
      </c>
      <c r="J4919" s="3">
        <v>24.7</v>
      </c>
      <c r="K4919" s="3">
        <v>24.13</v>
      </c>
      <c r="L4919" s="3">
        <v>583.85382114608603</v>
      </c>
    </row>
    <row r="4920" spans="1:12" ht="15" customHeight="1" x14ac:dyDescent="0.2">
      <c r="A4920" s="2">
        <v>38911</v>
      </c>
      <c r="B4920" s="3">
        <v>24.75</v>
      </c>
      <c r="C4920" s="1">
        <v>1497232</v>
      </c>
      <c r="D4920" s="3">
        <v>-0.26000000000000101</v>
      </c>
      <c r="E4920" s="3">
        <v>-1.03958416633347</v>
      </c>
      <c r="F4920" s="3">
        <v>-1.03958416633347</v>
      </c>
      <c r="G4920" s="3">
        <v>24.75</v>
      </c>
      <c r="H4920" s="3">
        <v>589.70587096029499</v>
      </c>
      <c r="I4920" s="3">
        <v>25.05</v>
      </c>
      <c r="J4920" s="3">
        <v>25.06</v>
      </c>
      <c r="K4920" s="3">
        <v>24.55</v>
      </c>
      <c r="L4920" s="3">
        <v>589.70587096029499</v>
      </c>
    </row>
    <row r="4921" spans="1:12" ht="15" customHeight="1" x14ac:dyDescent="0.2">
      <c r="A4921" s="2">
        <v>38910</v>
      </c>
      <c r="B4921" s="3">
        <v>25.01</v>
      </c>
      <c r="C4921" s="1">
        <v>2110240</v>
      </c>
      <c r="D4921" s="3">
        <v>-0.44999999999999901</v>
      </c>
      <c r="E4921" s="3">
        <v>-1.76747839748625</v>
      </c>
      <c r="F4921" s="3">
        <v>-1.76747839748625</v>
      </c>
      <c r="G4921" s="3">
        <v>25.01</v>
      </c>
      <c r="H4921" s="3">
        <v>596.95126596836201</v>
      </c>
      <c r="I4921" s="3">
        <v>25.51</v>
      </c>
      <c r="J4921" s="3">
        <v>25.71</v>
      </c>
      <c r="K4921" s="3">
        <v>24.92</v>
      </c>
      <c r="L4921" s="3">
        <v>596.95126596836201</v>
      </c>
    </row>
    <row r="4922" spans="1:12" ht="15" customHeight="1" x14ac:dyDescent="0.2">
      <c r="A4922" s="2">
        <v>38909</v>
      </c>
      <c r="B4922" s="3">
        <v>25.46</v>
      </c>
      <c r="C4922" s="1">
        <v>2491891</v>
      </c>
      <c r="D4922" s="3">
        <v>-0.3</v>
      </c>
      <c r="E4922" s="3">
        <v>-1.1645962732919199</v>
      </c>
      <c r="F4922" s="3">
        <v>-1.1645962732919199</v>
      </c>
      <c r="G4922" s="3">
        <v>25.46</v>
      </c>
      <c r="H4922" s="3">
        <v>609.49137271309496</v>
      </c>
      <c r="I4922" s="3">
        <v>25.65</v>
      </c>
      <c r="J4922" s="3">
        <v>25.78</v>
      </c>
      <c r="K4922" s="3">
        <v>25</v>
      </c>
      <c r="L4922" s="3">
        <v>609.49137271309496</v>
      </c>
    </row>
    <row r="4923" spans="1:12" ht="15" customHeight="1" x14ac:dyDescent="0.2">
      <c r="A4923" s="2">
        <v>38908</v>
      </c>
      <c r="B4923" s="3">
        <v>25.76</v>
      </c>
      <c r="C4923" s="1">
        <v>799771</v>
      </c>
      <c r="D4923" s="3">
        <v>0.51000000000000101</v>
      </c>
      <c r="E4923" s="3">
        <v>2.0198019801980198</v>
      </c>
      <c r="F4923" s="3">
        <v>2.0198019801980198</v>
      </c>
      <c r="G4923" s="3">
        <v>25.76</v>
      </c>
      <c r="H4923" s="3">
        <v>617.85144387624996</v>
      </c>
      <c r="I4923" s="3">
        <v>25.38</v>
      </c>
      <c r="J4923" s="3">
        <v>25.93</v>
      </c>
      <c r="K4923" s="3">
        <v>25.32</v>
      </c>
      <c r="L4923" s="3">
        <v>617.85144387624996</v>
      </c>
    </row>
    <row r="4924" spans="1:12" ht="15" customHeight="1" x14ac:dyDescent="0.2">
      <c r="A4924" s="2">
        <v>38905</v>
      </c>
      <c r="B4924" s="3">
        <v>25.25</v>
      </c>
      <c r="C4924" s="1">
        <v>1033476</v>
      </c>
      <c r="D4924" s="3">
        <v>-0.73999999999999799</v>
      </c>
      <c r="E4924" s="3">
        <v>-2.8472489419007201</v>
      </c>
      <c r="F4924" s="3">
        <v>-2.8472489419007201</v>
      </c>
      <c r="G4924" s="3">
        <v>25.25</v>
      </c>
      <c r="H4924" s="3">
        <v>603.63932289888703</v>
      </c>
      <c r="I4924" s="3">
        <v>25.99</v>
      </c>
      <c r="J4924" s="3">
        <v>26</v>
      </c>
      <c r="K4924" s="3">
        <v>25.13</v>
      </c>
      <c r="L4924" s="3">
        <v>603.63932289888703</v>
      </c>
    </row>
    <row r="4925" spans="1:12" ht="15" customHeight="1" x14ac:dyDescent="0.2">
      <c r="A4925" s="2">
        <v>38904</v>
      </c>
      <c r="B4925" s="3">
        <v>25.99</v>
      </c>
      <c r="C4925" s="1">
        <v>2284882</v>
      </c>
      <c r="D4925" s="3">
        <v>-0.56999999999999995</v>
      </c>
      <c r="E4925" s="3">
        <v>-2.1460843373493899</v>
      </c>
      <c r="F4925" s="3">
        <v>-2.1460843373493899</v>
      </c>
      <c r="G4925" s="3">
        <v>25.99</v>
      </c>
      <c r="H4925" s="3">
        <v>624.26083176800205</v>
      </c>
      <c r="I4925" s="3">
        <v>25.75</v>
      </c>
      <c r="J4925" s="3">
        <v>25.99</v>
      </c>
      <c r="K4925" s="3">
        <v>25.32</v>
      </c>
      <c r="L4925" s="3">
        <v>624.26083176800205</v>
      </c>
    </row>
    <row r="4926" spans="1:12" ht="15" customHeight="1" x14ac:dyDescent="0.2">
      <c r="A4926" s="2">
        <v>38903</v>
      </c>
      <c r="B4926" s="3">
        <v>26.56</v>
      </c>
      <c r="C4926" s="1">
        <v>1497756</v>
      </c>
      <c r="D4926" s="3">
        <v>-0.39</v>
      </c>
      <c r="E4926" s="3">
        <v>-1.44712430426716</v>
      </c>
      <c r="F4926" s="3">
        <v>-1.44712430426716</v>
      </c>
      <c r="G4926" s="3">
        <v>26.56</v>
      </c>
      <c r="H4926" s="3">
        <v>640.144966977997</v>
      </c>
      <c r="I4926" s="3">
        <v>26.75</v>
      </c>
      <c r="J4926" s="3">
        <v>26.86</v>
      </c>
      <c r="K4926" s="3">
        <v>26.31</v>
      </c>
      <c r="L4926" s="3">
        <v>640.144966977997</v>
      </c>
    </row>
    <row r="4927" spans="1:12" ht="15" customHeight="1" x14ac:dyDescent="0.2">
      <c r="A4927" s="2">
        <v>38901</v>
      </c>
      <c r="B4927" s="3">
        <v>26.95</v>
      </c>
      <c r="C4927" s="1">
        <v>899649</v>
      </c>
      <c r="D4927" s="3"/>
      <c r="E4927" s="3"/>
      <c r="F4927" s="3"/>
      <c r="G4927" s="3">
        <v>26.95</v>
      </c>
      <c r="H4927" s="3">
        <v>651.01305949009895</v>
      </c>
      <c r="I4927" s="3">
        <v>27.01</v>
      </c>
      <c r="J4927" s="3">
        <v>27.13</v>
      </c>
      <c r="K4927" s="3">
        <v>26.75</v>
      </c>
      <c r="L4927" s="3">
        <v>651.01305949009895</v>
      </c>
    </row>
    <row r="4928" spans="1:12" ht="15" customHeight="1" x14ac:dyDescent="0.2">
      <c r="A4928" s="2">
        <v>38898</v>
      </c>
      <c r="B4928" s="3">
        <v>26.95</v>
      </c>
      <c r="C4928" s="1">
        <v>1194143</v>
      </c>
      <c r="D4928" s="3">
        <v>-0.17000000000000101</v>
      </c>
      <c r="E4928" s="3">
        <v>-0.62684365781711104</v>
      </c>
      <c r="F4928" s="3">
        <v>-0.62684365781711104</v>
      </c>
      <c r="G4928" s="3">
        <v>26.95</v>
      </c>
      <c r="H4928" s="3">
        <v>651.01305949009895</v>
      </c>
      <c r="I4928" s="3">
        <v>27.13</v>
      </c>
      <c r="J4928" s="3">
        <v>27.13</v>
      </c>
      <c r="K4928" s="3">
        <v>26.93</v>
      </c>
      <c r="L4928" s="3">
        <v>651.01305949009895</v>
      </c>
    </row>
    <row r="4929" spans="1:12" ht="15" customHeight="1" x14ac:dyDescent="0.2">
      <c r="A4929" s="2">
        <v>38897</v>
      </c>
      <c r="B4929" s="3">
        <v>27.12</v>
      </c>
      <c r="C4929" s="1">
        <v>2525217</v>
      </c>
      <c r="D4929" s="3">
        <v>1.3399999999999901</v>
      </c>
      <c r="E4929" s="3">
        <v>5.1978277734678002</v>
      </c>
      <c r="F4929" s="3">
        <v>5.1978277734678002</v>
      </c>
      <c r="G4929" s="3">
        <v>27.12</v>
      </c>
      <c r="H4929" s="3">
        <v>655.75043314922004</v>
      </c>
      <c r="I4929" s="3">
        <v>26.199000000000002</v>
      </c>
      <c r="J4929" s="3">
        <v>27.12</v>
      </c>
      <c r="K4929" s="3">
        <v>25.96</v>
      </c>
      <c r="L4929" s="3">
        <v>655.75043314922004</v>
      </c>
    </row>
    <row r="4930" spans="1:12" ht="15" customHeight="1" x14ac:dyDescent="0.2">
      <c r="A4930" s="2">
        <v>38896</v>
      </c>
      <c r="B4930" s="3">
        <v>25.78</v>
      </c>
      <c r="C4930" s="1">
        <v>5736598</v>
      </c>
      <c r="D4930" s="3">
        <v>-1.95999999999999</v>
      </c>
      <c r="E4930" s="3">
        <v>-7.0656092285508096</v>
      </c>
      <c r="F4930" s="3">
        <v>-7.0656092285508096</v>
      </c>
      <c r="G4930" s="3">
        <v>25.78</v>
      </c>
      <c r="H4930" s="3">
        <v>618.408781953794</v>
      </c>
      <c r="I4930" s="3">
        <v>26.68</v>
      </c>
      <c r="J4930" s="3">
        <v>26.95</v>
      </c>
      <c r="K4930" s="3">
        <v>25.21</v>
      </c>
      <c r="L4930" s="3">
        <v>618.408781953794</v>
      </c>
    </row>
    <row r="4931" spans="1:12" ht="15" customHeight="1" x14ac:dyDescent="0.2">
      <c r="A4931" s="2">
        <v>38895</v>
      </c>
      <c r="B4931" s="3">
        <v>27.74</v>
      </c>
      <c r="C4931" s="1">
        <v>914624</v>
      </c>
      <c r="D4931" s="3">
        <v>9.9999999999980105E-3</v>
      </c>
      <c r="E4931" s="3">
        <v>3.6062026685890203E-2</v>
      </c>
      <c r="F4931" s="3">
        <v>3.6062026685890203E-2</v>
      </c>
      <c r="G4931" s="3">
        <v>27.74</v>
      </c>
      <c r="H4931" s="3">
        <v>673.02791355307397</v>
      </c>
      <c r="I4931" s="3">
        <v>27.85</v>
      </c>
      <c r="J4931" s="3">
        <v>27.94</v>
      </c>
      <c r="K4931" s="3">
        <v>27.55</v>
      </c>
      <c r="L4931" s="3">
        <v>673.02791355307397</v>
      </c>
    </row>
    <row r="4932" spans="1:12" ht="15" customHeight="1" x14ac:dyDescent="0.2">
      <c r="A4932" s="2">
        <v>38894</v>
      </c>
      <c r="B4932" s="3">
        <v>27.73</v>
      </c>
      <c r="C4932" s="1">
        <v>660447</v>
      </c>
      <c r="D4932" s="3">
        <v>0.12999999999999901</v>
      </c>
      <c r="E4932" s="3">
        <v>0.47101449275361801</v>
      </c>
      <c r="F4932" s="3">
        <v>0.47101449275361801</v>
      </c>
      <c r="G4932" s="3">
        <v>27.73</v>
      </c>
      <c r="H4932" s="3">
        <v>672.74924451430195</v>
      </c>
      <c r="I4932" s="3">
        <v>27.73</v>
      </c>
      <c r="J4932" s="3">
        <v>27.96</v>
      </c>
      <c r="K4932" s="3">
        <v>27.48</v>
      </c>
      <c r="L4932" s="3">
        <v>672.74924451430195</v>
      </c>
    </row>
    <row r="4933" spans="1:12" ht="15" customHeight="1" x14ac:dyDescent="0.2">
      <c r="A4933" s="2">
        <v>38891</v>
      </c>
      <c r="B4933" s="3">
        <v>27.6</v>
      </c>
      <c r="C4933" s="1">
        <v>572630</v>
      </c>
      <c r="D4933" s="3">
        <v>2.0000000000003099E-2</v>
      </c>
      <c r="E4933" s="3">
        <v>7.2516316171156101E-2</v>
      </c>
      <c r="F4933" s="3">
        <v>7.2516316171156101E-2</v>
      </c>
      <c r="G4933" s="3">
        <v>27.6</v>
      </c>
      <c r="H4933" s="3">
        <v>669.12654701026804</v>
      </c>
      <c r="I4933" s="3">
        <v>27.63</v>
      </c>
      <c r="J4933" s="3">
        <v>28.01</v>
      </c>
      <c r="K4933" s="3">
        <v>27.4</v>
      </c>
      <c r="L4933" s="3">
        <v>669.12654701026804</v>
      </c>
    </row>
    <row r="4934" spans="1:12" ht="15" customHeight="1" x14ac:dyDescent="0.2">
      <c r="A4934" s="2">
        <v>38890</v>
      </c>
      <c r="B4934" s="3">
        <v>27.58</v>
      </c>
      <c r="C4934" s="1">
        <v>860456</v>
      </c>
      <c r="D4934" s="3">
        <v>0.15999999999999601</v>
      </c>
      <c r="E4934" s="3">
        <v>0.583515681983937</v>
      </c>
      <c r="F4934" s="3">
        <v>0.583515681983937</v>
      </c>
      <c r="G4934" s="3">
        <v>27.58</v>
      </c>
      <c r="H4934" s="3">
        <v>668.569208932724</v>
      </c>
      <c r="I4934" s="3">
        <v>27.43</v>
      </c>
      <c r="J4934" s="3">
        <v>27.72</v>
      </c>
      <c r="K4934" s="3">
        <v>27.39</v>
      </c>
      <c r="L4934" s="3">
        <v>668.569208932724</v>
      </c>
    </row>
    <row r="4935" spans="1:12" ht="15" customHeight="1" x14ac:dyDescent="0.2">
      <c r="A4935" s="2">
        <v>38889</v>
      </c>
      <c r="B4935" s="3">
        <v>27.42</v>
      </c>
      <c r="C4935" s="1">
        <v>549679</v>
      </c>
      <c r="D4935" s="3">
        <v>0.32</v>
      </c>
      <c r="E4935" s="3">
        <v>1.1808118081180801</v>
      </c>
      <c r="F4935" s="3">
        <v>1.1808118081180801</v>
      </c>
      <c r="G4935" s="3">
        <v>27.42</v>
      </c>
      <c r="H4935" s="3">
        <v>664.11050431237504</v>
      </c>
      <c r="I4935" s="3">
        <v>27.061</v>
      </c>
      <c r="J4935" s="3">
        <v>27.75</v>
      </c>
      <c r="K4935" s="3">
        <v>27.05</v>
      </c>
      <c r="L4935" s="3">
        <v>664.11050431237504</v>
      </c>
    </row>
    <row r="4936" spans="1:12" ht="15" customHeight="1" x14ac:dyDescent="0.2">
      <c r="A4936" s="2">
        <v>38888</v>
      </c>
      <c r="B4936" s="3">
        <v>27.1</v>
      </c>
      <c r="C4936" s="1">
        <v>731173</v>
      </c>
      <c r="D4936" s="3">
        <v>-0.17999999999999899</v>
      </c>
      <c r="E4936" s="3">
        <v>-0.65982404692081997</v>
      </c>
      <c r="F4936" s="3">
        <v>-0.65982404692081997</v>
      </c>
      <c r="G4936" s="3">
        <v>27.1</v>
      </c>
      <c r="H4936" s="3">
        <v>655.193095071676</v>
      </c>
      <c r="I4936" s="3">
        <v>27.3</v>
      </c>
      <c r="J4936" s="3">
        <v>27.44</v>
      </c>
      <c r="K4936" s="3">
        <v>27.03</v>
      </c>
      <c r="L4936" s="3">
        <v>655.193095071676</v>
      </c>
    </row>
    <row r="4937" spans="1:12" ht="15" customHeight="1" x14ac:dyDescent="0.2">
      <c r="A4937" s="2">
        <v>38887</v>
      </c>
      <c r="B4937" s="3">
        <v>27.28</v>
      </c>
      <c r="C4937" s="1">
        <v>928102</v>
      </c>
      <c r="D4937" s="3">
        <v>-0.309999999999998</v>
      </c>
      <c r="E4937" s="3">
        <v>-1.1235955056179601</v>
      </c>
      <c r="F4937" s="3">
        <v>-1.1235955056179601</v>
      </c>
      <c r="G4937" s="3">
        <v>27.28</v>
      </c>
      <c r="H4937" s="3">
        <v>660.209137769569</v>
      </c>
      <c r="I4937" s="3">
        <v>27.7</v>
      </c>
      <c r="J4937" s="3">
        <v>27.98</v>
      </c>
      <c r="K4937" s="3">
        <v>27.12</v>
      </c>
      <c r="L4937" s="3">
        <v>660.209137769569</v>
      </c>
    </row>
    <row r="4938" spans="1:12" ht="15" customHeight="1" x14ac:dyDescent="0.2">
      <c r="A4938" s="2">
        <v>38884</v>
      </c>
      <c r="B4938" s="3">
        <v>27.59</v>
      </c>
      <c r="C4938" s="1">
        <v>874249</v>
      </c>
      <c r="D4938" s="3">
        <v>-0.19999999999999901</v>
      </c>
      <c r="E4938" s="3">
        <v>-0.71968333933068995</v>
      </c>
      <c r="F4938" s="3">
        <v>-0.71968333933068995</v>
      </c>
      <c r="G4938" s="3">
        <v>27.59</v>
      </c>
      <c r="H4938" s="3">
        <v>668.84787797149602</v>
      </c>
      <c r="I4938" s="3">
        <v>27.87</v>
      </c>
      <c r="J4938" s="3">
        <v>28.2</v>
      </c>
      <c r="K4938" s="3">
        <v>27.470099999999999</v>
      </c>
      <c r="L4938" s="3">
        <v>668.84787797149602</v>
      </c>
    </row>
    <row r="4939" spans="1:12" ht="15" customHeight="1" x14ac:dyDescent="0.2">
      <c r="A4939" s="2">
        <v>38883</v>
      </c>
      <c r="B4939" s="3">
        <v>27.79</v>
      </c>
      <c r="C4939" s="1">
        <v>1269732</v>
      </c>
      <c r="D4939" s="3">
        <v>0.71999999999999797</v>
      </c>
      <c r="E4939" s="3">
        <v>2.65977096416696</v>
      </c>
      <c r="F4939" s="3">
        <v>2.65977096416696</v>
      </c>
      <c r="G4939" s="3">
        <v>27.79</v>
      </c>
      <c r="H4939" s="3">
        <v>674.42125874693295</v>
      </c>
      <c r="I4939" s="3">
        <v>27.34</v>
      </c>
      <c r="J4939" s="3">
        <v>27.85</v>
      </c>
      <c r="K4939" s="3">
        <v>27.25</v>
      </c>
      <c r="L4939" s="3">
        <v>674.42125874693295</v>
      </c>
    </row>
    <row r="4940" spans="1:12" ht="15" customHeight="1" x14ac:dyDescent="0.2">
      <c r="A4940" s="2">
        <v>38882</v>
      </c>
      <c r="B4940" s="3">
        <v>27.07</v>
      </c>
      <c r="C4940" s="1">
        <v>1428206</v>
      </c>
      <c r="D4940" s="3">
        <v>-0.48999999999999799</v>
      </c>
      <c r="E4940" s="3">
        <v>-1.7779390420899801</v>
      </c>
      <c r="F4940" s="3">
        <v>-1.7779390420899801</v>
      </c>
      <c r="G4940" s="3">
        <v>27.07</v>
      </c>
      <c r="H4940" s="3">
        <v>654.35708795536095</v>
      </c>
      <c r="I4940" s="3">
        <v>27.5</v>
      </c>
      <c r="J4940" s="3">
        <v>27.61</v>
      </c>
      <c r="K4940" s="3">
        <v>26.84</v>
      </c>
      <c r="L4940" s="3">
        <v>654.35708795536095</v>
      </c>
    </row>
    <row r="4941" spans="1:12" ht="15" customHeight="1" x14ac:dyDescent="0.2">
      <c r="A4941" s="2">
        <v>38881</v>
      </c>
      <c r="B4941" s="3">
        <v>27.56</v>
      </c>
      <c r="C4941" s="1">
        <v>1379752</v>
      </c>
      <c r="D4941" s="3">
        <v>-0.81000000000000205</v>
      </c>
      <c r="E4941" s="3">
        <v>-2.85512865703208</v>
      </c>
      <c r="F4941" s="3">
        <v>-2.85512865703208</v>
      </c>
      <c r="G4941" s="3">
        <v>27.56</v>
      </c>
      <c r="H4941" s="3">
        <v>668.01187085518097</v>
      </c>
      <c r="I4941" s="3">
        <v>28.5</v>
      </c>
      <c r="J4941" s="3">
        <v>28.54</v>
      </c>
      <c r="K4941" s="3">
        <v>27.44</v>
      </c>
      <c r="L4941" s="3">
        <v>668.01187085518097</v>
      </c>
    </row>
    <row r="4942" spans="1:12" ht="15" customHeight="1" x14ac:dyDescent="0.2">
      <c r="A4942" s="2">
        <v>38880</v>
      </c>
      <c r="B4942" s="3">
        <v>28.37</v>
      </c>
      <c r="C4942" s="1">
        <v>742874</v>
      </c>
      <c r="D4942" s="3">
        <v>-0.78999999999999904</v>
      </c>
      <c r="E4942" s="3">
        <v>-2.7091906721536199</v>
      </c>
      <c r="F4942" s="3">
        <v>-2.7091906721536199</v>
      </c>
      <c r="G4942" s="3">
        <v>28.37</v>
      </c>
      <c r="H4942" s="3">
        <v>690.58406299569901</v>
      </c>
      <c r="I4942" s="3">
        <v>29.34</v>
      </c>
      <c r="J4942" s="3">
        <v>29.34</v>
      </c>
      <c r="K4942" s="3">
        <v>28.31</v>
      </c>
      <c r="L4942" s="3">
        <v>690.58406299569901</v>
      </c>
    </row>
    <row r="4943" spans="1:12" ht="15" customHeight="1" x14ac:dyDescent="0.2">
      <c r="A4943" s="2">
        <v>38877</v>
      </c>
      <c r="B4943" s="3">
        <v>29.16</v>
      </c>
      <c r="C4943" s="1">
        <v>1331562</v>
      </c>
      <c r="D4943" s="3">
        <v>0.32</v>
      </c>
      <c r="E4943" s="3">
        <v>1.1095700416088701</v>
      </c>
      <c r="F4943" s="3">
        <v>1.1095700416088701</v>
      </c>
      <c r="G4943" s="3">
        <v>29.16</v>
      </c>
      <c r="H4943" s="3">
        <v>712.59891705867403</v>
      </c>
      <c r="I4943" s="3">
        <v>29.49</v>
      </c>
      <c r="J4943" s="3">
        <v>29.82</v>
      </c>
      <c r="K4943" s="3">
        <v>29.16</v>
      </c>
      <c r="L4943" s="3">
        <v>712.59891705867403</v>
      </c>
    </row>
    <row r="4944" spans="1:12" ht="15" customHeight="1" x14ac:dyDescent="0.2">
      <c r="A4944" s="2">
        <v>38876</v>
      </c>
      <c r="B4944" s="3">
        <v>28.84</v>
      </c>
      <c r="C4944" s="1">
        <v>1565307</v>
      </c>
      <c r="D4944" s="3">
        <v>0.44999999999999901</v>
      </c>
      <c r="E4944" s="3">
        <v>1.5850651637900599</v>
      </c>
      <c r="F4944" s="3">
        <v>1.5850651637900599</v>
      </c>
      <c r="G4944" s="3">
        <v>28.84</v>
      </c>
      <c r="H4944" s="3">
        <v>703.68150781797601</v>
      </c>
      <c r="I4944" s="3">
        <v>28.24</v>
      </c>
      <c r="J4944" s="3">
        <v>28.99</v>
      </c>
      <c r="K4944" s="3">
        <v>27.91</v>
      </c>
      <c r="L4944" s="3">
        <v>703.68150781797601</v>
      </c>
    </row>
    <row r="4945" spans="1:12" ht="15" customHeight="1" x14ac:dyDescent="0.2">
      <c r="A4945" s="2">
        <v>38875</v>
      </c>
      <c r="B4945" s="3">
        <v>28.39</v>
      </c>
      <c r="C4945" s="1">
        <v>1575227</v>
      </c>
      <c r="D4945" s="3">
        <v>-0.309999999999998</v>
      </c>
      <c r="E4945" s="3">
        <v>-1.0801393728222899</v>
      </c>
      <c r="F4945" s="3">
        <v>-1.0801393728222899</v>
      </c>
      <c r="G4945" s="3">
        <v>28.39</v>
      </c>
      <c r="H4945" s="3">
        <v>691.14140107324295</v>
      </c>
      <c r="I4945" s="3">
        <v>28.7</v>
      </c>
      <c r="J4945" s="3">
        <v>29.07</v>
      </c>
      <c r="K4945" s="3">
        <v>28.39</v>
      </c>
      <c r="L4945" s="3">
        <v>691.14140107324295</v>
      </c>
    </row>
    <row r="4946" spans="1:12" ht="15" customHeight="1" x14ac:dyDescent="0.2">
      <c r="A4946" s="2">
        <v>38874</v>
      </c>
      <c r="B4946" s="3">
        <v>28.7</v>
      </c>
      <c r="C4946" s="1">
        <v>2224731</v>
      </c>
      <c r="D4946" s="3">
        <v>0.71999999999999797</v>
      </c>
      <c r="E4946" s="3">
        <v>2.5732666190135798</v>
      </c>
      <c r="F4946" s="3">
        <v>2.5732666190135798</v>
      </c>
      <c r="G4946" s="3">
        <v>28.7</v>
      </c>
      <c r="H4946" s="3">
        <v>699.78014127516997</v>
      </c>
      <c r="I4946" s="3">
        <v>28.1</v>
      </c>
      <c r="J4946" s="3">
        <v>28.78</v>
      </c>
      <c r="K4946" s="3">
        <v>27.94</v>
      </c>
      <c r="L4946" s="3">
        <v>699.78014127516997</v>
      </c>
    </row>
    <row r="4947" spans="1:12" ht="15" customHeight="1" x14ac:dyDescent="0.2">
      <c r="A4947" s="2">
        <v>38873</v>
      </c>
      <c r="B4947" s="3">
        <v>27.98</v>
      </c>
      <c r="C4947" s="1">
        <v>1864902</v>
      </c>
      <c r="D4947" s="3">
        <v>-1.1599999999999999</v>
      </c>
      <c r="E4947" s="3">
        <v>-3.9807824296499601</v>
      </c>
      <c r="F4947" s="3">
        <v>-3.9807824296499601</v>
      </c>
      <c r="G4947" s="3">
        <v>27.98</v>
      </c>
      <c r="H4947" s="3">
        <v>679.71597048359797</v>
      </c>
      <c r="I4947" s="3">
        <v>29.21</v>
      </c>
      <c r="J4947" s="3">
        <v>29.21</v>
      </c>
      <c r="K4947" s="3">
        <v>27.81</v>
      </c>
      <c r="L4947" s="3">
        <v>679.71597048359797</v>
      </c>
    </row>
    <row r="4948" spans="1:12" ht="15" customHeight="1" x14ac:dyDescent="0.2">
      <c r="A4948" s="2">
        <v>38870</v>
      </c>
      <c r="B4948" s="3">
        <v>29.14</v>
      </c>
      <c r="C4948" s="1">
        <v>873644</v>
      </c>
      <c r="D4948" s="3">
        <v>-9.9999999999980105E-3</v>
      </c>
      <c r="E4948" s="3">
        <v>-3.4305317324179102E-2</v>
      </c>
      <c r="F4948" s="3">
        <v>-3.4305317324179102E-2</v>
      </c>
      <c r="G4948" s="3">
        <v>29.14</v>
      </c>
      <c r="H4948" s="3">
        <v>712.04157898113101</v>
      </c>
      <c r="I4948" s="3">
        <v>29.25</v>
      </c>
      <c r="J4948" s="3">
        <v>29.51</v>
      </c>
      <c r="K4948" s="3">
        <v>28.75</v>
      </c>
      <c r="L4948" s="3">
        <v>712.04157898113101</v>
      </c>
    </row>
    <row r="4949" spans="1:12" ht="15" customHeight="1" x14ac:dyDescent="0.2">
      <c r="A4949" s="2">
        <v>38869</v>
      </c>
      <c r="B4949" s="3">
        <v>29.15</v>
      </c>
      <c r="C4949" s="1">
        <v>1820961</v>
      </c>
      <c r="D4949" s="3">
        <v>-0.12000000000000099</v>
      </c>
      <c r="E4949" s="3">
        <v>-0.40997608472839098</v>
      </c>
      <c r="F4949" s="3">
        <v>-0.40997608472839098</v>
      </c>
      <c r="G4949" s="3">
        <v>29.15</v>
      </c>
      <c r="H4949" s="3">
        <v>712.32024801990303</v>
      </c>
      <c r="I4949" s="3">
        <v>29.45</v>
      </c>
      <c r="J4949" s="3">
        <v>29.45</v>
      </c>
      <c r="K4949" s="3">
        <v>28.65</v>
      </c>
      <c r="L4949" s="3">
        <v>712.32024801990303</v>
      </c>
    </row>
    <row r="4950" spans="1:12" ht="15" customHeight="1" x14ac:dyDescent="0.2">
      <c r="A4950" s="2">
        <v>38868</v>
      </c>
      <c r="B4950" s="3">
        <v>29.27</v>
      </c>
      <c r="C4950" s="1">
        <v>1113015</v>
      </c>
      <c r="D4950" s="3">
        <v>-0.37999999999999901</v>
      </c>
      <c r="E4950" s="3">
        <v>-1.2816188870151699</v>
      </c>
      <c r="F4950" s="3">
        <v>-1.2816188870151699</v>
      </c>
      <c r="G4950" s="3">
        <v>29.27</v>
      </c>
      <c r="H4950" s="3">
        <v>715.66427648516503</v>
      </c>
      <c r="I4950" s="3">
        <v>29.56</v>
      </c>
      <c r="J4950" s="3">
        <v>29.76</v>
      </c>
      <c r="K4950" s="3">
        <v>29.04</v>
      </c>
      <c r="L4950" s="3">
        <v>715.66427648516503</v>
      </c>
    </row>
    <row r="4951" spans="1:12" ht="15" customHeight="1" x14ac:dyDescent="0.2">
      <c r="A4951" s="2">
        <v>38867</v>
      </c>
      <c r="B4951" s="3">
        <v>29.65</v>
      </c>
      <c r="C4951" s="1">
        <v>1454618</v>
      </c>
      <c r="D4951" s="3">
        <v>-0.42999999999999899</v>
      </c>
      <c r="E4951" s="3">
        <v>-1.4295212765957399</v>
      </c>
      <c r="F4951" s="3">
        <v>-1.4295212765957399</v>
      </c>
      <c r="G4951" s="3">
        <v>29.65</v>
      </c>
      <c r="H4951" s="3">
        <v>726.25369995849496</v>
      </c>
      <c r="I4951" s="3">
        <v>30</v>
      </c>
      <c r="J4951" s="3">
        <v>30</v>
      </c>
      <c r="K4951" s="3">
        <v>29.56</v>
      </c>
      <c r="L4951" s="3">
        <v>726.25369995849496</v>
      </c>
    </row>
    <row r="4952" spans="1:12" ht="15" customHeight="1" x14ac:dyDescent="0.2">
      <c r="A4952" s="2">
        <v>38863</v>
      </c>
      <c r="B4952" s="3">
        <v>30.08</v>
      </c>
      <c r="C4952" s="1">
        <v>1004220</v>
      </c>
      <c r="D4952" s="3">
        <v>0.37999999999999901</v>
      </c>
      <c r="E4952" s="3">
        <v>1.2794612794612801</v>
      </c>
      <c r="F4952" s="3">
        <v>1.2794612794612801</v>
      </c>
      <c r="G4952" s="3">
        <v>30.08</v>
      </c>
      <c r="H4952" s="3">
        <v>738.23646862568296</v>
      </c>
      <c r="I4952" s="3">
        <v>29.72</v>
      </c>
      <c r="J4952" s="3">
        <v>30.117000000000001</v>
      </c>
      <c r="K4952" s="3">
        <v>29.7</v>
      </c>
      <c r="L4952" s="3">
        <v>738.23646862568296</v>
      </c>
    </row>
    <row r="4953" spans="1:12" ht="15" customHeight="1" x14ac:dyDescent="0.2">
      <c r="A4953" s="2">
        <v>38862</v>
      </c>
      <c r="B4953" s="3">
        <v>29.7</v>
      </c>
      <c r="C4953" s="1">
        <v>1530614</v>
      </c>
      <c r="D4953" s="3">
        <v>0.32999999999999802</v>
      </c>
      <c r="E4953" s="3">
        <v>1.1235955056179801</v>
      </c>
      <c r="F4953" s="3">
        <v>1.1235955056179801</v>
      </c>
      <c r="G4953" s="3">
        <v>29.7</v>
      </c>
      <c r="H4953" s="3">
        <v>727.64704515235405</v>
      </c>
      <c r="I4953" s="3">
        <v>29.35</v>
      </c>
      <c r="J4953" s="3">
        <v>29.79</v>
      </c>
      <c r="K4953" s="3">
        <v>28.98</v>
      </c>
      <c r="L4953" s="3">
        <v>727.64704515235405</v>
      </c>
    </row>
    <row r="4954" spans="1:12" ht="15" customHeight="1" x14ac:dyDescent="0.2">
      <c r="A4954" s="2">
        <v>38861</v>
      </c>
      <c r="B4954" s="3">
        <v>29.37</v>
      </c>
      <c r="C4954" s="1">
        <v>2284836</v>
      </c>
      <c r="D4954" s="3">
        <v>-0.83999999999999897</v>
      </c>
      <c r="E4954" s="3">
        <v>-2.7805362462760601</v>
      </c>
      <c r="F4954" s="3">
        <v>-2.7805362462760601</v>
      </c>
      <c r="G4954" s="3">
        <v>29.37</v>
      </c>
      <c r="H4954" s="3">
        <v>718.45096687288299</v>
      </c>
      <c r="I4954" s="3">
        <v>30.04</v>
      </c>
      <c r="J4954" s="3">
        <v>30.15</v>
      </c>
      <c r="K4954" s="3">
        <v>28.92</v>
      </c>
      <c r="L4954" s="3">
        <v>718.45096687288299</v>
      </c>
    </row>
    <row r="4955" spans="1:12" ht="15" customHeight="1" x14ac:dyDescent="0.2">
      <c r="A4955" s="2">
        <v>38860</v>
      </c>
      <c r="B4955" s="3">
        <v>30.21</v>
      </c>
      <c r="C4955" s="1">
        <v>1316965</v>
      </c>
      <c r="D4955" s="3">
        <v>-0.16999999999999801</v>
      </c>
      <c r="E4955" s="3">
        <v>-0.55957867017773999</v>
      </c>
      <c r="F4955" s="3">
        <v>-0.55957867017773999</v>
      </c>
      <c r="G4955" s="3">
        <v>30.21</v>
      </c>
      <c r="H4955" s="3">
        <v>741.85916612971698</v>
      </c>
      <c r="I4955" s="3">
        <v>30.68</v>
      </c>
      <c r="J4955" s="3">
        <v>30.8</v>
      </c>
      <c r="K4955" s="3">
        <v>30.2</v>
      </c>
      <c r="L4955" s="3">
        <v>741.85916612971698</v>
      </c>
    </row>
    <row r="4956" spans="1:12" ht="15" customHeight="1" x14ac:dyDescent="0.2">
      <c r="A4956" s="2">
        <v>38859</v>
      </c>
      <c r="B4956" s="3">
        <v>30.38</v>
      </c>
      <c r="C4956" s="1">
        <v>1407095</v>
      </c>
      <c r="D4956" s="3">
        <v>-0.220000000000002</v>
      </c>
      <c r="E4956" s="3">
        <v>-0.71895424836602095</v>
      </c>
      <c r="F4956" s="3">
        <v>-0.71895424836602095</v>
      </c>
      <c r="G4956" s="3">
        <v>30.38</v>
      </c>
      <c r="H4956" s="3">
        <v>746.59653978883898</v>
      </c>
      <c r="I4956" s="3">
        <v>30.28</v>
      </c>
      <c r="J4956" s="3">
        <v>30.65</v>
      </c>
      <c r="K4956" s="3">
        <v>30.16</v>
      </c>
      <c r="L4956" s="3">
        <v>746.59653978883898</v>
      </c>
    </row>
    <row r="4957" spans="1:12" ht="15" customHeight="1" x14ac:dyDescent="0.2">
      <c r="A4957" s="2">
        <v>38856</v>
      </c>
      <c r="B4957" s="3">
        <v>30.6</v>
      </c>
      <c r="C4957" s="1">
        <v>1848022</v>
      </c>
      <c r="D4957" s="3">
        <v>0.26000000000000101</v>
      </c>
      <c r="E4957" s="3">
        <v>0.85695451549110402</v>
      </c>
      <c r="F4957" s="3">
        <v>0.85695451549110402</v>
      </c>
      <c r="G4957" s="3">
        <v>30.6</v>
      </c>
      <c r="H4957" s="3">
        <v>752.72725864181905</v>
      </c>
      <c r="I4957" s="3">
        <v>31</v>
      </c>
      <c r="J4957" s="3">
        <v>31</v>
      </c>
      <c r="K4957" s="3">
        <v>30.23</v>
      </c>
      <c r="L4957" s="3">
        <v>752.72725864181905</v>
      </c>
    </row>
    <row r="4958" spans="1:12" ht="15" customHeight="1" x14ac:dyDescent="0.2">
      <c r="A4958" s="2">
        <v>38855</v>
      </c>
      <c r="B4958" s="3">
        <v>30.34</v>
      </c>
      <c r="C4958" s="1">
        <v>1211662</v>
      </c>
      <c r="D4958" s="3">
        <v>-0.100000000000001</v>
      </c>
      <c r="E4958" s="3">
        <v>-0.32851511169513697</v>
      </c>
      <c r="F4958" s="3">
        <v>-0.32851511169513697</v>
      </c>
      <c r="G4958" s="3">
        <v>30.34</v>
      </c>
      <c r="H4958" s="3">
        <v>745.481863633751</v>
      </c>
      <c r="I4958" s="3">
        <v>30.6</v>
      </c>
      <c r="J4958" s="3">
        <v>31</v>
      </c>
      <c r="K4958" s="3">
        <v>30.18</v>
      </c>
      <c r="L4958" s="3">
        <v>745.481863633751</v>
      </c>
    </row>
    <row r="4959" spans="1:12" ht="15" customHeight="1" x14ac:dyDescent="0.2">
      <c r="A4959" s="2">
        <v>38854</v>
      </c>
      <c r="B4959" s="3">
        <v>30.44</v>
      </c>
      <c r="C4959" s="1">
        <v>3320815</v>
      </c>
      <c r="D4959" s="3">
        <v>-0.75999999999999801</v>
      </c>
      <c r="E4959" s="3">
        <v>-2.4358974358974201</v>
      </c>
      <c r="F4959" s="3">
        <v>-2.4358974358974201</v>
      </c>
      <c r="G4959" s="3">
        <v>30.44</v>
      </c>
      <c r="H4959" s="3">
        <v>748.26855402146998</v>
      </c>
      <c r="I4959" s="3">
        <v>31</v>
      </c>
      <c r="J4959" s="3">
        <v>31.21</v>
      </c>
      <c r="K4959" s="3">
        <v>29.96</v>
      </c>
      <c r="L4959" s="3">
        <v>748.26855402146998</v>
      </c>
    </row>
    <row r="4960" spans="1:12" ht="15" customHeight="1" x14ac:dyDescent="0.2">
      <c r="A4960" s="2">
        <v>38853</v>
      </c>
      <c r="B4960" s="3">
        <v>31.2</v>
      </c>
      <c r="C4960" s="1">
        <v>1376639</v>
      </c>
      <c r="D4960" s="3">
        <v>-0.75</v>
      </c>
      <c r="E4960" s="3">
        <v>-2.3474178403755799</v>
      </c>
      <c r="F4960" s="3">
        <v>-2.3474178403755799</v>
      </c>
      <c r="G4960" s="3">
        <v>31.2</v>
      </c>
      <c r="H4960" s="3">
        <v>769.44740096812905</v>
      </c>
      <c r="I4960" s="3">
        <v>32</v>
      </c>
      <c r="J4960" s="3">
        <v>32.049999999999997</v>
      </c>
      <c r="K4960" s="3">
        <v>31.09</v>
      </c>
      <c r="L4960" s="3">
        <v>769.44740096812905</v>
      </c>
    </row>
    <row r="4961" spans="1:12" ht="15" customHeight="1" x14ac:dyDescent="0.2">
      <c r="A4961" s="2">
        <v>38852</v>
      </c>
      <c r="B4961" s="3">
        <v>31.95</v>
      </c>
      <c r="C4961" s="1">
        <v>1059372</v>
      </c>
      <c r="D4961" s="3">
        <v>-8.9999999999999802E-2</v>
      </c>
      <c r="E4961" s="3">
        <v>-0.28089887640448902</v>
      </c>
      <c r="F4961" s="3">
        <v>-0.28089887640448902</v>
      </c>
      <c r="G4961" s="3">
        <v>31.95</v>
      </c>
      <c r="H4961" s="3">
        <v>790.347578876017</v>
      </c>
      <c r="I4961" s="3">
        <v>31.97</v>
      </c>
      <c r="J4961" s="3">
        <v>32.39</v>
      </c>
      <c r="K4961" s="3">
        <v>31.79</v>
      </c>
      <c r="L4961" s="3">
        <v>790.347578876017</v>
      </c>
    </row>
    <row r="4962" spans="1:12" ht="15" customHeight="1" x14ac:dyDescent="0.2">
      <c r="A4962" s="2">
        <v>38849</v>
      </c>
      <c r="B4962" s="3">
        <v>32.04</v>
      </c>
      <c r="C4962" s="1">
        <v>1730039</v>
      </c>
      <c r="D4962" s="3">
        <v>-0.35999999999999899</v>
      </c>
      <c r="E4962" s="3">
        <v>-1.1111111111111001</v>
      </c>
      <c r="F4962" s="3">
        <v>-1.1111111111111001</v>
      </c>
      <c r="G4962" s="3">
        <v>32.04</v>
      </c>
      <c r="H4962" s="3">
        <v>792.85560022496395</v>
      </c>
      <c r="I4962" s="3">
        <v>33.17</v>
      </c>
      <c r="J4962" s="3">
        <v>33.31</v>
      </c>
      <c r="K4962" s="3">
        <v>31.95</v>
      </c>
      <c r="L4962" s="3">
        <v>792.85560022496395</v>
      </c>
    </row>
    <row r="4963" spans="1:12" ht="15" customHeight="1" x14ac:dyDescent="0.2">
      <c r="A4963" s="2">
        <v>38848</v>
      </c>
      <c r="B4963" s="3">
        <v>32.4</v>
      </c>
      <c r="C4963" s="1">
        <v>983284</v>
      </c>
      <c r="D4963" s="3">
        <v>-0.41000000000000297</v>
      </c>
      <c r="E4963" s="3">
        <v>-1.2496190185919001</v>
      </c>
      <c r="F4963" s="3">
        <v>-1.2496190185919001</v>
      </c>
      <c r="G4963" s="3">
        <v>32.4</v>
      </c>
      <c r="H4963" s="3">
        <v>802.88768562074995</v>
      </c>
      <c r="I4963" s="3">
        <v>33.14</v>
      </c>
      <c r="J4963" s="3">
        <v>33.15</v>
      </c>
      <c r="K4963" s="3">
        <v>32.21</v>
      </c>
      <c r="L4963" s="3">
        <v>802.88768562074995</v>
      </c>
    </row>
    <row r="4964" spans="1:12" ht="15" customHeight="1" x14ac:dyDescent="0.2">
      <c r="A4964" s="2">
        <v>38847</v>
      </c>
      <c r="B4964" s="3">
        <v>32.81</v>
      </c>
      <c r="C4964" s="1">
        <v>1063042</v>
      </c>
      <c r="D4964" s="3">
        <v>0.24000000000000199</v>
      </c>
      <c r="E4964" s="3">
        <v>0.736874424316869</v>
      </c>
      <c r="F4964" s="3">
        <v>0.736874424316869</v>
      </c>
      <c r="G4964" s="3">
        <v>32.81</v>
      </c>
      <c r="H4964" s="3">
        <v>814.31311621039504</v>
      </c>
      <c r="I4964" s="3">
        <v>33.35</v>
      </c>
      <c r="J4964" s="3">
        <v>33.450000000000003</v>
      </c>
      <c r="K4964" s="3">
        <v>32.58</v>
      </c>
      <c r="L4964" s="3">
        <v>814.31311621039504</v>
      </c>
    </row>
    <row r="4965" spans="1:12" ht="15" customHeight="1" x14ac:dyDescent="0.2">
      <c r="A4965" s="2">
        <v>38846</v>
      </c>
      <c r="B4965" s="3">
        <v>32.57</v>
      </c>
      <c r="C4965" s="1">
        <v>748470</v>
      </c>
      <c r="D4965" s="3">
        <v>-0.17000000000000101</v>
      </c>
      <c r="E4965" s="3">
        <v>-0.519242516799023</v>
      </c>
      <c r="F4965" s="3">
        <v>-0.519242516799023</v>
      </c>
      <c r="G4965" s="3">
        <v>32.57</v>
      </c>
      <c r="H4965" s="3">
        <v>807.62505927987104</v>
      </c>
      <c r="I4965" s="3">
        <v>32.85</v>
      </c>
      <c r="J4965" s="3">
        <v>33.18</v>
      </c>
      <c r="K4965" s="3">
        <v>32.4</v>
      </c>
      <c r="L4965" s="3">
        <v>807.62505927987104</v>
      </c>
    </row>
    <row r="4966" spans="1:12" ht="15" customHeight="1" x14ac:dyDescent="0.2">
      <c r="A4966" s="2">
        <v>38845</v>
      </c>
      <c r="B4966" s="3">
        <v>32.74</v>
      </c>
      <c r="C4966" s="1">
        <v>834305</v>
      </c>
      <c r="D4966" s="3">
        <v>3.9999999999999099E-2</v>
      </c>
      <c r="E4966" s="3">
        <v>0.12232415902140301</v>
      </c>
      <c r="F4966" s="3">
        <v>0.12232415902140301</v>
      </c>
      <c r="G4966" s="3">
        <v>32.74</v>
      </c>
      <c r="H4966" s="3">
        <v>812.36243293899201</v>
      </c>
      <c r="I4966" s="3">
        <v>32.549999999999997</v>
      </c>
      <c r="J4966" s="3">
        <v>32.85</v>
      </c>
      <c r="K4966" s="3">
        <v>32.484375</v>
      </c>
      <c r="L4966" s="3">
        <v>812.36243293899201</v>
      </c>
    </row>
    <row r="4967" spans="1:12" ht="15" customHeight="1" x14ac:dyDescent="0.2">
      <c r="A4967" s="2">
        <v>38842</v>
      </c>
      <c r="B4967" s="3">
        <v>32.700000000000003</v>
      </c>
      <c r="C4967" s="1">
        <v>2121103</v>
      </c>
      <c r="D4967" s="3">
        <v>0.24000000000000199</v>
      </c>
      <c r="E4967" s="3">
        <v>0.73937153419594204</v>
      </c>
      <c r="F4967" s="3">
        <v>0.73937153419594204</v>
      </c>
      <c r="G4967" s="3">
        <v>32.700000000000003</v>
      </c>
      <c r="H4967" s="3">
        <v>811.24775678390495</v>
      </c>
      <c r="I4967" s="3">
        <v>32.659999999999997</v>
      </c>
      <c r="J4967" s="3">
        <v>32.79</v>
      </c>
      <c r="K4967" s="3">
        <v>32.450000000000003</v>
      </c>
      <c r="L4967" s="3">
        <v>811.24775678390495</v>
      </c>
    </row>
    <row r="4968" spans="1:12" ht="15" customHeight="1" x14ac:dyDescent="0.2">
      <c r="A4968" s="2">
        <v>38841</v>
      </c>
      <c r="B4968" s="3">
        <v>32.46</v>
      </c>
      <c r="C4968" s="1">
        <v>2092495</v>
      </c>
      <c r="D4968" s="3">
        <v>0.34000000000000302</v>
      </c>
      <c r="E4968" s="3">
        <v>1.0585305105853</v>
      </c>
      <c r="F4968" s="3">
        <v>1.0585305105853</v>
      </c>
      <c r="G4968" s="3">
        <v>32.46</v>
      </c>
      <c r="H4968" s="3">
        <v>804.55969985338095</v>
      </c>
      <c r="I4968" s="3">
        <v>32.19</v>
      </c>
      <c r="J4968" s="3">
        <v>32.659999999999997</v>
      </c>
      <c r="K4968" s="3">
        <v>32.060099999999998</v>
      </c>
      <c r="L4968" s="3">
        <v>804.55969985338095</v>
      </c>
    </row>
    <row r="4969" spans="1:12" ht="15" customHeight="1" x14ac:dyDescent="0.2">
      <c r="A4969" s="2">
        <v>38840</v>
      </c>
      <c r="B4969" s="3">
        <v>32.119999999999997</v>
      </c>
      <c r="C4969" s="1">
        <v>1474655</v>
      </c>
      <c r="D4969" s="3">
        <v>0.25999999999999801</v>
      </c>
      <c r="E4969" s="3">
        <v>0.81607030759571697</v>
      </c>
      <c r="F4969" s="3">
        <v>0.81607030759571697</v>
      </c>
      <c r="G4969" s="3">
        <v>32.119999999999997</v>
      </c>
      <c r="H4969" s="3">
        <v>795.08495253513797</v>
      </c>
      <c r="I4969" s="3">
        <v>31.96</v>
      </c>
      <c r="J4969" s="3">
        <v>32.25</v>
      </c>
      <c r="K4969" s="3">
        <v>31.9</v>
      </c>
      <c r="L4969" s="3">
        <v>795.08495253513797</v>
      </c>
    </row>
    <row r="4970" spans="1:12" ht="15" customHeight="1" x14ac:dyDescent="0.2">
      <c r="A4970" s="2">
        <v>38839</v>
      </c>
      <c r="B4970" s="3">
        <v>31.86</v>
      </c>
      <c r="C4970" s="1">
        <v>1818909</v>
      </c>
      <c r="D4970" s="3">
        <v>0.55999999999999805</v>
      </c>
      <c r="E4970" s="3">
        <v>1.7891373801916799</v>
      </c>
      <c r="F4970" s="3">
        <v>1.7891373801916799</v>
      </c>
      <c r="G4970" s="3">
        <v>31.86</v>
      </c>
      <c r="H4970" s="3">
        <v>787.83955752707095</v>
      </c>
      <c r="I4970" s="3">
        <v>31.5</v>
      </c>
      <c r="J4970" s="3">
        <v>32.119999999999997</v>
      </c>
      <c r="K4970" s="3">
        <v>31.3</v>
      </c>
      <c r="L4970" s="3">
        <v>787.83955752707095</v>
      </c>
    </row>
    <row r="4971" spans="1:12" ht="15" customHeight="1" x14ac:dyDescent="0.2">
      <c r="A4971" s="2">
        <v>38838</v>
      </c>
      <c r="B4971" s="3">
        <v>31.3</v>
      </c>
      <c r="C4971" s="1">
        <v>1952833</v>
      </c>
      <c r="D4971" s="3">
        <v>-0.25999999999999801</v>
      </c>
      <c r="E4971" s="3">
        <v>-0.823827629911277</v>
      </c>
      <c r="F4971" s="3">
        <v>-0.823827629911277</v>
      </c>
      <c r="G4971" s="3">
        <v>31.3</v>
      </c>
      <c r="H4971" s="3">
        <v>772.234091355847</v>
      </c>
      <c r="I4971" s="3">
        <v>31.5</v>
      </c>
      <c r="J4971" s="3">
        <v>31.9</v>
      </c>
      <c r="K4971" s="3">
        <v>31.23</v>
      </c>
      <c r="L4971" s="3">
        <v>772.234091355847</v>
      </c>
    </row>
    <row r="4972" spans="1:12" ht="15" customHeight="1" x14ac:dyDescent="0.2">
      <c r="A4972" s="2">
        <v>38835</v>
      </c>
      <c r="B4972" s="3">
        <v>31.56</v>
      </c>
      <c r="C4972" s="1">
        <v>2112911</v>
      </c>
      <c r="D4972" s="3">
        <v>0.32999999999999802</v>
      </c>
      <c r="E4972" s="3">
        <v>1.0566762728146</v>
      </c>
      <c r="F4972" s="3">
        <v>1.0566762728146</v>
      </c>
      <c r="G4972" s="3">
        <v>31.56</v>
      </c>
      <c r="H4972" s="3">
        <v>779.47948636391504</v>
      </c>
      <c r="I4972" s="3">
        <v>32</v>
      </c>
      <c r="J4972" s="3">
        <v>32.08</v>
      </c>
      <c r="K4972" s="3">
        <v>31.26</v>
      </c>
      <c r="L4972" s="3">
        <v>779.47948636391504</v>
      </c>
    </row>
    <row r="4973" spans="1:12" ht="15" customHeight="1" x14ac:dyDescent="0.2">
      <c r="A4973" s="2">
        <v>38834</v>
      </c>
      <c r="B4973" s="3">
        <v>31.23</v>
      </c>
      <c r="C4973" s="1">
        <v>1545842</v>
      </c>
      <c r="D4973" s="3">
        <v>-0.19999999999999901</v>
      </c>
      <c r="E4973" s="3">
        <v>-0.63633471205853898</v>
      </c>
      <c r="F4973" s="3">
        <v>-0.63633471205853898</v>
      </c>
      <c r="G4973" s="3">
        <v>31.23</v>
      </c>
      <c r="H4973" s="3">
        <v>770.283408084445</v>
      </c>
      <c r="I4973" s="3">
        <v>31.4</v>
      </c>
      <c r="J4973" s="3">
        <v>31.43</v>
      </c>
      <c r="K4973" s="3">
        <v>30.99</v>
      </c>
      <c r="L4973" s="3">
        <v>770.283408084445</v>
      </c>
    </row>
    <row r="4974" spans="1:12" ht="15" customHeight="1" x14ac:dyDescent="0.2">
      <c r="A4974" s="2">
        <v>38833</v>
      </c>
      <c r="B4974" s="3">
        <v>31.43</v>
      </c>
      <c r="C4974" s="1">
        <v>7442847</v>
      </c>
      <c r="D4974" s="3">
        <v>-3.63</v>
      </c>
      <c r="E4974" s="3">
        <v>-10.353679406731301</v>
      </c>
      <c r="F4974" s="3">
        <v>-10.353679406731301</v>
      </c>
      <c r="G4974" s="3">
        <v>31.43</v>
      </c>
      <c r="H4974" s="3">
        <v>775.85678885988102</v>
      </c>
      <c r="I4974" s="3">
        <v>32.57</v>
      </c>
      <c r="J4974" s="3">
        <v>33.049999999999997</v>
      </c>
      <c r="K4974" s="3">
        <v>31.38</v>
      </c>
      <c r="L4974" s="3">
        <v>775.85678885988102</v>
      </c>
    </row>
    <row r="4975" spans="1:12" ht="15" customHeight="1" x14ac:dyDescent="0.2">
      <c r="A4975" s="2">
        <v>38832</v>
      </c>
      <c r="B4975" s="3">
        <v>35.06</v>
      </c>
      <c r="C4975" s="1">
        <v>1526724</v>
      </c>
      <c r="D4975" s="3">
        <v>-0.46999999999999797</v>
      </c>
      <c r="E4975" s="3">
        <v>-1.3228257810301101</v>
      </c>
      <c r="F4975" s="3">
        <v>-1.3228257810301101</v>
      </c>
      <c r="G4975" s="3">
        <v>35.06</v>
      </c>
      <c r="H4975" s="3">
        <v>877.01364993405798</v>
      </c>
      <c r="I4975" s="3">
        <v>35.61</v>
      </c>
      <c r="J4975" s="3">
        <v>35.630000000000003</v>
      </c>
      <c r="K4975" s="3">
        <v>35</v>
      </c>
      <c r="L4975" s="3">
        <v>877.01364993405798</v>
      </c>
    </row>
    <row r="4976" spans="1:12" ht="15" customHeight="1" x14ac:dyDescent="0.2">
      <c r="A4976" s="2">
        <v>38831</v>
      </c>
      <c r="B4976" s="3">
        <v>35.53</v>
      </c>
      <c r="C4976" s="1">
        <v>1316002</v>
      </c>
      <c r="D4976" s="3">
        <v>-0.109999999999999</v>
      </c>
      <c r="E4976" s="3">
        <v>-0.30864197530864301</v>
      </c>
      <c r="F4976" s="3">
        <v>-0.30864197530864301</v>
      </c>
      <c r="G4976" s="3">
        <v>35.53</v>
      </c>
      <c r="H4976" s="3">
        <v>890.11109475633396</v>
      </c>
      <c r="I4976" s="3">
        <v>35.42</v>
      </c>
      <c r="J4976" s="3">
        <v>35.58</v>
      </c>
      <c r="K4976" s="3">
        <v>35.03</v>
      </c>
      <c r="L4976" s="3">
        <v>890.11109475633396</v>
      </c>
    </row>
    <row r="4977" spans="1:12" ht="15" customHeight="1" x14ac:dyDescent="0.2">
      <c r="A4977" s="2">
        <v>38828</v>
      </c>
      <c r="B4977" s="3">
        <v>35.64</v>
      </c>
      <c r="C4977" s="1">
        <v>1006432</v>
      </c>
      <c r="D4977" s="3">
        <v>0.219999999999998</v>
      </c>
      <c r="E4977" s="3">
        <v>0.62111801242234999</v>
      </c>
      <c r="F4977" s="3">
        <v>0.62111801242234999</v>
      </c>
      <c r="G4977" s="3">
        <v>35.64</v>
      </c>
      <c r="H4977" s="3">
        <v>893.17645418282495</v>
      </c>
      <c r="I4977" s="3">
        <v>35.6</v>
      </c>
      <c r="J4977" s="3">
        <v>35.67</v>
      </c>
      <c r="K4977" s="3">
        <v>35.26</v>
      </c>
      <c r="L4977" s="3">
        <v>893.17645418282495</v>
      </c>
    </row>
    <row r="4978" spans="1:12" ht="15" customHeight="1" x14ac:dyDescent="0.2">
      <c r="A4978" s="2">
        <v>38827</v>
      </c>
      <c r="B4978" s="3">
        <v>35.42</v>
      </c>
      <c r="C4978" s="1">
        <v>716042</v>
      </c>
      <c r="D4978" s="3">
        <v>0.20000000000000201</v>
      </c>
      <c r="E4978" s="3">
        <v>0.56785917092561</v>
      </c>
      <c r="F4978" s="3">
        <v>0.56785917092561</v>
      </c>
      <c r="G4978" s="3">
        <v>35.42</v>
      </c>
      <c r="H4978" s="3">
        <v>887.04573532984398</v>
      </c>
      <c r="I4978" s="3">
        <v>35.08</v>
      </c>
      <c r="J4978" s="3">
        <v>35.6</v>
      </c>
      <c r="K4978" s="3">
        <v>34.92</v>
      </c>
      <c r="L4978" s="3">
        <v>887.04573532984398</v>
      </c>
    </row>
    <row r="4979" spans="1:12" ht="15" customHeight="1" x14ac:dyDescent="0.2">
      <c r="A4979" s="2">
        <v>38826</v>
      </c>
      <c r="B4979" s="3">
        <v>35.22</v>
      </c>
      <c r="C4979" s="1">
        <v>2178302</v>
      </c>
      <c r="D4979" s="3">
        <v>1.6199999999999899</v>
      </c>
      <c r="E4979" s="3">
        <v>4.8214285714285499</v>
      </c>
      <c r="F4979" s="3">
        <v>4.8214285714285499</v>
      </c>
      <c r="G4979" s="3">
        <v>35.22</v>
      </c>
      <c r="H4979" s="3">
        <v>881.47235455440796</v>
      </c>
      <c r="I4979" s="3">
        <v>34.54</v>
      </c>
      <c r="J4979" s="3">
        <v>35.32</v>
      </c>
      <c r="K4979" s="3">
        <v>34.21</v>
      </c>
      <c r="L4979" s="3">
        <v>881.47235455440796</v>
      </c>
    </row>
    <row r="4980" spans="1:12" ht="15" customHeight="1" x14ac:dyDescent="0.2">
      <c r="A4980" s="2">
        <v>38825</v>
      </c>
      <c r="B4980" s="3">
        <v>33.6</v>
      </c>
      <c r="C4980" s="1">
        <v>1162036</v>
      </c>
      <c r="D4980" s="3">
        <v>0.130000000000002</v>
      </c>
      <c r="E4980" s="3">
        <v>0.38840752913056298</v>
      </c>
      <c r="F4980" s="3">
        <v>0.38840752913056298</v>
      </c>
      <c r="G4980" s="3">
        <v>33.6</v>
      </c>
      <c r="H4980" s="3">
        <v>836.32797027337006</v>
      </c>
      <c r="I4980" s="3">
        <v>33.4</v>
      </c>
      <c r="J4980" s="3">
        <v>33.72</v>
      </c>
      <c r="K4980" s="3">
        <v>33.14</v>
      </c>
      <c r="L4980" s="3">
        <v>836.32797027337006</v>
      </c>
    </row>
    <row r="4981" spans="1:12" ht="15" customHeight="1" x14ac:dyDescent="0.2">
      <c r="A4981" s="2">
        <v>38824</v>
      </c>
      <c r="B4981" s="3">
        <v>33.47</v>
      </c>
      <c r="C4981" s="1">
        <v>1173182</v>
      </c>
      <c r="D4981" s="3">
        <v>-0.71</v>
      </c>
      <c r="E4981" s="3">
        <v>-2.0772381509654698</v>
      </c>
      <c r="F4981" s="3">
        <v>-2.0772381509654698</v>
      </c>
      <c r="G4981" s="3">
        <v>33.47</v>
      </c>
      <c r="H4981" s="3">
        <v>832.70527276933603</v>
      </c>
      <c r="I4981" s="3">
        <v>34.03</v>
      </c>
      <c r="J4981" s="3">
        <v>34.25</v>
      </c>
      <c r="K4981" s="3">
        <v>33.32</v>
      </c>
      <c r="L4981" s="3">
        <v>832.70527276933603</v>
      </c>
    </row>
    <row r="4982" spans="1:12" ht="15" customHeight="1" x14ac:dyDescent="0.2">
      <c r="A4982" s="2">
        <v>38820</v>
      </c>
      <c r="B4982" s="3">
        <v>34.18</v>
      </c>
      <c r="C4982" s="1">
        <v>1488693</v>
      </c>
      <c r="D4982" s="3">
        <v>0.880000000000002</v>
      </c>
      <c r="E4982" s="3">
        <v>2.6426426426426399</v>
      </c>
      <c r="F4982" s="3">
        <v>2.6426426426426399</v>
      </c>
      <c r="G4982" s="3">
        <v>34.18</v>
      </c>
      <c r="H4982" s="3">
        <v>852.49077452213601</v>
      </c>
      <c r="I4982" s="3">
        <v>33.18</v>
      </c>
      <c r="J4982" s="3">
        <v>34.32</v>
      </c>
      <c r="K4982" s="3">
        <v>33.04</v>
      </c>
      <c r="L4982" s="3">
        <v>852.49077452213601</v>
      </c>
    </row>
    <row r="4983" spans="1:12" ht="15" customHeight="1" x14ac:dyDescent="0.2">
      <c r="A4983" s="2">
        <v>38819</v>
      </c>
      <c r="B4983" s="3">
        <v>33.299999999999997</v>
      </c>
      <c r="C4983" s="1">
        <v>1067350</v>
      </c>
      <c r="D4983" s="3">
        <v>0.15999999999999601</v>
      </c>
      <c r="E4983" s="3">
        <v>0.48280024140010502</v>
      </c>
      <c r="F4983" s="3">
        <v>0.48280024140010502</v>
      </c>
      <c r="G4983" s="3">
        <v>33.299999999999997</v>
      </c>
      <c r="H4983" s="3">
        <v>827.96789911021494</v>
      </c>
      <c r="I4983" s="3">
        <v>33.369999999999997</v>
      </c>
      <c r="J4983" s="3">
        <v>33.5</v>
      </c>
      <c r="K4983" s="3">
        <v>33.22</v>
      </c>
      <c r="L4983" s="3">
        <v>827.96789911021494</v>
      </c>
    </row>
    <row r="4984" spans="1:12" ht="15" customHeight="1" x14ac:dyDescent="0.2">
      <c r="A4984" s="2">
        <v>38818</v>
      </c>
      <c r="B4984" s="3">
        <v>33.14</v>
      </c>
      <c r="C4984" s="1">
        <v>1111684</v>
      </c>
      <c r="D4984" s="3">
        <v>-0.39999999999999802</v>
      </c>
      <c r="E4984" s="3">
        <v>-1.19260584376863</v>
      </c>
      <c r="F4984" s="3">
        <v>-1.19260584376863</v>
      </c>
      <c r="G4984" s="3">
        <v>33.14</v>
      </c>
      <c r="H4984" s="3">
        <v>823.50919448986599</v>
      </c>
      <c r="I4984" s="3">
        <v>33.770000000000003</v>
      </c>
      <c r="J4984" s="3">
        <v>33.770000000000003</v>
      </c>
      <c r="K4984" s="3">
        <v>33.08</v>
      </c>
      <c r="L4984" s="3">
        <v>823.50919448986599</v>
      </c>
    </row>
    <row r="4985" spans="1:12" ht="15" customHeight="1" x14ac:dyDescent="0.2">
      <c r="A4985" s="2">
        <v>38817</v>
      </c>
      <c r="B4985" s="3">
        <v>33.54</v>
      </c>
      <c r="C4985" s="1">
        <v>1976950</v>
      </c>
      <c r="D4985" s="3">
        <v>-1.31</v>
      </c>
      <c r="E4985" s="3">
        <v>-3.7589670014347298</v>
      </c>
      <c r="F4985" s="3">
        <v>-3.7589670014347298</v>
      </c>
      <c r="G4985" s="3">
        <v>33.54</v>
      </c>
      <c r="H4985" s="3">
        <v>834.65595604073906</v>
      </c>
      <c r="I4985" s="3">
        <v>34.799999999999997</v>
      </c>
      <c r="J4985" s="3">
        <v>35</v>
      </c>
      <c r="K4985" s="3">
        <v>33.450000000000003</v>
      </c>
      <c r="L4985" s="3">
        <v>834.65595604073906</v>
      </c>
    </row>
    <row r="4986" spans="1:12" ht="15" customHeight="1" x14ac:dyDescent="0.2">
      <c r="A4986" s="2">
        <v>38814</v>
      </c>
      <c r="B4986" s="3">
        <v>34.85</v>
      </c>
      <c r="C4986" s="1">
        <v>750158</v>
      </c>
      <c r="D4986" s="3">
        <v>-0.439999999999997</v>
      </c>
      <c r="E4986" s="3">
        <v>-1.24681212808159</v>
      </c>
      <c r="F4986" s="3">
        <v>-1.24681212808159</v>
      </c>
      <c r="G4986" s="3">
        <v>34.85</v>
      </c>
      <c r="H4986" s="3">
        <v>871.16160011985005</v>
      </c>
      <c r="I4986" s="3">
        <v>35.49</v>
      </c>
      <c r="J4986" s="3">
        <v>35.58</v>
      </c>
      <c r="K4986" s="3">
        <v>34.68</v>
      </c>
      <c r="L4986" s="3">
        <v>871.16160011985005</v>
      </c>
    </row>
    <row r="4987" spans="1:12" ht="15" customHeight="1" x14ac:dyDescent="0.2">
      <c r="A4987" s="2">
        <v>38813</v>
      </c>
      <c r="B4987" s="3">
        <v>35.29</v>
      </c>
      <c r="C4987" s="1">
        <v>952851</v>
      </c>
      <c r="D4987" s="3">
        <v>-0.50999999999999801</v>
      </c>
      <c r="E4987" s="3">
        <v>-1.42458100558658</v>
      </c>
      <c r="F4987" s="3">
        <v>-1.42458100558658</v>
      </c>
      <c r="G4987" s="3">
        <v>35.29</v>
      </c>
      <c r="H4987" s="3">
        <v>883.42303782580996</v>
      </c>
      <c r="I4987" s="3">
        <v>35.549999999999997</v>
      </c>
      <c r="J4987" s="3">
        <v>35.64</v>
      </c>
      <c r="K4987" s="3">
        <v>35.049999999999997</v>
      </c>
      <c r="L4987" s="3">
        <v>883.42303782580996</v>
      </c>
    </row>
    <row r="4988" spans="1:12" ht="15" customHeight="1" x14ac:dyDescent="0.2">
      <c r="A4988" s="2">
        <v>38812</v>
      </c>
      <c r="B4988" s="3">
        <v>35.799999999999997</v>
      </c>
      <c r="C4988" s="1">
        <v>830958</v>
      </c>
      <c r="D4988" s="3">
        <v>-0.58000000000000496</v>
      </c>
      <c r="E4988" s="3">
        <v>-1.5942825728422301</v>
      </c>
      <c r="F4988" s="3">
        <v>-1.5942825728422301</v>
      </c>
      <c r="G4988" s="3">
        <v>35.799999999999997</v>
      </c>
      <c r="H4988" s="3">
        <v>897.63515880317402</v>
      </c>
      <c r="I4988" s="3">
        <v>36.270000000000003</v>
      </c>
      <c r="J4988" s="3">
        <v>36.329000000000001</v>
      </c>
      <c r="K4988" s="3">
        <v>35.630000000000003</v>
      </c>
      <c r="L4988" s="3">
        <v>897.63515880317402</v>
      </c>
    </row>
    <row r="4989" spans="1:12" ht="15" customHeight="1" x14ac:dyDescent="0.2">
      <c r="A4989" s="2">
        <v>38811</v>
      </c>
      <c r="B4989" s="3">
        <v>36.380000000000003</v>
      </c>
      <c r="C4989" s="1">
        <v>987202</v>
      </c>
      <c r="D4989" s="3">
        <v>-0.71999999999999797</v>
      </c>
      <c r="E4989" s="3">
        <v>-1.9407008086253199</v>
      </c>
      <c r="F4989" s="3">
        <v>-1.9407008086253199</v>
      </c>
      <c r="G4989" s="3">
        <v>36.380000000000003</v>
      </c>
      <c r="H4989" s="3">
        <v>913.797963051941</v>
      </c>
      <c r="I4989" s="3">
        <v>37.06</v>
      </c>
      <c r="J4989" s="3">
        <v>37.06</v>
      </c>
      <c r="K4989" s="3">
        <v>36.270000000000003</v>
      </c>
      <c r="L4989" s="3">
        <v>913.797963051941</v>
      </c>
    </row>
    <row r="4990" spans="1:12" ht="15" customHeight="1" x14ac:dyDescent="0.2">
      <c r="A4990" s="2">
        <v>38810</v>
      </c>
      <c r="B4990" s="3">
        <v>37.1</v>
      </c>
      <c r="C4990" s="1">
        <v>376869</v>
      </c>
      <c r="D4990" s="3">
        <v>-0.35000000000000098</v>
      </c>
      <c r="E4990" s="3">
        <v>-0.934579439252336</v>
      </c>
      <c r="F4990" s="3">
        <v>-0.934579439252336</v>
      </c>
      <c r="G4990" s="3">
        <v>37.1</v>
      </c>
      <c r="H4990" s="3">
        <v>933.86213384351299</v>
      </c>
      <c r="I4990" s="3">
        <v>37.25</v>
      </c>
      <c r="J4990" s="3">
        <v>37.5</v>
      </c>
      <c r="K4990" s="3">
        <v>36.94</v>
      </c>
      <c r="L4990" s="3">
        <v>933.86213384351299</v>
      </c>
    </row>
    <row r="4991" spans="1:12" ht="15" customHeight="1" x14ac:dyDescent="0.2">
      <c r="A4991" s="2">
        <v>38807</v>
      </c>
      <c r="B4991" s="3">
        <v>37.450000000000003</v>
      </c>
      <c r="C4991" s="1">
        <v>320006</v>
      </c>
      <c r="D4991" s="3">
        <v>4.0000000000006197E-2</v>
      </c>
      <c r="E4991" s="3">
        <v>0.106923282544801</v>
      </c>
      <c r="F4991" s="3">
        <v>0.106923282544801</v>
      </c>
      <c r="G4991" s="3">
        <v>37.450000000000003</v>
      </c>
      <c r="H4991" s="3">
        <v>943.61555020052697</v>
      </c>
      <c r="I4991" s="3">
        <v>37.49</v>
      </c>
      <c r="J4991" s="3">
        <v>37.58</v>
      </c>
      <c r="K4991" s="3">
        <v>37.06</v>
      </c>
      <c r="L4991" s="3">
        <v>943.61555020052697</v>
      </c>
    </row>
    <row r="4992" spans="1:12" ht="15" customHeight="1" x14ac:dyDescent="0.2">
      <c r="A4992" s="2">
        <v>38806</v>
      </c>
      <c r="B4992" s="3">
        <v>37.409999999999997</v>
      </c>
      <c r="C4992" s="1">
        <v>435561</v>
      </c>
      <c r="D4992" s="3">
        <v>0.12999999999999501</v>
      </c>
      <c r="E4992" s="3">
        <v>0.348712446351928</v>
      </c>
      <c r="F4992" s="3">
        <v>0.348712446351928</v>
      </c>
      <c r="G4992" s="3">
        <v>37.409999999999997</v>
      </c>
      <c r="H4992" s="3">
        <v>942.50087404544001</v>
      </c>
      <c r="I4992" s="3">
        <v>37.369999999999997</v>
      </c>
      <c r="J4992" s="3">
        <v>37.75</v>
      </c>
      <c r="K4992" s="3">
        <v>37.1</v>
      </c>
      <c r="L4992" s="3">
        <v>942.50087404544001</v>
      </c>
    </row>
    <row r="4993" spans="1:12" ht="15" customHeight="1" x14ac:dyDescent="0.2">
      <c r="A4993" s="2">
        <v>38805</v>
      </c>
      <c r="B4993" s="3">
        <v>37.28</v>
      </c>
      <c r="C4993" s="1">
        <v>386662</v>
      </c>
      <c r="D4993" s="3">
        <v>0.52000000000000302</v>
      </c>
      <c r="E4993" s="3">
        <v>1.4145810663764999</v>
      </c>
      <c r="F4993" s="3">
        <v>1.4145810663764999</v>
      </c>
      <c r="G4993" s="3">
        <v>37.28</v>
      </c>
      <c r="H4993" s="3">
        <v>938.87817654140599</v>
      </c>
      <c r="I4993" s="3">
        <v>36.659999999999997</v>
      </c>
      <c r="J4993" s="3">
        <v>37.35</v>
      </c>
      <c r="K4993" s="3">
        <v>36.64</v>
      </c>
      <c r="L4993" s="3">
        <v>938.87817654140599</v>
      </c>
    </row>
    <row r="4994" spans="1:12" ht="15" customHeight="1" x14ac:dyDescent="0.2">
      <c r="A4994" s="2">
        <v>38804</v>
      </c>
      <c r="B4994" s="3">
        <v>36.76</v>
      </c>
      <c r="C4994" s="1">
        <v>342535</v>
      </c>
      <c r="D4994" s="3">
        <v>-8.00000000000054E-2</v>
      </c>
      <c r="E4994" s="3">
        <v>-0.21715526601521201</v>
      </c>
      <c r="F4994" s="3">
        <v>-0.21715526601521201</v>
      </c>
      <c r="G4994" s="3">
        <v>36.76</v>
      </c>
      <c r="H4994" s="3">
        <v>924.38738652527002</v>
      </c>
      <c r="I4994" s="3">
        <v>37</v>
      </c>
      <c r="J4994" s="3">
        <v>37.04</v>
      </c>
      <c r="K4994" s="3">
        <v>36.64</v>
      </c>
      <c r="L4994" s="3">
        <v>924.38738652527002</v>
      </c>
    </row>
    <row r="4995" spans="1:12" ht="15" customHeight="1" x14ac:dyDescent="0.2">
      <c r="A4995" s="2">
        <v>38803</v>
      </c>
      <c r="B4995" s="3">
        <v>36.840000000000003</v>
      </c>
      <c r="C4995" s="1">
        <v>653706</v>
      </c>
      <c r="D4995" s="3">
        <v>-0.26999999999999602</v>
      </c>
      <c r="E4995" s="3">
        <v>-0.72756669361356796</v>
      </c>
      <c r="F4995" s="3">
        <v>-0.72756669361356796</v>
      </c>
      <c r="G4995" s="3">
        <v>36.840000000000003</v>
      </c>
      <c r="H4995" s="3">
        <v>926.61673883544495</v>
      </c>
      <c r="I4995" s="3">
        <v>37.1</v>
      </c>
      <c r="J4995" s="3">
        <v>37.159999999999997</v>
      </c>
      <c r="K4995" s="3">
        <v>36.5</v>
      </c>
      <c r="L4995" s="3">
        <v>926.61673883544495</v>
      </c>
    </row>
    <row r="4996" spans="1:12" ht="15" customHeight="1" x14ac:dyDescent="0.2">
      <c r="A4996" s="2">
        <v>38800</v>
      </c>
      <c r="B4996" s="3">
        <v>37.11</v>
      </c>
      <c r="C4996" s="1">
        <v>338876</v>
      </c>
      <c r="D4996" s="3">
        <v>7.0000000000000201E-2</v>
      </c>
      <c r="E4996" s="3">
        <v>0.18898488120950799</v>
      </c>
      <c r="F4996" s="3">
        <v>0.18898488120950799</v>
      </c>
      <c r="G4996" s="3">
        <v>37.11</v>
      </c>
      <c r="H4996" s="3">
        <v>934.14080288228502</v>
      </c>
      <c r="I4996" s="3">
        <v>37.1</v>
      </c>
      <c r="J4996" s="3">
        <v>37.18</v>
      </c>
      <c r="K4996" s="3">
        <v>36.85</v>
      </c>
      <c r="L4996" s="3">
        <v>934.14080288228502</v>
      </c>
    </row>
    <row r="4997" spans="1:12" ht="15" customHeight="1" x14ac:dyDescent="0.2">
      <c r="A4997" s="2">
        <v>38799</v>
      </c>
      <c r="B4997" s="3">
        <v>37.04</v>
      </c>
      <c r="C4997" s="1">
        <v>456537</v>
      </c>
      <c r="D4997" s="3"/>
      <c r="E4997" s="3"/>
      <c r="F4997" s="3"/>
      <c r="G4997" s="3">
        <v>37.04</v>
      </c>
      <c r="H4997" s="3">
        <v>932.19011961088199</v>
      </c>
      <c r="I4997" s="3">
        <v>36.71</v>
      </c>
      <c r="J4997" s="3">
        <v>37.1</v>
      </c>
      <c r="K4997" s="3">
        <v>36.590000000000003</v>
      </c>
      <c r="L4997" s="3">
        <v>932.19011961088199</v>
      </c>
    </row>
    <row r="4998" spans="1:12" ht="15" customHeight="1" x14ac:dyDescent="0.2">
      <c r="A4998" s="2">
        <v>38798</v>
      </c>
      <c r="B4998" s="3">
        <v>37.04</v>
      </c>
      <c r="C4998" s="1">
        <v>416076</v>
      </c>
      <c r="D4998" s="3">
        <v>0.369999999999997</v>
      </c>
      <c r="E4998" s="3">
        <v>1.0089991818925399</v>
      </c>
      <c r="F4998" s="3">
        <v>1.0089991818925399</v>
      </c>
      <c r="G4998" s="3">
        <v>37.04</v>
      </c>
      <c r="H4998" s="3">
        <v>932.19011961088199</v>
      </c>
      <c r="I4998" s="3">
        <v>36.69</v>
      </c>
      <c r="J4998" s="3">
        <v>37.090000000000003</v>
      </c>
      <c r="K4998" s="3">
        <v>36.21</v>
      </c>
      <c r="L4998" s="3">
        <v>932.19011961088199</v>
      </c>
    </row>
    <row r="4999" spans="1:12" ht="15" customHeight="1" x14ac:dyDescent="0.2">
      <c r="A4999" s="2">
        <v>38797</v>
      </c>
      <c r="B4999" s="3">
        <v>36.67</v>
      </c>
      <c r="C4999" s="1">
        <v>492034</v>
      </c>
      <c r="D4999" s="3">
        <v>-0.109999999999999</v>
      </c>
      <c r="E4999" s="3">
        <v>-0.29907558455681799</v>
      </c>
      <c r="F4999" s="3">
        <v>-0.29907558455681799</v>
      </c>
      <c r="G4999" s="3">
        <v>36.67</v>
      </c>
      <c r="H4999" s="3">
        <v>921.87936517632397</v>
      </c>
      <c r="I4999" s="3">
        <v>36.799999999999997</v>
      </c>
      <c r="J4999" s="3">
        <v>37</v>
      </c>
      <c r="K4999" s="3">
        <v>36.44</v>
      </c>
      <c r="L4999" s="3">
        <v>921.87936517632397</v>
      </c>
    </row>
    <row r="5000" spans="1:12" ht="15" customHeight="1" x14ac:dyDescent="0.2">
      <c r="A5000" s="2">
        <v>38796</v>
      </c>
      <c r="B5000" s="3">
        <v>36.78</v>
      </c>
      <c r="C5000" s="1">
        <v>413728</v>
      </c>
      <c r="D5000" s="3">
        <v>0.130000000000002</v>
      </c>
      <c r="E5000" s="3">
        <v>0.354706684856753</v>
      </c>
      <c r="F5000" s="3">
        <v>0.354706684856753</v>
      </c>
      <c r="G5000" s="3">
        <v>36.78</v>
      </c>
      <c r="H5000" s="3">
        <v>924.94472460281395</v>
      </c>
      <c r="I5000" s="3">
        <v>36.71</v>
      </c>
      <c r="J5000" s="3">
        <v>36.93</v>
      </c>
      <c r="K5000" s="3">
        <v>36.36</v>
      </c>
      <c r="L5000" s="3">
        <v>924.94472460281395</v>
      </c>
    </row>
    <row r="5001" spans="1:12" ht="15" customHeight="1" x14ac:dyDescent="0.2">
      <c r="A5001" s="2">
        <v>38793</v>
      </c>
      <c r="B5001" s="3">
        <v>36.65</v>
      </c>
      <c r="C5001" s="1">
        <v>712650</v>
      </c>
      <c r="D5001" s="3">
        <v>0.67999999999999905</v>
      </c>
      <c r="E5001" s="3">
        <v>1.89046427578538</v>
      </c>
      <c r="F5001" s="3">
        <v>1.89046427578538</v>
      </c>
      <c r="G5001" s="3">
        <v>36.65</v>
      </c>
      <c r="H5001" s="3">
        <v>921.32202709878004</v>
      </c>
      <c r="I5001" s="3">
        <v>36.17</v>
      </c>
      <c r="J5001" s="3">
        <v>36.770000000000003</v>
      </c>
      <c r="K5001" s="3">
        <v>36</v>
      </c>
      <c r="L5001" s="3">
        <v>921.32202709878004</v>
      </c>
    </row>
    <row r="5002" spans="1:12" ht="15" customHeight="1" x14ac:dyDescent="0.2">
      <c r="A5002" s="2">
        <v>38792</v>
      </c>
      <c r="B5002" s="3">
        <v>35.97</v>
      </c>
      <c r="C5002" s="1">
        <v>396842</v>
      </c>
      <c r="D5002" s="3">
        <v>0.19999999999999499</v>
      </c>
      <c r="E5002" s="3">
        <v>0.55912776069331205</v>
      </c>
      <c r="F5002" s="3">
        <v>0.55912776069331205</v>
      </c>
      <c r="G5002" s="3">
        <v>35.97</v>
      </c>
      <c r="H5002" s="3">
        <v>902.372532462295</v>
      </c>
      <c r="I5002" s="3">
        <v>35.78</v>
      </c>
      <c r="J5002" s="3">
        <v>36.200000000000003</v>
      </c>
      <c r="K5002" s="3">
        <v>35.770000000000003</v>
      </c>
      <c r="L5002" s="3">
        <v>902.372532462295</v>
      </c>
    </row>
    <row r="5003" spans="1:12" ht="15" customHeight="1" x14ac:dyDescent="0.2">
      <c r="A5003" s="2">
        <v>38791</v>
      </c>
      <c r="B5003" s="3">
        <v>35.770000000000003</v>
      </c>
      <c r="C5003" s="1">
        <v>547930</v>
      </c>
      <c r="D5003" s="3">
        <v>0.23000000000000301</v>
      </c>
      <c r="E5003" s="3">
        <v>0.64715813168261205</v>
      </c>
      <c r="F5003" s="3">
        <v>0.64715813168261205</v>
      </c>
      <c r="G5003" s="3">
        <v>35.770000000000003</v>
      </c>
      <c r="H5003" s="3">
        <v>896.79915168685898</v>
      </c>
      <c r="I5003" s="3">
        <v>35.65</v>
      </c>
      <c r="J5003" s="3">
        <v>35.78</v>
      </c>
      <c r="K5003" s="3">
        <v>35.43</v>
      </c>
      <c r="L5003" s="3">
        <v>896.79915168685898</v>
      </c>
    </row>
    <row r="5004" spans="1:12" ht="15" customHeight="1" x14ac:dyDescent="0.2">
      <c r="A5004" s="2">
        <v>38790</v>
      </c>
      <c r="B5004" s="3">
        <v>35.54</v>
      </c>
      <c r="C5004" s="1">
        <v>584493</v>
      </c>
      <c r="D5004" s="3">
        <v>-5.0000000000004201E-2</v>
      </c>
      <c r="E5004" s="3">
        <v>-0.14048890137680001</v>
      </c>
      <c r="F5004" s="3">
        <v>-0.14048890137680001</v>
      </c>
      <c r="G5004" s="3">
        <v>35.54</v>
      </c>
      <c r="H5004" s="3">
        <v>890.38976379510598</v>
      </c>
      <c r="I5004" s="3">
        <v>35.450000000000003</v>
      </c>
      <c r="J5004" s="3">
        <v>35.71</v>
      </c>
      <c r="K5004" s="3">
        <v>35.270000000000003</v>
      </c>
      <c r="L5004" s="3">
        <v>890.38976379510598</v>
      </c>
    </row>
    <row r="5005" spans="1:12" ht="15" customHeight="1" x14ac:dyDescent="0.2">
      <c r="A5005" s="2">
        <v>38789</v>
      </c>
      <c r="B5005" s="3">
        <v>35.590000000000003</v>
      </c>
      <c r="C5005" s="1">
        <v>333321</v>
      </c>
      <c r="D5005" s="3">
        <v>-0.209999999999993</v>
      </c>
      <c r="E5005" s="3">
        <v>-0.58659217877092795</v>
      </c>
      <c r="F5005" s="3">
        <v>-0.58659217877092795</v>
      </c>
      <c r="G5005" s="3">
        <v>35.590000000000003</v>
      </c>
      <c r="H5005" s="3">
        <v>891.78310898896598</v>
      </c>
      <c r="I5005" s="3">
        <v>35.799999999999997</v>
      </c>
      <c r="J5005" s="3">
        <v>36</v>
      </c>
      <c r="K5005" s="3">
        <v>35.46</v>
      </c>
      <c r="L5005" s="3">
        <v>891.78310898896598</v>
      </c>
    </row>
    <row r="5006" spans="1:12" ht="15" customHeight="1" x14ac:dyDescent="0.2">
      <c r="A5006" s="2">
        <v>38786</v>
      </c>
      <c r="B5006" s="3">
        <v>35.799999999999997</v>
      </c>
      <c r="C5006" s="1">
        <v>515960</v>
      </c>
      <c r="D5006" s="3">
        <v>9.9999999999994302E-2</v>
      </c>
      <c r="E5006" s="3">
        <v>0.28011204481790303</v>
      </c>
      <c r="F5006" s="3">
        <v>0.28011204481790303</v>
      </c>
      <c r="G5006" s="3">
        <v>35.799999999999997</v>
      </c>
      <c r="H5006" s="3">
        <v>897.63515880317402</v>
      </c>
      <c r="I5006" s="3">
        <v>35.82</v>
      </c>
      <c r="J5006" s="3">
        <v>35.93</v>
      </c>
      <c r="K5006" s="3">
        <v>35.270000000000003</v>
      </c>
      <c r="L5006" s="3">
        <v>897.63515880317402</v>
      </c>
    </row>
    <row r="5007" spans="1:12" ht="15" customHeight="1" x14ac:dyDescent="0.2">
      <c r="A5007" s="2">
        <v>38785</v>
      </c>
      <c r="B5007" s="3">
        <v>35.700000000000003</v>
      </c>
      <c r="C5007" s="1">
        <v>501798</v>
      </c>
      <c r="D5007" s="3">
        <v>-7.0000000000000201E-2</v>
      </c>
      <c r="E5007" s="3">
        <v>-0.19569471624266699</v>
      </c>
      <c r="F5007" s="3">
        <v>-0.19569471624266699</v>
      </c>
      <c r="G5007" s="3">
        <v>35.700000000000003</v>
      </c>
      <c r="H5007" s="3">
        <v>894.84846841545595</v>
      </c>
      <c r="I5007" s="3">
        <v>35.85</v>
      </c>
      <c r="J5007" s="3">
        <v>36.119999999999997</v>
      </c>
      <c r="K5007" s="3">
        <v>35.67</v>
      </c>
      <c r="L5007" s="3">
        <v>894.84846841545595</v>
      </c>
    </row>
    <row r="5008" spans="1:12" ht="15" customHeight="1" x14ac:dyDescent="0.2">
      <c r="A5008" s="2">
        <v>38784</v>
      </c>
      <c r="B5008" s="3">
        <v>35.770000000000003</v>
      </c>
      <c r="C5008" s="1">
        <v>354045</v>
      </c>
      <c r="D5008" s="3">
        <v>0.39</v>
      </c>
      <c r="E5008" s="3">
        <v>1.1023176936122201</v>
      </c>
      <c r="F5008" s="3">
        <v>1.1023176936122201</v>
      </c>
      <c r="G5008" s="3">
        <v>35.770000000000003</v>
      </c>
      <c r="H5008" s="3">
        <v>896.79915168685898</v>
      </c>
      <c r="I5008" s="3">
        <v>35.25</v>
      </c>
      <c r="J5008" s="3">
        <v>35.97</v>
      </c>
      <c r="K5008" s="3">
        <v>35.19</v>
      </c>
      <c r="L5008" s="3">
        <v>896.79915168685898</v>
      </c>
    </row>
    <row r="5009" spans="1:12" ht="15" customHeight="1" x14ac:dyDescent="0.2">
      <c r="A5009" s="2">
        <v>38783</v>
      </c>
      <c r="B5009" s="3">
        <v>35.380000000000003</v>
      </c>
      <c r="C5009" s="1">
        <v>677565</v>
      </c>
      <c r="D5009" s="3">
        <v>-0.84999999999999398</v>
      </c>
      <c r="E5009" s="3">
        <v>-2.3461219983438899</v>
      </c>
      <c r="F5009" s="3">
        <v>-2.3461219983438899</v>
      </c>
      <c r="G5009" s="3">
        <v>35.380000000000003</v>
      </c>
      <c r="H5009" s="3">
        <v>885.93105917475702</v>
      </c>
      <c r="I5009" s="3">
        <v>36.03</v>
      </c>
      <c r="J5009" s="3">
        <v>36.08</v>
      </c>
      <c r="K5009" s="3">
        <v>35.25</v>
      </c>
      <c r="L5009" s="3">
        <v>885.93105917475702</v>
      </c>
    </row>
    <row r="5010" spans="1:12" ht="15" customHeight="1" x14ac:dyDescent="0.2">
      <c r="A5010" s="2">
        <v>38782</v>
      </c>
      <c r="B5010" s="3">
        <v>36.229999999999997</v>
      </c>
      <c r="C5010" s="1">
        <v>542020</v>
      </c>
      <c r="D5010" s="3">
        <v>0.34999999999999398</v>
      </c>
      <c r="E5010" s="3">
        <v>0.97547380156073304</v>
      </c>
      <c r="F5010" s="3">
        <v>0.97547380156073304</v>
      </c>
      <c r="G5010" s="3">
        <v>36.229999999999997</v>
      </c>
      <c r="H5010" s="3">
        <v>909.61792747036304</v>
      </c>
      <c r="I5010" s="3">
        <v>36</v>
      </c>
      <c r="J5010" s="3">
        <v>36.26</v>
      </c>
      <c r="K5010" s="3">
        <v>35.6</v>
      </c>
      <c r="L5010" s="3">
        <v>909.61792747036304</v>
      </c>
    </row>
    <row r="5011" spans="1:12" ht="15" customHeight="1" x14ac:dyDescent="0.2">
      <c r="A5011" s="2">
        <v>38779</v>
      </c>
      <c r="B5011" s="3">
        <v>35.880000000000003</v>
      </c>
      <c r="C5011" s="1">
        <v>451259</v>
      </c>
      <c r="D5011" s="3">
        <v>-0.32</v>
      </c>
      <c r="E5011" s="3">
        <v>-0.88397790055249004</v>
      </c>
      <c r="F5011" s="3">
        <v>-0.88397790055249004</v>
      </c>
      <c r="G5011" s="3">
        <v>35.880000000000003</v>
      </c>
      <c r="H5011" s="3">
        <v>899.86451111334895</v>
      </c>
      <c r="I5011" s="3">
        <v>36</v>
      </c>
      <c r="J5011" s="3">
        <v>36.25</v>
      </c>
      <c r="K5011" s="3">
        <v>35.56</v>
      </c>
      <c r="L5011" s="3">
        <v>899.86451111334895</v>
      </c>
    </row>
    <row r="5012" spans="1:12" ht="15" customHeight="1" x14ac:dyDescent="0.2">
      <c r="A5012" s="2">
        <v>38778</v>
      </c>
      <c r="B5012" s="3">
        <v>36.200000000000003</v>
      </c>
      <c r="C5012" s="1">
        <v>369238</v>
      </c>
      <c r="D5012" s="3">
        <v>-7.9999999999998295E-2</v>
      </c>
      <c r="E5012" s="3">
        <v>-0.220507166482908</v>
      </c>
      <c r="F5012" s="3">
        <v>-0.220507166482908</v>
      </c>
      <c r="G5012" s="3">
        <v>36.200000000000003</v>
      </c>
      <c r="H5012" s="3">
        <v>908.78192035404697</v>
      </c>
      <c r="I5012" s="3">
        <v>36.25</v>
      </c>
      <c r="J5012" s="3">
        <v>36.25</v>
      </c>
      <c r="K5012" s="3">
        <v>35.78</v>
      </c>
      <c r="L5012" s="3">
        <v>908.78192035404697</v>
      </c>
    </row>
    <row r="5013" spans="1:12" ht="15" customHeight="1" x14ac:dyDescent="0.2">
      <c r="A5013" s="2">
        <v>38777</v>
      </c>
      <c r="B5013" s="3">
        <v>36.28</v>
      </c>
      <c r="C5013" s="1">
        <v>526694</v>
      </c>
      <c r="D5013" s="3">
        <v>0.12000000000000401</v>
      </c>
      <c r="E5013" s="3">
        <v>0.33185840707965403</v>
      </c>
      <c r="F5013" s="3">
        <v>0.33185840707965403</v>
      </c>
      <c r="G5013" s="3">
        <v>36.28</v>
      </c>
      <c r="H5013" s="3">
        <v>911.01127266422202</v>
      </c>
      <c r="I5013" s="3">
        <v>36.299999999999997</v>
      </c>
      <c r="J5013" s="3">
        <v>36.46</v>
      </c>
      <c r="K5013" s="3">
        <v>36.03</v>
      </c>
      <c r="L5013" s="3">
        <v>911.01127266422202</v>
      </c>
    </row>
    <row r="5014" spans="1:12" ht="15" customHeight="1" x14ac:dyDescent="0.2">
      <c r="A5014" s="2">
        <v>38776</v>
      </c>
      <c r="B5014" s="3">
        <v>36.159999999999997</v>
      </c>
      <c r="C5014" s="1">
        <v>895486</v>
      </c>
      <c r="D5014" s="3">
        <v>-9.0000000000003397E-2</v>
      </c>
      <c r="E5014" s="3">
        <v>-0.24827586206896901</v>
      </c>
      <c r="F5014" s="3">
        <v>-0.24827586206896901</v>
      </c>
      <c r="G5014" s="3">
        <v>36.159999999999997</v>
      </c>
      <c r="H5014" s="3">
        <v>907.66724419896002</v>
      </c>
      <c r="I5014" s="3">
        <v>36.28</v>
      </c>
      <c r="J5014" s="3">
        <v>36.362000000000002</v>
      </c>
      <c r="K5014" s="3">
        <v>36.04</v>
      </c>
      <c r="L5014" s="3">
        <v>907.66724419896002</v>
      </c>
    </row>
    <row r="5015" spans="1:12" ht="15" customHeight="1" x14ac:dyDescent="0.2">
      <c r="A5015" s="2">
        <v>38775</v>
      </c>
      <c r="B5015" s="3">
        <v>36.25</v>
      </c>
      <c r="C5015" s="1">
        <v>396316</v>
      </c>
      <c r="D5015" s="3">
        <v>0.15999999999999601</v>
      </c>
      <c r="E5015" s="3">
        <v>0.44333610418396602</v>
      </c>
      <c r="F5015" s="3">
        <v>0.44333610418396602</v>
      </c>
      <c r="G5015" s="3">
        <v>36.25</v>
      </c>
      <c r="H5015" s="3">
        <v>910.17526554790697</v>
      </c>
      <c r="I5015" s="3">
        <v>36.18</v>
      </c>
      <c r="J5015" s="3">
        <v>36.35</v>
      </c>
      <c r="K5015" s="3">
        <v>36.1</v>
      </c>
      <c r="L5015" s="3">
        <v>910.17526554790697</v>
      </c>
    </row>
    <row r="5016" spans="1:12" ht="15" customHeight="1" x14ac:dyDescent="0.2">
      <c r="A5016" s="2">
        <v>38772</v>
      </c>
      <c r="B5016" s="3">
        <v>36.090000000000003</v>
      </c>
      <c r="C5016" s="1">
        <v>537002</v>
      </c>
      <c r="D5016" s="3">
        <v>-5.9999999999995099E-2</v>
      </c>
      <c r="E5016" s="3">
        <v>-0.165975103734428</v>
      </c>
      <c r="F5016" s="3">
        <v>-0.165975103734428</v>
      </c>
      <c r="G5016" s="3">
        <v>36.090000000000003</v>
      </c>
      <c r="H5016" s="3">
        <v>905.716560927557</v>
      </c>
      <c r="I5016" s="3">
        <v>36.29</v>
      </c>
      <c r="J5016" s="3">
        <v>36.299999999999997</v>
      </c>
      <c r="K5016" s="3">
        <v>35.96</v>
      </c>
      <c r="L5016" s="3">
        <v>905.716560927557</v>
      </c>
    </row>
    <row r="5017" spans="1:12" ht="15" customHeight="1" x14ac:dyDescent="0.2">
      <c r="A5017" s="2">
        <v>38771</v>
      </c>
      <c r="B5017" s="3">
        <v>36.15</v>
      </c>
      <c r="C5017" s="1">
        <v>823148</v>
      </c>
      <c r="D5017" s="3">
        <v>0.28999999999999898</v>
      </c>
      <c r="E5017" s="3">
        <v>0.80870050195203103</v>
      </c>
      <c r="F5017" s="3">
        <v>0.80870050195203103</v>
      </c>
      <c r="G5017" s="3">
        <v>36.15</v>
      </c>
      <c r="H5017" s="3">
        <v>907.388575160188</v>
      </c>
      <c r="I5017" s="3">
        <v>36.46</v>
      </c>
      <c r="J5017" s="3">
        <v>36.46</v>
      </c>
      <c r="K5017" s="3">
        <v>36.08</v>
      </c>
      <c r="L5017" s="3">
        <v>907.388575160188</v>
      </c>
    </row>
    <row r="5018" spans="1:12" ht="15" customHeight="1" x14ac:dyDescent="0.2">
      <c r="A5018" s="2">
        <v>38770</v>
      </c>
      <c r="B5018" s="3">
        <v>35.86</v>
      </c>
      <c r="C5018" s="1">
        <v>256446</v>
      </c>
      <c r="D5018" s="3">
        <v>0.29999999999999699</v>
      </c>
      <c r="E5018" s="3">
        <v>0.84364454443193104</v>
      </c>
      <c r="F5018" s="3">
        <v>0.84364454443193104</v>
      </c>
      <c r="G5018" s="3">
        <v>35.86</v>
      </c>
      <c r="H5018" s="3">
        <v>899.30717303580502</v>
      </c>
      <c r="I5018" s="3">
        <v>35.5</v>
      </c>
      <c r="J5018" s="3">
        <v>36.19</v>
      </c>
      <c r="K5018" s="3">
        <v>35.49</v>
      </c>
      <c r="L5018" s="3">
        <v>899.30717303580502</v>
      </c>
    </row>
    <row r="5019" spans="1:12" ht="15" customHeight="1" x14ac:dyDescent="0.2">
      <c r="A5019" s="2">
        <v>38769</v>
      </c>
      <c r="B5019" s="3">
        <v>35.56</v>
      </c>
      <c r="C5019" s="1">
        <v>402623</v>
      </c>
      <c r="D5019" s="3">
        <v>-0.37999999999999501</v>
      </c>
      <c r="E5019" s="3">
        <v>-1.0573177518085599</v>
      </c>
      <c r="F5019" s="3">
        <v>-1.0573177518085599</v>
      </c>
      <c r="G5019" s="3">
        <v>35.56</v>
      </c>
      <c r="H5019" s="3">
        <v>890.94710187265002</v>
      </c>
      <c r="I5019" s="3">
        <v>35.799999999999997</v>
      </c>
      <c r="J5019" s="3">
        <v>35.979999999999997</v>
      </c>
      <c r="K5019" s="3">
        <v>35.47</v>
      </c>
      <c r="L5019" s="3">
        <v>890.94710187265002</v>
      </c>
    </row>
    <row r="5020" spans="1:12" ht="15" customHeight="1" x14ac:dyDescent="0.2">
      <c r="A5020" s="2">
        <v>38765</v>
      </c>
      <c r="B5020" s="3">
        <v>35.94</v>
      </c>
      <c r="C5020" s="1">
        <v>508517</v>
      </c>
      <c r="D5020" s="3">
        <v>-0.15000000000000499</v>
      </c>
      <c r="E5020" s="3">
        <v>-0.41562759767249602</v>
      </c>
      <c r="F5020" s="3">
        <v>-0.41562759767249602</v>
      </c>
      <c r="G5020" s="3">
        <v>35.94</v>
      </c>
      <c r="H5020" s="3">
        <v>901.53652534597995</v>
      </c>
      <c r="I5020" s="3">
        <v>36</v>
      </c>
      <c r="J5020" s="3">
        <v>36.01</v>
      </c>
      <c r="K5020" s="3">
        <v>35.75</v>
      </c>
      <c r="L5020" s="3">
        <v>901.53652534597995</v>
      </c>
    </row>
    <row r="5021" spans="1:12" ht="15" customHeight="1" x14ac:dyDescent="0.2">
      <c r="A5021" s="2">
        <v>38764</v>
      </c>
      <c r="B5021" s="3">
        <v>36.090000000000003</v>
      </c>
      <c r="C5021" s="1">
        <v>634788</v>
      </c>
      <c r="D5021" s="3"/>
      <c r="E5021" s="3"/>
      <c r="F5021" s="3"/>
      <c r="G5021" s="3">
        <v>36.090000000000003</v>
      </c>
      <c r="H5021" s="3">
        <v>905.716560927557</v>
      </c>
      <c r="I5021" s="3">
        <v>36.119999999999997</v>
      </c>
      <c r="J5021" s="3">
        <v>36.15</v>
      </c>
      <c r="K5021" s="3">
        <v>35.72</v>
      </c>
      <c r="L5021" s="3">
        <v>905.716560927557</v>
      </c>
    </row>
    <row r="5022" spans="1:12" ht="15" customHeight="1" x14ac:dyDescent="0.2">
      <c r="A5022" s="2">
        <v>38763</v>
      </c>
      <c r="B5022" s="3">
        <v>36.090000000000003</v>
      </c>
      <c r="C5022" s="1">
        <v>889337</v>
      </c>
      <c r="D5022" s="3">
        <v>-0.369999999999997</v>
      </c>
      <c r="E5022" s="3">
        <v>-1.0148107515084901</v>
      </c>
      <c r="F5022" s="3">
        <v>-1.0148107515084901</v>
      </c>
      <c r="G5022" s="3">
        <v>36.090000000000003</v>
      </c>
      <c r="H5022" s="3">
        <v>905.716560927557</v>
      </c>
      <c r="I5022" s="3">
        <v>36.299999999999997</v>
      </c>
      <c r="J5022" s="3">
        <v>36.5</v>
      </c>
      <c r="K5022" s="3">
        <v>35.76</v>
      </c>
      <c r="L5022" s="3">
        <v>905.716560927557</v>
      </c>
    </row>
    <row r="5023" spans="1:12" ht="15" customHeight="1" x14ac:dyDescent="0.2">
      <c r="A5023" s="2">
        <v>38762</v>
      </c>
      <c r="B5023" s="3">
        <v>36.46</v>
      </c>
      <c r="C5023" s="1">
        <v>538062</v>
      </c>
      <c r="D5023" s="3">
        <v>0.27000000000000302</v>
      </c>
      <c r="E5023" s="3">
        <v>0.74606244819011003</v>
      </c>
      <c r="F5023" s="3">
        <v>0.74606244819011003</v>
      </c>
      <c r="G5023" s="3">
        <v>36.46</v>
      </c>
      <c r="H5023" s="3">
        <v>916.02731536211502</v>
      </c>
      <c r="I5023" s="3">
        <v>36.19</v>
      </c>
      <c r="J5023" s="3">
        <v>36.6</v>
      </c>
      <c r="K5023" s="3">
        <v>36.01</v>
      </c>
      <c r="L5023" s="3">
        <v>916.02731536211502</v>
      </c>
    </row>
    <row r="5024" spans="1:12" ht="15" customHeight="1" x14ac:dyDescent="0.2">
      <c r="A5024" s="2">
        <v>38761</v>
      </c>
      <c r="B5024" s="3">
        <v>36.19</v>
      </c>
      <c r="C5024" s="1">
        <v>532404</v>
      </c>
      <c r="D5024" s="3">
        <v>-0.20000000000000201</v>
      </c>
      <c r="E5024" s="3">
        <v>-0.54960153888431396</v>
      </c>
      <c r="F5024" s="3">
        <v>-0.54960153888431396</v>
      </c>
      <c r="G5024" s="3">
        <v>36.19</v>
      </c>
      <c r="H5024" s="3">
        <v>908.50325131527597</v>
      </c>
      <c r="I5024" s="3">
        <v>36.21</v>
      </c>
      <c r="J5024" s="3">
        <v>36.56</v>
      </c>
      <c r="K5024" s="3">
        <v>35.96</v>
      </c>
      <c r="L5024" s="3">
        <v>908.50325131527597</v>
      </c>
    </row>
    <row r="5025" spans="1:12" ht="15" customHeight="1" x14ac:dyDescent="0.2">
      <c r="A5025" s="2">
        <v>38758</v>
      </c>
      <c r="B5025" s="3">
        <v>36.39</v>
      </c>
      <c r="C5025" s="1">
        <v>660069</v>
      </c>
      <c r="D5025" s="3">
        <v>-0.26999999999999602</v>
      </c>
      <c r="E5025" s="3">
        <v>-0.73649754500817399</v>
      </c>
      <c r="F5025" s="3">
        <v>-0.73649754500817399</v>
      </c>
      <c r="G5025" s="3">
        <v>36.39</v>
      </c>
      <c r="H5025" s="3">
        <v>914.076632090712</v>
      </c>
      <c r="I5025" s="3">
        <v>36.51</v>
      </c>
      <c r="J5025" s="3">
        <v>36.64</v>
      </c>
      <c r="K5025" s="3">
        <v>36.1</v>
      </c>
      <c r="L5025" s="3">
        <v>914.076632090712</v>
      </c>
    </row>
    <row r="5026" spans="1:12" ht="15" customHeight="1" x14ac:dyDescent="0.2">
      <c r="A5026" s="2">
        <v>38757</v>
      </c>
      <c r="B5026" s="3">
        <v>36.659999999999997</v>
      </c>
      <c r="C5026" s="1">
        <v>947758</v>
      </c>
      <c r="D5026" s="3">
        <v>0.239999999999994</v>
      </c>
      <c r="E5026" s="3">
        <v>0.65897858319603397</v>
      </c>
      <c r="F5026" s="3">
        <v>0.65897858319603397</v>
      </c>
      <c r="G5026" s="3">
        <v>36.659999999999997</v>
      </c>
      <c r="H5026" s="3">
        <v>921.60069613755195</v>
      </c>
      <c r="I5026" s="3">
        <v>36.25</v>
      </c>
      <c r="J5026" s="3">
        <v>37.020000000000003</v>
      </c>
      <c r="K5026" s="3">
        <v>36.119999999999997</v>
      </c>
      <c r="L5026" s="3">
        <v>921.60069613755195</v>
      </c>
    </row>
    <row r="5027" spans="1:12" ht="15" customHeight="1" x14ac:dyDescent="0.2">
      <c r="A5027" s="2">
        <v>38756</v>
      </c>
      <c r="B5027" s="3">
        <v>36.42</v>
      </c>
      <c r="C5027" s="1">
        <v>2838349</v>
      </c>
      <c r="D5027" s="3">
        <v>-0.87999999999999501</v>
      </c>
      <c r="E5027" s="3">
        <v>-2.3592493297587001</v>
      </c>
      <c r="F5027" s="3">
        <v>-2.3592493297587001</v>
      </c>
      <c r="G5027" s="3">
        <v>36.42</v>
      </c>
      <c r="H5027" s="3">
        <v>914.91263920702795</v>
      </c>
      <c r="I5027" s="3">
        <v>36.450000000000003</v>
      </c>
      <c r="J5027" s="3">
        <v>36.57</v>
      </c>
      <c r="K5027" s="3">
        <v>35.090000000000003</v>
      </c>
      <c r="L5027" s="3">
        <v>914.91263920702795</v>
      </c>
    </row>
    <row r="5028" spans="1:12" ht="15" customHeight="1" x14ac:dyDescent="0.2">
      <c r="A5028" s="2">
        <v>38755</v>
      </c>
      <c r="B5028" s="3">
        <v>37.299999999999997</v>
      </c>
      <c r="C5028" s="1">
        <v>954929</v>
      </c>
      <c r="D5028" s="3">
        <v>-0.94000000000000405</v>
      </c>
      <c r="E5028" s="3">
        <v>-2.4581589958159</v>
      </c>
      <c r="F5028" s="3">
        <v>-2.4581589958159</v>
      </c>
      <c r="G5028" s="3">
        <v>37.299999999999997</v>
      </c>
      <c r="H5028" s="3">
        <v>939.43551461894901</v>
      </c>
      <c r="I5028" s="3">
        <v>38.090000000000003</v>
      </c>
      <c r="J5028" s="3">
        <v>38.409999999999997</v>
      </c>
      <c r="K5028" s="3">
        <v>37.11</v>
      </c>
      <c r="L5028" s="3">
        <v>939.43551461894901</v>
      </c>
    </row>
    <row r="5029" spans="1:12" ht="15" customHeight="1" x14ac:dyDescent="0.2">
      <c r="A5029" s="2">
        <v>38754</v>
      </c>
      <c r="B5029" s="3">
        <v>38.24</v>
      </c>
      <c r="C5029" s="1">
        <v>342226</v>
      </c>
      <c r="D5029" s="3">
        <v>-4.9999999999997102E-2</v>
      </c>
      <c r="E5029" s="3">
        <v>-0.13058239749280601</v>
      </c>
      <c r="F5029" s="3">
        <v>-0.13058239749280601</v>
      </c>
      <c r="G5029" s="3">
        <v>38.24</v>
      </c>
      <c r="H5029" s="3">
        <v>965.63040426350199</v>
      </c>
      <c r="I5029" s="3">
        <v>38.33</v>
      </c>
      <c r="J5029" s="3">
        <v>38.42</v>
      </c>
      <c r="K5029" s="3">
        <v>37.82</v>
      </c>
      <c r="L5029" s="3">
        <v>965.63040426350199</v>
      </c>
    </row>
    <row r="5030" spans="1:12" ht="15" customHeight="1" x14ac:dyDescent="0.2">
      <c r="A5030" s="2">
        <v>38751</v>
      </c>
      <c r="B5030" s="3">
        <v>38.29</v>
      </c>
      <c r="C5030" s="1">
        <v>424936</v>
      </c>
      <c r="D5030" s="3">
        <v>-0.189999999999997</v>
      </c>
      <c r="E5030" s="3">
        <v>-0.49376299376299099</v>
      </c>
      <c r="F5030" s="3">
        <v>-0.49376299376299099</v>
      </c>
      <c r="G5030" s="3">
        <v>38.29</v>
      </c>
      <c r="H5030" s="3">
        <v>967.02374945736096</v>
      </c>
      <c r="I5030" s="3">
        <v>38.46</v>
      </c>
      <c r="J5030" s="3">
        <v>38.68</v>
      </c>
      <c r="K5030" s="3">
        <v>38.090000000000003</v>
      </c>
      <c r="L5030" s="3">
        <v>967.02374945736096</v>
      </c>
    </row>
    <row r="5031" spans="1:12" ht="15" customHeight="1" x14ac:dyDescent="0.2">
      <c r="A5031" s="2">
        <v>38750</v>
      </c>
      <c r="B5031" s="3">
        <v>38.479999999999997</v>
      </c>
      <c r="C5031" s="1">
        <v>1070004</v>
      </c>
      <c r="D5031" s="3">
        <v>0.60999999999999899</v>
      </c>
      <c r="E5031" s="3">
        <v>1.61077369949829</v>
      </c>
      <c r="F5031" s="3">
        <v>1.61077369949829</v>
      </c>
      <c r="G5031" s="3">
        <v>38.479999999999997</v>
      </c>
      <c r="H5031" s="3">
        <v>972.31846119402599</v>
      </c>
      <c r="I5031" s="3">
        <v>38.200000000000003</v>
      </c>
      <c r="J5031" s="3">
        <v>39.28</v>
      </c>
      <c r="K5031" s="3">
        <v>37.83</v>
      </c>
      <c r="L5031" s="3">
        <v>972.31846119402599</v>
      </c>
    </row>
    <row r="5032" spans="1:12" ht="15" customHeight="1" x14ac:dyDescent="0.2">
      <c r="A5032" s="2">
        <v>38749</v>
      </c>
      <c r="B5032" s="3">
        <v>37.869999999999997</v>
      </c>
      <c r="C5032" s="1">
        <v>1044854</v>
      </c>
      <c r="D5032" s="3">
        <v>1.01999999999999</v>
      </c>
      <c r="E5032" s="3">
        <v>2.7679782903663401</v>
      </c>
      <c r="F5032" s="3">
        <v>2.7679782903663401</v>
      </c>
      <c r="G5032" s="3">
        <v>37.869999999999997</v>
      </c>
      <c r="H5032" s="3">
        <v>955.31964982894397</v>
      </c>
      <c r="I5032" s="3">
        <v>36.799999999999997</v>
      </c>
      <c r="J5032" s="3">
        <v>37.94</v>
      </c>
      <c r="K5032" s="3">
        <v>36.68</v>
      </c>
      <c r="L5032" s="3">
        <v>955.31964982894397</v>
      </c>
    </row>
    <row r="5033" spans="1:12" ht="15" customHeight="1" x14ac:dyDescent="0.2">
      <c r="A5033" s="2">
        <v>38748</v>
      </c>
      <c r="B5033" s="3">
        <v>36.85</v>
      </c>
      <c r="C5033" s="1">
        <v>396575</v>
      </c>
      <c r="D5033" s="3">
        <v>0.310000000000002</v>
      </c>
      <c r="E5033" s="3">
        <v>0.84838533114395198</v>
      </c>
      <c r="F5033" s="3">
        <v>0.84838533114395198</v>
      </c>
      <c r="G5033" s="3">
        <v>36.85</v>
      </c>
      <c r="H5033" s="3">
        <v>926.89540787421697</v>
      </c>
      <c r="I5033" s="3">
        <v>36.479999999999997</v>
      </c>
      <c r="J5033" s="3">
        <v>36.94</v>
      </c>
      <c r="K5033" s="3">
        <v>36.39</v>
      </c>
      <c r="L5033" s="3">
        <v>926.89540787421697</v>
      </c>
    </row>
    <row r="5034" spans="1:12" ht="15" customHeight="1" x14ac:dyDescent="0.2">
      <c r="A5034" s="2">
        <v>38747</v>
      </c>
      <c r="B5034" s="3">
        <v>36.54</v>
      </c>
      <c r="C5034" s="1">
        <v>337902</v>
      </c>
      <c r="D5034" s="3">
        <v>-0.28999999999999898</v>
      </c>
      <c r="E5034" s="3">
        <v>-0.78740157480314799</v>
      </c>
      <c r="F5034" s="3">
        <v>-0.78740157480314799</v>
      </c>
      <c r="G5034" s="3">
        <v>36.54</v>
      </c>
      <c r="H5034" s="3">
        <v>918.25666767228995</v>
      </c>
      <c r="I5034" s="3">
        <v>36.79</v>
      </c>
      <c r="J5034" s="3">
        <v>36.909999999999997</v>
      </c>
      <c r="K5034" s="3">
        <v>36.450000000000003</v>
      </c>
      <c r="L5034" s="3">
        <v>918.25666767228995</v>
      </c>
    </row>
    <row r="5035" spans="1:12" ht="15" customHeight="1" x14ac:dyDescent="0.2">
      <c r="A5035" s="2">
        <v>38744</v>
      </c>
      <c r="B5035" s="3">
        <v>36.83</v>
      </c>
      <c r="C5035" s="1">
        <v>441908</v>
      </c>
      <c r="D5035" s="3">
        <v>-7.0000000000000201E-2</v>
      </c>
      <c r="E5035" s="3">
        <v>-0.189701897018967</v>
      </c>
      <c r="F5035" s="3">
        <v>-0.189701897018967</v>
      </c>
      <c r="G5035" s="3">
        <v>36.83</v>
      </c>
      <c r="H5035" s="3">
        <v>926.33806979667304</v>
      </c>
      <c r="I5035" s="3">
        <v>36.93</v>
      </c>
      <c r="J5035" s="3">
        <v>37.06</v>
      </c>
      <c r="K5035" s="3">
        <v>36.65</v>
      </c>
      <c r="L5035" s="3">
        <v>926.33806979667304</v>
      </c>
    </row>
    <row r="5036" spans="1:12" ht="15" customHeight="1" x14ac:dyDescent="0.2">
      <c r="A5036" s="2">
        <v>38743</v>
      </c>
      <c r="B5036" s="3">
        <v>36.9</v>
      </c>
      <c r="C5036" s="1">
        <v>523289.99999999901</v>
      </c>
      <c r="D5036" s="3">
        <v>0.42999999999999899</v>
      </c>
      <c r="E5036" s="3">
        <v>1.17905127502055</v>
      </c>
      <c r="F5036" s="3">
        <v>1.17905127502055</v>
      </c>
      <c r="G5036" s="3">
        <v>36.9</v>
      </c>
      <c r="H5036" s="3">
        <v>928.28875306807595</v>
      </c>
      <c r="I5036" s="3">
        <v>36.729999999999997</v>
      </c>
      <c r="J5036" s="3">
        <v>37.18</v>
      </c>
      <c r="K5036" s="3">
        <v>36.67</v>
      </c>
      <c r="L5036" s="3">
        <v>928.28875306807595</v>
      </c>
    </row>
    <row r="5037" spans="1:12" ht="15" customHeight="1" x14ac:dyDescent="0.2">
      <c r="A5037" s="2">
        <v>38742</v>
      </c>
      <c r="B5037" s="3">
        <v>36.47</v>
      </c>
      <c r="C5037" s="1">
        <v>1125772</v>
      </c>
      <c r="D5037" s="3">
        <v>0.71</v>
      </c>
      <c r="E5037" s="3">
        <v>1.98545861297538</v>
      </c>
      <c r="F5037" s="3">
        <v>1.98545861297538</v>
      </c>
      <c r="G5037" s="3">
        <v>36.47</v>
      </c>
      <c r="H5037" s="3">
        <v>916.30598440088704</v>
      </c>
      <c r="I5037" s="3">
        <v>36.270000000000003</v>
      </c>
      <c r="J5037" s="3">
        <v>37.9</v>
      </c>
      <c r="K5037" s="3">
        <v>36.270000000000003</v>
      </c>
      <c r="L5037" s="3">
        <v>916.30598440088704</v>
      </c>
    </row>
    <row r="5038" spans="1:12" ht="15" customHeight="1" x14ac:dyDescent="0.2">
      <c r="A5038" s="2">
        <v>38741</v>
      </c>
      <c r="B5038" s="3">
        <v>35.76</v>
      </c>
      <c r="C5038" s="1">
        <v>658003</v>
      </c>
      <c r="D5038" s="3">
        <v>0.28999999999999898</v>
      </c>
      <c r="E5038" s="3">
        <v>0.81759233154778899</v>
      </c>
      <c r="F5038" s="3">
        <v>0.81759233154778899</v>
      </c>
      <c r="G5038" s="3">
        <v>35.76</v>
      </c>
      <c r="H5038" s="3">
        <v>896.52048264808695</v>
      </c>
      <c r="I5038" s="3">
        <v>35.72</v>
      </c>
      <c r="J5038" s="3">
        <v>35.840000000000003</v>
      </c>
      <c r="K5038" s="3">
        <v>35.47</v>
      </c>
      <c r="L5038" s="3">
        <v>896.52048264808695</v>
      </c>
    </row>
    <row r="5039" spans="1:12" ht="15" customHeight="1" x14ac:dyDescent="0.2">
      <c r="A5039" s="2">
        <v>38740</v>
      </c>
      <c r="B5039" s="3">
        <v>35.47</v>
      </c>
      <c r="C5039" s="1">
        <v>538405</v>
      </c>
      <c r="D5039" s="3">
        <v>-0.37000000000000399</v>
      </c>
      <c r="E5039" s="3">
        <v>-1.0323660714285801</v>
      </c>
      <c r="F5039" s="3">
        <v>-1.0323660714285801</v>
      </c>
      <c r="G5039" s="3">
        <v>35.47</v>
      </c>
      <c r="H5039" s="3">
        <v>888.43908052370296</v>
      </c>
      <c r="I5039" s="3">
        <v>35.86</v>
      </c>
      <c r="J5039" s="3">
        <v>35.979999999999997</v>
      </c>
      <c r="K5039" s="3">
        <v>35.46</v>
      </c>
      <c r="L5039" s="3">
        <v>888.43908052370296</v>
      </c>
    </row>
    <row r="5040" spans="1:12" ht="15" customHeight="1" x14ac:dyDescent="0.2">
      <c r="A5040" s="2">
        <v>38737</v>
      </c>
      <c r="B5040" s="3">
        <v>35.840000000000003</v>
      </c>
      <c r="C5040" s="1">
        <v>644515</v>
      </c>
      <c r="D5040" s="3">
        <v>-0.35999999999999899</v>
      </c>
      <c r="E5040" s="3">
        <v>-0.99447513812154198</v>
      </c>
      <c r="F5040" s="3">
        <v>-0.99447513812154198</v>
      </c>
      <c r="G5040" s="3">
        <v>35.840000000000003</v>
      </c>
      <c r="H5040" s="3">
        <v>898.74983495826098</v>
      </c>
      <c r="I5040" s="3">
        <v>36.25</v>
      </c>
      <c r="J5040" s="3">
        <v>36.25</v>
      </c>
      <c r="K5040" s="3">
        <v>35.65625</v>
      </c>
      <c r="L5040" s="3">
        <v>898.74983495826098</v>
      </c>
    </row>
    <row r="5041" spans="1:12" ht="15" customHeight="1" x14ac:dyDescent="0.2">
      <c r="A5041" s="2">
        <v>38736</v>
      </c>
      <c r="B5041" s="3">
        <v>36.200000000000003</v>
      </c>
      <c r="C5041" s="1">
        <v>437467</v>
      </c>
      <c r="D5041" s="3">
        <v>4.0000000000006197E-2</v>
      </c>
      <c r="E5041" s="3">
        <v>0.11061946902657301</v>
      </c>
      <c r="F5041" s="3">
        <v>0.11061946902657301</v>
      </c>
      <c r="G5041" s="3">
        <v>36.200000000000003</v>
      </c>
      <c r="H5041" s="3">
        <v>908.78192035404697</v>
      </c>
      <c r="I5041" s="3">
        <v>36.340000000000003</v>
      </c>
      <c r="J5041" s="3">
        <v>36.4</v>
      </c>
      <c r="K5041" s="3">
        <v>35.94</v>
      </c>
      <c r="L5041" s="3">
        <v>908.78192035404697</v>
      </c>
    </row>
    <row r="5042" spans="1:12" ht="15" customHeight="1" x14ac:dyDescent="0.2">
      <c r="A5042" s="2">
        <v>38735</v>
      </c>
      <c r="B5042" s="3">
        <v>36.159999999999997</v>
      </c>
      <c r="C5042" s="1">
        <v>591355</v>
      </c>
      <c r="D5042" s="3">
        <v>-0.32</v>
      </c>
      <c r="E5042" s="3">
        <v>-0.87719298245614297</v>
      </c>
      <c r="F5042" s="3">
        <v>-0.87719298245614297</v>
      </c>
      <c r="G5042" s="3">
        <v>36.159999999999997</v>
      </c>
      <c r="H5042" s="3">
        <v>907.66724419896002</v>
      </c>
      <c r="I5042" s="3">
        <v>36.200000000000003</v>
      </c>
      <c r="J5042" s="3">
        <v>36.56</v>
      </c>
      <c r="K5042" s="3">
        <v>36.07</v>
      </c>
      <c r="L5042" s="3">
        <v>907.66724419896002</v>
      </c>
    </row>
    <row r="5043" spans="1:12" ht="15" customHeight="1" x14ac:dyDescent="0.2">
      <c r="A5043" s="2">
        <v>38734</v>
      </c>
      <c r="B5043" s="3">
        <v>36.479999999999997</v>
      </c>
      <c r="C5043" s="1">
        <v>919904</v>
      </c>
      <c r="D5043" s="3">
        <v>5.9999999999995099E-2</v>
      </c>
      <c r="E5043" s="3">
        <v>0.16474464579900799</v>
      </c>
      <c r="F5043" s="3">
        <v>0.16474464579900799</v>
      </c>
      <c r="G5043" s="3">
        <v>36.479999999999997</v>
      </c>
      <c r="H5043" s="3">
        <v>916.58465343965895</v>
      </c>
      <c r="I5043" s="3">
        <v>36.4</v>
      </c>
      <c r="J5043" s="3">
        <v>36.58</v>
      </c>
      <c r="K5043" s="3">
        <v>35.75</v>
      </c>
      <c r="L5043" s="3">
        <v>916.58465343965895</v>
      </c>
    </row>
    <row r="5044" spans="1:12" ht="15" customHeight="1" x14ac:dyDescent="0.2">
      <c r="A5044" s="2">
        <v>38730</v>
      </c>
      <c r="B5044" s="3">
        <v>36.42</v>
      </c>
      <c r="C5044" s="1">
        <v>466031</v>
      </c>
      <c r="D5044" s="3">
        <v>-0.17999999999999899</v>
      </c>
      <c r="E5044" s="3">
        <v>-0.49180327868851798</v>
      </c>
      <c r="F5044" s="3">
        <v>-0.49180327868851798</v>
      </c>
      <c r="G5044" s="3">
        <v>36.42</v>
      </c>
      <c r="H5044" s="3">
        <v>914.91263920702795</v>
      </c>
      <c r="I5044" s="3">
        <v>36.5</v>
      </c>
      <c r="J5044" s="3">
        <v>36.869999999999997</v>
      </c>
      <c r="K5044" s="3">
        <v>36.32</v>
      </c>
      <c r="L5044" s="3">
        <v>914.91263920702795</v>
      </c>
    </row>
    <row r="5045" spans="1:12" ht="15" customHeight="1" x14ac:dyDescent="0.2">
      <c r="A5045" s="2">
        <v>38729</v>
      </c>
      <c r="B5045" s="3">
        <v>36.6</v>
      </c>
      <c r="C5045" s="1">
        <v>407599</v>
      </c>
      <c r="D5045" s="3">
        <v>-0.21</v>
      </c>
      <c r="E5045" s="3">
        <v>-0.57049714751425895</v>
      </c>
      <c r="F5045" s="3">
        <v>-0.57049714751425895</v>
      </c>
      <c r="G5045" s="3">
        <v>36.6</v>
      </c>
      <c r="H5045" s="3">
        <v>919.92868190492095</v>
      </c>
      <c r="I5045" s="3">
        <v>36.85</v>
      </c>
      <c r="J5045" s="3">
        <v>37.07</v>
      </c>
      <c r="K5045" s="3">
        <v>36.549999999999997</v>
      </c>
      <c r="L5045" s="3">
        <v>919.92868190492095</v>
      </c>
    </row>
    <row r="5046" spans="1:12" ht="15" customHeight="1" x14ac:dyDescent="0.2">
      <c r="A5046" s="2">
        <v>38728</v>
      </c>
      <c r="B5046" s="3">
        <v>36.81</v>
      </c>
      <c r="C5046" s="1">
        <v>821346</v>
      </c>
      <c r="D5046" s="3">
        <v>0.24000000000000199</v>
      </c>
      <c r="E5046" s="3">
        <v>0.65627563576702297</v>
      </c>
      <c r="F5046" s="3">
        <v>0.65627563576702297</v>
      </c>
      <c r="G5046" s="3">
        <v>36.81</v>
      </c>
      <c r="H5046" s="3">
        <v>925.78073171912899</v>
      </c>
      <c r="I5046" s="3">
        <v>36.68</v>
      </c>
      <c r="J5046" s="3">
        <v>37.0685</v>
      </c>
      <c r="K5046" s="3">
        <v>36.25</v>
      </c>
      <c r="L5046" s="3">
        <v>925.78073171912899</v>
      </c>
    </row>
    <row r="5047" spans="1:12" ht="15" customHeight="1" x14ac:dyDescent="0.2">
      <c r="A5047" s="2">
        <v>38727</v>
      </c>
      <c r="B5047" s="3">
        <v>36.57</v>
      </c>
      <c r="C5047" s="1">
        <v>702614</v>
      </c>
      <c r="D5047" s="3">
        <v>-0.49000000000000199</v>
      </c>
      <c r="E5047" s="3">
        <v>-1.32218024824609</v>
      </c>
      <c r="F5047" s="3">
        <v>-1.32218024824609</v>
      </c>
      <c r="G5047" s="3">
        <v>36.57</v>
      </c>
      <c r="H5047" s="3">
        <v>919.092674788605</v>
      </c>
      <c r="I5047" s="3">
        <v>36.35</v>
      </c>
      <c r="J5047" s="3">
        <v>36.74</v>
      </c>
      <c r="K5047" s="3">
        <v>36.049999999999997</v>
      </c>
      <c r="L5047" s="3">
        <v>919.092674788605</v>
      </c>
    </row>
    <row r="5048" spans="1:12" ht="15" customHeight="1" x14ac:dyDescent="0.2">
      <c r="A5048" s="2">
        <v>38726</v>
      </c>
      <c r="B5048" s="3">
        <v>37.06</v>
      </c>
      <c r="C5048" s="1">
        <v>989457</v>
      </c>
      <c r="D5048" s="3">
        <v>-9.9999999999980105E-3</v>
      </c>
      <c r="E5048" s="3">
        <v>-2.6975991367672501E-2</v>
      </c>
      <c r="F5048" s="3">
        <v>-2.6975991367672501E-2</v>
      </c>
      <c r="G5048" s="3">
        <v>37.06</v>
      </c>
      <c r="H5048" s="3">
        <v>932.74745768842502</v>
      </c>
      <c r="I5048" s="3">
        <v>36.799999999999997</v>
      </c>
      <c r="J5048" s="3">
        <v>37.22</v>
      </c>
      <c r="K5048" s="3">
        <v>36.07</v>
      </c>
      <c r="L5048" s="3">
        <v>932.74745768842502</v>
      </c>
    </row>
    <row r="5049" spans="1:12" ht="15" customHeight="1" x14ac:dyDescent="0.2">
      <c r="A5049" s="2">
        <v>38723</v>
      </c>
      <c r="B5049" s="3">
        <v>37.07</v>
      </c>
      <c r="C5049" s="1">
        <v>293110</v>
      </c>
      <c r="D5049" s="3">
        <v>0.25999999999999801</v>
      </c>
      <c r="E5049" s="3">
        <v>0.70632980168432402</v>
      </c>
      <c r="F5049" s="3">
        <v>0.70632980168432402</v>
      </c>
      <c r="G5049" s="3">
        <v>37.07</v>
      </c>
      <c r="H5049" s="3">
        <v>933.02612672719704</v>
      </c>
      <c r="I5049" s="3">
        <v>37</v>
      </c>
      <c r="J5049" s="3">
        <v>37.25</v>
      </c>
      <c r="K5049" s="3">
        <v>36.71</v>
      </c>
      <c r="L5049" s="3">
        <v>933.02612672719704</v>
      </c>
    </row>
    <row r="5050" spans="1:12" ht="15" customHeight="1" x14ac:dyDescent="0.2">
      <c r="A5050" s="2">
        <v>38722</v>
      </c>
      <c r="B5050" s="3">
        <v>36.81</v>
      </c>
      <c r="C5050" s="1">
        <v>519097</v>
      </c>
      <c r="D5050" s="3">
        <v>-5.9999999999995099E-2</v>
      </c>
      <c r="E5050" s="3">
        <v>-0.16273393002439401</v>
      </c>
      <c r="F5050" s="3">
        <v>-0.16273393002439401</v>
      </c>
      <c r="G5050" s="3">
        <v>36.81</v>
      </c>
      <c r="H5050" s="3">
        <v>925.78073171912899</v>
      </c>
      <c r="I5050" s="3">
        <v>36.869999999999997</v>
      </c>
      <c r="J5050" s="3">
        <v>37.03</v>
      </c>
      <c r="K5050" s="3">
        <v>36.44</v>
      </c>
      <c r="L5050" s="3">
        <v>925.78073171912899</v>
      </c>
    </row>
    <row r="5051" spans="1:12" ht="15" customHeight="1" x14ac:dyDescent="0.2">
      <c r="A5051" s="2">
        <v>38721</v>
      </c>
      <c r="B5051" s="3">
        <v>36.869999999999997</v>
      </c>
      <c r="C5051" s="1">
        <v>1178513</v>
      </c>
      <c r="D5051" s="3">
        <v>-0.34000000000000302</v>
      </c>
      <c r="E5051" s="3">
        <v>-0.91373286750874305</v>
      </c>
      <c r="F5051" s="3">
        <v>-0.91373286750874305</v>
      </c>
      <c r="G5051" s="3">
        <v>36.869999999999997</v>
      </c>
      <c r="H5051" s="3">
        <v>927.45274595175999</v>
      </c>
      <c r="I5051" s="3">
        <v>37.130000000000003</v>
      </c>
      <c r="J5051" s="3">
        <v>37.69</v>
      </c>
      <c r="K5051" s="3">
        <v>36.380000000000003</v>
      </c>
      <c r="L5051" s="3">
        <v>927.45274595175999</v>
      </c>
    </row>
    <row r="5052" spans="1:12" ht="15" customHeight="1" x14ac:dyDescent="0.2">
      <c r="A5052" s="2">
        <v>38720</v>
      </c>
      <c r="B5052" s="3">
        <v>37.21</v>
      </c>
      <c r="C5052" s="1">
        <v>812544</v>
      </c>
      <c r="D5052" s="3">
        <v>-0.17999999999999899</v>
      </c>
      <c r="E5052" s="3">
        <v>-0.48141214228403201</v>
      </c>
      <c r="F5052" s="3">
        <v>-0.48141214228403201</v>
      </c>
      <c r="G5052" s="3">
        <v>37.21</v>
      </c>
      <c r="H5052" s="3">
        <v>936.92749327000297</v>
      </c>
      <c r="I5052" s="3">
        <v>37.549999999999997</v>
      </c>
      <c r="J5052" s="3">
        <v>37.609375</v>
      </c>
      <c r="K5052" s="3">
        <v>36.36</v>
      </c>
      <c r="L5052" s="3">
        <v>936.92749327000297</v>
      </c>
    </row>
    <row r="5053" spans="1:12" ht="15" customHeight="1" x14ac:dyDescent="0.2">
      <c r="A5053" s="2">
        <v>38716</v>
      </c>
      <c r="B5053" s="3">
        <v>37.39</v>
      </c>
      <c r="C5053" s="1">
        <v>374372</v>
      </c>
      <c r="D5053" s="3">
        <v>-0.40999999999999598</v>
      </c>
      <c r="E5053" s="3">
        <v>-1.08465608465607</v>
      </c>
      <c r="F5053" s="3">
        <v>-1.08465608465607</v>
      </c>
      <c r="G5053" s="3">
        <v>37.39</v>
      </c>
      <c r="H5053" s="3">
        <v>941.94353596789597</v>
      </c>
      <c r="I5053" s="3">
        <v>37.799999999999997</v>
      </c>
      <c r="J5053" s="3">
        <v>37.880000000000003</v>
      </c>
      <c r="K5053" s="3">
        <v>37.06</v>
      </c>
      <c r="L5053" s="3">
        <v>941.94353596789597</v>
      </c>
    </row>
    <row r="5054" spans="1:12" ht="15" customHeight="1" x14ac:dyDescent="0.2">
      <c r="A5054" s="2">
        <v>38715</v>
      </c>
      <c r="B5054" s="3">
        <v>37.799999999999997</v>
      </c>
      <c r="C5054" s="1">
        <v>258391</v>
      </c>
      <c r="D5054" s="3">
        <v>-7.0000000000000201E-2</v>
      </c>
      <c r="E5054" s="3">
        <v>-0.18484288354898501</v>
      </c>
      <c r="F5054" s="3">
        <v>-0.18484288354898501</v>
      </c>
      <c r="G5054" s="3">
        <v>37.799999999999997</v>
      </c>
      <c r="H5054" s="3">
        <v>953.36896655754094</v>
      </c>
      <c r="I5054" s="3">
        <v>37.799999999999997</v>
      </c>
      <c r="J5054" s="3">
        <v>37.950000000000003</v>
      </c>
      <c r="K5054" s="3">
        <v>37.659999999999997</v>
      </c>
      <c r="L5054" s="3">
        <v>953.36896655754094</v>
      </c>
    </row>
    <row r="5055" spans="1:12" ht="15" customHeight="1" x14ac:dyDescent="0.2">
      <c r="A5055" s="2">
        <v>38714</v>
      </c>
      <c r="B5055" s="3">
        <v>37.869999999999997</v>
      </c>
      <c r="C5055" s="1">
        <v>245889</v>
      </c>
      <c r="D5055" s="3">
        <v>0.28999999999999898</v>
      </c>
      <c r="E5055" s="3">
        <v>0.77168706758914396</v>
      </c>
      <c r="F5055" s="3">
        <v>0.77168706758914396</v>
      </c>
      <c r="G5055" s="3">
        <v>37.869999999999997</v>
      </c>
      <c r="H5055" s="3">
        <v>955.31964982894397</v>
      </c>
      <c r="I5055" s="3">
        <v>37.659999999999997</v>
      </c>
      <c r="J5055" s="3">
        <v>38.090000000000003</v>
      </c>
      <c r="K5055" s="3">
        <v>37.54</v>
      </c>
      <c r="L5055" s="3">
        <v>955.31964982894397</v>
      </c>
    </row>
    <row r="5056" spans="1:12" ht="15" customHeight="1" x14ac:dyDescent="0.2">
      <c r="A5056" s="2">
        <v>38713</v>
      </c>
      <c r="B5056" s="3">
        <v>37.58</v>
      </c>
      <c r="C5056" s="1">
        <v>344270</v>
      </c>
      <c r="D5056" s="3">
        <v>-0.37000000000000399</v>
      </c>
      <c r="E5056" s="3">
        <v>-0.97496706192359195</v>
      </c>
      <c r="F5056" s="3">
        <v>-0.97496706192359195</v>
      </c>
      <c r="G5056" s="3">
        <v>37.58</v>
      </c>
      <c r="H5056" s="3">
        <v>947.23824770456099</v>
      </c>
      <c r="I5056" s="3">
        <v>38.08</v>
      </c>
      <c r="J5056" s="3">
        <v>38.14</v>
      </c>
      <c r="K5056" s="3">
        <v>37.409999999999997</v>
      </c>
      <c r="L5056" s="3">
        <v>947.23824770456099</v>
      </c>
    </row>
    <row r="5057" spans="1:12" ht="15" customHeight="1" x14ac:dyDescent="0.2">
      <c r="A5057" s="2">
        <v>38709</v>
      </c>
      <c r="B5057" s="3">
        <v>37.950000000000003</v>
      </c>
      <c r="C5057" s="1">
        <v>267090</v>
      </c>
      <c r="D5057" s="3">
        <v>0.27000000000000302</v>
      </c>
      <c r="E5057" s="3">
        <v>0.71656050955415296</v>
      </c>
      <c r="F5057" s="3">
        <v>0.71656050955415296</v>
      </c>
      <c r="G5057" s="3">
        <v>37.950000000000003</v>
      </c>
      <c r="H5057" s="3">
        <v>957.54900213911901</v>
      </c>
      <c r="I5057" s="3">
        <v>37.590000000000003</v>
      </c>
      <c r="J5057" s="3">
        <v>38.020000000000003</v>
      </c>
      <c r="K5057" s="3">
        <v>37.58</v>
      </c>
      <c r="L5057" s="3">
        <v>957.54900213911901</v>
      </c>
    </row>
    <row r="5058" spans="1:12" ht="15" customHeight="1" x14ac:dyDescent="0.2">
      <c r="A5058" s="2">
        <v>38708</v>
      </c>
      <c r="B5058" s="3">
        <v>37.68</v>
      </c>
      <c r="C5058" s="1">
        <v>222280</v>
      </c>
      <c r="D5058" s="3">
        <v>7.0000000000000201E-2</v>
      </c>
      <c r="E5058" s="3">
        <v>0.186120712576443</v>
      </c>
      <c r="F5058" s="3">
        <v>0.186120712576443</v>
      </c>
      <c r="G5058" s="3">
        <v>37.68</v>
      </c>
      <c r="H5058" s="3">
        <v>950.02493809227894</v>
      </c>
      <c r="I5058" s="3">
        <v>37.79</v>
      </c>
      <c r="J5058" s="3">
        <v>37.89</v>
      </c>
      <c r="K5058" s="3">
        <v>37.479999999999997</v>
      </c>
      <c r="L5058" s="3">
        <v>950.02493809227894</v>
      </c>
    </row>
    <row r="5059" spans="1:12" ht="15" customHeight="1" x14ac:dyDescent="0.2">
      <c r="A5059" s="2">
        <v>38707</v>
      </c>
      <c r="B5059" s="3">
        <v>37.61</v>
      </c>
      <c r="C5059" s="1">
        <v>423948</v>
      </c>
      <c r="D5059" s="3">
        <v>0.25999999999999801</v>
      </c>
      <c r="E5059" s="3">
        <v>0.69611780455154304</v>
      </c>
      <c r="F5059" s="3">
        <v>0.69611780455154304</v>
      </c>
      <c r="G5059" s="3">
        <v>37.61</v>
      </c>
      <c r="H5059" s="3">
        <v>948.07425482087604</v>
      </c>
      <c r="I5059" s="3">
        <v>37.49</v>
      </c>
      <c r="J5059" s="3">
        <v>37.71</v>
      </c>
      <c r="K5059" s="3">
        <v>37.31</v>
      </c>
      <c r="L5059" s="3">
        <v>948.07425482087604</v>
      </c>
    </row>
    <row r="5060" spans="1:12" ht="15" customHeight="1" x14ac:dyDescent="0.2">
      <c r="A5060" s="2">
        <v>38706</v>
      </c>
      <c r="B5060" s="3">
        <v>37.35</v>
      </c>
      <c r="C5060" s="1">
        <v>518461</v>
      </c>
      <c r="D5060" s="3">
        <v>-0.49000000000000199</v>
      </c>
      <c r="E5060" s="3">
        <v>-1.2949260042283299</v>
      </c>
      <c r="F5060" s="3">
        <v>-1.2949260042283299</v>
      </c>
      <c r="G5060" s="3">
        <v>37.35</v>
      </c>
      <c r="H5060" s="3">
        <v>940.82885981280901</v>
      </c>
      <c r="I5060" s="3">
        <v>37.700000000000003</v>
      </c>
      <c r="J5060" s="3">
        <v>38.07</v>
      </c>
      <c r="K5060" s="3">
        <v>37.25</v>
      </c>
      <c r="L5060" s="3">
        <v>940.82885981280901</v>
      </c>
    </row>
    <row r="5061" spans="1:12" ht="15" customHeight="1" x14ac:dyDescent="0.2">
      <c r="A5061" s="2">
        <v>38705</v>
      </c>
      <c r="B5061" s="3">
        <v>37.840000000000003</v>
      </c>
      <c r="C5061" s="1">
        <v>364632</v>
      </c>
      <c r="D5061" s="3">
        <v>-0.45999999999999303</v>
      </c>
      <c r="E5061" s="3">
        <v>-1.2010443864229501</v>
      </c>
      <c r="F5061" s="3">
        <v>-1.2010443864229501</v>
      </c>
      <c r="G5061" s="3">
        <v>37.840000000000003</v>
      </c>
      <c r="H5061" s="3">
        <v>954.48364271262903</v>
      </c>
      <c r="I5061" s="3">
        <v>38.270000000000003</v>
      </c>
      <c r="J5061" s="3">
        <v>38.340000000000003</v>
      </c>
      <c r="K5061" s="3">
        <v>37.75</v>
      </c>
      <c r="L5061" s="3">
        <v>954.48364271262903</v>
      </c>
    </row>
    <row r="5062" spans="1:12" ht="15" customHeight="1" x14ac:dyDescent="0.2">
      <c r="A5062" s="2">
        <v>38702</v>
      </c>
      <c r="B5062" s="3">
        <v>38.299999999999997</v>
      </c>
      <c r="C5062" s="1">
        <v>553867</v>
      </c>
      <c r="D5062" s="3">
        <v>0.82999999999999796</v>
      </c>
      <c r="E5062" s="3">
        <v>2.2151054176674698</v>
      </c>
      <c r="F5062" s="3">
        <v>2.2151054176674698</v>
      </c>
      <c r="G5062" s="3">
        <v>38.299999999999997</v>
      </c>
      <c r="H5062" s="3">
        <v>967.30241849613299</v>
      </c>
      <c r="I5062" s="3">
        <v>37.57</v>
      </c>
      <c r="J5062" s="3">
        <v>38.32</v>
      </c>
      <c r="K5062" s="3">
        <v>37.57</v>
      </c>
      <c r="L5062" s="3">
        <v>967.30241849613299</v>
      </c>
    </row>
    <row r="5063" spans="1:12" ht="15" customHeight="1" x14ac:dyDescent="0.2">
      <c r="A5063" s="2">
        <v>38701</v>
      </c>
      <c r="B5063" s="3">
        <v>37.47</v>
      </c>
      <c r="C5063" s="1">
        <v>831380</v>
      </c>
      <c r="D5063" s="3">
        <v>-0.53999999999999904</v>
      </c>
      <c r="E5063" s="3">
        <v>-1.4206787687450599</v>
      </c>
      <c r="F5063" s="3">
        <v>-1.4206787687450599</v>
      </c>
      <c r="G5063" s="3">
        <v>37.47</v>
      </c>
      <c r="H5063" s="3">
        <v>944.17288827807101</v>
      </c>
      <c r="I5063" s="3">
        <v>38.11</v>
      </c>
      <c r="J5063" s="3">
        <v>38.11</v>
      </c>
      <c r="K5063" s="3">
        <v>37.43</v>
      </c>
      <c r="L5063" s="3">
        <v>944.17288827807101</v>
      </c>
    </row>
    <row r="5064" spans="1:12" ht="15" customHeight="1" x14ac:dyDescent="0.2">
      <c r="A5064" s="2">
        <v>38700</v>
      </c>
      <c r="B5064" s="3">
        <v>38.01</v>
      </c>
      <c r="C5064" s="1">
        <v>907780</v>
      </c>
      <c r="D5064" s="3">
        <v>-0.24000000000000199</v>
      </c>
      <c r="E5064" s="3">
        <v>-0.62745098039216296</v>
      </c>
      <c r="F5064" s="3">
        <v>-0.62745098039216296</v>
      </c>
      <c r="G5064" s="3">
        <v>38.01</v>
      </c>
      <c r="H5064" s="3">
        <v>959.22101637175001</v>
      </c>
      <c r="I5064" s="3">
        <v>38.270000000000003</v>
      </c>
      <c r="J5064" s="3">
        <v>38.49</v>
      </c>
      <c r="K5064" s="3">
        <v>37.909999999999997</v>
      </c>
      <c r="L5064" s="3">
        <v>959.22101637175001</v>
      </c>
    </row>
    <row r="5065" spans="1:12" ht="15" customHeight="1" x14ac:dyDescent="0.2">
      <c r="A5065" s="2">
        <v>38699</v>
      </c>
      <c r="B5065" s="3">
        <v>38.25</v>
      </c>
      <c r="C5065" s="1">
        <v>551255</v>
      </c>
      <c r="D5065" s="3">
        <v>0.53000000000000103</v>
      </c>
      <c r="E5065" s="3">
        <v>1.4050901378578999</v>
      </c>
      <c r="F5065" s="3">
        <v>1.4050901378578999</v>
      </c>
      <c r="G5065" s="3">
        <v>38.25</v>
      </c>
      <c r="H5065" s="3">
        <v>965.90907330227401</v>
      </c>
      <c r="I5065" s="3">
        <v>37.65</v>
      </c>
      <c r="J5065" s="3">
        <v>38.47</v>
      </c>
      <c r="K5065" s="3">
        <v>37.5</v>
      </c>
      <c r="L5065" s="3">
        <v>965.90907330227401</v>
      </c>
    </row>
    <row r="5066" spans="1:12" ht="15" customHeight="1" x14ac:dyDescent="0.2">
      <c r="A5066" s="2">
        <v>38698</v>
      </c>
      <c r="B5066" s="3">
        <v>37.72</v>
      </c>
      <c r="C5066" s="1">
        <v>459946</v>
      </c>
      <c r="D5066" s="3">
        <v>0.28999999999999898</v>
      </c>
      <c r="E5066" s="3">
        <v>0.77477958856531004</v>
      </c>
      <c r="F5066" s="3">
        <v>0.77477958856531004</v>
      </c>
      <c r="G5066" s="3">
        <v>37.72</v>
      </c>
      <c r="H5066" s="3">
        <v>951.13961424736704</v>
      </c>
      <c r="I5066" s="3">
        <v>37.49</v>
      </c>
      <c r="J5066" s="3">
        <v>37.729999999999997</v>
      </c>
      <c r="K5066" s="3">
        <v>37.42</v>
      </c>
      <c r="L5066" s="3">
        <v>951.13961424736704</v>
      </c>
    </row>
    <row r="5067" spans="1:12" ht="15" customHeight="1" x14ac:dyDescent="0.2">
      <c r="A5067" s="2">
        <v>38695</v>
      </c>
      <c r="B5067" s="3">
        <v>37.43</v>
      </c>
      <c r="C5067" s="1">
        <v>491749</v>
      </c>
      <c r="D5067" s="3">
        <v>0.149999999999998</v>
      </c>
      <c r="E5067" s="3">
        <v>0.40236051502144898</v>
      </c>
      <c r="F5067" s="3">
        <v>0.40236051502144898</v>
      </c>
      <c r="G5067" s="3">
        <v>37.43</v>
      </c>
      <c r="H5067" s="3">
        <v>943.05821212298304</v>
      </c>
      <c r="I5067" s="3">
        <v>37.43</v>
      </c>
      <c r="J5067" s="3">
        <v>37.47</v>
      </c>
      <c r="K5067" s="3">
        <v>37.01</v>
      </c>
      <c r="L5067" s="3">
        <v>943.05821212298304</v>
      </c>
    </row>
    <row r="5068" spans="1:12" ht="15" customHeight="1" x14ac:dyDescent="0.2">
      <c r="A5068" s="2">
        <v>38694</v>
      </c>
      <c r="B5068" s="3">
        <v>37.28</v>
      </c>
      <c r="C5068" s="1">
        <v>720507</v>
      </c>
      <c r="D5068" s="3">
        <v>-0.119999999999997</v>
      </c>
      <c r="E5068" s="3">
        <v>-0.32085561497325799</v>
      </c>
      <c r="F5068" s="3">
        <v>-0.32085561497325799</v>
      </c>
      <c r="G5068" s="3">
        <v>37.28</v>
      </c>
      <c r="H5068" s="3">
        <v>938.87817654140599</v>
      </c>
      <c r="I5068" s="3">
        <v>37.19</v>
      </c>
      <c r="J5068" s="3">
        <v>37.42</v>
      </c>
      <c r="K5068" s="3">
        <v>36.78</v>
      </c>
      <c r="L5068" s="3">
        <v>938.87817654140599</v>
      </c>
    </row>
    <row r="5069" spans="1:12" ht="15" customHeight="1" x14ac:dyDescent="0.2">
      <c r="A5069" s="2">
        <v>38693</v>
      </c>
      <c r="B5069" s="3">
        <v>37.4</v>
      </c>
      <c r="C5069" s="1">
        <v>504261</v>
      </c>
      <c r="D5069" s="3">
        <v>-0.100000000000001</v>
      </c>
      <c r="E5069" s="3">
        <v>-0.26666666666666999</v>
      </c>
      <c r="F5069" s="3">
        <v>-0.26666666666666999</v>
      </c>
      <c r="G5069" s="3">
        <v>37.4</v>
      </c>
      <c r="H5069" s="3">
        <v>942.22220500666799</v>
      </c>
      <c r="I5069" s="3">
        <v>37.44</v>
      </c>
      <c r="J5069" s="3">
        <v>37.75</v>
      </c>
      <c r="K5069" s="3">
        <v>37.19</v>
      </c>
      <c r="L5069" s="3">
        <v>942.22220500666799</v>
      </c>
    </row>
    <row r="5070" spans="1:12" ht="15" customHeight="1" x14ac:dyDescent="0.2">
      <c r="A5070" s="2">
        <v>38692</v>
      </c>
      <c r="B5070" s="3">
        <v>37.5</v>
      </c>
      <c r="C5070" s="1">
        <v>720972</v>
      </c>
      <c r="D5070" s="3">
        <v>0.5</v>
      </c>
      <c r="E5070" s="3">
        <v>1.35135135135135</v>
      </c>
      <c r="F5070" s="3">
        <v>1.35135135135135</v>
      </c>
      <c r="G5070" s="3">
        <v>37.5</v>
      </c>
      <c r="H5070" s="3">
        <v>945.00889539438595</v>
      </c>
      <c r="I5070" s="3">
        <v>37.090000000000003</v>
      </c>
      <c r="J5070" s="3">
        <v>37.64</v>
      </c>
      <c r="K5070" s="3">
        <v>37.06</v>
      </c>
      <c r="L5070" s="3">
        <v>945.00889539438595</v>
      </c>
    </row>
    <row r="5071" spans="1:12" ht="15" customHeight="1" x14ac:dyDescent="0.2">
      <c r="A5071" s="2">
        <v>38691</v>
      </c>
      <c r="B5071" s="3">
        <v>37</v>
      </c>
      <c r="C5071" s="1">
        <v>638666</v>
      </c>
      <c r="D5071" s="3">
        <v>-4.9999999999997102E-2</v>
      </c>
      <c r="E5071" s="3">
        <v>-0.13495276653170399</v>
      </c>
      <c r="F5071" s="3">
        <v>-0.13495276653170399</v>
      </c>
      <c r="G5071" s="3">
        <v>37</v>
      </c>
      <c r="H5071" s="3">
        <v>931.07544345579402</v>
      </c>
      <c r="I5071" s="3">
        <v>37.1</v>
      </c>
      <c r="J5071" s="3">
        <v>37.18</v>
      </c>
      <c r="K5071" s="3">
        <v>36.799999999999997</v>
      </c>
      <c r="L5071" s="3">
        <v>931.07544345579402</v>
      </c>
    </row>
    <row r="5072" spans="1:12" ht="15" customHeight="1" x14ac:dyDescent="0.2">
      <c r="A5072" s="2">
        <v>38688</v>
      </c>
      <c r="B5072" s="3">
        <v>37.049999999999997</v>
      </c>
      <c r="C5072" s="1">
        <v>558413</v>
      </c>
      <c r="D5072" s="3">
        <v>-9.0000000000003397E-2</v>
      </c>
      <c r="E5072" s="3">
        <v>-0.24232633279483901</v>
      </c>
      <c r="F5072" s="3">
        <v>-0.24232633279483901</v>
      </c>
      <c r="G5072" s="3">
        <v>37.049999999999997</v>
      </c>
      <c r="H5072" s="3">
        <v>932.46878864965299</v>
      </c>
      <c r="I5072" s="3">
        <v>37.18</v>
      </c>
      <c r="J5072" s="3">
        <v>37.200000000000003</v>
      </c>
      <c r="K5072" s="3">
        <v>36.6875</v>
      </c>
      <c r="L5072" s="3">
        <v>932.46878864965299</v>
      </c>
    </row>
    <row r="5073" spans="1:12" ht="15" customHeight="1" x14ac:dyDescent="0.2">
      <c r="A5073" s="2">
        <v>38687</v>
      </c>
      <c r="B5073" s="3">
        <v>37.14</v>
      </c>
      <c r="C5073" s="1">
        <v>1116392</v>
      </c>
      <c r="D5073" s="3">
        <v>0.42999999999999899</v>
      </c>
      <c r="E5073" s="3">
        <v>1.1713429583219701</v>
      </c>
      <c r="F5073" s="3">
        <v>1.1713429583219701</v>
      </c>
      <c r="G5073" s="3">
        <v>37.14</v>
      </c>
      <c r="H5073" s="3">
        <v>934.97680999859995</v>
      </c>
      <c r="I5073" s="3">
        <v>36.74</v>
      </c>
      <c r="J5073" s="3">
        <v>37.92</v>
      </c>
      <c r="K5073" s="3">
        <v>36.74</v>
      </c>
      <c r="L5073" s="3">
        <v>934.97680999859995</v>
      </c>
    </row>
    <row r="5074" spans="1:12" ht="15" customHeight="1" x14ac:dyDescent="0.2">
      <c r="A5074" s="2">
        <v>38686</v>
      </c>
      <c r="B5074" s="3">
        <v>36.71</v>
      </c>
      <c r="C5074" s="1">
        <v>1086267</v>
      </c>
      <c r="D5074" s="3">
        <v>0.310000000000002</v>
      </c>
      <c r="E5074" s="3">
        <v>0.85164835164834796</v>
      </c>
      <c r="F5074" s="3">
        <v>0.85164835164834796</v>
      </c>
      <c r="G5074" s="3">
        <v>36.71</v>
      </c>
      <c r="H5074" s="3">
        <v>922.99404133141104</v>
      </c>
      <c r="I5074" s="3">
        <v>36.5</v>
      </c>
      <c r="J5074" s="3">
        <v>37.25</v>
      </c>
      <c r="K5074" s="3">
        <v>36.32</v>
      </c>
      <c r="L5074" s="3">
        <v>922.99404133141104</v>
      </c>
    </row>
    <row r="5075" spans="1:12" ht="15" customHeight="1" x14ac:dyDescent="0.2">
      <c r="A5075" s="2">
        <v>38685</v>
      </c>
      <c r="B5075" s="3">
        <v>36.4</v>
      </c>
      <c r="C5075" s="1">
        <v>528064</v>
      </c>
      <c r="D5075" s="3">
        <v>3.0000000000001099E-2</v>
      </c>
      <c r="E5075" s="3">
        <v>8.2485565026124696E-2</v>
      </c>
      <c r="F5075" s="3">
        <v>8.2485565026124696E-2</v>
      </c>
      <c r="G5075" s="3">
        <v>36.4</v>
      </c>
      <c r="H5075" s="3">
        <v>914.35530112948402</v>
      </c>
      <c r="I5075" s="3">
        <v>36.49</v>
      </c>
      <c r="J5075" s="3">
        <v>36.65</v>
      </c>
      <c r="K5075" s="3">
        <v>36.21</v>
      </c>
      <c r="L5075" s="3">
        <v>914.35530112948402</v>
      </c>
    </row>
    <row r="5076" spans="1:12" ht="15" customHeight="1" x14ac:dyDescent="0.2">
      <c r="A5076" s="2">
        <v>38684</v>
      </c>
      <c r="B5076" s="3">
        <v>36.369999999999997</v>
      </c>
      <c r="C5076" s="1">
        <v>1061881</v>
      </c>
      <c r="D5076" s="3">
        <v>0.87999999999999501</v>
      </c>
      <c r="E5076" s="3">
        <v>2.4795717103409198</v>
      </c>
      <c r="F5076" s="3">
        <v>2.4795717103409198</v>
      </c>
      <c r="G5076" s="3">
        <v>36.369999999999997</v>
      </c>
      <c r="H5076" s="3">
        <v>913.51929401316897</v>
      </c>
      <c r="I5076" s="3">
        <v>36.01</v>
      </c>
      <c r="J5076" s="3">
        <v>36.72</v>
      </c>
      <c r="K5076" s="3">
        <v>35.89</v>
      </c>
      <c r="L5076" s="3">
        <v>913.51929401316897</v>
      </c>
    </row>
    <row r="5077" spans="1:12" ht="15" customHeight="1" x14ac:dyDescent="0.2">
      <c r="A5077" s="2">
        <v>38681</v>
      </c>
      <c r="B5077" s="3">
        <v>35.49</v>
      </c>
      <c r="C5077" s="1">
        <v>115610</v>
      </c>
      <c r="D5077" s="3">
        <v>-0.16999999999999399</v>
      </c>
      <c r="E5077" s="3">
        <v>-0.47672462142455102</v>
      </c>
      <c r="F5077" s="3">
        <v>-0.47672462142455102</v>
      </c>
      <c r="G5077" s="3">
        <v>35.49</v>
      </c>
      <c r="H5077" s="3">
        <v>888.996418601247</v>
      </c>
      <c r="I5077" s="3">
        <v>35.5</v>
      </c>
      <c r="J5077" s="3">
        <v>35.6</v>
      </c>
      <c r="K5077" s="3">
        <v>35.28</v>
      </c>
      <c r="L5077" s="3">
        <v>888.996418601247</v>
      </c>
    </row>
    <row r="5078" spans="1:12" ht="15" customHeight="1" x14ac:dyDescent="0.2">
      <c r="A5078" s="2">
        <v>38679</v>
      </c>
      <c r="B5078" s="3">
        <v>35.659999999999997</v>
      </c>
      <c r="C5078" s="1">
        <v>630648</v>
      </c>
      <c r="D5078" s="3">
        <v>0.95999999999999297</v>
      </c>
      <c r="E5078" s="3">
        <v>2.7665706051873</v>
      </c>
      <c r="F5078" s="3">
        <v>2.7665706051873</v>
      </c>
      <c r="G5078" s="3">
        <v>35.659999999999997</v>
      </c>
      <c r="H5078" s="3">
        <v>893.73379226036798</v>
      </c>
      <c r="I5078" s="3">
        <v>34.56</v>
      </c>
      <c r="J5078" s="3">
        <v>35.770000000000003</v>
      </c>
      <c r="K5078" s="3">
        <v>34.46</v>
      </c>
      <c r="L5078" s="3">
        <v>893.73379226036798</v>
      </c>
    </row>
    <row r="5079" spans="1:12" ht="15" customHeight="1" x14ac:dyDescent="0.2">
      <c r="A5079" s="2">
        <v>38678</v>
      </c>
      <c r="B5079" s="3">
        <v>34.700000000000003</v>
      </c>
      <c r="C5079" s="1">
        <v>720721</v>
      </c>
      <c r="D5079" s="3">
        <v>-0.52999999999999403</v>
      </c>
      <c r="E5079" s="3">
        <v>-1.5043996593811899</v>
      </c>
      <c r="F5079" s="3">
        <v>-1.5043996593811899</v>
      </c>
      <c r="G5079" s="3">
        <v>34.700000000000003</v>
      </c>
      <c r="H5079" s="3">
        <v>866.98156453827198</v>
      </c>
      <c r="I5079" s="3">
        <v>35.19</v>
      </c>
      <c r="J5079" s="3">
        <v>35.25</v>
      </c>
      <c r="K5079" s="3">
        <v>34.61</v>
      </c>
      <c r="L5079" s="3">
        <v>866.98156453827198</v>
      </c>
    </row>
    <row r="5080" spans="1:12" ht="15" customHeight="1" x14ac:dyDescent="0.2">
      <c r="A5080" s="2">
        <v>38677</v>
      </c>
      <c r="B5080" s="3">
        <v>35.229999999999997</v>
      </c>
      <c r="C5080" s="1">
        <v>353622</v>
      </c>
      <c r="D5080" s="3">
        <v>0.44999999999999502</v>
      </c>
      <c r="E5080" s="3">
        <v>1.29384703852788</v>
      </c>
      <c r="F5080" s="3">
        <v>1.29384703852788</v>
      </c>
      <c r="G5080" s="3">
        <v>35.229999999999997</v>
      </c>
      <c r="H5080" s="3">
        <v>881.75102359317896</v>
      </c>
      <c r="I5080" s="3">
        <v>34.799999999999997</v>
      </c>
      <c r="J5080" s="3">
        <v>35.25</v>
      </c>
      <c r="K5080" s="3">
        <v>34.35</v>
      </c>
      <c r="L5080" s="3">
        <v>881.75102359317896</v>
      </c>
    </row>
    <row r="5081" spans="1:12" ht="15" customHeight="1" x14ac:dyDescent="0.2">
      <c r="A5081" s="2">
        <v>38674</v>
      </c>
      <c r="B5081" s="3">
        <v>34.78</v>
      </c>
      <c r="C5081" s="1">
        <v>754181</v>
      </c>
      <c r="D5081" s="3">
        <v>0.28000000000000103</v>
      </c>
      <c r="E5081" s="3">
        <v>0.81159420289855699</v>
      </c>
      <c r="F5081" s="3">
        <v>0.81159420289855699</v>
      </c>
      <c r="G5081" s="3">
        <v>34.78</v>
      </c>
      <c r="H5081" s="3">
        <v>869.21091684844703</v>
      </c>
      <c r="I5081" s="3">
        <v>34.5</v>
      </c>
      <c r="J5081" s="3">
        <v>35.25</v>
      </c>
      <c r="K5081" s="3">
        <v>34.450000000000003</v>
      </c>
      <c r="L5081" s="3">
        <v>869.21091684844703</v>
      </c>
    </row>
    <row r="5082" spans="1:12" ht="15" customHeight="1" x14ac:dyDescent="0.2">
      <c r="A5082" s="2">
        <v>38673</v>
      </c>
      <c r="B5082" s="3">
        <v>34.5</v>
      </c>
      <c r="C5082" s="1">
        <v>380333</v>
      </c>
      <c r="D5082" s="3">
        <v>0.189999999999997</v>
      </c>
      <c r="E5082" s="3">
        <v>0.55377440979305004</v>
      </c>
      <c r="F5082" s="3">
        <v>0.55377440979305004</v>
      </c>
      <c r="G5082" s="3">
        <v>34.5</v>
      </c>
      <c r="H5082" s="3">
        <v>861.40818376283505</v>
      </c>
      <c r="I5082" s="3">
        <v>34.43</v>
      </c>
      <c r="J5082" s="3">
        <v>34.72</v>
      </c>
      <c r="K5082" s="3">
        <v>34.25</v>
      </c>
      <c r="L5082" s="3">
        <v>861.40818376283505</v>
      </c>
    </row>
    <row r="5083" spans="1:12" ht="15" customHeight="1" x14ac:dyDescent="0.2">
      <c r="A5083" s="2">
        <v>38672</v>
      </c>
      <c r="B5083" s="3">
        <v>34.31</v>
      </c>
      <c r="C5083" s="1">
        <v>399848</v>
      </c>
      <c r="D5083" s="3">
        <v>0.160000000000003</v>
      </c>
      <c r="E5083" s="3">
        <v>0.46852122986824601</v>
      </c>
      <c r="F5083" s="3">
        <v>0.46852122986824601</v>
      </c>
      <c r="G5083" s="3">
        <v>34.31</v>
      </c>
      <c r="H5083" s="3">
        <v>856.11347202617003</v>
      </c>
      <c r="I5083" s="3">
        <v>34.24</v>
      </c>
      <c r="J5083" s="3">
        <v>34.44</v>
      </c>
      <c r="K5083" s="3">
        <v>33.67</v>
      </c>
      <c r="L5083" s="3">
        <v>856.11347202617003</v>
      </c>
    </row>
    <row r="5084" spans="1:12" ht="15" customHeight="1" x14ac:dyDescent="0.2">
      <c r="A5084" s="2">
        <v>38671</v>
      </c>
      <c r="B5084" s="3">
        <v>34.15</v>
      </c>
      <c r="C5084" s="1">
        <v>719429</v>
      </c>
      <c r="D5084" s="3">
        <v>-0.380000000000002</v>
      </c>
      <c r="E5084" s="3">
        <v>-1.10049232551405</v>
      </c>
      <c r="F5084" s="3">
        <v>-1.10049232551405</v>
      </c>
      <c r="G5084" s="3">
        <v>34.15</v>
      </c>
      <c r="H5084" s="3">
        <v>851.65476740582096</v>
      </c>
      <c r="I5084" s="3">
        <v>34.47</v>
      </c>
      <c r="J5084" s="3">
        <v>34.700000000000003</v>
      </c>
      <c r="K5084" s="3">
        <v>33.549999999999997</v>
      </c>
      <c r="L5084" s="3">
        <v>851.65476740582096</v>
      </c>
    </row>
    <row r="5085" spans="1:12" ht="15" customHeight="1" x14ac:dyDescent="0.2">
      <c r="A5085" s="2">
        <v>38670</v>
      </c>
      <c r="B5085" s="3">
        <v>34.53</v>
      </c>
      <c r="C5085" s="1">
        <v>653853</v>
      </c>
      <c r="D5085" s="3">
        <v>-0.69999999999999496</v>
      </c>
      <c r="E5085" s="3">
        <v>-1.9869429463525301</v>
      </c>
      <c r="F5085" s="3">
        <v>-1.9869429463525301</v>
      </c>
      <c r="G5085" s="3">
        <v>34.53</v>
      </c>
      <c r="H5085" s="3">
        <v>862.24419087915101</v>
      </c>
      <c r="I5085" s="3">
        <v>34.44</v>
      </c>
      <c r="J5085" s="3">
        <v>34.92</v>
      </c>
      <c r="K5085" s="3">
        <v>34.43</v>
      </c>
      <c r="L5085" s="3">
        <v>862.24419087915101</v>
      </c>
    </row>
    <row r="5086" spans="1:12" ht="15" customHeight="1" x14ac:dyDescent="0.2">
      <c r="A5086" s="2">
        <v>38667</v>
      </c>
      <c r="B5086" s="3">
        <v>35.229999999999997</v>
      </c>
      <c r="C5086" s="1">
        <v>386872</v>
      </c>
      <c r="D5086" s="3">
        <v>-0.190000000000004</v>
      </c>
      <c r="E5086" s="3">
        <v>-0.53642010163750198</v>
      </c>
      <c r="F5086" s="3">
        <v>-0.53642010163750198</v>
      </c>
      <c r="G5086" s="3">
        <v>35.229999999999997</v>
      </c>
      <c r="H5086" s="3">
        <v>881.75102359317896</v>
      </c>
      <c r="I5086" s="3">
        <v>35.36</v>
      </c>
      <c r="J5086" s="3">
        <v>35.51</v>
      </c>
      <c r="K5086" s="3">
        <v>34.979999999999997</v>
      </c>
      <c r="L5086" s="3">
        <v>881.75102359317896</v>
      </c>
    </row>
    <row r="5087" spans="1:12" ht="15" customHeight="1" x14ac:dyDescent="0.2">
      <c r="A5087" s="2">
        <v>38666</v>
      </c>
      <c r="B5087" s="3">
        <v>35.42</v>
      </c>
      <c r="C5087" s="1">
        <v>554553</v>
      </c>
      <c r="D5087" s="3">
        <v>-0.15999999999999601</v>
      </c>
      <c r="E5087" s="3">
        <v>-0.44969083754917699</v>
      </c>
      <c r="F5087" s="3">
        <v>-0.44969083754917699</v>
      </c>
      <c r="G5087" s="3">
        <v>35.42</v>
      </c>
      <c r="H5087" s="3">
        <v>887.04573532984398</v>
      </c>
      <c r="I5087" s="3">
        <v>35.57</v>
      </c>
      <c r="J5087" s="3">
        <v>35.71</v>
      </c>
      <c r="K5087" s="3">
        <v>35</v>
      </c>
      <c r="L5087" s="3">
        <v>887.04573532984398</v>
      </c>
    </row>
    <row r="5088" spans="1:12" ht="15" customHeight="1" x14ac:dyDescent="0.2">
      <c r="A5088" s="2">
        <v>38665</v>
      </c>
      <c r="B5088" s="3">
        <v>35.58</v>
      </c>
      <c r="C5088" s="1">
        <v>530542</v>
      </c>
      <c r="D5088" s="3">
        <v>0.33999999999999603</v>
      </c>
      <c r="E5088" s="3">
        <v>0.96481271282631198</v>
      </c>
      <c r="F5088" s="3">
        <v>0.96481271282631198</v>
      </c>
      <c r="G5088" s="3">
        <v>35.58</v>
      </c>
      <c r="H5088" s="3">
        <v>891.50443995019396</v>
      </c>
      <c r="I5088" s="3">
        <v>35.270000000000003</v>
      </c>
      <c r="J5088" s="3">
        <v>35.78</v>
      </c>
      <c r="K5088" s="3">
        <v>35.259</v>
      </c>
      <c r="L5088" s="3">
        <v>891.50443995019396</v>
      </c>
    </row>
    <row r="5089" spans="1:12" ht="15" customHeight="1" x14ac:dyDescent="0.2">
      <c r="A5089" s="2">
        <v>38664</v>
      </c>
      <c r="B5089" s="3">
        <v>35.24</v>
      </c>
      <c r="C5089" s="1">
        <v>1268444</v>
      </c>
      <c r="D5089" s="3">
        <v>-0.90999999999999603</v>
      </c>
      <c r="E5089" s="3">
        <v>-2.5172890733056601</v>
      </c>
      <c r="F5089" s="3">
        <v>-2.5172890733056601</v>
      </c>
      <c r="G5089" s="3">
        <v>35.24</v>
      </c>
      <c r="H5089" s="3">
        <v>882.02969263195098</v>
      </c>
      <c r="I5089" s="3">
        <v>34.950000000000003</v>
      </c>
      <c r="J5089" s="3">
        <v>35.44</v>
      </c>
      <c r="K5089" s="3">
        <v>34.93</v>
      </c>
      <c r="L5089" s="3">
        <v>882.02969263195098</v>
      </c>
    </row>
    <row r="5090" spans="1:12" ht="15" customHeight="1" x14ac:dyDescent="0.2">
      <c r="A5090" s="2">
        <v>38663</v>
      </c>
      <c r="B5090" s="3">
        <v>36.15</v>
      </c>
      <c r="C5090" s="1">
        <v>1271121</v>
      </c>
      <c r="D5090" s="3">
        <v>0.149999999999998</v>
      </c>
      <c r="E5090" s="3">
        <v>0.41666666666666502</v>
      </c>
      <c r="F5090" s="3">
        <v>0.41666666666666502</v>
      </c>
      <c r="G5090" s="3">
        <v>36.15</v>
      </c>
      <c r="H5090" s="3">
        <v>907.388575160188</v>
      </c>
      <c r="I5090" s="3">
        <v>36</v>
      </c>
      <c r="J5090" s="3">
        <v>36.78</v>
      </c>
      <c r="K5090" s="3">
        <v>35.804499999999997</v>
      </c>
      <c r="L5090" s="3">
        <v>907.388575160188</v>
      </c>
    </row>
    <row r="5091" spans="1:12" ht="15" customHeight="1" x14ac:dyDescent="0.2">
      <c r="A5091" s="2">
        <v>38660</v>
      </c>
      <c r="B5091" s="3">
        <v>36</v>
      </c>
      <c r="C5091" s="1">
        <v>458360</v>
      </c>
      <c r="D5091" s="3">
        <v>0.39999999999999802</v>
      </c>
      <c r="E5091" s="3">
        <v>1.1235955056179801</v>
      </c>
      <c r="F5091" s="3">
        <v>1.1235955056179801</v>
      </c>
      <c r="G5091" s="3">
        <v>36</v>
      </c>
      <c r="H5091" s="3">
        <v>903.20853957861095</v>
      </c>
      <c r="I5091" s="3">
        <v>35.51</v>
      </c>
      <c r="J5091" s="3">
        <v>36</v>
      </c>
      <c r="K5091" s="3">
        <v>35.43</v>
      </c>
      <c r="L5091" s="3">
        <v>903.20853957861095</v>
      </c>
    </row>
    <row r="5092" spans="1:12" ht="15" customHeight="1" x14ac:dyDescent="0.2">
      <c r="A5092" s="2">
        <v>38659</v>
      </c>
      <c r="B5092" s="3">
        <v>35.6</v>
      </c>
      <c r="C5092" s="1">
        <v>700599</v>
      </c>
      <c r="D5092" s="3">
        <v>0.49000000000000199</v>
      </c>
      <c r="E5092" s="3">
        <v>1.3956137852463699</v>
      </c>
      <c r="F5092" s="3">
        <v>1.3956137852463699</v>
      </c>
      <c r="G5092" s="3">
        <v>35.6</v>
      </c>
      <c r="H5092" s="3">
        <v>892.06177802773698</v>
      </c>
      <c r="I5092" s="3">
        <v>35.21</v>
      </c>
      <c r="J5092" s="3">
        <v>35.950000000000003</v>
      </c>
      <c r="K5092" s="3">
        <v>35.19</v>
      </c>
      <c r="L5092" s="3">
        <v>892.06177802773698</v>
      </c>
    </row>
    <row r="5093" spans="1:12" ht="15" customHeight="1" x14ac:dyDescent="0.2">
      <c r="A5093" s="2">
        <v>38658</v>
      </c>
      <c r="B5093" s="3">
        <v>35.11</v>
      </c>
      <c r="C5093" s="1">
        <v>907504</v>
      </c>
      <c r="D5093" s="3">
        <v>0.67999999999999905</v>
      </c>
      <c r="E5093" s="3">
        <v>1.97502178332849</v>
      </c>
      <c r="F5093" s="3">
        <v>1.97502178332849</v>
      </c>
      <c r="G5093" s="3">
        <v>35.11</v>
      </c>
      <c r="H5093" s="3">
        <v>878.40699512791696</v>
      </c>
      <c r="I5093" s="3">
        <v>34.39</v>
      </c>
      <c r="J5093" s="3">
        <v>35.36</v>
      </c>
      <c r="K5093" s="3">
        <v>34.35</v>
      </c>
      <c r="L5093" s="3">
        <v>878.40699512791696</v>
      </c>
    </row>
    <row r="5094" spans="1:12" ht="15" customHeight="1" x14ac:dyDescent="0.2">
      <c r="A5094" s="2">
        <v>38657</v>
      </c>
      <c r="B5094" s="3">
        <v>34.43</v>
      </c>
      <c r="C5094" s="1">
        <v>665866</v>
      </c>
      <c r="D5094" s="3">
        <v>0.109999999999999</v>
      </c>
      <c r="E5094" s="3">
        <v>0.32051282051281899</v>
      </c>
      <c r="F5094" s="3">
        <v>0.32051282051281899</v>
      </c>
      <c r="G5094" s="3">
        <v>34.43</v>
      </c>
      <c r="H5094" s="3">
        <v>859.45750049143203</v>
      </c>
      <c r="I5094" s="3">
        <v>34.22</v>
      </c>
      <c r="J5094" s="3">
        <v>34.74</v>
      </c>
      <c r="K5094" s="3">
        <v>33.869999999999997</v>
      </c>
      <c r="L5094" s="3">
        <v>859.45750049143203</v>
      </c>
    </row>
    <row r="5095" spans="1:12" ht="15" customHeight="1" x14ac:dyDescent="0.2">
      <c r="A5095" s="2">
        <v>38656</v>
      </c>
      <c r="B5095" s="3">
        <v>34.32</v>
      </c>
      <c r="C5095" s="1">
        <v>1077715</v>
      </c>
      <c r="D5095" s="3">
        <v>0.56000000000000205</v>
      </c>
      <c r="E5095" s="3">
        <v>1.6587677725118599</v>
      </c>
      <c r="F5095" s="3">
        <v>1.6587677725118599</v>
      </c>
      <c r="G5095" s="3">
        <v>34.32</v>
      </c>
      <c r="H5095" s="3">
        <v>856.39214106494205</v>
      </c>
      <c r="I5095" s="3">
        <v>33.770000000000003</v>
      </c>
      <c r="J5095" s="3">
        <v>34.799999999999997</v>
      </c>
      <c r="K5095" s="3">
        <v>33.65</v>
      </c>
      <c r="L5095" s="3">
        <v>856.39214106494205</v>
      </c>
    </row>
    <row r="5096" spans="1:12" ht="15" customHeight="1" x14ac:dyDescent="0.2">
      <c r="A5096" s="2">
        <v>38653</v>
      </c>
      <c r="B5096" s="3">
        <v>33.76</v>
      </c>
      <c r="C5096" s="1">
        <v>606562</v>
      </c>
      <c r="D5096" s="3">
        <v>1.00999999999999</v>
      </c>
      <c r="E5096" s="3">
        <v>3.0839694656488299</v>
      </c>
      <c r="F5096" s="3">
        <v>3.0839694656488299</v>
      </c>
      <c r="G5096" s="3">
        <v>33.76</v>
      </c>
      <c r="H5096" s="3">
        <v>840.78667489371901</v>
      </c>
      <c r="I5096" s="3">
        <v>32.909999999999997</v>
      </c>
      <c r="J5096" s="3">
        <v>33.97</v>
      </c>
      <c r="K5096" s="3">
        <v>32.854999999999997</v>
      </c>
      <c r="L5096" s="3">
        <v>840.78667489371901</v>
      </c>
    </row>
    <row r="5097" spans="1:12" ht="15" customHeight="1" x14ac:dyDescent="0.2">
      <c r="A5097" s="2">
        <v>38652</v>
      </c>
      <c r="B5097" s="3">
        <v>32.75</v>
      </c>
      <c r="C5097" s="1">
        <v>594917</v>
      </c>
      <c r="D5097" s="3">
        <v>-0.78999999999999904</v>
      </c>
      <c r="E5097" s="3">
        <v>-2.3553965414430502</v>
      </c>
      <c r="F5097" s="3">
        <v>-2.3553965414430502</v>
      </c>
      <c r="G5097" s="3">
        <v>32.75</v>
      </c>
      <c r="H5097" s="3">
        <v>812.64110197776404</v>
      </c>
      <c r="I5097" s="3">
        <v>33.44</v>
      </c>
      <c r="J5097" s="3">
        <v>33.57</v>
      </c>
      <c r="K5097" s="3">
        <v>32.700000000000003</v>
      </c>
      <c r="L5097" s="3">
        <v>812.64110197776404</v>
      </c>
    </row>
    <row r="5098" spans="1:12" ht="15" customHeight="1" x14ac:dyDescent="0.2">
      <c r="A5098" s="2">
        <v>38651</v>
      </c>
      <c r="B5098" s="3">
        <v>33.54</v>
      </c>
      <c r="C5098" s="1">
        <v>975503</v>
      </c>
      <c r="D5098" s="3">
        <v>-1.07</v>
      </c>
      <c r="E5098" s="3">
        <v>-3.0915920254261802</v>
      </c>
      <c r="F5098" s="3">
        <v>-3.0915920254261802</v>
      </c>
      <c r="G5098" s="3">
        <v>33.54</v>
      </c>
      <c r="H5098" s="3">
        <v>834.65595604073906</v>
      </c>
      <c r="I5098" s="3">
        <v>34.33</v>
      </c>
      <c r="J5098" s="3">
        <v>34.4</v>
      </c>
      <c r="K5098" s="3">
        <v>33.409999999999997</v>
      </c>
      <c r="L5098" s="3">
        <v>834.65595604073906</v>
      </c>
    </row>
    <row r="5099" spans="1:12" ht="15" customHeight="1" x14ac:dyDescent="0.2">
      <c r="A5099" s="2">
        <v>38650</v>
      </c>
      <c r="B5099" s="3">
        <v>34.61</v>
      </c>
      <c r="C5099" s="1">
        <v>813829</v>
      </c>
      <c r="D5099" s="3">
        <v>-9.0000000000003397E-2</v>
      </c>
      <c r="E5099" s="3">
        <v>-0.25936599423631501</v>
      </c>
      <c r="F5099" s="3">
        <v>-0.25936599423631501</v>
      </c>
      <c r="G5099" s="3">
        <v>34.61</v>
      </c>
      <c r="H5099" s="3">
        <v>864.47354318932503</v>
      </c>
      <c r="I5099" s="3">
        <v>34.5</v>
      </c>
      <c r="J5099" s="3">
        <v>35.270000000000003</v>
      </c>
      <c r="K5099" s="3">
        <v>34.14</v>
      </c>
      <c r="L5099" s="3">
        <v>864.47354318932503</v>
      </c>
    </row>
    <row r="5100" spans="1:12" ht="15" customHeight="1" x14ac:dyDescent="0.2">
      <c r="A5100" s="2">
        <v>38649</v>
      </c>
      <c r="B5100" s="3">
        <v>34.700000000000003</v>
      </c>
      <c r="C5100" s="1">
        <v>834648</v>
      </c>
      <c r="D5100" s="3">
        <v>0.41000000000000297</v>
      </c>
      <c r="E5100" s="3">
        <v>1.1956838728492201</v>
      </c>
      <c r="F5100" s="3">
        <v>1.1956838728492201</v>
      </c>
      <c r="G5100" s="3">
        <v>34.700000000000003</v>
      </c>
      <c r="H5100" s="3">
        <v>866.98156453827198</v>
      </c>
      <c r="I5100" s="3">
        <v>34.49</v>
      </c>
      <c r="J5100" s="3">
        <v>35.450000000000003</v>
      </c>
      <c r="K5100" s="3">
        <v>34.36</v>
      </c>
      <c r="L5100" s="3">
        <v>866.98156453827198</v>
      </c>
    </row>
    <row r="5101" spans="1:12" ht="15" customHeight="1" x14ac:dyDescent="0.2">
      <c r="A5101" s="2">
        <v>38646</v>
      </c>
      <c r="B5101" s="3">
        <v>34.29</v>
      </c>
      <c r="C5101" s="1">
        <v>2067560</v>
      </c>
      <c r="D5101" s="3">
        <v>-6.0000000000002197E-2</v>
      </c>
      <c r="E5101" s="3">
        <v>-0.174672489082972</v>
      </c>
      <c r="F5101" s="3">
        <v>-0.174672489082972</v>
      </c>
      <c r="G5101" s="3">
        <v>34.29</v>
      </c>
      <c r="H5101" s="3">
        <v>855.55613394862701</v>
      </c>
      <c r="I5101" s="3">
        <v>34.200000000000003</v>
      </c>
      <c r="J5101" s="3">
        <v>34.78</v>
      </c>
      <c r="K5101" s="3">
        <v>33.64</v>
      </c>
      <c r="L5101" s="3">
        <v>855.55613394862701</v>
      </c>
    </row>
    <row r="5102" spans="1:12" ht="15" customHeight="1" x14ac:dyDescent="0.2">
      <c r="A5102" s="2">
        <v>38645</v>
      </c>
      <c r="B5102" s="3">
        <v>34.35</v>
      </c>
      <c r="C5102" s="1">
        <v>1469142</v>
      </c>
      <c r="D5102" s="3">
        <v>-0.53000000000000103</v>
      </c>
      <c r="E5102" s="3">
        <v>-1.5194954128440401</v>
      </c>
      <c r="F5102" s="3">
        <v>-1.5194954128440401</v>
      </c>
      <c r="G5102" s="3">
        <v>34.35</v>
      </c>
      <c r="H5102" s="3">
        <v>857.22814818125801</v>
      </c>
      <c r="I5102" s="3">
        <v>34.54</v>
      </c>
      <c r="J5102" s="3">
        <v>35.17</v>
      </c>
      <c r="K5102" s="3">
        <v>34.22</v>
      </c>
      <c r="L5102" s="3">
        <v>857.22814818125801</v>
      </c>
    </row>
    <row r="5103" spans="1:12" ht="15" customHeight="1" x14ac:dyDescent="0.2">
      <c r="A5103" s="2">
        <v>38644</v>
      </c>
      <c r="B5103" s="3">
        <v>34.880000000000003</v>
      </c>
      <c r="C5103" s="1">
        <v>5382945</v>
      </c>
      <c r="D5103" s="3">
        <v>3.89</v>
      </c>
      <c r="E5103" s="3">
        <v>12.552436269764399</v>
      </c>
      <c r="F5103" s="3">
        <v>12.552436269764399</v>
      </c>
      <c r="G5103" s="3">
        <v>34.880000000000003</v>
      </c>
      <c r="H5103" s="3">
        <v>871.99760723616498</v>
      </c>
      <c r="I5103" s="3">
        <v>33.380000000000003</v>
      </c>
      <c r="J5103" s="3">
        <v>35.25</v>
      </c>
      <c r="K5103" s="3">
        <v>33.049999999999997</v>
      </c>
      <c r="L5103" s="3">
        <v>871.99760723616498</v>
      </c>
    </row>
    <row r="5104" spans="1:12" ht="15" customHeight="1" x14ac:dyDescent="0.2">
      <c r="A5104" s="2">
        <v>38643</v>
      </c>
      <c r="B5104" s="3">
        <v>30.99</v>
      </c>
      <c r="C5104" s="1">
        <v>745805</v>
      </c>
      <c r="D5104" s="3">
        <v>-0.75</v>
      </c>
      <c r="E5104" s="3">
        <v>-2.3629489603024498</v>
      </c>
      <c r="F5104" s="3">
        <v>-2.3629489603024498</v>
      </c>
      <c r="G5104" s="3">
        <v>30.99</v>
      </c>
      <c r="H5104" s="3">
        <v>763.595351153921</v>
      </c>
      <c r="I5104" s="3">
        <v>31.84</v>
      </c>
      <c r="J5104" s="3">
        <v>31.85</v>
      </c>
      <c r="K5104" s="3">
        <v>30.87</v>
      </c>
      <c r="L5104" s="3">
        <v>763.595351153921</v>
      </c>
    </row>
    <row r="5105" spans="1:12" ht="15" customHeight="1" x14ac:dyDescent="0.2">
      <c r="A5105" s="2">
        <v>38642</v>
      </c>
      <c r="B5105" s="3">
        <v>31.74</v>
      </c>
      <c r="C5105" s="1">
        <v>662452</v>
      </c>
      <c r="D5105" s="3">
        <v>-0.28000000000000402</v>
      </c>
      <c r="E5105" s="3">
        <v>-0.87445346658340195</v>
      </c>
      <c r="F5105" s="3">
        <v>-0.87445346658340195</v>
      </c>
      <c r="G5105" s="3">
        <v>31.74</v>
      </c>
      <c r="H5105" s="3">
        <v>784.49552906180804</v>
      </c>
      <c r="I5105" s="3">
        <v>31.98</v>
      </c>
      <c r="J5105" s="3">
        <v>32.26</v>
      </c>
      <c r="K5105" s="3">
        <v>31.41</v>
      </c>
      <c r="L5105" s="3">
        <v>784.49552906180804</v>
      </c>
    </row>
    <row r="5106" spans="1:12" ht="15" customHeight="1" x14ac:dyDescent="0.2">
      <c r="A5106" s="2">
        <v>38639</v>
      </c>
      <c r="B5106" s="3">
        <v>32.020000000000003</v>
      </c>
      <c r="C5106" s="1">
        <v>902999</v>
      </c>
      <c r="D5106" s="3">
        <v>0.750000000000003</v>
      </c>
      <c r="E5106" s="3">
        <v>2.3984649824112698</v>
      </c>
      <c r="F5106" s="3">
        <v>2.3984649824112698</v>
      </c>
      <c r="G5106" s="3">
        <v>32.020000000000003</v>
      </c>
      <c r="H5106" s="3">
        <v>792.29826214742002</v>
      </c>
      <c r="I5106" s="3">
        <v>31.36</v>
      </c>
      <c r="J5106" s="3">
        <v>32.090000000000003</v>
      </c>
      <c r="K5106" s="3">
        <v>31.07</v>
      </c>
      <c r="L5106" s="3">
        <v>792.29826214742002</v>
      </c>
    </row>
    <row r="5107" spans="1:12" ht="15" customHeight="1" x14ac:dyDescent="0.2">
      <c r="A5107" s="2">
        <v>38638</v>
      </c>
      <c r="B5107" s="3">
        <v>31.27</v>
      </c>
      <c r="C5107" s="1">
        <v>1235466</v>
      </c>
      <c r="D5107" s="3">
        <v>0.440000000000001</v>
      </c>
      <c r="E5107" s="3">
        <v>1.4271813168991101</v>
      </c>
      <c r="F5107" s="3">
        <v>1.4271813168991101</v>
      </c>
      <c r="G5107" s="3">
        <v>31.27</v>
      </c>
      <c r="H5107" s="3">
        <v>771.39808423953195</v>
      </c>
      <c r="I5107" s="3">
        <v>31.5</v>
      </c>
      <c r="J5107" s="3">
        <v>31.62</v>
      </c>
      <c r="K5107" s="3">
        <v>30.9</v>
      </c>
      <c r="L5107" s="3">
        <v>771.39808423953195</v>
      </c>
    </row>
    <row r="5108" spans="1:12" ht="15" customHeight="1" x14ac:dyDescent="0.2">
      <c r="A5108" s="2">
        <v>38637</v>
      </c>
      <c r="B5108" s="3">
        <v>30.83</v>
      </c>
      <c r="C5108" s="1">
        <v>853355</v>
      </c>
      <c r="D5108" s="3">
        <v>-0.220000000000002</v>
      </c>
      <c r="E5108" s="3">
        <v>-0.70853462157810498</v>
      </c>
      <c r="F5108" s="3">
        <v>-0.70853462157810498</v>
      </c>
      <c r="G5108" s="3">
        <v>30.83</v>
      </c>
      <c r="H5108" s="3">
        <v>759.13664653357102</v>
      </c>
      <c r="I5108" s="3">
        <v>31.1</v>
      </c>
      <c r="J5108" s="3">
        <v>31.52</v>
      </c>
      <c r="K5108" s="3">
        <v>30.65</v>
      </c>
      <c r="L5108" s="3">
        <v>759.13664653357102</v>
      </c>
    </row>
    <row r="5109" spans="1:12" ht="15" customHeight="1" x14ac:dyDescent="0.2">
      <c r="A5109" s="2">
        <v>38636</v>
      </c>
      <c r="B5109" s="3">
        <v>31.05</v>
      </c>
      <c r="C5109" s="1">
        <v>1298363</v>
      </c>
      <c r="D5109" s="3">
        <v>-0.84999999999999698</v>
      </c>
      <c r="E5109" s="3">
        <v>-2.6645768025078298</v>
      </c>
      <c r="F5109" s="3">
        <v>-2.6645768025078298</v>
      </c>
      <c r="G5109" s="3">
        <v>31.05</v>
      </c>
      <c r="H5109" s="3">
        <v>765.267365386552</v>
      </c>
      <c r="I5109" s="3">
        <v>31.98</v>
      </c>
      <c r="J5109" s="3">
        <v>31.98</v>
      </c>
      <c r="K5109" s="3">
        <v>30.87</v>
      </c>
      <c r="L5109" s="3">
        <v>765.267365386552</v>
      </c>
    </row>
    <row r="5110" spans="1:12" ht="15" customHeight="1" x14ac:dyDescent="0.2">
      <c r="A5110" s="2">
        <v>38635</v>
      </c>
      <c r="B5110" s="3">
        <v>31.9</v>
      </c>
      <c r="C5110" s="1">
        <v>503303</v>
      </c>
      <c r="D5110" s="3">
        <v>2.9999999999997501E-2</v>
      </c>
      <c r="E5110" s="3">
        <v>9.4132412927505599E-2</v>
      </c>
      <c r="F5110" s="3">
        <v>9.4132412927505599E-2</v>
      </c>
      <c r="G5110" s="3">
        <v>31.9</v>
      </c>
      <c r="H5110" s="3">
        <v>788.95423368215802</v>
      </c>
      <c r="I5110" s="3">
        <v>32.020000000000003</v>
      </c>
      <c r="J5110" s="3">
        <v>32.159999999999997</v>
      </c>
      <c r="K5110" s="3">
        <v>31.63</v>
      </c>
      <c r="L5110" s="3">
        <v>788.95423368215802</v>
      </c>
    </row>
    <row r="5111" spans="1:12" ht="15" customHeight="1" x14ac:dyDescent="0.2">
      <c r="A5111" s="2">
        <v>38632</v>
      </c>
      <c r="B5111" s="3">
        <v>31.87</v>
      </c>
      <c r="C5111" s="1">
        <v>829628</v>
      </c>
      <c r="D5111" s="3">
        <v>-0.119999999999997</v>
      </c>
      <c r="E5111" s="3">
        <v>-0.37511722413253701</v>
      </c>
      <c r="F5111" s="3">
        <v>-0.37511722413253701</v>
      </c>
      <c r="G5111" s="3">
        <v>31.87</v>
      </c>
      <c r="H5111" s="3">
        <v>788.11822656584195</v>
      </c>
      <c r="I5111" s="3">
        <v>32.15</v>
      </c>
      <c r="J5111" s="3">
        <v>32.450000000000003</v>
      </c>
      <c r="K5111" s="3">
        <v>31.51</v>
      </c>
      <c r="L5111" s="3">
        <v>788.11822656584195</v>
      </c>
    </row>
    <row r="5112" spans="1:12" ht="15" customHeight="1" x14ac:dyDescent="0.2">
      <c r="A5112" s="2">
        <v>38631</v>
      </c>
      <c r="B5112" s="3">
        <v>31.99</v>
      </c>
      <c r="C5112" s="1">
        <v>1215259</v>
      </c>
      <c r="D5112" s="3">
        <v>0.58999999999999897</v>
      </c>
      <c r="E5112" s="3">
        <v>1.8789808917197299</v>
      </c>
      <c r="F5112" s="3">
        <v>1.8789808917197299</v>
      </c>
      <c r="G5112" s="3">
        <v>31.99</v>
      </c>
      <c r="H5112" s="3">
        <v>791.46225503110395</v>
      </c>
      <c r="I5112" s="3">
        <v>31.61</v>
      </c>
      <c r="J5112" s="3">
        <v>32.520000000000003</v>
      </c>
      <c r="K5112" s="3">
        <v>31.31</v>
      </c>
      <c r="L5112" s="3">
        <v>791.46225503110395</v>
      </c>
    </row>
    <row r="5113" spans="1:12" ht="15" customHeight="1" x14ac:dyDescent="0.2">
      <c r="A5113" s="2">
        <v>38630</v>
      </c>
      <c r="B5113" s="3">
        <v>31.4</v>
      </c>
      <c r="C5113" s="1">
        <v>1771452</v>
      </c>
      <c r="D5113" s="3">
        <v>0.42999999999999899</v>
      </c>
      <c r="E5113" s="3">
        <v>1.3884404262189201</v>
      </c>
      <c r="F5113" s="3">
        <v>1.3884404262189201</v>
      </c>
      <c r="G5113" s="3">
        <v>31.4</v>
      </c>
      <c r="H5113" s="3">
        <v>775.02078174356598</v>
      </c>
      <c r="I5113" s="3">
        <v>31.15</v>
      </c>
      <c r="J5113" s="3">
        <v>31.61</v>
      </c>
      <c r="K5113" s="3">
        <v>31.01</v>
      </c>
      <c r="L5113" s="3">
        <v>775.02078174356598</v>
      </c>
    </row>
    <row r="5114" spans="1:12" ht="15" customHeight="1" x14ac:dyDescent="0.2">
      <c r="A5114" s="2">
        <v>38629</v>
      </c>
      <c r="B5114" s="3">
        <v>30.97</v>
      </c>
      <c r="C5114" s="1">
        <v>605976</v>
      </c>
      <c r="D5114" s="3">
        <v>-0.17000000000000101</v>
      </c>
      <c r="E5114" s="3">
        <v>-0.54592164418754097</v>
      </c>
      <c r="F5114" s="3">
        <v>-0.54592164418754097</v>
      </c>
      <c r="G5114" s="3">
        <v>30.97</v>
      </c>
      <c r="H5114" s="3">
        <v>763.03801307637696</v>
      </c>
      <c r="I5114" s="3">
        <v>31.01</v>
      </c>
      <c r="J5114" s="3">
        <v>31.51</v>
      </c>
      <c r="K5114" s="3">
        <v>30.69</v>
      </c>
      <c r="L5114" s="3">
        <v>763.03801307637696</v>
      </c>
    </row>
    <row r="5115" spans="1:12" ht="15" customHeight="1" x14ac:dyDescent="0.2">
      <c r="A5115" s="2">
        <v>38628</v>
      </c>
      <c r="B5115" s="3">
        <v>31.14</v>
      </c>
      <c r="C5115" s="1">
        <v>656603</v>
      </c>
      <c r="D5115" s="3">
        <v>-9.9999999999997799E-2</v>
      </c>
      <c r="E5115" s="3">
        <v>-0.320102432778479</v>
      </c>
      <c r="F5115" s="3">
        <v>-0.320102432778479</v>
      </c>
      <c r="G5115" s="3">
        <v>31.14</v>
      </c>
      <c r="H5115" s="3">
        <v>767.77538673549805</v>
      </c>
      <c r="I5115" s="3">
        <v>31.32</v>
      </c>
      <c r="J5115" s="3">
        <v>31.458500000000001</v>
      </c>
      <c r="K5115" s="3">
        <v>30.95</v>
      </c>
      <c r="L5115" s="3">
        <v>767.77538673549805</v>
      </c>
    </row>
    <row r="5116" spans="1:12" ht="15" customHeight="1" x14ac:dyDescent="0.2">
      <c r="A5116" s="2">
        <v>38625</v>
      </c>
      <c r="B5116" s="3">
        <v>31.24</v>
      </c>
      <c r="C5116" s="1">
        <v>852582</v>
      </c>
      <c r="D5116" s="3">
        <v>0.439999999999997</v>
      </c>
      <c r="E5116" s="3">
        <v>1.4285714285714199</v>
      </c>
      <c r="F5116" s="3">
        <v>1.4285714285714199</v>
      </c>
      <c r="G5116" s="3">
        <v>31.24</v>
      </c>
      <c r="H5116" s="3">
        <v>770.562077123216</v>
      </c>
      <c r="I5116" s="3">
        <v>30.63</v>
      </c>
      <c r="J5116" s="3">
        <v>31.4</v>
      </c>
      <c r="K5116" s="3">
        <v>30.62</v>
      </c>
      <c r="L5116" s="3">
        <v>770.562077123216</v>
      </c>
    </row>
    <row r="5117" spans="1:12" ht="15" customHeight="1" x14ac:dyDescent="0.2">
      <c r="A5117" s="2">
        <v>38624</v>
      </c>
      <c r="B5117" s="3">
        <v>30.8</v>
      </c>
      <c r="C5117" s="1">
        <v>1148995</v>
      </c>
      <c r="D5117" s="3">
        <v>-0.34999999999999698</v>
      </c>
      <c r="E5117" s="3">
        <v>-1.1235955056179601</v>
      </c>
      <c r="F5117" s="3">
        <v>-1.1235955056179601</v>
      </c>
      <c r="G5117" s="3">
        <v>30.8</v>
      </c>
      <c r="H5117" s="3">
        <v>758.30063941725598</v>
      </c>
      <c r="I5117" s="3">
        <v>31.08</v>
      </c>
      <c r="J5117" s="3">
        <v>31.2</v>
      </c>
      <c r="K5117" s="3">
        <v>30.55</v>
      </c>
      <c r="L5117" s="3">
        <v>758.30063941725598</v>
      </c>
    </row>
    <row r="5118" spans="1:12" ht="15" customHeight="1" x14ac:dyDescent="0.2">
      <c r="A5118" s="2">
        <v>38623</v>
      </c>
      <c r="B5118" s="3">
        <v>31.15</v>
      </c>
      <c r="C5118" s="1">
        <v>631644</v>
      </c>
      <c r="D5118" s="3">
        <v>-0.26000000000000101</v>
      </c>
      <c r="E5118" s="3">
        <v>-0.82776185928048396</v>
      </c>
      <c r="F5118" s="3">
        <v>-0.82776185928048396</v>
      </c>
      <c r="G5118" s="3">
        <v>31.15</v>
      </c>
      <c r="H5118" s="3">
        <v>768.05405577426995</v>
      </c>
      <c r="I5118" s="3">
        <v>31.14</v>
      </c>
      <c r="J5118" s="3">
        <v>31.56</v>
      </c>
      <c r="K5118" s="3">
        <v>31.11</v>
      </c>
      <c r="L5118" s="3">
        <v>768.05405577426995</v>
      </c>
    </row>
    <row r="5119" spans="1:12" ht="15" customHeight="1" x14ac:dyDescent="0.2">
      <c r="A5119" s="2">
        <v>38622</v>
      </c>
      <c r="B5119" s="3">
        <v>31.41</v>
      </c>
      <c r="C5119" s="1">
        <v>587541</v>
      </c>
      <c r="D5119" s="3">
        <v>-0.56999999999999995</v>
      </c>
      <c r="E5119" s="3">
        <v>-1.7823639774859299</v>
      </c>
      <c r="F5119" s="3">
        <v>-1.7823639774859299</v>
      </c>
      <c r="G5119" s="3">
        <v>31.41</v>
      </c>
      <c r="H5119" s="3">
        <v>775.299450782338</v>
      </c>
      <c r="I5119" s="3">
        <v>31.87</v>
      </c>
      <c r="J5119" s="3">
        <v>32.1</v>
      </c>
      <c r="K5119" s="3">
        <v>31.4</v>
      </c>
      <c r="L5119" s="3">
        <v>775.299450782338</v>
      </c>
    </row>
    <row r="5120" spans="1:12" ht="15" customHeight="1" x14ac:dyDescent="0.2">
      <c r="A5120" s="2">
        <v>38621</v>
      </c>
      <c r="B5120" s="3">
        <v>31.98</v>
      </c>
      <c r="C5120" s="1">
        <v>795464</v>
      </c>
      <c r="D5120" s="3">
        <v>0.190000000000001</v>
      </c>
      <c r="E5120" s="3">
        <v>0.59767222396980202</v>
      </c>
      <c r="F5120" s="3">
        <v>0.59767222396980202</v>
      </c>
      <c r="G5120" s="3">
        <v>31.98</v>
      </c>
      <c r="H5120" s="3">
        <v>791.18358599233204</v>
      </c>
      <c r="I5120" s="3">
        <v>32.1</v>
      </c>
      <c r="J5120" s="3">
        <v>32.549999999999997</v>
      </c>
      <c r="K5120" s="3">
        <v>31.67</v>
      </c>
      <c r="L5120" s="3">
        <v>791.18358599233204</v>
      </c>
    </row>
    <row r="5121" spans="1:12" ht="15" customHeight="1" x14ac:dyDescent="0.2">
      <c r="A5121" s="2">
        <v>38618</v>
      </c>
      <c r="B5121" s="3">
        <v>31.79</v>
      </c>
      <c r="C5121" s="1">
        <v>1971576</v>
      </c>
      <c r="D5121" s="3">
        <v>0.78999999999999904</v>
      </c>
      <c r="E5121" s="3">
        <v>2.5483870967741802</v>
      </c>
      <c r="F5121" s="3">
        <v>2.5483870967741802</v>
      </c>
      <c r="G5121" s="3">
        <v>31.79</v>
      </c>
      <c r="H5121" s="3">
        <v>785.88887425566804</v>
      </c>
      <c r="I5121" s="3">
        <v>31.41</v>
      </c>
      <c r="J5121" s="3">
        <v>32.74</v>
      </c>
      <c r="K5121" s="3">
        <v>31.22</v>
      </c>
      <c r="L5121" s="3">
        <v>785.88887425566804</v>
      </c>
    </row>
    <row r="5122" spans="1:12" ht="15" customHeight="1" x14ac:dyDescent="0.2">
      <c r="A5122" s="2">
        <v>38617</v>
      </c>
      <c r="B5122" s="3">
        <v>31</v>
      </c>
      <c r="C5122" s="1">
        <v>2180998</v>
      </c>
      <c r="D5122" s="3">
        <v>1.19999999999999</v>
      </c>
      <c r="E5122" s="3">
        <v>4.0268456375838797</v>
      </c>
      <c r="F5122" s="3">
        <v>4.0268456375838797</v>
      </c>
      <c r="G5122" s="3">
        <v>31</v>
      </c>
      <c r="H5122" s="3">
        <v>763.87402019269302</v>
      </c>
      <c r="I5122" s="3">
        <v>29.59</v>
      </c>
      <c r="J5122" s="3">
        <v>31.2</v>
      </c>
      <c r="K5122" s="3">
        <v>29.32</v>
      </c>
      <c r="L5122" s="3">
        <v>763.87402019269302</v>
      </c>
    </row>
    <row r="5123" spans="1:12" ht="15" customHeight="1" x14ac:dyDescent="0.2">
      <c r="A5123" s="2">
        <v>38616</v>
      </c>
      <c r="B5123" s="3">
        <v>29.8</v>
      </c>
      <c r="C5123" s="1">
        <v>3357757</v>
      </c>
      <c r="D5123" s="3">
        <v>-1</v>
      </c>
      <c r="E5123" s="3">
        <v>-3.2467532467532401</v>
      </c>
      <c r="F5123" s="3">
        <v>-3.2467532467532401</v>
      </c>
      <c r="G5123" s="3">
        <v>29.8</v>
      </c>
      <c r="H5123" s="3">
        <v>730.43373554007201</v>
      </c>
      <c r="I5123" s="3">
        <v>30.69</v>
      </c>
      <c r="J5123" s="3">
        <v>30.7</v>
      </c>
      <c r="K5123" s="3">
        <v>29.29</v>
      </c>
      <c r="L5123" s="3">
        <v>730.43373554007201</v>
      </c>
    </row>
    <row r="5124" spans="1:12" ht="15" customHeight="1" x14ac:dyDescent="0.2">
      <c r="A5124" s="2">
        <v>38615</v>
      </c>
      <c r="B5124" s="3">
        <v>30.8</v>
      </c>
      <c r="C5124" s="1">
        <v>1985878</v>
      </c>
      <c r="D5124" s="3">
        <v>-0.78999999999999904</v>
      </c>
      <c r="E5124" s="3">
        <v>-2.5007913896802698</v>
      </c>
      <c r="F5124" s="3">
        <v>-2.5007913896802698</v>
      </c>
      <c r="G5124" s="3">
        <v>30.8</v>
      </c>
      <c r="H5124" s="3">
        <v>758.30063941725598</v>
      </c>
      <c r="I5124" s="3">
        <v>31.67</v>
      </c>
      <c r="J5124" s="3">
        <v>32.090000000000003</v>
      </c>
      <c r="K5124" s="3">
        <v>30.47</v>
      </c>
      <c r="L5124" s="3">
        <v>758.30063941725598</v>
      </c>
    </row>
    <row r="5125" spans="1:12" ht="15" customHeight="1" x14ac:dyDescent="0.2">
      <c r="A5125" s="2">
        <v>38614</v>
      </c>
      <c r="B5125" s="3">
        <v>31.59</v>
      </c>
      <c r="C5125" s="1">
        <v>631444</v>
      </c>
      <c r="D5125" s="3">
        <v>-0.97000000000000197</v>
      </c>
      <c r="E5125" s="3">
        <v>-2.9791154791154901</v>
      </c>
      <c r="F5125" s="3">
        <v>-2.9791154791154901</v>
      </c>
      <c r="G5125" s="3">
        <v>31.59</v>
      </c>
      <c r="H5125" s="3">
        <v>780.315493480231</v>
      </c>
      <c r="I5125" s="3">
        <v>32.619999999999997</v>
      </c>
      <c r="J5125" s="3">
        <v>32.619999999999997</v>
      </c>
      <c r="K5125" s="3">
        <v>31.35</v>
      </c>
      <c r="L5125" s="3">
        <v>780.315493480231</v>
      </c>
    </row>
    <row r="5126" spans="1:12" ht="15" customHeight="1" x14ac:dyDescent="0.2">
      <c r="A5126" s="2">
        <v>38611</v>
      </c>
      <c r="B5126" s="3">
        <v>32.56</v>
      </c>
      <c r="C5126" s="1">
        <v>892504</v>
      </c>
      <c r="D5126" s="3">
        <v>0.59000000000000297</v>
      </c>
      <c r="E5126" s="3">
        <v>1.84548013762904</v>
      </c>
      <c r="F5126" s="3">
        <v>1.84548013762904</v>
      </c>
      <c r="G5126" s="3">
        <v>32.56</v>
      </c>
      <c r="H5126" s="3">
        <v>807.34639024109902</v>
      </c>
      <c r="I5126" s="3">
        <v>31.97</v>
      </c>
      <c r="J5126" s="3">
        <v>32.619999999999997</v>
      </c>
      <c r="K5126" s="3">
        <v>31.97</v>
      </c>
      <c r="L5126" s="3">
        <v>807.34639024109902</v>
      </c>
    </row>
    <row r="5127" spans="1:12" ht="15" customHeight="1" x14ac:dyDescent="0.2">
      <c r="A5127" s="2">
        <v>38610</v>
      </c>
      <c r="B5127" s="3">
        <v>31.97</v>
      </c>
      <c r="C5127" s="1">
        <v>550774</v>
      </c>
      <c r="D5127" s="3">
        <v>0.27999999999999697</v>
      </c>
      <c r="E5127" s="3">
        <v>0.88355948248657301</v>
      </c>
      <c r="F5127" s="3">
        <v>0.88355948248657301</v>
      </c>
      <c r="G5127" s="3">
        <v>31.97</v>
      </c>
      <c r="H5127" s="3">
        <v>790.90491695356104</v>
      </c>
      <c r="I5127" s="3">
        <v>31.73</v>
      </c>
      <c r="J5127" s="3">
        <v>32</v>
      </c>
      <c r="K5127" s="3">
        <v>31.43</v>
      </c>
      <c r="L5127" s="3">
        <v>790.90491695356104</v>
      </c>
    </row>
    <row r="5128" spans="1:12" ht="15" customHeight="1" x14ac:dyDescent="0.2">
      <c r="A5128" s="2">
        <v>38609</v>
      </c>
      <c r="B5128" s="3">
        <v>31.69</v>
      </c>
      <c r="C5128" s="1">
        <v>1179744</v>
      </c>
      <c r="D5128" s="3">
        <v>-0.98</v>
      </c>
      <c r="E5128" s="3">
        <v>-2.9996939087848098</v>
      </c>
      <c r="F5128" s="3">
        <v>-2.9996939087848098</v>
      </c>
      <c r="G5128" s="3">
        <v>31.69</v>
      </c>
      <c r="H5128" s="3">
        <v>783.10218386794895</v>
      </c>
      <c r="I5128" s="3">
        <v>32.799999999999997</v>
      </c>
      <c r="J5128" s="3">
        <v>32.799999999999997</v>
      </c>
      <c r="K5128" s="3">
        <v>31.67</v>
      </c>
      <c r="L5128" s="3">
        <v>783.10218386794895</v>
      </c>
    </row>
    <row r="5129" spans="1:12" ht="15" customHeight="1" x14ac:dyDescent="0.2">
      <c r="A5129" s="2">
        <v>38608</v>
      </c>
      <c r="B5129" s="3">
        <v>32.67</v>
      </c>
      <c r="C5129" s="1">
        <v>822675</v>
      </c>
      <c r="D5129" s="3">
        <v>0.14000000000000001</v>
      </c>
      <c r="E5129" s="3">
        <v>0.43037196434061398</v>
      </c>
      <c r="F5129" s="3">
        <v>0.43037196434061398</v>
      </c>
      <c r="G5129" s="3">
        <v>32.67</v>
      </c>
      <c r="H5129" s="3">
        <v>810.41174966758899</v>
      </c>
      <c r="I5129" s="3">
        <v>32.43</v>
      </c>
      <c r="J5129" s="3">
        <v>32.979999999999997</v>
      </c>
      <c r="K5129" s="3">
        <v>32.229999999999997</v>
      </c>
      <c r="L5129" s="3">
        <v>810.41174966758899</v>
      </c>
    </row>
    <row r="5130" spans="1:12" ht="15" customHeight="1" x14ac:dyDescent="0.2">
      <c r="A5130" s="2">
        <v>38607</v>
      </c>
      <c r="B5130" s="3">
        <v>32.53</v>
      </c>
      <c r="C5130" s="1">
        <v>504877</v>
      </c>
      <c r="D5130" s="3">
        <v>0.160000000000003</v>
      </c>
      <c r="E5130" s="3">
        <v>0.49428483163425002</v>
      </c>
      <c r="F5130" s="3">
        <v>0.49428483163425002</v>
      </c>
      <c r="G5130" s="3">
        <v>32.53</v>
      </c>
      <c r="H5130" s="3">
        <v>806.51038312478397</v>
      </c>
      <c r="I5130" s="3">
        <v>32.270000000000003</v>
      </c>
      <c r="J5130" s="3">
        <v>32.700000000000003</v>
      </c>
      <c r="K5130" s="3">
        <v>32.1</v>
      </c>
      <c r="L5130" s="3">
        <v>806.51038312478397</v>
      </c>
    </row>
    <row r="5131" spans="1:12" ht="15" customHeight="1" x14ac:dyDescent="0.2">
      <c r="A5131" s="2">
        <v>38604</v>
      </c>
      <c r="B5131" s="3">
        <v>32.369999999999997</v>
      </c>
      <c r="C5131" s="1">
        <v>702207</v>
      </c>
      <c r="D5131" s="3">
        <v>0.81999999999999595</v>
      </c>
      <c r="E5131" s="3">
        <v>2.5990491283676498</v>
      </c>
      <c r="F5131" s="3">
        <v>2.5990491283676498</v>
      </c>
      <c r="G5131" s="3">
        <v>32.369999999999997</v>
      </c>
      <c r="H5131" s="3">
        <v>802.05167850443399</v>
      </c>
      <c r="I5131" s="3">
        <v>31.67</v>
      </c>
      <c r="J5131" s="3">
        <v>32.479999999999997</v>
      </c>
      <c r="K5131" s="3">
        <v>31.64</v>
      </c>
      <c r="L5131" s="3">
        <v>802.05167850443399</v>
      </c>
    </row>
    <row r="5132" spans="1:12" ht="15" customHeight="1" x14ac:dyDescent="0.2">
      <c r="A5132" s="2">
        <v>38603</v>
      </c>
      <c r="B5132" s="3">
        <v>31.55</v>
      </c>
      <c r="C5132" s="1">
        <v>425921</v>
      </c>
      <c r="D5132" s="3">
        <v>-0.73</v>
      </c>
      <c r="E5132" s="3">
        <v>-2.2614622057001199</v>
      </c>
      <c r="F5132" s="3">
        <v>-2.2614622057001199</v>
      </c>
      <c r="G5132" s="3">
        <v>31.55</v>
      </c>
      <c r="H5132" s="3">
        <v>779.20081732514302</v>
      </c>
      <c r="I5132" s="3">
        <v>32.15</v>
      </c>
      <c r="J5132" s="3">
        <v>32.15</v>
      </c>
      <c r="K5132" s="3">
        <v>31.48</v>
      </c>
      <c r="L5132" s="3">
        <v>779.20081732514302</v>
      </c>
    </row>
    <row r="5133" spans="1:12" ht="15" customHeight="1" x14ac:dyDescent="0.2">
      <c r="A5133" s="2">
        <v>38602</v>
      </c>
      <c r="B5133" s="3">
        <v>32.28</v>
      </c>
      <c r="C5133" s="1">
        <v>732260</v>
      </c>
      <c r="D5133" s="3">
        <v>0.189999999999997</v>
      </c>
      <c r="E5133" s="3">
        <v>0.59208476160796897</v>
      </c>
      <c r="F5133" s="3">
        <v>0.59208476160796897</v>
      </c>
      <c r="G5133" s="3">
        <v>32.28</v>
      </c>
      <c r="H5133" s="3">
        <v>799.54365715548795</v>
      </c>
      <c r="I5133" s="3">
        <v>32.159999999999997</v>
      </c>
      <c r="J5133" s="3">
        <v>32.49</v>
      </c>
      <c r="K5133" s="3">
        <v>31.94</v>
      </c>
      <c r="L5133" s="3">
        <v>799.54365715548795</v>
      </c>
    </row>
    <row r="5134" spans="1:12" ht="15" customHeight="1" x14ac:dyDescent="0.2">
      <c r="A5134" s="2">
        <v>38601</v>
      </c>
      <c r="B5134" s="3">
        <v>32.090000000000003</v>
      </c>
      <c r="C5134" s="1">
        <v>1543040</v>
      </c>
      <c r="D5134" s="3">
        <v>1.1599999999999999</v>
      </c>
      <c r="E5134" s="3">
        <v>3.7504041383769899</v>
      </c>
      <c r="F5134" s="3">
        <v>3.7504041383769899</v>
      </c>
      <c r="G5134" s="3">
        <v>32.090000000000003</v>
      </c>
      <c r="H5134" s="3">
        <v>794.24894541882304</v>
      </c>
      <c r="I5134" s="3">
        <v>31.06</v>
      </c>
      <c r="J5134" s="3">
        <v>32.33</v>
      </c>
      <c r="K5134" s="3">
        <v>30.93</v>
      </c>
      <c r="L5134" s="3">
        <v>794.24894541882304</v>
      </c>
    </row>
    <row r="5135" spans="1:12" ht="15" customHeight="1" x14ac:dyDescent="0.2">
      <c r="A5135" s="2">
        <v>38597</v>
      </c>
      <c r="B5135" s="3">
        <v>30.93</v>
      </c>
      <c r="C5135" s="1">
        <v>1026171</v>
      </c>
      <c r="D5135" s="3">
        <v>0.48999999999999799</v>
      </c>
      <c r="E5135" s="3">
        <v>1.60972404730617</v>
      </c>
      <c r="F5135" s="3">
        <v>1.60972404730617</v>
      </c>
      <c r="G5135" s="3">
        <v>30.93</v>
      </c>
      <c r="H5135" s="3">
        <v>761.92333692129</v>
      </c>
      <c r="I5135" s="3">
        <v>30.47</v>
      </c>
      <c r="J5135" s="3">
        <v>31.04</v>
      </c>
      <c r="K5135" s="3">
        <v>30.43</v>
      </c>
      <c r="L5135" s="3">
        <v>761.92333692129</v>
      </c>
    </row>
    <row r="5136" spans="1:12" ht="15" customHeight="1" x14ac:dyDescent="0.2">
      <c r="A5136" s="2">
        <v>38596</v>
      </c>
      <c r="B5136" s="3">
        <v>30.44</v>
      </c>
      <c r="C5136" s="1">
        <v>1016447</v>
      </c>
      <c r="D5136" s="3">
        <v>-1.21999999999999</v>
      </c>
      <c r="E5136" s="3">
        <v>-3.8534428300694801</v>
      </c>
      <c r="F5136" s="3">
        <v>-3.8534428300694801</v>
      </c>
      <c r="G5136" s="3">
        <v>30.44</v>
      </c>
      <c r="H5136" s="3">
        <v>748.26855402146998</v>
      </c>
      <c r="I5136" s="3">
        <v>31.34</v>
      </c>
      <c r="J5136" s="3">
        <v>31.39</v>
      </c>
      <c r="K5136" s="3">
        <v>30.28</v>
      </c>
      <c r="L5136" s="3">
        <v>748.26855402146998</v>
      </c>
    </row>
    <row r="5137" spans="1:12" ht="15" customHeight="1" x14ac:dyDescent="0.2">
      <c r="A5137" s="2">
        <v>38595</v>
      </c>
      <c r="B5137" s="3">
        <v>31.66</v>
      </c>
      <c r="C5137" s="1">
        <v>820584</v>
      </c>
      <c r="D5137" s="3">
        <v>0.42999999999999899</v>
      </c>
      <c r="E5137" s="3">
        <v>1.37688120397054</v>
      </c>
      <c r="F5137" s="3">
        <v>1.37688120397054</v>
      </c>
      <c r="G5137" s="3">
        <v>31.66</v>
      </c>
      <c r="H5137" s="3">
        <v>782.26617675163402</v>
      </c>
      <c r="I5137" s="3">
        <v>31.25</v>
      </c>
      <c r="J5137" s="3">
        <v>31.73</v>
      </c>
      <c r="K5137" s="3">
        <v>31</v>
      </c>
      <c r="L5137" s="3">
        <v>782.26617675163402</v>
      </c>
    </row>
    <row r="5138" spans="1:12" ht="15" customHeight="1" x14ac:dyDescent="0.2">
      <c r="A5138" s="2">
        <v>38594</v>
      </c>
      <c r="B5138" s="3">
        <v>31.23</v>
      </c>
      <c r="C5138" s="1">
        <v>922991</v>
      </c>
      <c r="D5138" s="3">
        <v>-1.1799999999999899</v>
      </c>
      <c r="E5138" s="3">
        <v>-3.6408515890157198</v>
      </c>
      <c r="F5138" s="3">
        <v>-3.6408515890157198</v>
      </c>
      <c r="G5138" s="3">
        <v>31.23</v>
      </c>
      <c r="H5138" s="3">
        <v>770.283408084445</v>
      </c>
      <c r="I5138" s="3">
        <v>32.25</v>
      </c>
      <c r="J5138" s="3">
        <v>32.35</v>
      </c>
      <c r="K5138" s="3">
        <v>31.19</v>
      </c>
      <c r="L5138" s="3">
        <v>770.283408084445</v>
      </c>
    </row>
    <row r="5139" spans="1:12" ht="15" customHeight="1" x14ac:dyDescent="0.2">
      <c r="A5139" s="2">
        <v>38593</v>
      </c>
      <c r="B5139" s="3">
        <v>32.409999999999997</v>
      </c>
      <c r="C5139" s="1">
        <v>521364</v>
      </c>
      <c r="D5139" s="3">
        <v>5.9999999999995099E-2</v>
      </c>
      <c r="E5139" s="3">
        <v>0.185471406491477</v>
      </c>
      <c r="F5139" s="3">
        <v>0.185471406491477</v>
      </c>
      <c r="G5139" s="3">
        <v>32.409999999999997</v>
      </c>
      <c r="H5139" s="3">
        <v>803.16635465952095</v>
      </c>
      <c r="I5139" s="3">
        <v>32.090000000000003</v>
      </c>
      <c r="J5139" s="3">
        <v>32.450000000000003</v>
      </c>
      <c r="K5139" s="3">
        <v>32.090000000000003</v>
      </c>
      <c r="L5139" s="3">
        <v>803.16635465952095</v>
      </c>
    </row>
    <row r="5140" spans="1:12" ht="15" customHeight="1" x14ac:dyDescent="0.2">
      <c r="A5140" s="2">
        <v>38590</v>
      </c>
      <c r="B5140" s="3">
        <v>32.35</v>
      </c>
      <c r="C5140" s="1">
        <v>827139</v>
      </c>
      <c r="D5140" s="3">
        <v>-0.25999999999999801</v>
      </c>
      <c r="E5140" s="3">
        <v>-0.79730144127567704</v>
      </c>
      <c r="F5140" s="3">
        <v>-0.79730144127567704</v>
      </c>
      <c r="G5140" s="3">
        <v>32.35</v>
      </c>
      <c r="H5140" s="3">
        <v>801.49434042688995</v>
      </c>
      <c r="I5140" s="3">
        <v>32.69</v>
      </c>
      <c r="J5140" s="3">
        <v>32.75</v>
      </c>
      <c r="K5140" s="3">
        <v>32.049999999999997</v>
      </c>
      <c r="L5140" s="3">
        <v>801.49434042688995</v>
      </c>
    </row>
    <row r="5141" spans="1:12" ht="15" customHeight="1" x14ac:dyDescent="0.2">
      <c r="A5141" s="2">
        <v>38589</v>
      </c>
      <c r="B5141" s="3">
        <v>32.61</v>
      </c>
      <c r="C5141" s="1">
        <v>988838</v>
      </c>
      <c r="D5141" s="3">
        <v>-0.25999999999999801</v>
      </c>
      <c r="E5141" s="3">
        <v>-0.79099482811073596</v>
      </c>
      <c r="F5141" s="3">
        <v>-0.79099482811073596</v>
      </c>
      <c r="G5141" s="3">
        <v>32.61</v>
      </c>
      <c r="H5141" s="3">
        <v>808.73973543495799</v>
      </c>
      <c r="I5141" s="3">
        <v>32.869999999999997</v>
      </c>
      <c r="J5141" s="3">
        <v>33.130000000000003</v>
      </c>
      <c r="K5141" s="3">
        <v>32.18</v>
      </c>
      <c r="L5141" s="3">
        <v>808.73973543495799</v>
      </c>
    </row>
    <row r="5142" spans="1:12" ht="15" customHeight="1" x14ac:dyDescent="0.2">
      <c r="A5142" s="2">
        <v>38588</v>
      </c>
      <c r="B5142" s="3">
        <v>32.869999999999997</v>
      </c>
      <c r="C5142" s="1">
        <v>685832</v>
      </c>
      <c r="D5142" s="3">
        <v>-1.03</v>
      </c>
      <c r="E5142" s="3">
        <v>-3.0383480825958702</v>
      </c>
      <c r="F5142" s="3">
        <v>-3.0383480825958702</v>
      </c>
      <c r="G5142" s="3">
        <v>32.869999999999997</v>
      </c>
      <c r="H5142" s="3">
        <v>815.98513044302604</v>
      </c>
      <c r="I5142" s="3">
        <v>33.5</v>
      </c>
      <c r="J5142" s="3">
        <v>33.76</v>
      </c>
      <c r="K5142" s="3">
        <v>32.770000000000003</v>
      </c>
      <c r="L5142" s="3">
        <v>815.98513044302604</v>
      </c>
    </row>
    <row r="5143" spans="1:12" ht="15" customHeight="1" x14ac:dyDescent="0.2">
      <c r="A5143" s="2">
        <v>38587</v>
      </c>
      <c r="B5143" s="3">
        <v>33.9</v>
      </c>
      <c r="C5143" s="1">
        <v>522070</v>
      </c>
      <c r="D5143" s="3">
        <v>0.25999999999999801</v>
      </c>
      <c r="E5143" s="3">
        <v>0.77288941736028904</v>
      </c>
      <c r="F5143" s="3">
        <v>0.77288941736028904</v>
      </c>
      <c r="G5143" s="3">
        <v>33.9</v>
      </c>
      <c r="H5143" s="3">
        <v>844.68804143652505</v>
      </c>
      <c r="I5143" s="3">
        <v>33.46</v>
      </c>
      <c r="J5143" s="3">
        <v>33.99</v>
      </c>
      <c r="K5143" s="3">
        <v>33.46</v>
      </c>
      <c r="L5143" s="3">
        <v>844.68804143652505</v>
      </c>
    </row>
    <row r="5144" spans="1:12" ht="15" customHeight="1" x14ac:dyDescent="0.2">
      <c r="A5144" s="2">
        <v>38586</v>
      </c>
      <c r="B5144" s="3">
        <v>33.64</v>
      </c>
      <c r="C5144" s="1">
        <v>334939</v>
      </c>
      <c r="D5144" s="3">
        <v>-1.9999999999996E-2</v>
      </c>
      <c r="E5144" s="3">
        <v>-5.9417706476516598E-2</v>
      </c>
      <c r="F5144" s="3">
        <v>-5.9417706476516598E-2</v>
      </c>
      <c r="G5144" s="3">
        <v>33.64</v>
      </c>
      <c r="H5144" s="3">
        <v>837.44264642845701</v>
      </c>
      <c r="I5144" s="3">
        <v>33.75</v>
      </c>
      <c r="J5144" s="3">
        <v>34.01</v>
      </c>
      <c r="K5144" s="3">
        <v>33.42</v>
      </c>
      <c r="L5144" s="3">
        <v>837.44264642845701</v>
      </c>
    </row>
    <row r="5145" spans="1:12" ht="15" customHeight="1" x14ac:dyDescent="0.2">
      <c r="A5145" s="2">
        <v>38583</v>
      </c>
      <c r="B5145" s="3">
        <v>33.659999999999997</v>
      </c>
      <c r="C5145" s="1">
        <v>350548</v>
      </c>
      <c r="D5145" s="3">
        <v>-0.260000000000005</v>
      </c>
      <c r="E5145" s="3">
        <v>-0.76650943396228099</v>
      </c>
      <c r="F5145" s="3">
        <v>-0.76650943396228099</v>
      </c>
      <c r="G5145" s="3">
        <v>33.659999999999997</v>
      </c>
      <c r="H5145" s="3">
        <v>837.99998450600106</v>
      </c>
      <c r="I5145" s="3">
        <v>34.1</v>
      </c>
      <c r="J5145" s="3">
        <v>34.15</v>
      </c>
      <c r="K5145" s="3">
        <v>33.53</v>
      </c>
      <c r="L5145" s="3">
        <v>837.99998450600106</v>
      </c>
    </row>
    <row r="5146" spans="1:12" ht="15" customHeight="1" x14ac:dyDescent="0.2">
      <c r="A5146" s="2">
        <v>38582</v>
      </c>
      <c r="B5146" s="3">
        <v>33.92</v>
      </c>
      <c r="C5146" s="1">
        <v>392022</v>
      </c>
      <c r="D5146" s="3">
        <v>-0.100000000000001</v>
      </c>
      <c r="E5146" s="3">
        <v>-0.293944738389184</v>
      </c>
      <c r="F5146" s="3">
        <v>-0.293944738389184</v>
      </c>
      <c r="G5146" s="3">
        <v>33.92</v>
      </c>
      <c r="H5146" s="3">
        <v>845.24537951406899</v>
      </c>
      <c r="I5146" s="3">
        <v>34</v>
      </c>
      <c r="J5146" s="3">
        <v>34.130000000000003</v>
      </c>
      <c r="K5146" s="3">
        <v>33.5</v>
      </c>
      <c r="L5146" s="3">
        <v>845.24537951406899</v>
      </c>
    </row>
    <row r="5147" spans="1:12" ht="15" customHeight="1" x14ac:dyDescent="0.2">
      <c r="A5147" s="2">
        <v>38581</v>
      </c>
      <c r="B5147" s="3">
        <v>34.020000000000003</v>
      </c>
      <c r="C5147" s="1">
        <v>735999</v>
      </c>
      <c r="D5147" s="3">
        <v>0.67000000000000104</v>
      </c>
      <c r="E5147" s="3">
        <v>2.0089955022488799</v>
      </c>
      <c r="F5147" s="3">
        <v>2.0089955022488799</v>
      </c>
      <c r="G5147" s="3">
        <v>34.020000000000003</v>
      </c>
      <c r="H5147" s="3">
        <v>848.03206990178705</v>
      </c>
      <c r="I5147" s="3">
        <v>33.299999999999997</v>
      </c>
      <c r="J5147" s="3">
        <v>34.31</v>
      </c>
      <c r="K5147" s="3">
        <v>33.26</v>
      </c>
      <c r="L5147" s="3">
        <v>848.03206990178705</v>
      </c>
    </row>
    <row r="5148" spans="1:12" ht="15" customHeight="1" x14ac:dyDescent="0.2">
      <c r="A5148" s="2">
        <v>38580</v>
      </c>
      <c r="B5148" s="3">
        <v>33.35</v>
      </c>
      <c r="C5148" s="1">
        <v>621412</v>
      </c>
      <c r="D5148" s="3">
        <v>-1.0899999999999901</v>
      </c>
      <c r="E5148" s="3">
        <v>-3.1649245063879099</v>
      </c>
      <c r="F5148" s="3">
        <v>-3.1649245063879099</v>
      </c>
      <c r="G5148" s="3">
        <v>33.35</v>
      </c>
      <c r="H5148" s="3">
        <v>829.36124430407403</v>
      </c>
      <c r="I5148" s="3">
        <v>34.5</v>
      </c>
      <c r="J5148" s="3">
        <v>34.5</v>
      </c>
      <c r="K5148" s="3">
        <v>33.299999999999997</v>
      </c>
      <c r="L5148" s="3">
        <v>829.36124430407403</v>
      </c>
    </row>
    <row r="5149" spans="1:12" ht="15" customHeight="1" x14ac:dyDescent="0.2">
      <c r="A5149" s="2">
        <v>38579</v>
      </c>
      <c r="B5149" s="3">
        <v>34.44</v>
      </c>
      <c r="C5149" s="1">
        <v>440243</v>
      </c>
      <c r="D5149" s="3">
        <v>0.39</v>
      </c>
      <c r="E5149" s="3">
        <v>1.14537444933919</v>
      </c>
      <c r="F5149" s="3">
        <v>1.14537444933919</v>
      </c>
      <c r="G5149" s="3">
        <v>34.44</v>
      </c>
      <c r="H5149" s="3">
        <v>859.73616953020405</v>
      </c>
      <c r="I5149" s="3">
        <v>33.909999999999997</v>
      </c>
      <c r="J5149" s="3">
        <v>34.659999999999997</v>
      </c>
      <c r="K5149" s="3">
        <v>33.909999999999997</v>
      </c>
      <c r="L5149" s="3">
        <v>859.73616953020405</v>
      </c>
    </row>
    <row r="5150" spans="1:12" ht="15" customHeight="1" x14ac:dyDescent="0.2">
      <c r="A5150" s="2">
        <v>38576</v>
      </c>
      <c r="B5150" s="3">
        <v>34.049999999999997</v>
      </c>
      <c r="C5150" s="1">
        <v>662071</v>
      </c>
      <c r="D5150" s="3">
        <v>-0.95000000000000195</v>
      </c>
      <c r="E5150" s="3">
        <v>-2.7142857142857202</v>
      </c>
      <c r="F5150" s="3">
        <v>-2.7142857142857202</v>
      </c>
      <c r="G5150" s="3">
        <v>34.049999999999997</v>
      </c>
      <c r="H5150" s="3">
        <v>848.86807701810301</v>
      </c>
      <c r="I5150" s="3">
        <v>34.93</v>
      </c>
      <c r="J5150" s="3">
        <v>34.94</v>
      </c>
      <c r="K5150" s="3">
        <v>33.75</v>
      </c>
      <c r="L5150" s="3">
        <v>848.86807701810301</v>
      </c>
    </row>
    <row r="5151" spans="1:12" ht="15" customHeight="1" x14ac:dyDescent="0.2">
      <c r="A5151" s="2">
        <v>38575</v>
      </c>
      <c r="B5151" s="3">
        <v>35</v>
      </c>
      <c r="C5151" s="1">
        <v>472238</v>
      </c>
      <c r="D5151" s="3">
        <v>0.880000000000002</v>
      </c>
      <c r="E5151" s="3">
        <v>2.5791324736225101</v>
      </c>
      <c r="F5151" s="3">
        <v>2.5791324736225101</v>
      </c>
      <c r="G5151" s="3">
        <v>35</v>
      </c>
      <c r="H5151" s="3">
        <v>875.34163570142698</v>
      </c>
      <c r="I5151" s="3">
        <v>34.090000000000003</v>
      </c>
      <c r="J5151" s="3">
        <v>35</v>
      </c>
      <c r="K5151" s="3">
        <v>34.090000000000003</v>
      </c>
      <c r="L5151" s="3">
        <v>875.34163570142698</v>
      </c>
    </row>
    <row r="5152" spans="1:12" ht="15" customHeight="1" x14ac:dyDescent="0.2">
      <c r="A5152" s="2">
        <v>38574</v>
      </c>
      <c r="B5152" s="3">
        <v>34.119999999999997</v>
      </c>
      <c r="C5152" s="1">
        <v>627848</v>
      </c>
      <c r="D5152" s="3">
        <v>-0.42000000000000098</v>
      </c>
      <c r="E5152" s="3">
        <v>-1.2159814707585399</v>
      </c>
      <c r="F5152" s="3">
        <v>-1.2159814707585399</v>
      </c>
      <c r="G5152" s="3">
        <v>34.119999999999997</v>
      </c>
      <c r="H5152" s="3">
        <v>850.81876028950501</v>
      </c>
      <c r="I5152" s="3">
        <v>34.5</v>
      </c>
      <c r="J5152" s="3">
        <v>34.729999999999997</v>
      </c>
      <c r="K5152" s="3">
        <v>34.090000000000003</v>
      </c>
      <c r="L5152" s="3">
        <v>850.81876028950501</v>
      </c>
    </row>
    <row r="5153" spans="1:12" ht="15" customHeight="1" x14ac:dyDescent="0.2">
      <c r="A5153" s="2">
        <v>38573</v>
      </c>
      <c r="B5153" s="3">
        <v>34.54</v>
      </c>
      <c r="C5153" s="1">
        <v>389691</v>
      </c>
      <c r="D5153" s="3">
        <v>0.310000000000002</v>
      </c>
      <c r="E5153" s="3">
        <v>0.90563832895120799</v>
      </c>
      <c r="F5153" s="3">
        <v>0.90563832895120799</v>
      </c>
      <c r="G5153" s="3">
        <v>34.54</v>
      </c>
      <c r="H5153" s="3">
        <v>862.52285991792303</v>
      </c>
      <c r="I5153" s="3">
        <v>34.33</v>
      </c>
      <c r="J5153" s="3">
        <v>34.619999999999997</v>
      </c>
      <c r="K5153" s="3">
        <v>34.24</v>
      </c>
      <c r="L5153" s="3">
        <v>862.52285991792303</v>
      </c>
    </row>
    <row r="5154" spans="1:12" ht="15" customHeight="1" x14ac:dyDescent="0.2">
      <c r="A5154" s="2">
        <v>38572</v>
      </c>
      <c r="B5154" s="3">
        <v>34.229999999999997</v>
      </c>
      <c r="C5154" s="1">
        <v>344284</v>
      </c>
      <c r="D5154" s="3">
        <v>-1.00000000000051E-2</v>
      </c>
      <c r="E5154" s="3">
        <v>-2.9205607476645499E-2</v>
      </c>
      <c r="F5154" s="3">
        <v>-2.9205607476645499E-2</v>
      </c>
      <c r="G5154" s="3">
        <v>34.229999999999997</v>
      </c>
      <c r="H5154" s="3">
        <v>853.88411971599601</v>
      </c>
      <c r="I5154" s="3">
        <v>34.35</v>
      </c>
      <c r="J5154" s="3">
        <v>34.49</v>
      </c>
      <c r="K5154" s="3">
        <v>34.055999999999997</v>
      </c>
      <c r="L5154" s="3">
        <v>853.88411971599601</v>
      </c>
    </row>
    <row r="5155" spans="1:12" ht="15" customHeight="1" x14ac:dyDescent="0.2">
      <c r="A5155" s="2">
        <v>38569</v>
      </c>
      <c r="B5155" s="3">
        <v>34.24</v>
      </c>
      <c r="C5155" s="1">
        <v>529194</v>
      </c>
      <c r="D5155" s="3">
        <v>-0.65999999999999603</v>
      </c>
      <c r="E5155" s="3">
        <v>-1.89111747851001</v>
      </c>
      <c r="F5155" s="3">
        <v>-1.89111747851001</v>
      </c>
      <c r="G5155" s="3">
        <v>34.24</v>
      </c>
      <c r="H5155" s="3">
        <v>854.16278875476803</v>
      </c>
      <c r="I5155" s="3">
        <v>34.92</v>
      </c>
      <c r="J5155" s="3">
        <v>34.92</v>
      </c>
      <c r="K5155" s="3">
        <v>34.03</v>
      </c>
      <c r="L5155" s="3">
        <v>854.16278875476803</v>
      </c>
    </row>
    <row r="5156" spans="1:12" ht="15" customHeight="1" x14ac:dyDescent="0.2">
      <c r="A5156" s="2">
        <v>38568</v>
      </c>
      <c r="B5156" s="3">
        <v>34.9</v>
      </c>
      <c r="C5156" s="1">
        <v>371647</v>
      </c>
      <c r="D5156" s="3">
        <v>-0.190000000000004</v>
      </c>
      <c r="E5156" s="3">
        <v>-0.54146480478770498</v>
      </c>
      <c r="F5156" s="3">
        <v>-0.54146480478770498</v>
      </c>
      <c r="G5156" s="3">
        <v>34.9</v>
      </c>
      <c r="H5156" s="3">
        <v>872.55494531370903</v>
      </c>
      <c r="I5156" s="3">
        <v>35.01</v>
      </c>
      <c r="J5156" s="3">
        <v>35.130000000000003</v>
      </c>
      <c r="K5156" s="3">
        <v>34.694000000000003</v>
      </c>
      <c r="L5156" s="3">
        <v>872.55494531370903</v>
      </c>
    </row>
    <row r="5157" spans="1:12" ht="15" customHeight="1" x14ac:dyDescent="0.2">
      <c r="A5157" s="2">
        <v>38567</v>
      </c>
      <c r="B5157" s="3">
        <v>35.090000000000003</v>
      </c>
      <c r="C5157" s="1">
        <v>798334</v>
      </c>
      <c r="D5157" s="3">
        <v>-0.80999999999999495</v>
      </c>
      <c r="E5157" s="3">
        <v>-2.25626740947073</v>
      </c>
      <c r="F5157" s="3">
        <v>-2.25626740947073</v>
      </c>
      <c r="G5157" s="3">
        <v>35.090000000000003</v>
      </c>
      <c r="H5157" s="3">
        <v>877.84965705037405</v>
      </c>
      <c r="I5157" s="3">
        <v>35.999000000000002</v>
      </c>
      <c r="J5157" s="3">
        <v>36</v>
      </c>
      <c r="K5157" s="3">
        <v>34.909999999999997</v>
      </c>
      <c r="L5157" s="3">
        <v>877.84965705037405</v>
      </c>
    </row>
    <row r="5158" spans="1:12" ht="15" customHeight="1" x14ac:dyDescent="0.2">
      <c r="A5158" s="2">
        <v>38566</v>
      </c>
      <c r="B5158" s="3">
        <v>35.9</v>
      </c>
      <c r="C5158" s="1">
        <v>354338</v>
      </c>
      <c r="D5158" s="3">
        <v>0.309999999999995</v>
      </c>
      <c r="E5158" s="3">
        <v>0.87103118853608597</v>
      </c>
      <c r="F5158" s="3">
        <v>0.87103118853608597</v>
      </c>
      <c r="G5158" s="3">
        <v>35.9</v>
      </c>
      <c r="H5158" s="3">
        <v>900.42184919089198</v>
      </c>
      <c r="I5158" s="3">
        <v>35.729999999999997</v>
      </c>
      <c r="J5158" s="3">
        <v>35.96</v>
      </c>
      <c r="K5158" s="3">
        <v>35.6</v>
      </c>
      <c r="L5158" s="3">
        <v>900.42184919089198</v>
      </c>
    </row>
    <row r="5159" spans="1:12" ht="15" customHeight="1" x14ac:dyDescent="0.2">
      <c r="A5159" s="2">
        <v>38565</v>
      </c>
      <c r="B5159" s="3">
        <v>35.590000000000003</v>
      </c>
      <c r="C5159" s="1">
        <v>616980</v>
      </c>
      <c r="D5159" s="3">
        <v>-0.15999999999999601</v>
      </c>
      <c r="E5159" s="3">
        <v>-0.44755244755243501</v>
      </c>
      <c r="F5159" s="3">
        <v>-0.44755244755243501</v>
      </c>
      <c r="G5159" s="3">
        <v>35.590000000000003</v>
      </c>
      <c r="H5159" s="3">
        <v>891.78310898896598</v>
      </c>
      <c r="I5159" s="3">
        <v>35.9</v>
      </c>
      <c r="J5159" s="3">
        <v>36</v>
      </c>
      <c r="K5159" s="3">
        <v>35.47</v>
      </c>
      <c r="L5159" s="3">
        <v>891.78310898896598</v>
      </c>
    </row>
    <row r="5160" spans="1:12" ht="15" customHeight="1" x14ac:dyDescent="0.2">
      <c r="A5160" s="2">
        <v>38562</v>
      </c>
      <c r="B5160" s="3">
        <v>35.75</v>
      </c>
      <c r="C5160" s="1">
        <v>670625</v>
      </c>
      <c r="D5160" s="3">
        <v>-0.119999999999997</v>
      </c>
      <c r="E5160" s="3">
        <v>-0.33454139949817802</v>
      </c>
      <c r="F5160" s="3">
        <v>-0.33454139949817802</v>
      </c>
      <c r="G5160" s="3">
        <v>35.75</v>
      </c>
      <c r="H5160" s="3">
        <v>896.24181360931505</v>
      </c>
      <c r="I5160" s="3">
        <v>35.82</v>
      </c>
      <c r="J5160" s="3">
        <v>36.15</v>
      </c>
      <c r="K5160" s="3">
        <v>35.64</v>
      </c>
      <c r="L5160" s="3">
        <v>896.24181360931505</v>
      </c>
    </row>
    <row r="5161" spans="1:12" ht="15" customHeight="1" x14ac:dyDescent="0.2">
      <c r="A5161" s="2">
        <v>38561</v>
      </c>
      <c r="B5161" s="3">
        <v>35.869999999999997</v>
      </c>
      <c r="C5161" s="1">
        <v>565124</v>
      </c>
      <c r="D5161" s="3">
        <v>0.149999999999998</v>
      </c>
      <c r="E5161" s="3">
        <v>0.419932810750278</v>
      </c>
      <c r="F5161" s="3">
        <v>0.419932810750278</v>
      </c>
      <c r="G5161" s="3">
        <v>35.869999999999997</v>
      </c>
      <c r="H5161" s="3">
        <v>899.58584207457704</v>
      </c>
      <c r="I5161" s="3">
        <v>35.92</v>
      </c>
      <c r="J5161" s="3">
        <v>36.25</v>
      </c>
      <c r="K5161" s="3">
        <v>35.69</v>
      </c>
      <c r="L5161" s="3">
        <v>899.58584207457704</v>
      </c>
    </row>
    <row r="5162" spans="1:12" ht="15" customHeight="1" x14ac:dyDescent="0.2">
      <c r="A5162" s="2">
        <v>38560</v>
      </c>
      <c r="B5162" s="3">
        <v>35.72</v>
      </c>
      <c r="C5162" s="1">
        <v>961256</v>
      </c>
      <c r="D5162" s="3">
        <v>-1.02</v>
      </c>
      <c r="E5162" s="3">
        <v>-2.7762656505171499</v>
      </c>
      <c r="F5162" s="3">
        <v>-2.7762656505171499</v>
      </c>
      <c r="G5162" s="3">
        <v>35.72</v>
      </c>
      <c r="H5162" s="3">
        <v>895.40580649299898</v>
      </c>
      <c r="I5162" s="3">
        <v>35.5</v>
      </c>
      <c r="J5162" s="3">
        <v>35.94</v>
      </c>
      <c r="K5162" s="3">
        <v>35.15</v>
      </c>
      <c r="L5162" s="3">
        <v>895.40580649299898</v>
      </c>
    </row>
    <row r="5163" spans="1:12" ht="15" customHeight="1" x14ac:dyDescent="0.2">
      <c r="A5163" s="2">
        <v>38559</v>
      </c>
      <c r="B5163" s="3">
        <v>36.74</v>
      </c>
      <c r="C5163" s="1">
        <v>503477</v>
      </c>
      <c r="D5163" s="3">
        <v>0.310000000000002</v>
      </c>
      <c r="E5163" s="3">
        <v>0.85094702168542202</v>
      </c>
      <c r="F5163" s="3">
        <v>0.85094702168542202</v>
      </c>
      <c r="G5163" s="3">
        <v>36.74</v>
      </c>
      <c r="H5163" s="3">
        <v>923.83004844772699</v>
      </c>
      <c r="I5163" s="3">
        <v>35.9</v>
      </c>
      <c r="J5163" s="3">
        <v>36.75</v>
      </c>
      <c r="K5163" s="3">
        <v>35.880000000000003</v>
      </c>
      <c r="L5163" s="3">
        <v>923.83004844772699</v>
      </c>
    </row>
    <row r="5164" spans="1:12" ht="15" customHeight="1" x14ac:dyDescent="0.2">
      <c r="A5164" s="2">
        <v>38558</v>
      </c>
      <c r="B5164" s="3">
        <v>36.43</v>
      </c>
      <c r="C5164" s="1">
        <v>516097</v>
      </c>
      <c r="D5164" s="3">
        <v>0.52000000000000302</v>
      </c>
      <c r="E5164" s="3">
        <v>1.4480646059593401</v>
      </c>
      <c r="F5164" s="3">
        <v>1.4480646059593401</v>
      </c>
      <c r="G5164" s="3">
        <v>36.43</v>
      </c>
      <c r="H5164" s="3">
        <v>915.19130824579997</v>
      </c>
      <c r="I5164" s="3">
        <v>35.82</v>
      </c>
      <c r="J5164" s="3">
        <v>36.56</v>
      </c>
      <c r="K5164" s="3">
        <v>35.700000000000003</v>
      </c>
      <c r="L5164" s="3">
        <v>915.19130824579997</v>
      </c>
    </row>
    <row r="5165" spans="1:12" ht="15" customHeight="1" x14ac:dyDescent="0.2">
      <c r="A5165" s="2">
        <v>38555</v>
      </c>
      <c r="B5165" s="3">
        <v>35.909999999999997</v>
      </c>
      <c r="C5165" s="1">
        <v>483933</v>
      </c>
      <c r="D5165" s="3">
        <v>0.28999999999999898</v>
      </c>
      <c r="E5165" s="3">
        <v>0.81414935429533397</v>
      </c>
      <c r="F5165" s="3">
        <v>0.81414935429533397</v>
      </c>
      <c r="G5165" s="3">
        <v>35.909999999999997</v>
      </c>
      <c r="H5165" s="3">
        <v>900.700518229664</v>
      </c>
      <c r="I5165" s="3">
        <v>35.58</v>
      </c>
      <c r="J5165" s="3">
        <v>36.15</v>
      </c>
      <c r="K5165" s="3">
        <v>35.36</v>
      </c>
      <c r="L5165" s="3">
        <v>900.700518229664</v>
      </c>
    </row>
    <row r="5166" spans="1:12" ht="15" customHeight="1" x14ac:dyDescent="0.2">
      <c r="A5166" s="2">
        <v>38554</v>
      </c>
      <c r="B5166" s="3">
        <v>35.619999999999997</v>
      </c>
      <c r="C5166" s="1">
        <v>619452</v>
      </c>
      <c r="D5166" s="3">
        <v>1.9999999999996E-2</v>
      </c>
      <c r="E5166" s="3">
        <v>5.61797752808956E-2</v>
      </c>
      <c r="F5166" s="3">
        <v>5.61797752808956E-2</v>
      </c>
      <c r="G5166" s="3">
        <v>35.619999999999997</v>
      </c>
      <c r="H5166" s="3">
        <v>892.61911610528102</v>
      </c>
      <c r="I5166" s="3">
        <v>35.64</v>
      </c>
      <c r="J5166" s="3">
        <v>35.880000000000003</v>
      </c>
      <c r="K5166" s="3">
        <v>35.29</v>
      </c>
      <c r="L5166" s="3">
        <v>892.61911610528102</v>
      </c>
    </row>
    <row r="5167" spans="1:12" ht="15" customHeight="1" x14ac:dyDescent="0.2">
      <c r="A5167" s="2">
        <v>38553</v>
      </c>
      <c r="B5167" s="3">
        <v>35.6</v>
      </c>
      <c r="C5167" s="1">
        <v>1141970</v>
      </c>
      <c r="D5167" s="3">
        <v>-0.37999999999999501</v>
      </c>
      <c r="E5167" s="3">
        <v>-1.0561423012784701</v>
      </c>
      <c r="F5167" s="3">
        <v>-1.0561423012784701</v>
      </c>
      <c r="G5167" s="3">
        <v>35.6</v>
      </c>
      <c r="H5167" s="3">
        <v>892.06177802773698</v>
      </c>
      <c r="I5167" s="3">
        <v>35.07</v>
      </c>
      <c r="J5167" s="3">
        <v>35.99</v>
      </c>
      <c r="K5167" s="3">
        <v>34.83</v>
      </c>
      <c r="L5167" s="3">
        <v>892.06177802773698</v>
      </c>
    </row>
    <row r="5168" spans="1:12" ht="15" customHeight="1" x14ac:dyDescent="0.2">
      <c r="A5168" s="2">
        <v>38552</v>
      </c>
      <c r="B5168" s="3">
        <v>35.979999999999997</v>
      </c>
      <c r="C5168" s="1">
        <v>686138</v>
      </c>
      <c r="D5168" s="3">
        <v>-8.00000000000054E-2</v>
      </c>
      <c r="E5168" s="3">
        <v>-0.221852468108718</v>
      </c>
      <c r="F5168" s="3">
        <v>-0.221852468108718</v>
      </c>
      <c r="G5168" s="3">
        <v>35.979999999999997</v>
      </c>
      <c r="H5168" s="3">
        <v>902.65120150106702</v>
      </c>
      <c r="I5168" s="3">
        <v>36.06</v>
      </c>
      <c r="J5168" s="3">
        <v>36.229999999999997</v>
      </c>
      <c r="K5168" s="3">
        <v>35.67</v>
      </c>
      <c r="L5168" s="3">
        <v>902.65120150106702</v>
      </c>
    </row>
    <row r="5169" spans="1:12" ht="15" customHeight="1" x14ac:dyDescent="0.2">
      <c r="A5169" s="2">
        <v>38551</v>
      </c>
      <c r="B5169" s="3">
        <v>36.06</v>
      </c>
      <c r="C5169" s="1">
        <v>674218</v>
      </c>
      <c r="D5169" s="3">
        <v>-3.9999999999999099E-2</v>
      </c>
      <c r="E5169" s="3">
        <v>-0.11080332409971699</v>
      </c>
      <c r="F5169" s="3">
        <v>-0.11080332409971699</v>
      </c>
      <c r="G5169" s="3">
        <v>36.06</v>
      </c>
      <c r="H5169" s="3">
        <v>904.88055381124195</v>
      </c>
      <c r="I5169" s="3">
        <v>36.11</v>
      </c>
      <c r="J5169" s="3">
        <v>36.25</v>
      </c>
      <c r="K5169" s="3">
        <v>35.909999999999997</v>
      </c>
      <c r="L5169" s="3">
        <v>904.88055381124195</v>
      </c>
    </row>
    <row r="5170" spans="1:12" ht="15" customHeight="1" x14ac:dyDescent="0.2">
      <c r="A5170" s="2">
        <v>38548</v>
      </c>
      <c r="B5170" s="3">
        <v>36.1</v>
      </c>
      <c r="C5170" s="1">
        <v>580992</v>
      </c>
      <c r="D5170" s="3">
        <v>0.84000000000000297</v>
      </c>
      <c r="E5170" s="3">
        <v>2.3823028927963699</v>
      </c>
      <c r="F5170" s="3">
        <v>2.3823028927963699</v>
      </c>
      <c r="G5170" s="3">
        <v>36.1</v>
      </c>
      <c r="H5170" s="3">
        <v>905.99522996632902</v>
      </c>
      <c r="I5170" s="3">
        <v>35.39</v>
      </c>
      <c r="J5170" s="3">
        <v>36.19</v>
      </c>
      <c r="K5170" s="3">
        <v>35.19</v>
      </c>
      <c r="L5170" s="3">
        <v>905.99522996632902</v>
      </c>
    </row>
    <row r="5171" spans="1:12" ht="15" customHeight="1" x14ac:dyDescent="0.2">
      <c r="A5171" s="2">
        <v>38547</v>
      </c>
      <c r="B5171" s="3">
        <v>35.26</v>
      </c>
      <c r="C5171" s="1">
        <v>979461</v>
      </c>
      <c r="D5171" s="3">
        <v>0.22999999999999601</v>
      </c>
      <c r="E5171" s="3">
        <v>0.65658007422208997</v>
      </c>
      <c r="F5171" s="3">
        <v>0.65658007422208997</v>
      </c>
      <c r="G5171" s="3">
        <v>35.26</v>
      </c>
      <c r="H5171" s="3">
        <v>882.58703070949502</v>
      </c>
      <c r="I5171" s="3">
        <v>35.11</v>
      </c>
      <c r="J5171" s="3">
        <v>35.380000000000003</v>
      </c>
      <c r="K5171" s="3">
        <v>34.94</v>
      </c>
      <c r="L5171" s="3">
        <v>882.58703070949502</v>
      </c>
    </row>
    <row r="5172" spans="1:12" ht="15" customHeight="1" x14ac:dyDescent="0.2">
      <c r="A5172" s="2">
        <v>38546</v>
      </c>
      <c r="B5172" s="3">
        <v>35.03</v>
      </c>
      <c r="C5172" s="1">
        <v>688896</v>
      </c>
      <c r="D5172" s="3">
        <v>0.32</v>
      </c>
      <c r="E5172" s="3">
        <v>0.92192451743013903</v>
      </c>
      <c r="F5172" s="3">
        <v>0.92192451743013903</v>
      </c>
      <c r="G5172" s="3">
        <v>35.03</v>
      </c>
      <c r="H5172" s="3">
        <v>876.17764281774305</v>
      </c>
      <c r="I5172" s="3">
        <v>34.9</v>
      </c>
      <c r="J5172" s="3">
        <v>35.119999999999997</v>
      </c>
      <c r="K5172" s="3">
        <v>34.549999999999997</v>
      </c>
      <c r="L5172" s="3">
        <v>876.17764281774305</v>
      </c>
    </row>
    <row r="5173" spans="1:12" ht="15" customHeight="1" x14ac:dyDescent="0.2">
      <c r="A5173" s="2">
        <v>38545</v>
      </c>
      <c r="B5173" s="3">
        <v>34.71</v>
      </c>
      <c r="C5173" s="1">
        <v>566471</v>
      </c>
      <c r="D5173" s="3">
        <v>0.68999999999999695</v>
      </c>
      <c r="E5173" s="3">
        <v>2.0282186948853602</v>
      </c>
      <c r="F5173" s="3">
        <v>2.0282186948853602</v>
      </c>
      <c r="G5173" s="3">
        <v>34.71</v>
      </c>
      <c r="H5173" s="3">
        <v>867.260233577044</v>
      </c>
      <c r="I5173" s="3">
        <v>34.090000000000003</v>
      </c>
      <c r="J5173" s="3">
        <v>34.74</v>
      </c>
      <c r="K5173" s="3">
        <v>34.08</v>
      </c>
      <c r="L5173" s="3">
        <v>867.260233577044</v>
      </c>
    </row>
    <row r="5174" spans="1:12" ht="15" customHeight="1" x14ac:dyDescent="0.2">
      <c r="A5174" s="2">
        <v>38544</v>
      </c>
      <c r="B5174" s="3">
        <v>34.020000000000003</v>
      </c>
      <c r="C5174" s="1">
        <v>252247</v>
      </c>
      <c r="D5174" s="3">
        <v>0.220000000000005</v>
      </c>
      <c r="E5174" s="3">
        <v>0.65088757396452002</v>
      </c>
      <c r="F5174" s="3">
        <v>0.65088757396452002</v>
      </c>
      <c r="G5174" s="3">
        <v>34.020000000000003</v>
      </c>
      <c r="H5174" s="3">
        <v>848.03206990178705</v>
      </c>
      <c r="I5174" s="3">
        <v>33.799999999999997</v>
      </c>
      <c r="J5174" s="3">
        <v>34.33</v>
      </c>
      <c r="K5174" s="3">
        <v>33.799999999999997</v>
      </c>
      <c r="L5174" s="3">
        <v>848.03206990178705</v>
      </c>
    </row>
    <row r="5175" spans="1:12" ht="15" customHeight="1" x14ac:dyDescent="0.2">
      <c r="A5175" s="2">
        <v>38541</v>
      </c>
      <c r="B5175" s="3">
        <v>33.799999999999997</v>
      </c>
      <c r="C5175" s="1">
        <v>294016</v>
      </c>
      <c r="D5175" s="3">
        <v>0.25</v>
      </c>
      <c r="E5175" s="3">
        <v>0.74515648286139702</v>
      </c>
      <c r="F5175" s="3">
        <v>0.74515648286139702</v>
      </c>
      <c r="G5175" s="3">
        <v>33.799999999999997</v>
      </c>
      <c r="H5175" s="3">
        <v>841.90135104880699</v>
      </c>
      <c r="I5175" s="3">
        <v>33.58</v>
      </c>
      <c r="J5175" s="3">
        <v>33.9</v>
      </c>
      <c r="K5175" s="3">
        <v>33.43</v>
      </c>
      <c r="L5175" s="3">
        <v>841.90135104880699</v>
      </c>
    </row>
    <row r="5176" spans="1:12" ht="15" customHeight="1" x14ac:dyDescent="0.2">
      <c r="A5176" s="2">
        <v>38540</v>
      </c>
      <c r="B5176" s="3">
        <v>33.549999999999997</v>
      </c>
      <c r="C5176" s="1">
        <v>357181</v>
      </c>
      <c r="D5176" s="3">
        <v>-0.160000000000003</v>
      </c>
      <c r="E5176" s="3">
        <v>-0.47463660634827698</v>
      </c>
      <c r="F5176" s="3">
        <v>-0.47463660634827698</v>
      </c>
      <c r="G5176" s="3">
        <v>33.549999999999997</v>
      </c>
      <c r="H5176" s="3">
        <v>834.93462507951097</v>
      </c>
      <c r="I5176" s="3">
        <v>33.369999999999997</v>
      </c>
      <c r="J5176" s="3">
        <v>33.630000000000003</v>
      </c>
      <c r="K5176" s="3">
        <v>33.14</v>
      </c>
      <c r="L5176" s="3">
        <v>834.93462507951097</v>
      </c>
    </row>
    <row r="5177" spans="1:12" ht="15" customHeight="1" x14ac:dyDescent="0.2">
      <c r="A5177" s="2">
        <v>38539</v>
      </c>
      <c r="B5177" s="3">
        <v>33.71</v>
      </c>
      <c r="C5177" s="1">
        <v>501399</v>
      </c>
      <c r="D5177" s="3">
        <v>-0.78999999999999904</v>
      </c>
      <c r="E5177" s="3">
        <v>-2.2898550724637601</v>
      </c>
      <c r="F5177" s="3">
        <v>-2.2898550724637601</v>
      </c>
      <c r="G5177" s="3">
        <v>33.71</v>
      </c>
      <c r="H5177" s="3">
        <v>839.39332969986003</v>
      </c>
      <c r="I5177" s="3">
        <v>34.28</v>
      </c>
      <c r="J5177" s="3">
        <v>34.380000000000003</v>
      </c>
      <c r="K5177" s="3">
        <v>33.42</v>
      </c>
      <c r="L5177" s="3">
        <v>839.39332969986003</v>
      </c>
    </row>
    <row r="5178" spans="1:12" ht="15" customHeight="1" x14ac:dyDescent="0.2">
      <c r="A5178" s="2">
        <v>38538</v>
      </c>
      <c r="B5178" s="3">
        <v>34.5</v>
      </c>
      <c r="C5178" s="1">
        <v>375739</v>
      </c>
      <c r="D5178" s="3">
        <v>-9.0000000000003397E-2</v>
      </c>
      <c r="E5178" s="3">
        <v>-0.26019080659150901</v>
      </c>
      <c r="F5178" s="3">
        <v>-0.26019080659150901</v>
      </c>
      <c r="G5178" s="3">
        <v>34.5</v>
      </c>
      <c r="H5178" s="3">
        <v>861.40818376283505</v>
      </c>
      <c r="I5178" s="3">
        <v>34.520000000000003</v>
      </c>
      <c r="J5178" s="3">
        <v>34.74</v>
      </c>
      <c r="K5178" s="3">
        <v>34.36</v>
      </c>
      <c r="L5178" s="3">
        <v>861.40818376283505</v>
      </c>
    </row>
    <row r="5179" spans="1:12" ht="15" customHeight="1" x14ac:dyDescent="0.2">
      <c r="A5179" s="2">
        <v>38534</v>
      </c>
      <c r="B5179" s="3">
        <v>34.590000000000003</v>
      </c>
      <c r="C5179" s="1">
        <v>351519</v>
      </c>
      <c r="D5179" s="3">
        <v>-0.13999999999999299</v>
      </c>
      <c r="E5179" s="3">
        <v>-0.403109703426418</v>
      </c>
      <c r="F5179" s="3">
        <v>-0.403109703426418</v>
      </c>
      <c r="G5179" s="3">
        <v>34.590000000000003</v>
      </c>
      <c r="H5179" s="3">
        <v>863.91620511178201</v>
      </c>
      <c r="I5179" s="3">
        <v>34.840000000000003</v>
      </c>
      <c r="J5179" s="3">
        <v>34.950000000000003</v>
      </c>
      <c r="K5179" s="3">
        <v>34.159999999999997</v>
      </c>
      <c r="L5179" s="3">
        <v>863.91620511178201</v>
      </c>
    </row>
    <row r="5180" spans="1:12" ht="15" customHeight="1" x14ac:dyDescent="0.2">
      <c r="A5180" s="2">
        <v>38533</v>
      </c>
      <c r="B5180" s="3">
        <v>34.729999999999997</v>
      </c>
      <c r="C5180" s="1">
        <v>836637</v>
      </c>
      <c r="D5180" s="3">
        <v>0.77999999999999403</v>
      </c>
      <c r="E5180" s="3">
        <v>2.29749631811486</v>
      </c>
      <c r="F5180" s="3">
        <v>2.29749631811486</v>
      </c>
      <c r="G5180" s="3">
        <v>34.729999999999997</v>
      </c>
      <c r="H5180" s="3">
        <v>867.81757165458703</v>
      </c>
      <c r="I5180" s="3">
        <v>34.44</v>
      </c>
      <c r="J5180" s="3">
        <v>34.97</v>
      </c>
      <c r="K5180" s="3">
        <v>34.43</v>
      </c>
      <c r="L5180" s="3">
        <v>867.81757165458703</v>
      </c>
    </row>
    <row r="5181" spans="1:12" ht="15" customHeight="1" x14ac:dyDescent="0.2">
      <c r="A5181" s="2">
        <v>38532</v>
      </c>
      <c r="B5181" s="3">
        <v>33.950000000000003</v>
      </c>
      <c r="C5181" s="1">
        <v>498983</v>
      </c>
      <c r="D5181" s="3">
        <v>0.160000000000003</v>
      </c>
      <c r="E5181" s="3">
        <v>0.47351287363126499</v>
      </c>
      <c r="F5181" s="3">
        <v>0.47351287363126499</v>
      </c>
      <c r="G5181" s="3">
        <v>33.950000000000003</v>
      </c>
      <c r="H5181" s="3">
        <v>846.08138663038403</v>
      </c>
      <c r="I5181" s="3">
        <v>33.840000000000003</v>
      </c>
      <c r="J5181" s="3">
        <v>34.08</v>
      </c>
      <c r="K5181" s="3">
        <v>33.71</v>
      </c>
      <c r="L5181" s="3">
        <v>846.08138663038403</v>
      </c>
    </row>
    <row r="5182" spans="1:12" ht="15" customHeight="1" x14ac:dyDescent="0.2">
      <c r="A5182" s="2">
        <v>38531</v>
      </c>
      <c r="B5182" s="3">
        <v>33.79</v>
      </c>
      <c r="C5182" s="1">
        <v>279340</v>
      </c>
      <c r="D5182" s="3">
        <v>0.310000000000002</v>
      </c>
      <c r="E5182" s="3">
        <v>0.92592592592593004</v>
      </c>
      <c r="F5182" s="3">
        <v>0.92592592592593004</v>
      </c>
      <c r="G5182" s="3">
        <v>33.79</v>
      </c>
      <c r="H5182" s="3">
        <v>841.62268201003496</v>
      </c>
      <c r="I5182" s="3">
        <v>33.5</v>
      </c>
      <c r="J5182" s="3">
        <v>33.83</v>
      </c>
      <c r="K5182" s="3">
        <v>33.26</v>
      </c>
      <c r="L5182" s="3">
        <v>841.62268201003496</v>
      </c>
    </row>
    <row r="5183" spans="1:12" ht="15" customHeight="1" x14ac:dyDescent="0.2">
      <c r="A5183" s="2">
        <v>38530</v>
      </c>
      <c r="B5183" s="3">
        <v>33.479999999999997</v>
      </c>
      <c r="C5183" s="1">
        <v>395051</v>
      </c>
      <c r="D5183" s="3">
        <v>0.12999999999999501</v>
      </c>
      <c r="E5183" s="3">
        <v>0.38980509745125602</v>
      </c>
      <c r="F5183" s="3">
        <v>0.38980509745125602</v>
      </c>
      <c r="G5183" s="3">
        <v>33.479999999999997</v>
      </c>
      <c r="H5183" s="3">
        <v>832.98394180810806</v>
      </c>
      <c r="I5183" s="3">
        <v>33.340000000000003</v>
      </c>
      <c r="J5183" s="3">
        <v>33.700000000000003</v>
      </c>
      <c r="K5183" s="3">
        <v>33.19</v>
      </c>
      <c r="L5183" s="3">
        <v>832.98394180810806</v>
      </c>
    </row>
    <row r="5184" spans="1:12" ht="15" customHeight="1" x14ac:dyDescent="0.2">
      <c r="A5184" s="2">
        <v>38527</v>
      </c>
      <c r="B5184" s="3">
        <v>33.35</v>
      </c>
      <c r="C5184" s="1">
        <v>631526</v>
      </c>
      <c r="D5184" s="3">
        <v>-0.71</v>
      </c>
      <c r="E5184" s="3">
        <v>-2.0845566647093299</v>
      </c>
      <c r="F5184" s="3">
        <v>-2.0845566647093299</v>
      </c>
      <c r="G5184" s="3">
        <v>33.35</v>
      </c>
      <c r="H5184" s="3">
        <v>829.36124430407403</v>
      </c>
      <c r="I5184" s="3">
        <v>34.06</v>
      </c>
      <c r="J5184" s="3">
        <v>34.22</v>
      </c>
      <c r="K5184" s="3">
        <v>33.26</v>
      </c>
      <c r="L5184" s="3">
        <v>829.36124430407403</v>
      </c>
    </row>
    <row r="5185" spans="1:12" ht="15" customHeight="1" x14ac:dyDescent="0.2">
      <c r="A5185" s="2">
        <v>38526</v>
      </c>
      <c r="B5185" s="3">
        <v>34.06</v>
      </c>
      <c r="C5185" s="1">
        <v>777804</v>
      </c>
      <c r="D5185" s="3">
        <v>0.109999999999999</v>
      </c>
      <c r="E5185" s="3">
        <v>0.32400589101619898</v>
      </c>
      <c r="F5185" s="3">
        <v>0.32400589101619898</v>
      </c>
      <c r="G5185" s="3">
        <v>34.06</v>
      </c>
      <c r="H5185" s="3">
        <v>849.14674605687401</v>
      </c>
      <c r="I5185" s="3">
        <v>34</v>
      </c>
      <c r="J5185" s="3">
        <v>34.14</v>
      </c>
      <c r="K5185" s="3">
        <v>33.75</v>
      </c>
      <c r="L5185" s="3">
        <v>849.14674605687401</v>
      </c>
    </row>
    <row r="5186" spans="1:12" ht="15" customHeight="1" x14ac:dyDescent="0.2">
      <c r="A5186" s="2">
        <v>38525</v>
      </c>
      <c r="B5186" s="3">
        <v>33.950000000000003</v>
      </c>
      <c r="C5186" s="1">
        <v>643029</v>
      </c>
      <c r="D5186" s="3">
        <v>0.21</v>
      </c>
      <c r="E5186" s="3">
        <v>0.62240663900414706</v>
      </c>
      <c r="F5186" s="3">
        <v>0.62240663900414706</v>
      </c>
      <c r="G5186" s="3">
        <v>33.950000000000003</v>
      </c>
      <c r="H5186" s="3">
        <v>846.08138663038403</v>
      </c>
      <c r="I5186" s="3">
        <v>33.700000000000003</v>
      </c>
      <c r="J5186" s="3">
        <v>34.1</v>
      </c>
      <c r="K5186" s="3">
        <v>33.6</v>
      </c>
      <c r="L5186" s="3">
        <v>846.08138663038403</v>
      </c>
    </row>
    <row r="5187" spans="1:12" ht="15" customHeight="1" x14ac:dyDescent="0.2">
      <c r="A5187" s="2">
        <v>38524</v>
      </c>
      <c r="B5187" s="3">
        <v>33.74</v>
      </c>
      <c r="C5187" s="1">
        <v>345913</v>
      </c>
      <c r="D5187" s="3">
        <v>-0.19999999999999499</v>
      </c>
      <c r="E5187" s="3">
        <v>-0.58927519151442598</v>
      </c>
      <c r="F5187" s="3">
        <v>-0.58927519151442598</v>
      </c>
      <c r="G5187" s="3">
        <v>33.74</v>
      </c>
      <c r="H5187" s="3">
        <v>840.22933681617599</v>
      </c>
      <c r="I5187" s="3">
        <v>33.82</v>
      </c>
      <c r="J5187" s="3">
        <v>34.14</v>
      </c>
      <c r="K5187" s="3">
        <v>33.619999999999997</v>
      </c>
      <c r="L5187" s="3">
        <v>840.22933681617599</v>
      </c>
    </row>
    <row r="5188" spans="1:12" ht="15" customHeight="1" x14ac:dyDescent="0.2">
      <c r="A5188" s="2">
        <v>38523</v>
      </c>
      <c r="B5188" s="3">
        <v>33.94</v>
      </c>
      <c r="C5188" s="1">
        <v>613662</v>
      </c>
      <c r="D5188" s="3">
        <v>-5.0000000000004201E-2</v>
      </c>
      <c r="E5188" s="3">
        <v>-0.14710208884967099</v>
      </c>
      <c r="F5188" s="3">
        <v>-0.14710208884967099</v>
      </c>
      <c r="G5188" s="3">
        <v>33.94</v>
      </c>
      <c r="H5188" s="3">
        <v>845.80271759161201</v>
      </c>
      <c r="I5188" s="3">
        <v>33.880000000000003</v>
      </c>
      <c r="J5188" s="3">
        <v>34.25</v>
      </c>
      <c r="K5188" s="3">
        <v>33.54</v>
      </c>
      <c r="L5188" s="3">
        <v>845.80271759161201</v>
      </c>
    </row>
    <row r="5189" spans="1:12" ht="15" customHeight="1" x14ac:dyDescent="0.2">
      <c r="A5189" s="2">
        <v>38520</v>
      </c>
      <c r="B5189" s="3">
        <v>33.99</v>
      </c>
      <c r="C5189" s="1">
        <v>1305525</v>
      </c>
      <c r="D5189" s="3">
        <v>-1.0799999999999901</v>
      </c>
      <c r="E5189" s="3">
        <v>-3.0795551753635499</v>
      </c>
      <c r="F5189" s="3">
        <v>-3.0795551753635499</v>
      </c>
      <c r="G5189" s="3">
        <v>33.99</v>
      </c>
      <c r="H5189" s="3">
        <v>847.19606278547201</v>
      </c>
      <c r="I5189" s="3">
        <v>34.700000000000003</v>
      </c>
      <c r="J5189" s="3">
        <v>34.700000000000003</v>
      </c>
      <c r="K5189" s="3">
        <v>33.78</v>
      </c>
      <c r="L5189" s="3">
        <v>847.19606278547201</v>
      </c>
    </row>
    <row r="5190" spans="1:12" ht="15" customHeight="1" x14ac:dyDescent="0.2">
      <c r="A5190" s="2">
        <v>38519</v>
      </c>
      <c r="B5190" s="3">
        <v>35.07</v>
      </c>
      <c r="C5190" s="1">
        <v>520494</v>
      </c>
      <c r="D5190" s="3">
        <v>0.160000000000003</v>
      </c>
      <c r="E5190" s="3">
        <v>0.45832139788026799</v>
      </c>
      <c r="F5190" s="3">
        <v>0.45832139788026799</v>
      </c>
      <c r="G5190" s="3">
        <v>35.07</v>
      </c>
      <c r="H5190" s="3">
        <v>877.29231897283</v>
      </c>
      <c r="I5190" s="3">
        <v>34.97</v>
      </c>
      <c r="J5190" s="3">
        <v>35.090000000000003</v>
      </c>
      <c r="K5190" s="3">
        <v>34.6</v>
      </c>
      <c r="L5190" s="3">
        <v>877.29231897283</v>
      </c>
    </row>
    <row r="5191" spans="1:12" ht="15" customHeight="1" x14ac:dyDescent="0.2">
      <c r="A5191" s="2">
        <v>38518</v>
      </c>
      <c r="B5191" s="3">
        <v>34.909999999999997</v>
      </c>
      <c r="C5191" s="1">
        <v>332651</v>
      </c>
      <c r="D5191" s="3">
        <v>-0.260000000000005</v>
      </c>
      <c r="E5191" s="3">
        <v>-0.73926642024454403</v>
      </c>
      <c r="F5191" s="3">
        <v>-0.73926642024454403</v>
      </c>
      <c r="G5191" s="3">
        <v>34.909999999999997</v>
      </c>
      <c r="H5191" s="3">
        <v>872.83361435248003</v>
      </c>
      <c r="I5191" s="3">
        <v>35.4</v>
      </c>
      <c r="J5191" s="3">
        <v>35.4</v>
      </c>
      <c r="K5191" s="3">
        <v>34.65</v>
      </c>
      <c r="L5191" s="3">
        <v>872.83361435248003</v>
      </c>
    </row>
    <row r="5192" spans="1:12" ht="15" customHeight="1" x14ac:dyDescent="0.2">
      <c r="A5192" s="2">
        <v>38517</v>
      </c>
      <c r="B5192" s="3">
        <v>35.17</v>
      </c>
      <c r="C5192" s="1">
        <v>518965</v>
      </c>
      <c r="D5192" s="3">
        <v>-0.19999999999999499</v>
      </c>
      <c r="E5192" s="3">
        <v>-0.56545094713031896</v>
      </c>
      <c r="F5192" s="3">
        <v>-0.56545094713031896</v>
      </c>
      <c r="G5192" s="3">
        <v>35.17</v>
      </c>
      <c r="H5192" s="3">
        <v>880.07900936054796</v>
      </c>
      <c r="I5192" s="3">
        <v>35.4</v>
      </c>
      <c r="J5192" s="3">
        <v>35.6</v>
      </c>
      <c r="K5192" s="3">
        <v>34.863999999999997</v>
      </c>
      <c r="L5192" s="3">
        <v>880.07900936054796</v>
      </c>
    </row>
    <row r="5193" spans="1:12" ht="15" customHeight="1" x14ac:dyDescent="0.2">
      <c r="A5193" s="2">
        <v>38516</v>
      </c>
      <c r="B5193" s="3">
        <v>35.369999999999997</v>
      </c>
      <c r="C5193" s="1">
        <v>363171</v>
      </c>
      <c r="D5193" s="3">
        <v>0.17999999999999899</v>
      </c>
      <c r="E5193" s="3">
        <v>0.51150895140665797</v>
      </c>
      <c r="F5193" s="3">
        <v>0.51150895140665797</v>
      </c>
      <c r="G5193" s="3">
        <v>35.369999999999997</v>
      </c>
      <c r="H5193" s="3">
        <v>885.652390135985</v>
      </c>
      <c r="I5193" s="3">
        <v>35.29</v>
      </c>
      <c r="J5193" s="3">
        <v>35.369999999999997</v>
      </c>
      <c r="K5193" s="3">
        <v>34.840000000000003</v>
      </c>
      <c r="L5193" s="3">
        <v>885.652390135985</v>
      </c>
    </row>
    <row r="5194" spans="1:12" ht="15" customHeight="1" x14ac:dyDescent="0.2">
      <c r="A5194" s="2">
        <v>38513</v>
      </c>
      <c r="B5194" s="3">
        <v>35.19</v>
      </c>
      <c r="C5194" s="1">
        <v>398177</v>
      </c>
      <c r="D5194" s="3">
        <v>0.40999999999999598</v>
      </c>
      <c r="E5194" s="3">
        <v>1.1788384128809499</v>
      </c>
      <c r="F5194" s="3">
        <v>1.1788384128809499</v>
      </c>
      <c r="G5194" s="3">
        <v>35.19</v>
      </c>
      <c r="H5194" s="3">
        <v>880.636347438092</v>
      </c>
      <c r="I5194" s="3">
        <v>34.619999999999997</v>
      </c>
      <c r="J5194" s="3">
        <v>35.340000000000003</v>
      </c>
      <c r="K5194" s="3">
        <v>34.54</v>
      </c>
      <c r="L5194" s="3">
        <v>880.636347438092</v>
      </c>
    </row>
    <row r="5195" spans="1:12" ht="15" customHeight="1" x14ac:dyDescent="0.2">
      <c r="A5195" s="2">
        <v>38512</v>
      </c>
      <c r="B5195" s="3">
        <v>34.78</v>
      </c>
      <c r="C5195" s="1">
        <v>342290</v>
      </c>
      <c r="D5195" s="3">
        <v>0.67999999999999905</v>
      </c>
      <c r="E5195" s="3">
        <v>1.99413489736071</v>
      </c>
      <c r="F5195" s="3">
        <v>1.99413489736071</v>
      </c>
      <c r="G5195" s="3">
        <v>34.78</v>
      </c>
      <c r="H5195" s="3">
        <v>869.21091684844703</v>
      </c>
      <c r="I5195" s="3">
        <v>34.24</v>
      </c>
      <c r="J5195" s="3">
        <v>34.78</v>
      </c>
      <c r="K5195" s="3">
        <v>34.17</v>
      </c>
      <c r="L5195" s="3">
        <v>869.21091684844703</v>
      </c>
    </row>
    <row r="5196" spans="1:12" ht="15" customHeight="1" x14ac:dyDescent="0.2">
      <c r="A5196" s="2">
        <v>38511</v>
      </c>
      <c r="B5196" s="3">
        <v>34.1</v>
      </c>
      <c r="C5196" s="1">
        <v>422991</v>
      </c>
      <c r="D5196" s="3">
        <v>-0.17999999999999899</v>
      </c>
      <c r="E5196" s="3">
        <v>-0.52508751458576397</v>
      </c>
      <c r="F5196" s="3">
        <v>-0.52508751458576397</v>
      </c>
      <c r="G5196" s="3">
        <v>34.1</v>
      </c>
      <c r="H5196" s="3">
        <v>850.26142221196199</v>
      </c>
      <c r="I5196" s="3">
        <v>34.46</v>
      </c>
      <c r="J5196" s="3">
        <v>34.65</v>
      </c>
      <c r="K5196" s="3">
        <v>34.1</v>
      </c>
      <c r="L5196" s="3">
        <v>850.26142221196199</v>
      </c>
    </row>
    <row r="5197" spans="1:12" ht="15" customHeight="1" x14ac:dyDescent="0.2">
      <c r="A5197" s="2">
        <v>38510</v>
      </c>
      <c r="B5197" s="3">
        <v>34.28</v>
      </c>
      <c r="C5197" s="1">
        <v>454622</v>
      </c>
      <c r="D5197" s="3">
        <v>-0.33999999999999603</v>
      </c>
      <c r="E5197" s="3">
        <v>-0.98209127671864405</v>
      </c>
      <c r="F5197" s="3">
        <v>-0.98209127671864405</v>
      </c>
      <c r="G5197" s="3">
        <v>34.28</v>
      </c>
      <c r="H5197" s="3">
        <v>855.27746490985498</v>
      </c>
      <c r="I5197" s="3">
        <v>34.619999999999997</v>
      </c>
      <c r="J5197" s="3">
        <v>34.869999999999997</v>
      </c>
      <c r="K5197" s="3">
        <v>34.22</v>
      </c>
      <c r="L5197" s="3">
        <v>855.27746490985498</v>
      </c>
    </row>
    <row r="5198" spans="1:12" ht="15" customHeight="1" x14ac:dyDescent="0.2">
      <c r="A5198" s="2">
        <v>38509</v>
      </c>
      <c r="B5198" s="3">
        <v>34.619999999999997</v>
      </c>
      <c r="C5198" s="1">
        <v>616128</v>
      </c>
      <c r="D5198" s="3">
        <v>-2.0000000000003099E-2</v>
      </c>
      <c r="E5198" s="3">
        <v>-5.7736720554280002E-2</v>
      </c>
      <c r="F5198" s="3">
        <v>-5.7736720554280002E-2</v>
      </c>
      <c r="G5198" s="3">
        <v>34.619999999999997</v>
      </c>
      <c r="H5198" s="3">
        <v>864.75221222809705</v>
      </c>
      <c r="I5198" s="3">
        <v>34.479999999999997</v>
      </c>
      <c r="J5198" s="3">
        <v>34.770000000000003</v>
      </c>
      <c r="K5198" s="3">
        <v>34.36</v>
      </c>
      <c r="L5198" s="3">
        <v>864.75221222809705</v>
      </c>
    </row>
    <row r="5199" spans="1:12" ht="15" customHeight="1" x14ac:dyDescent="0.2">
      <c r="A5199" s="2">
        <v>38506</v>
      </c>
      <c r="B5199" s="3">
        <v>34.64</v>
      </c>
      <c r="C5199" s="1">
        <v>478246</v>
      </c>
      <c r="D5199" s="3">
        <v>-0.32999999999999802</v>
      </c>
      <c r="E5199" s="3">
        <v>-0.94366599942807805</v>
      </c>
      <c r="F5199" s="3">
        <v>-0.94366599942807805</v>
      </c>
      <c r="G5199" s="3">
        <v>34.64</v>
      </c>
      <c r="H5199" s="3">
        <v>865.30955030564098</v>
      </c>
      <c r="I5199" s="3">
        <v>34.93</v>
      </c>
      <c r="J5199" s="3">
        <v>35.06</v>
      </c>
      <c r="K5199" s="3">
        <v>34.5</v>
      </c>
      <c r="L5199" s="3">
        <v>865.30955030564098</v>
      </c>
    </row>
    <row r="5200" spans="1:12" ht="15" customHeight="1" x14ac:dyDescent="0.2">
      <c r="A5200" s="2">
        <v>38505</v>
      </c>
      <c r="B5200" s="3">
        <v>34.97</v>
      </c>
      <c r="C5200" s="1">
        <v>610038</v>
      </c>
      <c r="D5200" s="3">
        <v>-0.21</v>
      </c>
      <c r="E5200" s="3">
        <v>-0.59693007390563202</v>
      </c>
      <c r="F5200" s="3">
        <v>-0.59693007390563202</v>
      </c>
      <c r="G5200" s="3">
        <v>34.97</v>
      </c>
      <c r="H5200" s="3">
        <v>874.50562858511205</v>
      </c>
      <c r="I5200" s="3">
        <v>35.06</v>
      </c>
      <c r="J5200" s="3">
        <v>35.25</v>
      </c>
      <c r="K5200" s="3">
        <v>34.82</v>
      </c>
      <c r="L5200" s="3">
        <v>874.50562858511205</v>
      </c>
    </row>
    <row r="5201" spans="1:12" ht="15" customHeight="1" x14ac:dyDescent="0.2">
      <c r="A5201" s="2">
        <v>38504</v>
      </c>
      <c r="B5201" s="3">
        <v>35.18</v>
      </c>
      <c r="C5201" s="1">
        <v>586062</v>
      </c>
      <c r="D5201" s="3">
        <v>-0.130000000000002</v>
      </c>
      <c r="E5201" s="3">
        <v>-0.368167657887286</v>
      </c>
      <c r="F5201" s="3">
        <v>-0.368167657887286</v>
      </c>
      <c r="G5201" s="3">
        <v>35.18</v>
      </c>
      <c r="H5201" s="3">
        <v>880.35767839931998</v>
      </c>
      <c r="I5201" s="3">
        <v>35.22</v>
      </c>
      <c r="J5201" s="3">
        <v>35.729999999999997</v>
      </c>
      <c r="K5201" s="3">
        <v>34.963000000000001</v>
      </c>
      <c r="L5201" s="3">
        <v>880.35767839931998</v>
      </c>
    </row>
    <row r="5202" spans="1:12" ht="15" customHeight="1" x14ac:dyDescent="0.2">
      <c r="A5202" s="2">
        <v>38503</v>
      </c>
      <c r="B5202" s="3">
        <v>35.31</v>
      </c>
      <c r="C5202" s="1">
        <v>486086</v>
      </c>
      <c r="D5202" s="3">
        <v>0.27000000000000302</v>
      </c>
      <c r="E5202" s="3">
        <v>0.77054794520547898</v>
      </c>
      <c r="F5202" s="3">
        <v>0.77054794520547898</v>
      </c>
      <c r="G5202" s="3">
        <v>35.31</v>
      </c>
      <c r="H5202" s="3">
        <v>883.980375903354</v>
      </c>
      <c r="I5202" s="3">
        <v>35.08</v>
      </c>
      <c r="J5202" s="3">
        <v>35.43</v>
      </c>
      <c r="K5202" s="3">
        <v>34.869999999999997</v>
      </c>
      <c r="L5202" s="3">
        <v>883.980375903354</v>
      </c>
    </row>
    <row r="5203" spans="1:12" ht="15" customHeight="1" x14ac:dyDescent="0.2">
      <c r="A5203" s="2">
        <v>38499</v>
      </c>
      <c r="B5203" s="3">
        <v>35.04</v>
      </c>
      <c r="C5203" s="1">
        <v>735847</v>
      </c>
      <c r="D5203" s="3">
        <v>0.310000000000002</v>
      </c>
      <c r="E5203" s="3">
        <v>0.89260005758711103</v>
      </c>
      <c r="F5203" s="3">
        <v>0.89260005758711103</v>
      </c>
      <c r="G5203" s="3">
        <v>35.04</v>
      </c>
      <c r="H5203" s="3">
        <v>876.45631185651405</v>
      </c>
      <c r="I5203" s="3">
        <v>34.840000000000003</v>
      </c>
      <c r="J5203" s="3">
        <v>35.049999999999997</v>
      </c>
      <c r="K5203" s="3">
        <v>34.61</v>
      </c>
      <c r="L5203" s="3">
        <v>876.45631185651405</v>
      </c>
    </row>
    <row r="5204" spans="1:12" ht="15" customHeight="1" x14ac:dyDescent="0.2">
      <c r="A5204" s="2">
        <v>38498</v>
      </c>
      <c r="B5204" s="3">
        <v>34.729999999999997</v>
      </c>
      <c r="C5204" s="1">
        <v>490420</v>
      </c>
      <c r="D5204" s="3">
        <v>0.12999999999999501</v>
      </c>
      <c r="E5204" s="3">
        <v>0.37572254335258498</v>
      </c>
      <c r="F5204" s="3">
        <v>0.37572254335258498</v>
      </c>
      <c r="G5204" s="3">
        <v>34.729999999999997</v>
      </c>
      <c r="H5204" s="3">
        <v>867.81757165458703</v>
      </c>
      <c r="I5204" s="3">
        <v>34.549999999999997</v>
      </c>
      <c r="J5204" s="3">
        <v>34.85</v>
      </c>
      <c r="K5204" s="3">
        <v>34.549999999999997</v>
      </c>
      <c r="L5204" s="3">
        <v>867.81757165458703</v>
      </c>
    </row>
    <row r="5205" spans="1:12" ht="15" customHeight="1" x14ac:dyDescent="0.2">
      <c r="A5205" s="2">
        <v>38497</v>
      </c>
      <c r="B5205" s="3">
        <v>34.6</v>
      </c>
      <c r="C5205" s="1">
        <v>704710</v>
      </c>
      <c r="D5205" s="3">
        <v>3.9999999999999099E-2</v>
      </c>
      <c r="E5205" s="3">
        <v>0.115740740740744</v>
      </c>
      <c r="F5205" s="3">
        <v>0.115740740740744</v>
      </c>
      <c r="G5205" s="3">
        <v>34.6</v>
      </c>
      <c r="H5205" s="3">
        <v>864.19487415055403</v>
      </c>
      <c r="I5205" s="3">
        <v>34.450000000000003</v>
      </c>
      <c r="J5205" s="3">
        <v>34.65</v>
      </c>
      <c r="K5205" s="3">
        <v>34.25</v>
      </c>
      <c r="L5205" s="3">
        <v>864.19487415055403</v>
      </c>
    </row>
    <row r="5206" spans="1:12" ht="15" customHeight="1" x14ac:dyDescent="0.2">
      <c r="A5206" s="2">
        <v>38496</v>
      </c>
      <c r="B5206" s="3">
        <v>34.56</v>
      </c>
      <c r="C5206" s="1">
        <v>800319</v>
      </c>
      <c r="D5206" s="3">
        <v>-0.149999999999998</v>
      </c>
      <c r="E5206" s="3">
        <v>-0.43215211754536997</v>
      </c>
      <c r="F5206" s="3">
        <v>-0.43215211754536997</v>
      </c>
      <c r="G5206" s="3">
        <v>34.56</v>
      </c>
      <c r="H5206" s="3">
        <v>863.08019799546605</v>
      </c>
      <c r="I5206" s="3">
        <v>34.78</v>
      </c>
      <c r="J5206" s="3">
        <v>34.799999999999997</v>
      </c>
      <c r="K5206" s="3">
        <v>34.35</v>
      </c>
      <c r="L5206" s="3">
        <v>863.08019799546605</v>
      </c>
    </row>
    <row r="5207" spans="1:12" ht="15" customHeight="1" x14ac:dyDescent="0.2">
      <c r="A5207" s="2">
        <v>38495</v>
      </c>
      <c r="B5207" s="3">
        <v>34.71</v>
      </c>
      <c r="C5207" s="1">
        <v>714305</v>
      </c>
      <c r="D5207" s="3">
        <v>0.619999999999997</v>
      </c>
      <c r="E5207" s="3">
        <v>1.8187151657377401</v>
      </c>
      <c r="F5207" s="3">
        <v>1.8187151657377401</v>
      </c>
      <c r="G5207" s="3">
        <v>34.71</v>
      </c>
      <c r="H5207" s="3">
        <v>867.260233577044</v>
      </c>
      <c r="I5207" s="3">
        <v>34</v>
      </c>
      <c r="J5207" s="3">
        <v>35.020000000000003</v>
      </c>
      <c r="K5207" s="3">
        <v>34</v>
      </c>
      <c r="L5207" s="3">
        <v>867.260233577044</v>
      </c>
    </row>
    <row r="5208" spans="1:12" ht="15" customHeight="1" x14ac:dyDescent="0.2">
      <c r="A5208" s="2">
        <v>38492</v>
      </c>
      <c r="B5208" s="3">
        <v>34.090000000000003</v>
      </c>
      <c r="C5208" s="1">
        <v>560197</v>
      </c>
      <c r="D5208" s="3">
        <v>-0.15999999999999601</v>
      </c>
      <c r="E5208" s="3">
        <v>-0.46715328467151701</v>
      </c>
      <c r="F5208" s="3">
        <v>-0.46715328467151701</v>
      </c>
      <c r="G5208" s="3">
        <v>34.090000000000003</v>
      </c>
      <c r="H5208" s="3">
        <v>849.98275317318996</v>
      </c>
      <c r="I5208" s="3">
        <v>34.11</v>
      </c>
      <c r="J5208" s="3">
        <v>34.24</v>
      </c>
      <c r="K5208" s="3">
        <v>33.799999999999997</v>
      </c>
      <c r="L5208" s="3">
        <v>849.98275317318996</v>
      </c>
    </row>
    <row r="5209" spans="1:12" ht="15" customHeight="1" x14ac:dyDescent="0.2">
      <c r="A5209" s="2">
        <v>38491</v>
      </c>
      <c r="B5209" s="3">
        <v>34.25</v>
      </c>
      <c r="C5209" s="1">
        <v>1133924</v>
      </c>
      <c r="D5209" s="3">
        <v>1.00999999999999</v>
      </c>
      <c r="E5209" s="3">
        <v>3.0385078219013102</v>
      </c>
      <c r="F5209" s="3">
        <v>3.0385078219013102</v>
      </c>
      <c r="G5209" s="3">
        <v>34.25</v>
      </c>
      <c r="H5209" s="3">
        <v>854.44145779353903</v>
      </c>
      <c r="I5209" s="3">
        <v>33.9</v>
      </c>
      <c r="J5209" s="3">
        <v>34.450000000000003</v>
      </c>
      <c r="K5209" s="3">
        <v>33.9</v>
      </c>
      <c r="L5209" s="3">
        <v>854.44145779353903</v>
      </c>
    </row>
    <row r="5210" spans="1:12" ht="15" customHeight="1" x14ac:dyDescent="0.2">
      <c r="A5210" s="2">
        <v>38490</v>
      </c>
      <c r="B5210" s="3">
        <v>33.24</v>
      </c>
      <c r="C5210" s="1">
        <v>855609</v>
      </c>
      <c r="D5210" s="3">
        <v>1.25</v>
      </c>
      <c r="E5210" s="3">
        <v>3.90747108471398</v>
      </c>
      <c r="F5210" s="3">
        <v>3.90747108471398</v>
      </c>
      <c r="G5210" s="3">
        <v>33.24</v>
      </c>
      <c r="H5210" s="3">
        <v>826.29588487758394</v>
      </c>
      <c r="I5210" s="3">
        <v>32.18</v>
      </c>
      <c r="J5210" s="3">
        <v>33.47</v>
      </c>
      <c r="K5210" s="3">
        <v>31.59</v>
      </c>
      <c r="L5210" s="3">
        <v>826.29588487758394</v>
      </c>
    </row>
    <row r="5211" spans="1:12" ht="15" customHeight="1" x14ac:dyDescent="0.2">
      <c r="A5211" s="2">
        <v>38489</v>
      </c>
      <c r="B5211" s="3">
        <v>31.99</v>
      </c>
      <c r="C5211" s="1">
        <v>547149</v>
      </c>
      <c r="D5211" s="3">
        <v>-5.0000000000000697E-2</v>
      </c>
      <c r="E5211" s="3">
        <v>-0.15605493133583601</v>
      </c>
      <c r="F5211" s="3">
        <v>-0.15605493133583601</v>
      </c>
      <c r="G5211" s="3">
        <v>31.99</v>
      </c>
      <c r="H5211" s="3">
        <v>791.46225503110395</v>
      </c>
      <c r="I5211" s="3">
        <v>32.15</v>
      </c>
      <c r="J5211" s="3">
        <v>32.25</v>
      </c>
      <c r="K5211" s="3">
        <v>31.61</v>
      </c>
      <c r="L5211" s="3">
        <v>791.46225503110395</v>
      </c>
    </row>
    <row r="5212" spans="1:12" ht="15" customHeight="1" x14ac:dyDescent="0.2">
      <c r="A5212" s="2">
        <v>38488</v>
      </c>
      <c r="B5212" s="3">
        <v>32.04</v>
      </c>
      <c r="C5212" s="1">
        <v>404681</v>
      </c>
      <c r="D5212" s="3">
        <v>1.9999999999996E-2</v>
      </c>
      <c r="E5212" s="3">
        <v>6.2460961898791398E-2</v>
      </c>
      <c r="F5212" s="3">
        <v>6.2460961898791398E-2</v>
      </c>
      <c r="G5212" s="3">
        <v>32.04</v>
      </c>
      <c r="H5212" s="3">
        <v>792.85560022496395</v>
      </c>
      <c r="I5212" s="3">
        <v>32</v>
      </c>
      <c r="J5212" s="3">
        <v>32.409999999999997</v>
      </c>
      <c r="K5212" s="3">
        <v>31.88</v>
      </c>
      <c r="L5212" s="3">
        <v>792.85560022496395</v>
      </c>
    </row>
    <row r="5213" spans="1:12" ht="15" customHeight="1" x14ac:dyDescent="0.2">
      <c r="A5213" s="2">
        <v>38485</v>
      </c>
      <c r="B5213" s="3">
        <v>32.020000000000003</v>
      </c>
      <c r="C5213" s="1">
        <v>536521</v>
      </c>
      <c r="D5213" s="3">
        <v>-7.0000000000000201E-2</v>
      </c>
      <c r="E5213" s="3">
        <v>-0.21813649111872499</v>
      </c>
      <c r="F5213" s="3">
        <v>-0.21813649111872499</v>
      </c>
      <c r="G5213" s="3">
        <v>32.020000000000003</v>
      </c>
      <c r="H5213" s="3">
        <v>792.29826214742002</v>
      </c>
      <c r="I5213" s="3">
        <v>32.200000000000003</v>
      </c>
      <c r="J5213" s="3">
        <v>32.520000000000003</v>
      </c>
      <c r="K5213" s="3">
        <v>31.76</v>
      </c>
      <c r="L5213" s="3">
        <v>792.29826214742002</v>
      </c>
    </row>
    <row r="5214" spans="1:12" ht="15" customHeight="1" x14ac:dyDescent="0.2">
      <c r="A5214" s="2">
        <v>38484</v>
      </c>
      <c r="B5214" s="3">
        <v>32.090000000000003</v>
      </c>
      <c r="C5214" s="1">
        <v>294215</v>
      </c>
      <c r="D5214" s="3">
        <v>-0.37999999999999501</v>
      </c>
      <c r="E5214" s="3">
        <v>-1.1703110563596999</v>
      </c>
      <c r="F5214" s="3">
        <v>-1.1703110563596999</v>
      </c>
      <c r="G5214" s="3">
        <v>32.090000000000003</v>
      </c>
      <c r="H5214" s="3">
        <v>794.24894541882304</v>
      </c>
      <c r="I5214" s="3">
        <v>32.549999999999997</v>
      </c>
      <c r="J5214" s="3">
        <v>32.81</v>
      </c>
      <c r="K5214" s="3">
        <v>31.94</v>
      </c>
      <c r="L5214" s="3">
        <v>794.24894541882304</v>
      </c>
    </row>
    <row r="5215" spans="1:12" ht="15" customHeight="1" x14ac:dyDescent="0.2">
      <c r="A5215" s="2">
        <v>38483</v>
      </c>
      <c r="B5215" s="3">
        <v>32.47</v>
      </c>
      <c r="C5215" s="1">
        <v>519972.99999999901</v>
      </c>
      <c r="D5215" s="3">
        <v>0.310000000000002</v>
      </c>
      <c r="E5215" s="3">
        <v>0.96393034825872304</v>
      </c>
      <c r="F5215" s="3">
        <v>0.96393034825872304</v>
      </c>
      <c r="G5215" s="3">
        <v>32.47</v>
      </c>
      <c r="H5215" s="3">
        <v>804.83836889215297</v>
      </c>
      <c r="I5215" s="3">
        <v>32.08</v>
      </c>
      <c r="J5215" s="3">
        <v>32.630000000000003</v>
      </c>
      <c r="K5215" s="3">
        <v>31.88</v>
      </c>
      <c r="L5215" s="3">
        <v>804.83836889215297</v>
      </c>
    </row>
    <row r="5216" spans="1:12" ht="15" customHeight="1" x14ac:dyDescent="0.2">
      <c r="A5216" s="2">
        <v>38482</v>
      </c>
      <c r="B5216" s="3">
        <v>32.159999999999997</v>
      </c>
      <c r="C5216" s="1">
        <v>549960</v>
      </c>
      <c r="D5216" s="3">
        <v>0.369999999999997</v>
      </c>
      <c r="E5216" s="3">
        <v>1.16388801509907</v>
      </c>
      <c r="F5216" s="3">
        <v>1.16388801509907</v>
      </c>
      <c r="G5216" s="3">
        <v>32.159999999999997</v>
      </c>
      <c r="H5216" s="3">
        <v>796.19962869022504</v>
      </c>
      <c r="I5216" s="3">
        <v>31.5</v>
      </c>
      <c r="J5216" s="3">
        <v>32.22</v>
      </c>
      <c r="K5216" s="3">
        <v>31.42</v>
      </c>
      <c r="L5216" s="3">
        <v>796.19962869022504</v>
      </c>
    </row>
    <row r="5217" spans="1:12" ht="15" customHeight="1" x14ac:dyDescent="0.2">
      <c r="A5217" s="2">
        <v>38481</v>
      </c>
      <c r="B5217" s="3">
        <v>31.79</v>
      </c>
      <c r="C5217" s="1">
        <v>481822</v>
      </c>
      <c r="D5217" s="3">
        <v>-7.0000000000000201E-2</v>
      </c>
      <c r="E5217" s="3">
        <v>-0.219711236660391</v>
      </c>
      <c r="F5217" s="3">
        <v>-0.219711236660391</v>
      </c>
      <c r="G5217" s="3">
        <v>31.79</v>
      </c>
      <c r="H5217" s="3">
        <v>785.88887425566804</v>
      </c>
      <c r="I5217" s="3">
        <v>31.93</v>
      </c>
      <c r="J5217" s="3">
        <v>31.98</v>
      </c>
      <c r="K5217" s="3">
        <v>31.55</v>
      </c>
      <c r="L5217" s="3">
        <v>785.88887425566804</v>
      </c>
    </row>
    <row r="5218" spans="1:12" ht="15" customHeight="1" x14ac:dyDescent="0.2">
      <c r="A5218" s="2">
        <v>38478</v>
      </c>
      <c r="B5218" s="3">
        <v>31.86</v>
      </c>
      <c r="C5218" s="1">
        <v>365418</v>
      </c>
      <c r="D5218" s="3">
        <v>-0.14000000000000001</v>
      </c>
      <c r="E5218" s="3">
        <v>-0.437500000000001</v>
      </c>
      <c r="F5218" s="3">
        <v>-0.437500000000001</v>
      </c>
      <c r="G5218" s="3">
        <v>31.86</v>
      </c>
      <c r="H5218" s="3">
        <v>787.83955752707095</v>
      </c>
      <c r="I5218" s="3">
        <v>32.19</v>
      </c>
      <c r="J5218" s="3">
        <v>32.25</v>
      </c>
      <c r="K5218" s="3">
        <v>31.69</v>
      </c>
      <c r="L5218" s="3">
        <v>787.83955752707095</v>
      </c>
    </row>
    <row r="5219" spans="1:12" ht="15" customHeight="1" x14ac:dyDescent="0.2">
      <c r="A5219" s="2">
        <v>38477</v>
      </c>
      <c r="B5219" s="3">
        <v>32</v>
      </c>
      <c r="C5219" s="1">
        <v>685518</v>
      </c>
      <c r="D5219" s="3">
        <v>-0.42000000000000098</v>
      </c>
      <c r="E5219" s="3">
        <v>-1.2954966070326901</v>
      </c>
      <c r="F5219" s="3">
        <v>-1.2954966070326901</v>
      </c>
      <c r="G5219" s="3">
        <v>32</v>
      </c>
      <c r="H5219" s="3">
        <v>791.74092406987597</v>
      </c>
      <c r="I5219" s="3">
        <v>32.380000000000003</v>
      </c>
      <c r="J5219" s="3">
        <v>32.64</v>
      </c>
      <c r="K5219" s="3">
        <v>31.79</v>
      </c>
      <c r="L5219" s="3">
        <v>791.74092406987597</v>
      </c>
    </row>
    <row r="5220" spans="1:12" ht="15" customHeight="1" x14ac:dyDescent="0.2">
      <c r="A5220" s="2">
        <v>38476</v>
      </c>
      <c r="B5220" s="3">
        <v>32.42</v>
      </c>
      <c r="C5220" s="1">
        <v>739057</v>
      </c>
      <c r="D5220" s="3">
        <v>0.48</v>
      </c>
      <c r="E5220" s="3">
        <v>1.5028177833437699</v>
      </c>
      <c r="F5220" s="3">
        <v>1.5028177833437699</v>
      </c>
      <c r="G5220" s="3">
        <v>32.42</v>
      </c>
      <c r="H5220" s="3">
        <v>803.44502369829297</v>
      </c>
      <c r="I5220" s="3">
        <v>32</v>
      </c>
      <c r="J5220" s="3">
        <v>32.6</v>
      </c>
      <c r="K5220" s="3">
        <v>31.75</v>
      </c>
      <c r="L5220" s="3">
        <v>803.44502369829297</v>
      </c>
    </row>
    <row r="5221" spans="1:12" ht="15" customHeight="1" x14ac:dyDescent="0.2">
      <c r="A5221" s="2">
        <v>38475</v>
      </c>
      <c r="B5221" s="3">
        <v>31.94</v>
      </c>
      <c r="C5221" s="1">
        <v>495107</v>
      </c>
      <c r="D5221" s="3">
        <v>-2.9999999999997501E-2</v>
      </c>
      <c r="E5221" s="3">
        <v>-9.3837973099775096E-2</v>
      </c>
      <c r="F5221" s="3">
        <v>-9.3837973099775096E-2</v>
      </c>
      <c r="G5221" s="3">
        <v>31.94</v>
      </c>
      <c r="H5221" s="3">
        <v>790.06890983724497</v>
      </c>
      <c r="I5221" s="3">
        <v>32.049999999999997</v>
      </c>
      <c r="J5221" s="3">
        <v>32.26</v>
      </c>
      <c r="K5221" s="3">
        <v>31.76</v>
      </c>
      <c r="L5221" s="3">
        <v>790.06890983724497</v>
      </c>
    </row>
    <row r="5222" spans="1:12" ht="15" customHeight="1" x14ac:dyDescent="0.2">
      <c r="A5222" s="2">
        <v>38474</v>
      </c>
      <c r="B5222" s="3">
        <v>31.97</v>
      </c>
      <c r="C5222" s="1">
        <v>1058588</v>
      </c>
      <c r="D5222" s="3">
        <v>1.27999999999999</v>
      </c>
      <c r="E5222" s="3">
        <v>4.1707396546106104</v>
      </c>
      <c r="F5222" s="3">
        <v>4.1707396546106104</v>
      </c>
      <c r="G5222" s="3">
        <v>31.97</v>
      </c>
      <c r="H5222" s="3">
        <v>790.90491695356104</v>
      </c>
      <c r="I5222" s="3">
        <v>31.76</v>
      </c>
      <c r="J5222" s="3">
        <v>32.229999999999997</v>
      </c>
      <c r="K5222" s="3">
        <v>31.73</v>
      </c>
      <c r="L5222" s="3">
        <v>790.90491695356104</v>
      </c>
    </row>
    <row r="5223" spans="1:12" ht="15" customHeight="1" x14ac:dyDescent="0.2">
      <c r="A5223" s="2">
        <v>38471</v>
      </c>
      <c r="B5223" s="3">
        <v>30.69</v>
      </c>
      <c r="C5223" s="1">
        <v>1908646</v>
      </c>
      <c r="D5223" s="3">
        <v>-1.01999999999999</v>
      </c>
      <c r="E5223" s="3">
        <v>-3.2166508987701001</v>
      </c>
      <c r="F5223" s="3">
        <v>-3.2166508987701001</v>
      </c>
      <c r="G5223" s="3">
        <v>30.69</v>
      </c>
      <c r="H5223" s="3">
        <v>755.23527999076498</v>
      </c>
      <c r="I5223" s="3">
        <v>31.89</v>
      </c>
      <c r="J5223" s="3">
        <v>32.03</v>
      </c>
      <c r="K5223" s="3">
        <v>30.15</v>
      </c>
      <c r="L5223" s="3">
        <v>755.23527999076498</v>
      </c>
    </row>
    <row r="5224" spans="1:12" ht="15" customHeight="1" x14ac:dyDescent="0.2">
      <c r="A5224" s="2">
        <v>38470</v>
      </c>
      <c r="B5224" s="3">
        <v>31.71</v>
      </c>
      <c r="C5224" s="1">
        <v>603475</v>
      </c>
      <c r="D5224" s="3">
        <v>-0.56999999999999995</v>
      </c>
      <c r="E5224" s="3">
        <v>-1.76579925650557</v>
      </c>
      <c r="F5224" s="3">
        <v>-1.76579925650557</v>
      </c>
      <c r="G5224" s="3">
        <v>31.71</v>
      </c>
      <c r="H5224" s="3">
        <v>783.659521945493</v>
      </c>
      <c r="I5224" s="3">
        <v>32</v>
      </c>
      <c r="J5224" s="3">
        <v>32.229999999999997</v>
      </c>
      <c r="K5224" s="3">
        <v>31.62</v>
      </c>
      <c r="L5224" s="3">
        <v>783.659521945493</v>
      </c>
    </row>
    <row r="5225" spans="1:12" ht="15" customHeight="1" x14ac:dyDescent="0.2">
      <c r="A5225" s="2">
        <v>38469</v>
      </c>
      <c r="B5225" s="3">
        <v>32.28</v>
      </c>
      <c r="C5225" s="1">
        <v>647565</v>
      </c>
      <c r="D5225" s="3">
        <v>0.20000000000000201</v>
      </c>
      <c r="E5225" s="3">
        <v>0.62344139650873898</v>
      </c>
      <c r="F5225" s="3">
        <v>0.62344139650873898</v>
      </c>
      <c r="G5225" s="3">
        <v>32.28</v>
      </c>
      <c r="H5225" s="3">
        <v>799.54365715548795</v>
      </c>
      <c r="I5225" s="3">
        <v>32.04</v>
      </c>
      <c r="J5225" s="3">
        <v>33.299999999999997</v>
      </c>
      <c r="K5225" s="3">
        <v>31.4</v>
      </c>
      <c r="L5225" s="3">
        <v>799.54365715548795</v>
      </c>
    </row>
    <row r="5226" spans="1:12" ht="15" customHeight="1" x14ac:dyDescent="0.2">
      <c r="A5226" s="2">
        <v>38468</v>
      </c>
      <c r="B5226" s="3">
        <v>32.08</v>
      </c>
      <c r="C5226" s="1">
        <v>791824</v>
      </c>
      <c r="D5226" s="3">
        <v>0.149999999999998</v>
      </c>
      <c r="E5226" s="3">
        <v>0.46977763858440102</v>
      </c>
      <c r="F5226" s="3">
        <v>0.46977763858440102</v>
      </c>
      <c r="G5226" s="3">
        <v>32.08</v>
      </c>
      <c r="H5226" s="3">
        <v>793.97027638005102</v>
      </c>
      <c r="I5226" s="3">
        <v>31.78</v>
      </c>
      <c r="J5226" s="3">
        <v>32.6</v>
      </c>
      <c r="K5226" s="3">
        <v>31.55</v>
      </c>
      <c r="L5226" s="3">
        <v>793.97027638005102</v>
      </c>
    </row>
    <row r="5227" spans="1:12" ht="15" customHeight="1" x14ac:dyDescent="0.2">
      <c r="A5227" s="2">
        <v>38467</v>
      </c>
      <c r="B5227" s="3">
        <v>31.93</v>
      </c>
      <c r="C5227" s="1">
        <v>1147664</v>
      </c>
      <c r="D5227" s="3">
        <v>0.19999999999999901</v>
      </c>
      <c r="E5227" s="3">
        <v>0.63031831074693501</v>
      </c>
      <c r="F5227" s="3">
        <v>0.63031831074693501</v>
      </c>
      <c r="G5227" s="3">
        <v>31.93</v>
      </c>
      <c r="H5227" s="3">
        <v>789.79024079847295</v>
      </c>
      <c r="I5227" s="3">
        <v>31.66</v>
      </c>
      <c r="J5227" s="3">
        <v>31.97</v>
      </c>
      <c r="K5227" s="3">
        <v>31.46875</v>
      </c>
      <c r="L5227" s="3">
        <v>789.79024079847295</v>
      </c>
    </row>
    <row r="5228" spans="1:12" ht="15" customHeight="1" x14ac:dyDescent="0.2">
      <c r="A5228" s="2">
        <v>38464</v>
      </c>
      <c r="B5228" s="3">
        <v>31.73</v>
      </c>
      <c r="C5228" s="1">
        <v>1350310</v>
      </c>
      <c r="D5228" s="3">
        <v>-0.62999999999999901</v>
      </c>
      <c r="E5228" s="3">
        <v>-1.94684796044498</v>
      </c>
      <c r="F5228" s="3">
        <v>-1.94684796044498</v>
      </c>
      <c r="G5228" s="3">
        <v>31.73</v>
      </c>
      <c r="H5228" s="3">
        <v>784.21686002303602</v>
      </c>
      <c r="I5228" s="3">
        <v>32.200000000000003</v>
      </c>
      <c r="J5228" s="3">
        <v>32.409999999999997</v>
      </c>
      <c r="K5228" s="3">
        <v>31.42</v>
      </c>
      <c r="L5228" s="3">
        <v>784.21686002303602</v>
      </c>
    </row>
    <row r="5229" spans="1:12" ht="15" customHeight="1" x14ac:dyDescent="0.2">
      <c r="A5229" s="2">
        <v>38463</v>
      </c>
      <c r="B5229" s="3">
        <v>32.36</v>
      </c>
      <c r="C5229" s="1">
        <v>1050219</v>
      </c>
      <c r="D5229" s="3">
        <v>-9.0000000000003397E-2</v>
      </c>
      <c r="E5229" s="3">
        <v>-0.27734976887520102</v>
      </c>
      <c r="F5229" s="3">
        <v>-0.27734976887520102</v>
      </c>
      <c r="G5229" s="3">
        <v>32.36</v>
      </c>
      <c r="H5229" s="3">
        <v>801.77300946566197</v>
      </c>
      <c r="I5229" s="3">
        <v>32.659999999999997</v>
      </c>
      <c r="J5229" s="3">
        <v>32.99</v>
      </c>
      <c r="K5229" s="3">
        <v>32.24</v>
      </c>
      <c r="L5229" s="3">
        <v>801.77300946566197</v>
      </c>
    </row>
    <row r="5230" spans="1:12" ht="15" customHeight="1" x14ac:dyDescent="0.2">
      <c r="A5230" s="2">
        <v>38462</v>
      </c>
      <c r="B5230" s="3">
        <v>32.450000000000003</v>
      </c>
      <c r="C5230" s="1">
        <v>1646394</v>
      </c>
      <c r="D5230" s="3">
        <v>-1.3399999999999901</v>
      </c>
      <c r="E5230" s="3">
        <v>-3.96567031666171</v>
      </c>
      <c r="F5230" s="3">
        <v>-3.96567031666171</v>
      </c>
      <c r="G5230" s="3">
        <v>32.450000000000003</v>
      </c>
      <c r="H5230" s="3">
        <v>804.28103081460904</v>
      </c>
      <c r="I5230" s="3">
        <v>33.380000000000003</v>
      </c>
      <c r="J5230" s="3">
        <v>33.380000000000003</v>
      </c>
      <c r="K5230" s="3">
        <v>32.200000000000003</v>
      </c>
      <c r="L5230" s="3">
        <v>804.28103081460904</v>
      </c>
    </row>
    <row r="5231" spans="1:12" ht="15" customHeight="1" x14ac:dyDescent="0.2">
      <c r="A5231" s="2">
        <v>38461</v>
      </c>
      <c r="B5231" s="3">
        <v>33.79</v>
      </c>
      <c r="C5231" s="1">
        <v>587654</v>
      </c>
      <c r="D5231" s="3">
        <v>0.33999999999999603</v>
      </c>
      <c r="E5231" s="3">
        <v>1.0164424514199999</v>
      </c>
      <c r="F5231" s="3">
        <v>1.0164424514199999</v>
      </c>
      <c r="G5231" s="3">
        <v>33.79</v>
      </c>
      <c r="H5231" s="3">
        <v>841.62268201003496</v>
      </c>
      <c r="I5231" s="3">
        <v>33.51</v>
      </c>
      <c r="J5231" s="3">
        <v>33.79</v>
      </c>
      <c r="K5231" s="3">
        <v>33.33</v>
      </c>
      <c r="L5231" s="3">
        <v>841.62268201003496</v>
      </c>
    </row>
    <row r="5232" spans="1:12" ht="15" customHeight="1" x14ac:dyDescent="0.2">
      <c r="A5232" s="2">
        <v>38460</v>
      </c>
      <c r="B5232" s="3">
        <v>33.450000000000003</v>
      </c>
      <c r="C5232" s="1">
        <v>853362</v>
      </c>
      <c r="D5232" s="3">
        <v>5.0000000000004201E-2</v>
      </c>
      <c r="E5232" s="3">
        <v>0.14970059880241501</v>
      </c>
      <c r="F5232" s="3">
        <v>0.14970059880241501</v>
      </c>
      <c r="G5232" s="3">
        <v>33.450000000000003</v>
      </c>
      <c r="H5232" s="3">
        <v>832.14793469179199</v>
      </c>
      <c r="I5232" s="3">
        <v>33.31</v>
      </c>
      <c r="J5232" s="3">
        <v>33.619999999999997</v>
      </c>
      <c r="K5232" s="3">
        <v>33.113999999999997</v>
      </c>
      <c r="L5232" s="3">
        <v>832.14793469179199</v>
      </c>
    </row>
    <row r="5233" spans="1:12" ht="15" customHeight="1" x14ac:dyDescent="0.2">
      <c r="A5233" s="2">
        <v>38457</v>
      </c>
      <c r="B5233" s="3">
        <v>33.4</v>
      </c>
      <c r="C5233" s="1">
        <v>788309</v>
      </c>
      <c r="D5233" s="3">
        <v>-0.37000000000000399</v>
      </c>
      <c r="E5233" s="3">
        <v>-1.0956470239858001</v>
      </c>
      <c r="F5233" s="3">
        <v>-1.0956470239858001</v>
      </c>
      <c r="G5233" s="3">
        <v>33.4</v>
      </c>
      <c r="H5233" s="3">
        <v>830.75458949793301</v>
      </c>
      <c r="I5233" s="3">
        <v>33.619999999999997</v>
      </c>
      <c r="J5233" s="3">
        <v>33.96</v>
      </c>
      <c r="K5233" s="3">
        <v>33.28</v>
      </c>
      <c r="L5233" s="3">
        <v>830.75458949793301</v>
      </c>
    </row>
    <row r="5234" spans="1:12" ht="15" customHeight="1" x14ac:dyDescent="0.2">
      <c r="A5234" s="2">
        <v>38456</v>
      </c>
      <c r="B5234" s="3">
        <v>33.770000000000003</v>
      </c>
      <c r="C5234" s="1">
        <v>431026</v>
      </c>
      <c r="D5234" s="3">
        <v>-3.9999999999999099E-2</v>
      </c>
      <c r="E5234" s="3">
        <v>-0.118308192842353</v>
      </c>
      <c r="F5234" s="3">
        <v>-0.118308192842353</v>
      </c>
      <c r="G5234" s="3">
        <v>33.770000000000003</v>
      </c>
      <c r="H5234" s="3">
        <v>841.06534393249103</v>
      </c>
      <c r="I5234" s="3">
        <v>33.950000000000003</v>
      </c>
      <c r="J5234" s="3">
        <v>34</v>
      </c>
      <c r="K5234" s="3">
        <v>33.549999999999997</v>
      </c>
      <c r="L5234" s="3">
        <v>841.06534393249103</v>
      </c>
    </row>
    <row r="5235" spans="1:12" ht="15" customHeight="1" x14ac:dyDescent="0.2">
      <c r="A5235" s="2">
        <v>38455</v>
      </c>
      <c r="B5235" s="3">
        <v>33.81</v>
      </c>
      <c r="C5235" s="1">
        <v>426579</v>
      </c>
      <c r="D5235" s="3">
        <v>-0.14000000000000001</v>
      </c>
      <c r="E5235" s="3">
        <v>-0.41237113402061698</v>
      </c>
      <c r="F5235" s="3">
        <v>-0.41237113402061698</v>
      </c>
      <c r="G5235" s="3">
        <v>33.81</v>
      </c>
      <c r="H5235" s="3">
        <v>842.18002008757901</v>
      </c>
      <c r="I5235" s="3">
        <v>34.020000000000003</v>
      </c>
      <c r="J5235" s="3">
        <v>34.340000000000003</v>
      </c>
      <c r="K5235" s="3">
        <v>33.700000000000003</v>
      </c>
      <c r="L5235" s="3">
        <v>842.18002008757901</v>
      </c>
    </row>
    <row r="5236" spans="1:12" ht="15" customHeight="1" x14ac:dyDescent="0.2">
      <c r="A5236" s="2">
        <v>38454</v>
      </c>
      <c r="B5236" s="3">
        <v>33.950000000000003</v>
      </c>
      <c r="C5236" s="1">
        <v>935535</v>
      </c>
      <c r="D5236" s="3">
        <v>-3.9999999999999099E-2</v>
      </c>
      <c r="E5236" s="3">
        <v>-0.117681671079727</v>
      </c>
      <c r="F5236" s="3">
        <v>-0.117681671079727</v>
      </c>
      <c r="G5236" s="3">
        <v>33.950000000000003</v>
      </c>
      <c r="H5236" s="3">
        <v>846.08138663038403</v>
      </c>
      <c r="I5236" s="3">
        <v>34.03</v>
      </c>
      <c r="J5236" s="3">
        <v>34.049999999999997</v>
      </c>
      <c r="K5236" s="3">
        <v>33.35</v>
      </c>
      <c r="L5236" s="3">
        <v>846.08138663038403</v>
      </c>
    </row>
    <row r="5237" spans="1:12" ht="15" customHeight="1" x14ac:dyDescent="0.2">
      <c r="A5237" s="2">
        <v>38453</v>
      </c>
      <c r="B5237" s="3">
        <v>33.99</v>
      </c>
      <c r="C5237" s="1">
        <v>596025</v>
      </c>
      <c r="D5237" s="3">
        <v>-0.19999999999999499</v>
      </c>
      <c r="E5237" s="3">
        <v>-0.58496636443403605</v>
      </c>
      <c r="F5237" s="3">
        <v>-0.58496636443403605</v>
      </c>
      <c r="G5237" s="3">
        <v>33.99</v>
      </c>
      <c r="H5237" s="3">
        <v>847.19606278547201</v>
      </c>
      <c r="I5237" s="3">
        <v>34.130000000000003</v>
      </c>
      <c r="J5237" s="3">
        <v>34.36</v>
      </c>
      <c r="K5237" s="3">
        <v>33.799999999999997</v>
      </c>
      <c r="L5237" s="3">
        <v>847.19606278547201</v>
      </c>
    </row>
    <row r="5238" spans="1:12" ht="15" customHeight="1" x14ac:dyDescent="0.2">
      <c r="A5238" s="2">
        <v>38450</v>
      </c>
      <c r="B5238" s="3">
        <v>34.19</v>
      </c>
      <c r="C5238" s="1">
        <v>440885</v>
      </c>
      <c r="D5238" s="3">
        <v>-0.42000000000000098</v>
      </c>
      <c r="E5238" s="3">
        <v>-1.2135221034383099</v>
      </c>
      <c r="F5238" s="3">
        <v>-1.2135221034383099</v>
      </c>
      <c r="G5238" s="3">
        <v>34.19</v>
      </c>
      <c r="H5238" s="3">
        <v>852.76944356090803</v>
      </c>
      <c r="I5238" s="3">
        <v>34.75</v>
      </c>
      <c r="J5238" s="3">
        <v>34.75</v>
      </c>
      <c r="K5238" s="3">
        <v>34.07</v>
      </c>
      <c r="L5238" s="3">
        <v>852.76944356090803</v>
      </c>
    </row>
    <row r="5239" spans="1:12" ht="15" customHeight="1" x14ac:dyDescent="0.2">
      <c r="A5239" s="2">
        <v>38449</v>
      </c>
      <c r="B5239" s="3">
        <v>34.61</v>
      </c>
      <c r="C5239" s="1">
        <v>939500</v>
      </c>
      <c r="D5239" s="3">
        <v>-0.23000000000000301</v>
      </c>
      <c r="E5239" s="3">
        <v>-0.66016073478760695</v>
      </c>
      <c r="F5239" s="3">
        <v>-0.66016073478760695</v>
      </c>
      <c r="G5239" s="3">
        <v>34.61</v>
      </c>
      <c r="H5239" s="3">
        <v>864.47354318932503</v>
      </c>
      <c r="I5239" s="3">
        <v>34.9</v>
      </c>
      <c r="J5239" s="3">
        <v>34.9</v>
      </c>
      <c r="K5239" s="3">
        <v>34.47</v>
      </c>
      <c r="L5239" s="3">
        <v>864.47354318932503</v>
      </c>
    </row>
    <row r="5240" spans="1:12" ht="15" customHeight="1" x14ac:dyDescent="0.2">
      <c r="A5240" s="2">
        <v>38448</v>
      </c>
      <c r="B5240" s="3">
        <v>34.840000000000003</v>
      </c>
      <c r="C5240" s="1">
        <v>862227</v>
      </c>
      <c r="D5240" s="3">
        <v>-0.109999999999999</v>
      </c>
      <c r="E5240" s="3">
        <v>-0.31473533619456001</v>
      </c>
      <c r="F5240" s="3">
        <v>-0.31473533619456001</v>
      </c>
      <c r="G5240" s="3">
        <v>34.840000000000003</v>
      </c>
      <c r="H5240" s="3">
        <v>870.88293108107803</v>
      </c>
      <c r="I5240" s="3">
        <v>35.06</v>
      </c>
      <c r="J5240" s="3">
        <v>35.159999999999997</v>
      </c>
      <c r="K5240" s="3">
        <v>34.82</v>
      </c>
      <c r="L5240" s="3">
        <v>870.88293108107803</v>
      </c>
    </row>
    <row r="5241" spans="1:12" ht="15" customHeight="1" x14ac:dyDescent="0.2">
      <c r="A5241" s="2">
        <v>38447</v>
      </c>
      <c r="B5241" s="3">
        <v>34.950000000000003</v>
      </c>
      <c r="C5241" s="1">
        <v>956785</v>
      </c>
      <c r="D5241" s="3">
        <v>0.17999999999999899</v>
      </c>
      <c r="E5241" s="3">
        <v>0.517687661777399</v>
      </c>
      <c r="F5241" s="3">
        <v>0.517687661777399</v>
      </c>
      <c r="G5241" s="3">
        <v>34.950000000000003</v>
      </c>
      <c r="H5241" s="3">
        <v>873.948290507568</v>
      </c>
      <c r="I5241" s="3">
        <v>34.85</v>
      </c>
      <c r="J5241" s="3">
        <v>35.28</v>
      </c>
      <c r="K5241" s="3">
        <v>34.78</v>
      </c>
      <c r="L5241" s="3">
        <v>873.948290507568</v>
      </c>
    </row>
    <row r="5242" spans="1:12" ht="15" customHeight="1" x14ac:dyDescent="0.2">
      <c r="A5242" s="2">
        <v>38446</v>
      </c>
      <c r="B5242" s="3">
        <v>34.770000000000003</v>
      </c>
      <c r="C5242" s="1">
        <v>1104199</v>
      </c>
      <c r="D5242" s="3">
        <v>-0.19999999999999499</v>
      </c>
      <c r="E5242" s="3">
        <v>-0.57191878753215497</v>
      </c>
      <c r="F5242" s="3">
        <v>-0.57191878753215497</v>
      </c>
      <c r="G5242" s="3">
        <v>34.770000000000003</v>
      </c>
      <c r="H5242" s="3">
        <v>868.932247809675</v>
      </c>
      <c r="I5242" s="3">
        <v>34.94</v>
      </c>
      <c r="J5242" s="3">
        <v>35.200000000000003</v>
      </c>
      <c r="K5242" s="3">
        <v>34.25</v>
      </c>
      <c r="L5242" s="3">
        <v>868.932247809675</v>
      </c>
    </row>
    <row r="5243" spans="1:12" ht="15" customHeight="1" x14ac:dyDescent="0.2">
      <c r="A5243" s="2">
        <v>38443</v>
      </c>
      <c r="B5243" s="3">
        <v>34.97</v>
      </c>
      <c r="C5243" s="1">
        <v>546361</v>
      </c>
      <c r="D5243" s="3">
        <v>-0.48000000000000398</v>
      </c>
      <c r="E5243" s="3">
        <v>-1.3540197461212999</v>
      </c>
      <c r="F5243" s="3">
        <v>-1.3540197461212999</v>
      </c>
      <c r="G5243" s="3">
        <v>34.97</v>
      </c>
      <c r="H5243" s="3">
        <v>874.50562858511205</v>
      </c>
      <c r="I5243" s="3">
        <v>35.700000000000003</v>
      </c>
      <c r="J5243" s="3">
        <v>35.799999999999997</v>
      </c>
      <c r="K5243" s="3">
        <v>34.75</v>
      </c>
      <c r="L5243" s="3">
        <v>874.50562858511205</v>
      </c>
    </row>
    <row r="5244" spans="1:12" ht="15" customHeight="1" x14ac:dyDescent="0.2">
      <c r="A5244" s="2">
        <v>38442</v>
      </c>
      <c r="B5244" s="3">
        <v>35.450000000000003</v>
      </c>
      <c r="C5244" s="1">
        <v>857935</v>
      </c>
      <c r="D5244" s="3">
        <v>-0.79999999999999705</v>
      </c>
      <c r="E5244" s="3">
        <v>-2.2068965517241201</v>
      </c>
      <c r="F5244" s="3">
        <v>-2.2068965517241201</v>
      </c>
      <c r="G5244" s="3">
        <v>35.450000000000003</v>
      </c>
      <c r="H5244" s="3">
        <v>887.88174244616005</v>
      </c>
      <c r="I5244" s="3">
        <v>36.39</v>
      </c>
      <c r="J5244" s="3">
        <v>36.39</v>
      </c>
      <c r="K5244" s="3">
        <v>35.32</v>
      </c>
      <c r="L5244" s="3">
        <v>887.88174244616005</v>
      </c>
    </row>
    <row r="5245" spans="1:12" ht="15" customHeight="1" x14ac:dyDescent="0.2">
      <c r="A5245" s="2">
        <v>38441</v>
      </c>
      <c r="B5245" s="3">
        <v>36.25</v>
      </c>
      <c r="C5245" s="1">
        <v>773701</v>
      </c>
      <c r="D5245" s="3">
        <v>-0.29999999999999699</v>
      </c>
      <c r="E5245" s="3">
        <v>-0.820793433652522</v>
      </c>
      <c r="F5245" s="3">
        <v>-0.820793433652522</v>
      </c>
      <c r="G5245" s="3">
        <v>36.25</v>
      </c>
      <c r="H5245" s="3">
        <v>910.17526554790697</v>
      </c>
      <c r="I5245" s="3">
        <v>36.33</v>
      </c>
      <c r="J5245" s="3">
        <v>36.81</v>
      </c>
      <c r="K5245" s="3">
        <v>35.799999999999997</v>
      </c>
      <c r="L5245" s="3">
        <v>910.17526554790697</v>
      </c>
    </row>
    <row r="5246" spans="1:12" ht="15" customHeight="1" x14ac:dyDescent="0.2">
      <c r="A5246" s="2">
        <v>38440</v>
      </c>
      <c r="B5246" s="3">
        <v>36.549999999999997</v>
      </c>
      <c r="C5246" s="1">
        <v>1470949</v>
      </c>
      <c r="D5246" s="3">
        <v>0.53999999999999904</v>
      </c>
      <c r="E5246" s="3">
        <v>1.49958344904193</v>
      </c>
      <c r="F5246" s="3">
        <v>1.49958344904193</v>
      </c>
      <c r="G5246" s="3">
        <v>36.549999999999997</v>
      </c>
      <c r="H5246" s="3">
        <v>918.53533671106197</v>
      </c>
      <c r="I5246" s="3">
        <v>36.19</v>
      </c>
      <c r="J5246" s="3">
        <v>37.36</v>
      </c>
      <c r="K5246" s="3">
        <v>36</v>
      </c>
      <c r="L5246" s="3">
        <v>918.53533671106197</v>
      </c>
    </row>
    <row r="5247" spans="1:12" ht="15" customHeight="1" x14ac:dyDescent="0.2">
      <c r="A5247" s="2">
        <v>38439</v>
      </c>
      <c r="B5247" s="3">
        <v>36.01</v>
      </c>
      <c r="C5247" s="1">
        <v>970905</v>
      </c>
      <c r="D5247" s="3">
        <v>0.82</v>
      </c>
      <c r="E5247" s="3">
        <v>2.3302074452969501</v>
      </c>
      <c r="F5247" s="3">
        <v>2.3302074452969501</v>
      </c>
      <c r="G5247" s="3">
        <v>36.01</v>
      </c>
      <c r="H5247" s="3">
        <v>903.48720861738195</v>
      </c>
      <c r="I5247" s="3">
        <v>35.409999999999997</v>
      </c>
      <c r="J5247" s="3">
        <v>36.24</v>
      </c>
      <c r="K5247" s="3">
        <v>35.299999999999997</v>
      </c>
      <c r="L5247" s="3">
        <v>903.48720861738195</v>
      </c>
    </row>
    <row r="5248" spans="1:12" ht="15" customHeight="1" x14ac:dyDescent="0.2">
      <c r="A5248" s="2">
        <v>38435</v>
      </c>
      <c r="B5248" s="3">
        <v>35.19</v>
      </c>
      <c r="C5248" s="1">
        <v>989625</v>
      </c>
      <c r="D5248" s="3">
        <v>0.96999999999999797</v>
      </c>
      <c r="E5248" s="3">
        <v>2.8345996493278802</v>
      </c>
      <c r="F5248" s="3">
        <v>2.8345996493278802</v>
      </c>
      <c r="G5248" s="3">
        <v>35.19</v>
      </c>
      <c r="H5248" s="3">
        <v>880.636347438092</v>
      </c>
      <c r="I5248" s="3">
        <v>34.25</v>
      </c>
      <c r="J5248" s="3">
        <v>35.65</v>
      </c>
      <c r="K5248" s="3">
        <v>34.25</v>
      </c>
      <c r="L5248" s="3">
        <v>880.636347438092</v>
      </c>
    </row>
    <row r="5249" spans="1:12" ht="15" customHeight="1" x14ac:dyDescent="0.2">
      <c r="A5249" s="2">
        <v>38434</v>
      </c>
      <c r="B5249" s="3">
        <v>34.22</v>
      </c>
      <c r="C5249" s="1">
        <v>1059563</v>
      </c>
      <c r="D5249" s="3">
        <v>-7.9999999999998295E-2</v>
      </c>
      <c r="E5249" s="3">
        <v>-0.23323615160348801</v>
      </c>
      <c r="F5249" s="3">
        <v>-0.23323615160348801</v>
      </c>
      <c r="G5249" s="3">
        <v>34.22</v>
      </c>
      <c r="H5249" s="3">
        <v>853.60545067722398</v>
      </c>
      <c r="I5249" s="3">
        <v>34.119999999999997</v>
      </c>
      <c r="J5249" s="3">
        <v>34.35</v>
      </c>
      <c r="K5249" s="3">
        <v>33.520000000000003</v>
      </c>
      <c r="L5249" s="3">
        <v>853.60545067722398</v>
      </c>
    </row>
    <row r="5250" spans="1:12" ht="15" customHeight="1" x14ac:dyDescent="0.2">
      <c r="A5250" s="2">
        <v>38433</v>
      </c>
      <c r="B5250" s="3">
        <v>34.299999999999997</v>
      </c>
      <c r="C5250" s="1">
        <v>343975</v>
      </c>
      <c r="D5250" s="3">
        <v>0.25</v>
      </c>
      <c r="E5250" s="3">
        <v>0.73421439060206095</v>
      </c>
      <c r="F5250" s="3">
        <v>0.73421439060206095</v>
      </c>
      <c r="G5250" s="3">
        <v>34.299999999999997</v>
      </c>
      <c r="H5250" s="3">
        <v>855.83480298739801</v>
      </c>
      <c r="I5250" s="3">
        <v>33.99</v>
      </c>
      <c r="J5250" s="3">
        <v>34.56</v>
      </c>
      <c r="K5250" s="3">
        <v>33.99</v>
      </c>
      <c r="L5250" s="3">
        <v>855.83480298739801</v>
      </c>
    </row>
    <row r="5251" spans="1:12" ht="15" customHeight="1" x14ac:dyDescent="0.2">
      <c r="A5251" s="2">
        <v>38432</v>
      </c>
      <c r="B5251" s="3">
        <v>34.049999999999997</v>
      </c>
      <c r="C5251" s="1">
        <v>371001</v>
      </c>
      <c r="D5251" s="3">
        <v>3.9999999999999099E-2</v>
      </c>
      <c r="E5251" s="3">
        <v>0.117612466921501</v>
      </c>
      <c r="F5251" s="3">
        <v>0.117612466921501</v>
      </c>
      <c r="G5251" s="3">
        <v>34.049999999999997</v>
      </c>
      <c r="H5251" s="3">
        <v>848.86807701810301</v>
      </c>
      <c r="I5251" s="3">
        <v>34.1</v>
      </c>
      <c r="J5251" s="3">
        <v>34.11</v>
      </c>
      <c r="K5251" s="3">
        <v>33.94</v>
      </c>
      <c r="L5251" s="3">
        <v>848.86807701810301</v>
      </c>
    </row>
    <row r="5252" spans="1:12" ht="15" customHeight="1" x14ac:dyDescent="0.2">
      <c r="A5252" s="2">
        <v>38429</v>
      </c>
      <c r="B5252" s="3">
        <v>34.01</v>
      </c>
      <c r="C5252" s="1">
        <v>397518</v>
      </c>
      <c r="D5252" s="3">
        <v>0.37999999999999501</v>
      </c>
      <c r="E5252" s="3">
        <v>1.1299435028248399</v>
      </c>
      <c r="F5252" s="3">
        <v>1.1299435028248399</v>
      </c>
      <c r="G5252" s="3">
        <v>34.01</v>
      </c>
      <c r="H5252" s="3">
        <v>847.75340086301503</v>
      </c>
      <c r="I5252" s="3">
        <v>33.85</v>
      </c>
      <c r="J5252" s="3">
        <v>34.130000000000003</v>
      </c>
      <c r="K5252" s="3">
        <v>33.520000000000003</v>
      </c>
      <c r="L5252" s="3">
        <v>847.75340086301503</v>
      </c>
    </row>
    <row r="5253" spans="1:12" ht="15" customHeight="1" x14ac:dyDescent="0.2">
      <c r="A5253" s="2">
        <v>38428</v>
      </c>
      <c r="B5253" s="3">
        <v>33.630000000000003</v>
      </c>
      <c r="C5253" s="1">
        <v>297837</v>
      </c>
      <c r="D5253" s="3">
        <v>-0.21</v>
      </c>
      <c r="E5253" s="3">
        <v>-0.620567375886527</v>
      </c>
      <c r="F5253" s="3">
        <v>-0.620567375886527</v>
      </c>
      <c r="G5253" s="3">
        <v>33.630000000000003</v>
      </c>
      <c r="H5253" s="3">
        <v>837.16397738968601</v>
      </c>
      <c r="I5253" s="3">
        <v>33.81</v>
      </c>
      <c r="J5253" s="3">
        <v>33.89</v>
      </c>
      <c r="K5253" s="3">
        <v>33.5</v>
      </c>
      <c r="L5253" s="3">
        <v>837.16397738968601</v>
      </c>
    </row>
    <row r="5254" spans="1:12" ht="15" customHeight="1" x14ac:dyDescent="0.2">
      <c r="A5254" s="2">
        <v>38427</v>
      </c>
      <c r="B5254" s="3">
        <v>33.840000000000003</v>
      </c>
      <c r="C5254" s="1">
        <v>344847</v>
      </c>
      <c r="D5254" s="3">
        <v>-9.9999999999980105E-3</v>
      </c>
      <c r="E5254" s="3">
        <v>-2.9542097488910402E-2</v>
      </c>
      <c r="F5254" s="3">
        <v>-2.9542097488910402E-2</v>
      </c>
      <c r="G5254" s="3">
        <v>33.840000000000003</v>
      </c>
      <c r="H5254" s="3">
        <v>843.01602720389405</v>
      </c>
      <c r="I5254" s="3">
        <v>33.67</v>
      </c>
      <c r="J5254" s="3">
        <v>34.061999999999998</v>
      </c>
      <c r="K5254" s="3">
        <v>33.67</v>
      </c>
      <c r="L5254" s="3">
        <v>843.01602720389405</v>
      </c>
    </row>
    <row r="5255" spans="1:12" ht="15" customHeight="1" x14ac:dyDescent="0.2">
      <c r="A5255" s="2">
        <v>38426</v>
      </c>
      <c r="B5255" s="3">
        <v>33.85</v>
      </c>
      <c r="C5255" s="1">
        <v>589606</v>
      </c>
      <c r="D5255" s="3">
        <v>-0.37999999999999501</v>
      </c>
      <c r="E5255" s="3">
        <v>-1.11013730645631</v>
      </c>
      <c r="F5255" s="3">
        <v>-1.11013730645631</v>
      </c>
      <c r="G5255" s="3">
        <v>33.85</v>
      </c>
      <c r="H5255" s="3">
        <v>843.29469624266596</v>
      </c>
      <c r="I5255" s="3">
        <v>34.229999999999997</v>
      </c>
      <c r="J5255" s="3">
        <v>34.32</v>
      </c>
      <c r="K5255" s="3">
        <v>33.69</v>
      </c>
      <c r="L5255" s="3">
        <v>843.29469624266596</v>
      </c>
    </row>
    <row r="5256" spans="1:12" ht="15" customHeight="1" x14ac:dyDescent="0.2">
      <c r="A5256" s="2">
        <v>38425</v>
      </c>
      <c r="B5256" s="3">
        <v>34.229999999999997</v>
      </c>
      <c r="C5256" s="1">
        <v>451927</v>
      </c>
      <c r="D5256" s="3">
        <v>-2.0000000000003099E-2</v>
      </c>
      <c r="E5256" s="3">
        <v>-5.8394160583952102E-2</v>
      </c>
      <c r="F5256" s="3">
        <v>-5.8394160583952102E-2</v>
      </c>
      <c r="G5256" s="3">
        <v>34.229999999999997</v>
      </c>
      <c r="H5256" s="3">
        <v>853.88411971599601</v>
      </c>
      <c r="I5256" s="3">
        <v>34.25</v>
      </c>
      <c r="J5256" s="3">
        <v>34.69</v>
      </c>
      <c r="K5256" s="3">
        <v>34.03</v>
      </c>
      <c r="L5256" s="3">
        <v>853.88411971599601</v>
      </c>
    </row>
    <row r="5257" spans="1:12" ht="15" customHeight="1" x14ac:dyDescent="0.2">
      <c r="A5257" s="2">
        <v>38422</v>
      </c>
      <c r="B5257" s="3">
        <v>34.25</v>
      </c>
      <c r="C5257" s="1">
        <v>333256</v>
      </c>
      <c r="D5257" s="3">
        <v>-9.0000000000003397E-2</v>
      </c>
      <c r="E5257" s="3">
        <v>-0.26208503203262101</v>
      </c>
      <c r="F5257" s="3">
        <v>-0.26208503203262101</v>
      </c>
      <c r="G5257" s="3">
        <v>34.25</v>
      </c>
      <c r="H5257" s="3">
        <v>854.44145779353903</v>
      </c>
      <c r="I5257" s="3">
        <v>34.200000000000003</v>
      </c>
      <c r="J5257" s="3">
        <v>34.64</v>
      </c>
      <c r="K5257" s="3">
        <v>34.07</v>
      </c>
      <c r="L5257" s="3">
        <v>854.44145779353903</v>
      </c>
    </row>
    <row r="5258" spans="1:12" ht="15" customHeight="1" x14ac:dyDescent="0.2">
      <c r="A5258" s="2">
        <v>38421</v>
      </c>
      <c r="B5258" s="3">
        <v>34.340000000000003</v>
      </c>
      <c r="C5258" s="1">
        <v>422417</v>
      </c>
      <c r="D5258" s="3">
        <v>-0.189999999999997</v>
      </c>
      <c r="E5258" s="3">
        <v>-0.55024616275701699</v>
      </c>
      <c r="F5258" s="3">
        <v>-0.55024616275701699</v>
      </c>
      <c r="G5258" s="3">
        <v>34.340000000000003</v>
      </c>
      <c r="H5258" s="3">
        <v>856.94947914248598</v>
      </c>
      <c r="I5258" s="3">
        <v>34.57</v>
      </c>
      <c r="J5258" s="3">
        <v>34.57</v>
      </c>
      <c r="K5258" s="3">
        <v>33.942999999999998</v>
      </c>
      <c r="L5258" s="3">
        <v>856.94947914248598</v>
      </c>
    </row>
    <row r="5259" spans="1:12" ht="15" customHeight="1" x14ac:dyDescent="0.2">
      <c r="A5259" s="2">
        <v>38420</v>
      </c>
      <c r="B5259" s="3">
        <v>34.53</v>
      </c>
      <c r="C5259" s="1">
        <v>608208</v>
      </c>
      <c r="D5259" s="3">
        <v>-0.42999999999999899</v>
      </c>
      <c r="E5259" s="3">
        <v>-1.2299771167047999</v>
      </c>
      <c r="F5259" s="3">
        <v>-1.2299771167047999</v>
      </c>
      <c r="G5259" s="3">
        <v>34.53</v>
      </c>
      <c r="H5259" s="3">
        <v>862.24419087915101</v>
      </c>
      <c r="I5259" s="3">
        <v>34.85</v>
      </c>
      <c r="J5259" s="3">
        <v>34.869999999999997</v>
      </c>
      <c r="K5259" s="3">
        <v>34.340000000000003</v>
      </c>
      <c r="L5259" s="3">
        <v>862.24419087915101</v>
      </c>
    </row>
    <row r="5260" spans="1:12" ht="15" customHeight="1" x14ac:dyDescent="0.2">
      <c r="A5260" s="2">
        <v>38419</v>
      </c>
      <c r="B5260" s="3">
        <v>34.96</v>
      </c>
      <c r="C5260" s="1">
        <v>1325755</v>
      </c>
      <c r="D5260" s="3">
        <v>0.160000000000003</v>
      </c>
      <c r="E5260" s="3">
        <v>0.459770114942537</v>
      </c>
      <c r="F5260" s="3">
        <v>0.459770114942537</v>
      </c>
      <c r="G5260" s="3">
        <v>34.96</v>
      </c>
      <c r="H5260" s="3">
        <v>874.22695954634003</v>
      </c>
      <c r="I5260" s="3">
        <v>34.78</v>
      </c>
      <c r="J5260" s="3">
        <v>35.01</v>
      </c>
      <c r="K5260" s="3">
        <v>34.450000000000003</v>
      </c>
      <c r="L5260" s="3">
        <v>874.22695954634003</v>
      </c>
    </row>
    <row r="5261" spans="1:12" ht="15" customHeight="1" x14ac:dyDescent="0.2">
      <c r="A5261" s="2">
        <v>38418</v>
      </c>
      <c r="B5261" s="3">
        <v>34.799999999999997</v>
      </c>
      <c r="C5261" s="1">
        <v>682497</v>
      </c>
      <c r="D5261" s="3">
        <v>0.75999999999999801</v>
      </c>
      <c r="E5261" s="3">
        <v>2.2326674500587398</v>
      </c>
      <c r="F5261" s="3">
        <v>2.2326674500587398</v>
      </c>
      <c r="G5261" s="3">
        <v>34.799999999999997</v>
      </c>
      <c r="H5261" s="3">
        <v>869.76825492599005</v>
      </c>
      <c r="I5261" s="3">
        <v>34.139000000000003</v>
      </c>
      <c r="J5261" s="3">
        <v>34.82</v>
      </c>
      <c r="K5261" s="3">
        <v>33.840000000000003</v>
      </c>
      <c r="L5261" s="3">
        <v>869.76825492599005</v>
      </c>
    </row>
    <row r="5262" spans="1:12" ht="15" customHeight="1" x14ac:dyDescent="0.2">
      <c r="A5262" s="2">
        <v>38415</v>
      </c>
      <c r="B5262" s="3">
        <v>34.04</v>
      </c>
      <c r="C5262" s="1">
        <v>1796300</v>
      </c>
      <c r="D5262" s="3">
        <v>-0.23000000000000301</v>
      </c>
      <c r="E5262" s="3">
        <v>-0.67114093959732501</v>
      </c>
      <c r="F5262" s="3">
        <v>-0.67114093959732501</v>
      </c>
      <c r="G5262" s="3">
        <v>34.04</v>
      </c>
      <c r="H5262" s="3">
        <v>848.58940797933099</v>
      </c>
      <c r="I5262" s="3">
        <v>33.130000000000003</v>
      </c>
      <c r="J5262" s="3">
        <v>34.39</v>
      </c>
      <c r="K5262" s="3">
        <v>32.76</v>
      </c>
      <c r="L5262" s="3">
        <v>848.58940797933099</v>
      </c>
    </row>
    <row r="5263" spans="1:12" ht="15" customHeight="1" x14ac:dyDescent="0.2">
      <c r="A5263" s="2">
        <v>38414</v>
      </c>
      <c r="B5263" s="3">
        <v>34.270000000000003</v>
      </c>
      <c r="C5263" s="1">
        <v>548321</v>
      </c>
      <c r="D5263" s="3">
        <v>-0.189999999999997</v>
      </c>
      <c r="E5263" s="3">
        <v>-0.55136390017410597</v>
      </c>
      <c r="F5263" s="3">
        <v>-0.55136390017410597</v>
      </c>
      <c r="G5263" s="3">
        <v>34.270000000000003</v>
      </c>
      <c r="H5263" s="3">
        <v>854.99879587108296</v>
      </c>
      <c r="I5263" s="3">
        <v>34.42</v>
      </c>
      <c r="J5263" s="3">
        <v>34.65</v>
      </c>
      <c r="K5263" s="3">
        <v>33.76</v>
      </c>
      <c r="L5263" s="3">
        <v>854.99879587108296</v>
      </c>
    </row>
    <row r="5264" spans="1:12" ht="15" customHeight="1" x14ac:dyDescent="0.2">
      <c r="A5264" s="2">
        <v>38413</v>
      </c>
      <c r="B5264" s="3">
        <v>34.46</v>
      </c>
      <c r="C5264" s="1">
        <v>375962</v>
      </c>
      <c r="D5264" s="3">
        <v>3.0000000000001099E-2</v>
      </c>
      <c r="E5264" s="3">
        <v>8.7133313970388898E-2</v>
      </c>
      <c r="F5264" s="3">
        <v>8.7133313970388898E-2</v>
      </c>
      <c r="G5264" s="3">
        <v>34.46</v>
      </c>
      <c r="H5264" s="3">
        <v>860.29350760774798</v>
      </c>
      <c r="I5264" s="3">
        <v>34.17</v>
      </c>
      <c r="J5264" s="3">
        <v>34.630000000000003</v>
      </c>
      <c r="K5264" s="3">
        <v>34.01</v>
      </c>
      <c r="L5264" s="3">
        <v>860.29350760774798</v>
      </c>
    </row>
    <row r="5265" spans="1:12" ht="15" customHeight="1" x14ac:dyDescent="0.2">
      <c r="A5265" s="2">
        <v>38412</v>
      </c>
      <c r="B5265" s="3">
        <v>34.43</v>
      </c>
      <c r="C5265" s="1">
        <v>449865</v>
      </c>
      <c r="D5265" s="3">
        <v>0.39999999999999802</v>
      </c>
      <c r="E5265" s="3">
        <v>1.17543344108139</v>
      </c>
      <c r="F5265" s="3">
        <v>1.17543344108139</v>
      </c>
      <c r="G5265" s="3">
        <v>34.43</v>
      </c>
      <c r="H5265" s="3">
        <v>859.45750049143203</v>
      </c>
      <c r="I5265" s="3">
        <v>34.020000000000003</v>
      </c>
      <c r="J5265" s="3">
        <v>34.6</v>
      </c>
      <c r="K5265" s="3">
        <v>34.020000000000003</v>
      </c>
      <c r="L5265" s="3">
        <v>859.45750049143203</v>
      </c>
    </row>
    <row r="5266" spans="1:12" ht="15" customHeight="1" x14ac:dyDescent="0.2">
      <c r="A5266" s="2">
        <v>38411</v>
      </c>
      <c r="B5266" s="3">
        <v>34.03</v>
      </c>
      <c r="C5266" s="1">
        <v>412520</v>
      </c>
      <c r="D5266" s="3">
        <v>3.0000000000001099E-2</v>
      </c>
      <c r="E5266" s="3">
        <v>8.8235294117655599E-2</v>
      </c>
      <c r="F5266" s="3">
        <v>8.8235294117655599E-2</v>
      </c>
      <c r="G5266" s="3">
        <v>34.03</v>
      </c>
      <c r="H5266" s="3">
        <v>848.31073894055896</v>
      </c>
      <c r="I5266" s="3">
        <v>33.81</v>
      </c>
      <c r="J5266" s="3">
        <v>34.14</v>
      </c>
      <c r="K5266" s="3">
        <v>33.74</v>
      </c>
      <c r="L5266" s="3">
        <v>848.31073894055896</v>
      </c>
    </row>
    <row r="5267" spans="1:12" ht="15" customHeight="1" x14ac:dyDescent="0.2">
      <c r="A5267" s="2">
        <v>38408</v>
      </c>
      <c r="B5267" s="3">
        <v>34</v>
      </c>
      <c r="C5267" s="1">
        <v>496930</v>
      </c>
      <c r="D5267" s="3">
        <v>0.65999999999999603</v>
      </c>
      <c r="E5267" s="3">
        <v>1.97960407918416</v>
      </c>
      <c r="F5267" s="3">
        <v>1.97960407918416</v>
      </c>
      <c r="G5267" s="3">
        <v>34</v>
      </c>
      <c r="H5267" s="3">
        <v>847.47473182424301</v>
      </c>
      <c r="I5267" s="3">
        <v>33.24</v>
      </c>
      <c r="J5267" s="3">
        <v>34.06</v>
      </c>
      <c r="K5267" s="3">
        <v>33.19</v>
      </c>
      <c r="L5267" s="3">
        <v>847.47473182424301</v>
      </c>
    </row>
    <row r="5268" spans="1:12" ht="15" customHeight="1" x14ac:dyDescent="0.2">
      <c r="A5268" s="2">
        <v>38407</v>
      </c>
      <c r="B5268" s="3">
        <v>33.340000000000003</v>
      </c>
      <c r="C5268" s="1">
        <v>473144</v>
      </c>
      <c r="D5268" s="3">
        <v>0.60000000000000098</v>
      </c>
      <c r="E5268" s="3">
        <v>1.8326206475259601</v>
      </c>
      <c r="F5268" s="3">
        <v>1.8326206475259601</v>
      </c>
      <c r="G5268" s="3">
        <v>33.340000000000003</v>
      </c>
      <c r="H5268" s="3">
        <v>829.08257526530201</v>
      </c>
      <c r="I5268" s="3">
        <v>32.81</v>
      </c>
      <c r="J5268" s="3">
        <v>33.6</v>
      </c>
      <c r="K5268" s="3">
        <v>32.700000000000003</v>
      </c>
      <c r="L5268" s="3">
        <v>829.08257526530201</v>
      </c>
    </row>
    <row r="5269" spans="1:12" ht="15" customHeight="1" x14ac:dyDescent="0.2">
      <c r="A5269" s="2">
        <v>38406</v>
      </c>
      <c r="B5269" s="3">
        <v>32.74</v>
      </c>
      <c r="C5269" s="1">
        <v>427231</v>
      </c>
      <c r="D5269" s="3">
        <v>-7.0000000000000201E-2</v>
      </c>
      <c r="E5269" s="3">
        <v>-0.21334958854007899</v>
      </c>
      <c r="F5269" s="3">
        <v>-0.21334958854007899</v>
      </c>
      <c r="G5269" s="3">
        <v>32.74</v>
      </c>
      <c r="H5269" s="3">
        <v>812.36243293899201</v>
      </c>
      <c r="I5269" s="3">
        <v>32.76</v>
      </c>
      <c r="J5269" s="3">
        <v>33.4</v>
      </c>
      <c r="K5269" s="3">
        <v>32.72</v>
      </c>
      <c r="L5269" s="3">
        <v>812.36243293899201</v>
      </c>
    </row>
    <row r="5270" spans="1:12" ht="15" customHeight="1" x14ac:dyDescent="0.2">
      <c r="A5270" s="2">
        <v>38405</v>
      </c>
      <c r="B5270" s="3">
        <v>32.81</v>
      </c>
      <c r="C5270" s="1">
        <v>704827</v>
      </c>
      <c r="D5270" s="3">
        <v>-0.46</v>
      </c>
      <c r="E5270" s="3">
        <v>-1.3826269912834399</v>
      </c>
      <c r="F5270" s="3">
        <v>-1.3826269912834399</v>
      </c>
      <c r="G5270" s="3">
        <v>32.81</v>
      </c>
      <c r="H5270" s="3">
        <v>814.31311621039504</v>
      </c>
      <c r="I5270" s="3">
        <v>33.270000000000003</v>
      </c>
      <c r="J5270" s="3">
        <v>33.43</v>
      </c>
      <c r="K5270" s="3">
        <v>32.630000000000003</v>
      </c>
      <c r="L5270" s="3">
        <v>814.31311621039504</v>
      </c>
    </row>
    <row r="5271" spans="1:12" ht="15" customHeight="1" x14ac:dyDescent="0.2">
      <c r="A5271" s="2">
        <v>38401</v>
      </c>
      <c r="B5271" s="3">
        <v>33.270000000000003</v>
      </c>
      <c r="C5271" s="1">
        <v>302713</v>
      </c>
      <c r="D5271" s="3">
        <v>-0.17999999999999899</v>
      </c>
      <c r="E5271" s="3">
        <v>-0.53811659192825001</v>
      </c>
      <c r="F5271" s="3">
        <v>-0.53811659192825001</v>
      </c>
      <c r="G5271" s="3">
        <v>33.270000000000003</v>
      </c>
      <c r="H5271" s="3">
        <v>827.13189199389899</v>
      </c>
      <c r="I5271" s="3">
        <v>33.6</v>
      </c>
      <c r="J5271" s="3">
        <v>33.93</v>
      </c>
      <c r="K5271" s="3">
        <v>33.25</v>
      </c>
      <c r="L5271" s="3">
        <v>827.13189199389899</v>
      </c>
    </row>
    <row r="5272" spans="1:12" ht="15" customHeight="1" x14ac:dyDescent="0.2">
      <c r="A5272" s="2">
        <v>38400</v>
      </c>
      <c r="B5272" s="3">
        <v>33.450000000000003</v>
      </c>
      <c r="C5272" s="1">
        <v>361390</v>
      </c>
      <c r="D5272" s="3">
        <v>-0.67999999999999905</v>
      </c>
      <c r="E5272" s="3">
        <v>-1.99238206856138</v>
      </c>
      <c r="F5272" s="3">
        <v>-1.99238206856138</v>
      </c>
      <c r="G5272" s="3">
        <v>33.450000000000003</v>
      </c>
      <c r="H5272" s="3">
        <v>832.14793469179199</v>
      </c>
      <c r="I5272" s="3">
        <v>34</v>
      </c>
      <c r="J5272" s="3">
        <v>34</v>
      </c>
      <c r="K5272" s="3">
        <v>33.4</v>
      </c>
      <c r="L5272" s="3">
        <v>832.14793469179199</v>
      </c>
    </row>
    <row r="5273" spans="1:12" ht="15" customHeight="1" x14ac:dyDescent="0.2">
      <c r="A5273" s="2">
        <v>38399</v>
      </c>
      <c r="B5273" s="3">
        <v>34.130000000000003</v>
      </c>
      <c r="C5273" s="1">
        <v>384313</v>
      </c>
      <c r="D5273" s="3">
        <v>-0.369999999999997</v>
      </c>
      <c r="E5273" s="3">
        <v>-1.0724637681159299</v>
      </c>
      <c r="F5273" s="3">
        <v>-1.0724637681159299</v>
      </c>
      <c r="G5273" s="3">
        <v>34.130000000000003</v>
      </c>
      <c r="H5273" s="3">
        <v>851.09742932827703</v>
      </c>
      <c r="I5273" s="3">
        <v>34.32</v>
      </c>
      <c r="J5273" s="3">
        <v>34.65</v>
      </c>
      <c r="K5273" s="3">
        <v>34.020000000000003</v>
      </c>
      <c r="L5273" s="3">
        <v>851.09742932827703</v>
      </c>
    </row>
    <row r="5274" spans="1:12" ht="15" customHeight="1" x14ac:dyDescent="0.2">
      <c r="A5274" s="2">
        <v>38398</v>
      </c>
      <c r="B5274" s="3">
        <v>34.5</v>
      </c>
      <c r="C5274" s="1">
        <v>705414</v>
      </c>
      <c r="D5274" s="3">
        <v>0.60999999999999899</v>
      </c>
      <c r="E5274" s="3">
        <v>1.7999409855414501</v>
      </c>
      <c r="F5274" s="3">
        <v>1.7999409855414501</v>
      </c>
      <c r="G5274" s="3">
        <v>34.5</v>
      </c>
      <c r="H5274" s="3">
        <v>861.40818376283505</v>
      </c>
      <c r="I5274" s="3">
        <v>33.89</v>
      </c>
      <c r="J5274" s="3">
        <v>34.6</v>
      </c>
      <c r="K5274" s="3">
        <v>33.78</v>
      </c>
      <c r="L5274" s="3">
        <v>861.40818376283505</v>
      </c>
    </row>
    <row r="5275" spans="1:12" ht="15" customHeight="1" x14ac:dyDescent="0.2">
      <c r="A5275" s="2">
        <v>38397</v>
      </c>
      <c r="B5275" s="3">
        <v>33.89</v>
      </c>
      <c r="C5275" s="1">
        <v>345736</v>
      </c>
      <c r="D5275" s="3">
        <v>-0.21</v>
      </c>
      <c r="E5275" s="3">
        <v>-0.61583577712610504</v>
      </c>
      <c r="F5275" s="3">
        <v>-0.61583577712610504</v>
      </c>
      <c r="G5275" s="3">
        <v>33.89</v>
      </c>
      <c r="H5275" s="3">
        <v>844.40937239775303</v>
      </c>
      <c r="I5275" s="3">
        <v>34.1</v>
      </c>
      <c r="J5275" s="3">
        <v>34.44</v>
      </c>
      <c r="K5275" s="3">
        <v>33.698</v>
      </c>
      <c r="L5275" s="3">
        <v>844.40937239775303</v>
      </c>
    </row>
    <row r="5276" spans="1:12" ht="15" customHeight="1" x14ac:dyDescent="0.2">
      <c r="A5276" s="2">
        <v>38394</v>
      </c>
      <c r="B5276" s="3">
        <v>34.1</v>
      </c>
      <c r="C5276" s="1">
        <v>709359</v>
      </c>
      <c r="D5276" s="3">
        <v>7.9999999999998295E-2</v>
      </c>
      <c r="E5276" s="3">
        <v>0.23515579071133799</v>
      </c>
      <c r="F5276" s="3">
        <v>0.23515579071133799</v>
      </c>
      <c r="G5276" s="3">
        <v>34.1</v>
      </c>
      <c r="H5276" s="3">
        <v>850.26142221196199</v>
      </c>
      <c r="I5276" s="3">
        <v>33.9</v>
      </c>
      <c r="J5276" s="3">
        <v>34.44</v>
      </c>
      <c r="K5276" s="3">
        <v>33.58</v>
      </c>
      <c r="L5276" s="3">
        <v>850.26142221196199</v>
      </c>
    </row>
    <row r="5277" spans="1:12" ht="15" customHeight="1" x14ac:dyDescent="0.2">
      <c r="A5277" s="2">
        <v>38393</v>
      </c>
      <c r="B5277" s="3">
        <v>34.020000000000003</v>
      </c>
      <c r="C5277" s="1">
        <v>1117910</v>
      </c>
      <c r="D5277" s="3">
        <v>2.0000000000003099E-2</v>
      </c>
      <c r="E5277" s="3">
        <v>5.8823529411777799E-2</v>
      </c>
      <c r="F5277" s="3">
        <v>5.8823529411777799E-2</v>
      </c>
      <c r="G5277" s="3">
        <v>34.020000000000003</v>
      </c>
      <c r="H5277" s="3">
        <v>848.03206990178705</v>
      </c>
      <c r="I5277" s="3">
        <v>34.18</v>
      </c>
      <c r="J5277" s="3">
        <v>34.18</v>
      </c>
      <c r="K5277" s="3">
        <v>33.25</v>
      </c>
      <c r="L5277" s="3">
        <v>848.03206990178705</v>
      </c>
    </row>
    <row r="5278" spans="1:12" ht="15" customHeight="1" x14ac:dyDescent="0.2">
      <c r="A5278" s="2">
        <v>38392</v>
      </c>
      <c r="B5278" s="3">
        <v>34</v>
      </c>
      <c r="C5278" s="1">
        <v>2356023</v>
      </c>
      <c r="D5278" s="3">
        <v>1.88</v>
      </c>
      <c r="E5278" s="3">
        <v>5.85305105853051</v>
      </c>
      <c r="F5278" s="3">
        <v>5.85305105853051</v>
      </c>
      <c r="G5278" s="3">
        <v>34</v>
      </c>
      <c r="H5278" s="3">
        <v>847.47473182424301</v>
      </c>
      <c r="I5278" s="3">
        <v>33.01</v>
      </c>
      <c r="J5278" s="3">
        <v>34.22</v>
      </c>
      <c r="K5278" s="3">
        <v>33</v>
      </c>
      <c r="L5278" s="3">
        <v>847.47473182424301</v>
      </c>
    </row>
    <row r="5279" spans="1:12" ht="15" customHeight="1" x14ac:dyDescent="0.2">
      <c r="A5279" s="2">
        <v>38391</v>
      </c>
      <c r="B5279" s="3">
        <v>32.119999999999997</v>
      </c>
      <c r="C5279" s="1">
        <v>808530</v>
      </c>
      <c r="D5279" s="3">
        <v>0.249999999999996</v>
      </c>
      <c r="E5279" s="3">
        <v>0.78443677439596904</v>
      </c>
      <c r="F5279" s="3">
        <v>0.78443677439596904</v>
      </c>
      <c r="G5279" s="3">
        <v>32.119999999999997</v>
      </c>
      <c r="H5279" s="3">
        <v>795.08495253513797</v>
      </c>
      <c r="I5279" s="3">
        <v>31.8</v>
      </c>
      <c r="J5279" s="3">
        <v>32.21</v>
      </c>
      <c r="K5279" s="3">
        <v>31.67</v>
      </c>
      <c r="L5279" s="3">
        <v>795.08495253513797</v>
      </c>
    </row>
    <row r="5280" spans="1:12" ht="15" customHeight="1" x14ac:dyDescent="0.2">
      <c r="A5280" s="2">
        <v>38390</v>
      </c>
      <c r="B5280" s="3">
        <v>31.87</v>
      </c>
      <c r="C5280" s="1">
        <v>858690</v>
      </c>
      <c r="D5280" s="3">
        <v>-0.12999999999999901</v>
      </c>
      <c r="E5280" s="3">
        <v>-0.406249999999996</v>
      </c>
      <c r="F5280" s="3">
        <v>-0.406249999999996</v>
      </c>
      <c r="G5280" s="3">
        <v>31.87</v>
      </c>
      <c r="H5280" s="3">
        <v>788.11822656584195</v>
      </c>
      <c r="I5280" s="3">
        <v>32.15</v>
      </c>
      <c r="J5280" s="3">
        <v>32.299999999999997</v>
      </c>
      <c r="K5280" s="3">
        <v>31.84</v>
      </c>
      <c r="L5280" s="3">
        <v>788.11822656584195</v>
      </c>
    </row>
    <row r="5281" spans="1:12" ht="15" customHeight="1" x14ac:dyDescent="0.2">
      <c r="A5281" s="2">
        <v>38387</v>
      </c>
      <c r="B5281" s="3">
        <v>32</v>
      </c>
      <c r="C5281" s="1">
        <v>606919</v>
      </c>
      <c r="D5281" s="3">
        <v>-0.22999999999999601</v>
      </c>
      <c r="E5281" s="3">
        <v>-0.71362085013960597</v>
      </c>
      <c r="F5281" s="3">
        <v>-0.71362085013960597</v>
      </c>
      <c r="G5281" s="3">
        <v>32</v>
      </c>
      <c r="H5281" s="3">
        <v>791.74092406987597</v>
      </c>
      <c r="I5281" s="3">
        <v>32.24</v>
      </c>
      <c r="J5281" s="3">
        <v>32.47</v>
      </c>
      <c r="K5281" s="3">
        <v>31.99</v>
      </c>
      <c r="L5281" s="3">
        <v>791.74092406987597</v>
      </c>
    </row>
    <row r="5282" spans="1:12" ht="15" customHeight="1" x14ac:dyDescent="0.2">
      <c r="A5282" s="2">
        <v>38386</v>
      </c>
      <c r="B5282" s="3">
        <v>32.229999999999997</v>
      </c>
      <c r="C5282" s="1">
        <v>774657</v>
      </c>
      <c r="D5282" s="3">
        <v>-3.0000000000001099E-2</v>
      </c>
      <c r="E5282" s="3">
        <v>-9.2994420334779795E-2</v>
      </c>
      <c r="F5282" s="3">
        <v>-9.2994420334779795E-2</v>
      </c>
      <c r="G5282" s="3">
        <v>32.229999999999997</v>
      </c>
      <c r="H5282" s="3">
        <v>798.15031196162795</v>
      </c>
      <c r="I5282" s="3">
        <v>32.32</v>
      </c>
      <c r="J5282" s="3">
        <v>32.72</v>
      </c>
      <c r="K5282" s="3">
        <v>32.0899</v>
      </c>
      <c r="L5282" s="3">
        <v>798.15031196162795</v>
      </c>
    </row>
    <row r="5283" spans="1:12" ht="15" customHeight="1" x14ac:dyDescent="0.2">
      <c r="A5283" s="2">
        <v>38385</v>
      </c>
      <c r="B5283" s="3">
        <v>32.26</v>
      </c>
      <c r="C5283" s="1">
        <v>965361</v>
      </c>
      <c r="D5283" s="3">
        <v>-0.35000000000000098</v>
      </c>
      <c r="E5283" s="3">
        <v>-1.07329040171726</v>
      </c>
      <c r="F5283" s="3">
        <v>-1.07329040171726</v>
      </c>
      <c r="G5283" s="3">
        <v>32.26</v>
      </c>
      <c r="H5283" s="3">
        <v>798.98631907794402</v>
      </c>
      <c r="I5283" s="3">
        <v>32.700000000000003</v>
      </c>
      <c r="J5283" s="3">
        <v>32.729999999999997</v>
      </c>
      <c r="K5283" s="3">
        <v>32.130000000000003</v>
      </c>
      <c r="L5283" s="3">
        <v>798.98631907794402</v>
      </c>
    </row>
    <row r="5284" spans="1:12" ht="15" customHeight="1" x14ac:dyDescent="0.2">
      <c r="A5284" s="2">
        <v>38384</v>
      </c>
      <c r="B5284" s="3">
        <v>32.61</v>
      </c>
      <c r="C5284" s="1">
        <v>651973</v>
      </c>
      <c r="D5284" s="3">
        <v>0.24000000000000199</v>
      </c>
      <c r="E5284" s="3">
        <v>0.74142724745134203</v>
      </c>
      <c r="F5284" s="3">
        <v>0.74142724745134203</v>
      </c>
      <c r="G5284" s="3">
        <v>32.61</v>
      </c>
      <c r="H5284" s="3">
        <v>808.73973543495799</v>
      </c>
      <c r="I5284" s="3">
        <v>32.270000000000003</v>
      </c>
      <c r="J5284" s="3">
        <v>32.97</v>
      </c>
      <c r="K5284" s="3">
        <v>32.270000000000003</v>
      </c>
      <c r="L5284" s="3">
        <v>808.73973543495799</v>
      </c>
    </row>
    <row r="5285" spans="1:12" ht="15" customHeight="1" x14ac:dyDescent="0.2">
      <c r="A5285" s="2">
        <v>38383</v>
      </c>
      <c r="B5285" s="3">
        <v>32.369999999999997</v>
      </c>
      <c r="C5285" s="1">
        <v>841078</v>
      </c>
      <c r="D5285" s="3">
        <v>0.12999999999999501</v>
      </c>
      <c r="E5285" s="3">
        <v>0.403225806451601</v>
      </c>
      <c r="F5285" s="3">
        <v>0.403225806451601</v>
      </c>
      <c r="G5285" s="3">
        <v>32.369999999999997</v>
      </c>
      <c r="H5285" s="3">
        <v>802.05167850443399</v>
      </c>
      <c r="I5285" s="3">
        <v>32.46</v>
      </c>
      <c r="J5285" s="3">
        <v>32.74</v>
      </c>
      <c r="K5285" s="3">
        <v>32.24</v>
      </c>
      <c r="L5285" s="3">
        <v>802.05167850443399</v>
      </c>
    </row>
    <row r="5286" spans="1:12" ht="15" customHeight="1" x14ac:dyDescent="0.2">
      <c r="A5286" s="2">
        <v>38380</v>
      </c>
      <c r="B5286" s="3">
        <v>32.24</v>
      </c>
      <c r="C5286" s="1">
        <v>721640</v>
      </c>
      <c r="D5286" s="3">
        <v>0.100000000000001</v>
      </c>
      <c r="E5286" s="3">
        <v>0.311138767890484</v>
      </c>
      <c r="F5286" s="3">
        <v>0.311138767890484</v>
      </c>
      <c r="G5286" s="3">
        <v>32.24</v>
      </c>
      <c r="H5286" s="3">
        <v>798.42898100039997</v>
      </c>
      <c r="I5286" s="3">
        <v>32.299999999999997</v>
      </c>
      <c r="J5286" s="3">
        <v>32.44</v>
      </c>
      <c r="K5286" s="3">
        <v>31.86</v>
      </c>
      <c r="L5286" s="3">
        <v>798.42898100039997</v>
      </c>
    </row>
    <row r="5287" spans="1:12" ht="15" customHeight="1" x14ac:dyDescent="0.2">
      <c r="A5287" s="2">
        <v>38379</v>
      </c>
      <c r="B5287" s="3">
        <v>32.14</v>
      </c>
      <c r="C5287" s="1">
        <v>1069045</v>
      </c>
      <c r="D5287" s="3">
        <v>0.76000000000000101</v>
      </c>
      <c r="E5287" s="3">
        <v>2.4219247928616898</v>
      </c>
      <c r="F5287" s="3">
        <v>2.4219247928616898</v>
      </c>
      <c r="G5287" s="3">
        <v>32.14</v>
      </c>
      <c r="H5287" s="3">
        <v>795.64229061268202</v>
      </c>
      <c r="I5287" s="3">
        <v>32.04</v>
      </c>
      <c r="J5287" s="3">
        <v>32.43</v>
      </c>
      <c r="K5287" s="3">
        <v>31.63</v>
      </c>
      <c r="L5287" s="3">
        <v>795.64229061268202</v>
      </c>
    </row>
    <row r="5288" spans="1:12" ht="15" customHeight="1" x14ac:dyDescent="0.2">
      <c r="A5288" s="2">
        <v>38378</v>
      </c>
      <c r="B5288" s="3">
        <v>31.38</v>
      </c>
      <c r="C5288" s="1">
        <v>761822</v>
      </c>
      <c r="D5288" s="3">
        <v>0.91999999999999804</v>
      </c>
      <c r="E5288" s="3">
        <v>3.0203545633617801</v>
      </c>
      <c r="F5288" s="3">
        <v>3.0203545633617801</v>
      </c>
      <c r="G5288" s="3">
        <v>31.38</v>
      </c>
      <c r="H5288" s="3">
        <v>774.46344366602204</v>
      </c>
      <c r="I5288" s="3">
        <v>30.73</v>
      </c>
      <c r="J5288" s="3">
        <v>31.5</v>
      </c>
      <c r="K5288" s="3">
        <v>30.52</v>
      </c>
      <c r="L5288" s="3">
        <v>774.46344366602204</v>
      </c>
    </row>
    <row r="5289" spans="1:12" ht="15" customHeight="1" x14ac:dyDescent="0.2">
      <c r="A5289" s="2">
        <v>38377</v>
      </c>
      <c r="B5289" s="3">
        <v>30.46</v>
      </c>
      <c r="C5289" s="1">
        <v>679724</v>
      </c>
      <c r="D5289" s="3">
        <v>0.310000000000002</v>
      </c>
      <c r="E5289" s="3">
        <v>1.02819237147595</v>
      </c>
      <c r="F5289" s="3">
        <v>1.02819237147595</v>
      </c>
      <c r="G5289" s="3">
        <v>30.46</v>
      </c>
      <c r="H5289" s="3">
        <v>748.825892099013</v>
      </c>
      <c r="I5289" s="3">
        <v>30.41</v>
      </c>
      <c r="J5289" s="3">
        <v>30.66</v>
      </c>
      <c r="K5289" s="3">
        <v>30.35</v>
      </c>
      <c r="L5289" s="3">
        <v>748.825892099013</v>
      </c>
    </row>
    <row r="5290" spans="1:12" ht="15" customHeight="1" x14ac:dyDescent="0.2">
      <c r="A5290" s="2">
        <v>38376</v>
      </c>
      <c r="B5290" s="3">
        <v>30.15</v>
      </c>
      <c r="C5290" s="1">
        <v>502472</v>
      </c>
      <c r="D5290" s="3">
        <v>0.12999999999999901</v>
      </c>
      <c r="E5290" s="3">
        <v>0.43304463690871903</v>
      </c>
      <c r="F5290" s="3">
        <v>0.43304463690871903</v>
      </c>
      <c r="G5290" s="3">
        <v>30.15</v>
      </c>
      <c r="H5290" s="3">
        <v>740.18715189708598</v>
      </c>
      <c r="I5290" s="3">
        <v>29.95</v>
      </c>
      <c r="J5290" s="3">
        <v>30.38</v>
      </c>
      <c r="K5290" s="3">
        <v>29.91</v>
      </c>
      <c r="L5290" s="3">
        <v>740.18715189708598</v>
      </c>
    </row>
    <row r="5291" spans="1:12" ht="15" customHeight="1" x14ac:dyDescent="0.2">
      <c r="A5291" s="2">
        <v>38373</v>
      </c>
      <c r="B5291" s="3">
        <v>30.02</v>
      </c>
      <c r="C5291" s="1">
        <v>545636</v>
      </c>
      <c r="D5291" s="3">
        <v>9.9999999999997799E-2</v>
      </c>
      <c r="E5291" s="3">
        <v>0.33422459893046502</v>
      </c>
      <c r="F5291" s="3">
        <v>0.33422459893046502</v>
      </c>
      <c r="G5291" s="3">
        <v>30.02</v>
      </c>
      <c r="H5291" s="3">
        <v>736.56445439305196</v>
      </c>
      <c r="I5291" s="3">
        <v>29.95</v>
      </c>
      <c r="J5291" s="3">
        <v>30.33</v>
      </c>
      <c r="K5291" s="3">
        <v>29.95</v>
      </c>
      <c r="L5291" s="3">
        <v>736.56445439305196</v>
      </c>
    </row>
    <row r="5292" spans="1:12" ht="15" customHeight="1" x14ac:dyDescent="0.2">
      <c r="A5292" s="2">
        <v>38372</v>
      </c>
      <c r="B5292" s="3">
        <v>29.92</v>
      </c>
      <c r="C5292" s="1">
        <v>1311726</v>
      </c>
      <c r="D5292" s="3">
        <v>-0.91999999999999804</v>
      </c>
      <c r="E5292" s="3">
        <v>-2.9831387808041399</v>
      </c>
      <c r="F5292" s="3">
        <v>-2.9831387808041399</v>
      </c>
      <c r="G5292" s="3">
        <v>29.92</v>
      </c>
      <c r="H5292" s="3">
        <v>733.77776400533401</v>
      </c>
      <c r="I5292" s="3">
        <v>30.65</v>
      </c>
      <c r="J5292" s="3">
        <v>30.78</v>
      </c>
      <c r="K5292" s="3">
        <v>29.88</v>
      </c>
      <c r="L5292" s="3">
        <v>733.77776400533401</v>
      </c>
    </row>
    <row r="5293" spans="1:12" ht="15" customHeight="1" x14ac:dyDescent="0.2">
      <c r="A5293" s="2">
        <v>38371</v>
      </c>
      <c r="B5293" s="3">
        <v>30.84</v>
      </c>
      <c r="C5293" s="1">
        <v>515419</v>
      </c>
      <c r="D5293" s="3">
        <v>-0.37000000000000099</v>
      </c>
      <c r="E5293" s="3">
        <v>-1.1855174623518101</v>
      </c>
      <c r="F5293" s="3">
        <v>-1.1855174623518101</v>
      </c>
      <c r="G5293" s="3">
        <v>30.84</v>
      </c>
      <c r="H5293" s="3">
        <v>759.41531557234305</v>
      </c>
      <c r="I5293" s="3">
        <v>31.14</v>
      </c>
      <c r="J5293" s="3">
        <v>31.21</v>
      </c>
      <c r="K5293" s="3">
        <v>30.71</v>
      </c>
      <c r="L5293" s="3">
        <v>759.41531557234305</v>
      </c>
    </row>
    <row r="5294" spans="1:12" ht="15" customHeight="1" x14ac:dyDescent="0.2">
      <c r="A5294" s="2">
        <v>38370</v>
      </c>
      <c r="B5294" s="3">
        <v>31.21</v>
      </c>
      <c r="C5294" s="1">
        <v>565284</v>
      </c>
      <c r="D5294" s="3">
        <v>0.130000000000002</v>
      </c>
      <c r="E5294" s="3">
        <v>0.41827541827541498</v>
      </c>
      <c r="F5294" s="3">
        <v>0.41827541827541498</v>
      </c>
      <c r="G5294" s="3">
        <v>31.21</v>
      </c>
      <c r="H5294" s="3">
        <v>769.72607000690095</v>
      </c>
      <c r="I5294" s="3">
        <v>31.14</v>
      </c>
      <c r="J5294" s="3">
        <v>31.33</v>
      </c>
      <c r="K5294" s="3">
        <v>30.94</v>
      </c>
      <c r="L5294" s="3">
        <v>769.72607000690095</v>
      </c>
    </row>
    <row r="5295" spans="1:12" ht="15" customHeight="1" x14ac:dyDescent="0.2">
      <c r="A5295" s="2">
        <v>38366</v>
      </c>
      <c r="B5295" s="3">
        <v>31.08</v>
      </c>
      <c r="C5295" s="1">
        <v>295109</v>
      </c>
      <c r="D5295" s="3">
        <v>0.17999999999999899</v>
      </c>
      <c r="E5295" s="3">
        <v>0.58252427184466404</v>
      </c>
      <c r="F5295" s="3">
        <v>0.58252427184466404</v>
      </c>
      <c r="G5295" s="3">
        <v>31.08</v>
      </c>
      <c r="H5295" s="3">
        <v>766.10337250286705</v>
      </c>
      <c r="I5295" s="3">
        <v>30.9</v>
      </c>
      <c r="J5295" s="3">
        <v>31.1</v>
      </c>
      <c r="K5295" s="3">
        <v>30.79</v>
      </c>
      <c r="L5295" s="3">
        <v>766.10337250286705</v>
      </c>
    </row>
    <row r="5296" spans="1:12" ht="15" customHeight="1" x14ac:dyDescent="0.2">
      <c r="A5296" s="2">
        <v>38365</v>
      </c>
      <c r="B5296" s="3">
        <v>30.9</v>
      </c>
      <c r="C5296" s="1">
        <v>574754</v>
      </c>
      <c r="D5296" s="3">
        <v>-0.46</v>
      </c>
      <c r="E5296" s="3">
        <v>-1.46683673469387</v>
      </c>
      <c r="F5296" s="3">
        <v>-1.46683673469387</v>
      </c>
      <c r="G5296" s="3">
        <v>30.9</v>
      </c>
      <c r="H5296" s="3">
        <v>761.08732980497405</v>
      </c>
      <c r="I5296" s="3">
        <v>31.25</v>
      </c>
      <c r="J5296" s="3">
        <v>31.43</v>
      </c>
      <c r="K5296" s="3">
        <v>30.83</v>
      </c>
      <c r="L5296" s="3">
        <v>761.08732980497405</v>
      </c>
    </row>
    <row r="5297" spans="1:12" ht="15" customHeight="1" x14ac:dyDescent="0.2">
      <c r="A5297" s="2">
        <v>38364</v>
      </c>
      <c r="B5297" s="3">
        <v>31.36</v>
      </c>
      <c r="C5297" s="1">
        <v>751446</v>
      </c>
      <c r="D5297" s="3">
        <v>-0.109999999999999</v>
      </c>
      <c r="E5297" s="3">
        <v>-0.34953924372418399</v>
      </c>
      <c r="F5297" s="3">
        <v>-0.34953924372418399</v>
      </c>
      <c r="G5297" s="3">
        <v>31.36</v>
      </c>
      <c r="H5297" s="3">
        <v>773.90610558847902</v>
      </c>
      <c r="I5297" s="3">
        <v>31.63</v>
      </c>
      <c r="J5297" s="3">
        <v>31.63</v>
      </c>
      <c r="K5297" s="3">
        <v>31.05</v>
      </c>
      <c r="L5297" s="3">
        <v>773.90610558847902</v>
      </c>
    </row>
    <row r="5298" spans="1:12" ht="15" customHeight="1" x14ac:dyDescent="0.2">
      <c r="A5298" s="2">
        <v>38363</v>
      </c>
      <c r="B5298" s="3">
        <v>31.47</v>
      </c>
      <c r="C5298" s="1">
        <v>731845</v>
      </c>
      <c r="D5298" s="3">
        <v>0.35999999999999899</v>
      </c>
      <c r="E5298" s="3">
        <v>1.15718418514947</v>
      </c>
      <c r="F5298" s="3">
        <v>1.15718418514947</v>
      </c>
      <c r="G5298" s="3">
        <v>31.47</v>
      </c>
      <c r="H5298" s="3">
        <v>776.971465014969</v>
      </c>
      <c r="I5298" s="3">
        <v>31.07</v>
      </c>
      <c r="J5298" s="3">
        <v>31.7</v>
      </c>
      <c r="K5298" s="3">
        <v>30.94</v>
      </c>
      <c r="L5298" s="3">
        <v>776.971465014969</v>
      </c>
    </row>
    <row r="5299" spans="1:12" ht="15" customHeight="1" x14ac:dyDescent="0.2">
      <c r="A5299" s="2">
        <v>38362</v>
      </c>
      <c r="B5299" s="3">
        <v>31.11</v>
      </c>
      <c r="C5299" s="1">
        <v>295597</v>
      </c>
      <c r="D5299" s="3">
        <v>-3.0000000000001099E-2</v>
      </c>
      <c r="E5299" s="3">
        <v>-9.6339113680155006E-2</v>
      </c>
      <c r="F5299" s="3">
        <v>-9.6339113680155006E-2</v>
      </c>
      <c r="G5299" s="3">
        <v>31.11</v>
      </c>
      <c r="H5299" s="3">
        <v>766.939379619183</v>
      </c>
      <c r="I5299" s="3">
        <v>31.07</v>
      </c>
      <c r="J5299" s="3">
        <v>31.437000000000001</v>
      </c>
      <c r="K5299" s="3">
        <v>30.75</v>
      </c>
      <c r="L5299" s="3">
        <v>766.939379619183</v>
      </c>
    </row>
    <row r="5300" spans="1:12" ht="15" customHeight="1" x14ac:dyDescent="0.2">
      <c r="A5300" s="2">
        <v>38359</v>
      </c>
      <c r="B5300" s="3">
        <v>31.14</v>
      </c>
      <c r="C5300" s="1">
        <v>773506</v>
      </c>
      <c r="D5300" s="3">
        <v>-3.9999999999999099E-2</v>
      </c>
      <c r="E5300" s="3">
        <v>-0.12828736369466701</v>
      </c>
      <c r="F5300" s="3">
        <v>-0.12828736369466701</v>
      </c>
      <c r="G5300" s="3">
        <v>31.14</v>
      </c>
      <c r="H5300" s="3">
        <v>767.77538673549805</v>
      </c>
      <c r="I5300" s="3">
        <v>31.37</v>
      </c>
      <c r="J5300" s="3">
        <v>31.37</v>
      </c>
      <c r="K5300" s="3">
        <v>30.8</v>
      </c>
      <c r="L5300" s="3">
        <v>767.77538673549805</v>
      </c>
    </row>
    <row r="5301" spans="1:12" ht="15" customHeight="1" x14ac:dyDescent="0.2">
      <c r="A5301" s="2">
        <v>38358</v>
      </c>
      <c r="B5301" s="3">
        <v>31.18</v>
      </c>
      <c r="C5301" s="1">
        <v>755827</v>
      </c>
      <c r="D5301" s="3">
        <v>-1.0000000000001501E-2</v>
      </c>
      <c r="E5301" s="3">
        <v>-3.20615581917316E-2</v>
      </c>
      <c r="F5301" s="3">
        <v>-3.20615581917316E-2</v>
      </c>
      <c r="G5301" s="3">
        <v>31.18</v>
      </c>
      <c r="H5301" s="3">
        <v>768.89006289058602</v>
      </c>
      <c r="I5301" s="3">
        <v>30.75</v>
      </c>
      <c r="J5301" s="3">
        <v>31.28</v>
      </c>
      <c r="K5301" s="3">
        <v>30.6</v>
      </c>
      <c r="L5301" s="3">
        <v>768.89006289058602</v>
      </c>
    </row>
    <row r="5302" spans="1:12" ht="15" customHeight="1" x14ac:dyDescent="0.2">
      <c r="A5302" s="2">
        <v>38357</v>
      </c>
      <c r="B5302" s="3">
        <v>31.19</v>
      </c>
      <c r="C5302" s="1">
        <v>591540</v>
      </c>
      <c r="D5302" s="3">
        <v>-0.55999999999999805</v>
      </c>
      <c r="E5302" s="3">
        <v>-1.76377952755905</v>
      </c>
      <c r="F5302" s="3">
        <v>-1.76377952755905</v>
      </c>
      <c r="G5302" s="3">
        <v>31.19</v>
      </c>
      <c r="H5302" s="3">
        <v>769.16873192935702</v>
      </c>
      <c r="I5302" s="3">
        <v>31.91</v>
      </c>
      <c r="J5302" s="3">
        <v>31.95</v>
      </c>
      <c r="K5302" s="3">
        <v>30.89</v>
      </c>
      <c r="L5302" s="3">
        <v>769.16873192935702</v>
      </c>
    </row>
    <row r="5303" spans="1:12" ht="15" customHeight="1" x14ac:dyDescent="0.2">
      <c r="A5303" s="2">
        <v>38356</v>
      </c>
      <c r="B5303" s="3">
        <v>31.75</v>
      </c>
      <c r="C5303" s="1">
        <v>611173</v>
      </c>
      <c r="D5303" s="3">
        <v>-0.56999999999999995</v>
      </c>
      <c r="E5303" s="3">
        <v>-1.7636138613861301</v>
      </c>
      <c r="F5303" s="3">
        <v>-1.7636138613861301</v>
      </c>
      <c r="G5303" s="3">
        <v>31.75</v>
      </c>
      <c r="H5303" s="3">
        <v>784.77419810057995</v>
      </c>
      <c r="I5303" s="3">
        <v>32.36</v>
      </c>
      <c r="J5303" s="3">
        <v>32.36</v>
      </c>
      <c r="K5303" s="3">
        <v>31.54</v>
      </c>
      <c r="L5303" s="3">
        <v>784.77419810057995</v>
      </c>
    </row>
    <row r="5304" spans="1:12" ht="15" customHeight="1" x14ac:dyDescent="0.2">
      <c r="A5304" s="2">
        <v>38355</v>
      </c>
      <c r="B5304" s="3">
        <v>32.32</v>
      </c>
      <c r="C5304" s="1">
        <v>430713</v>
      </c>
      <c r="D5304" s="3">
        <v>-0.149999999999998</v>
      </c>
      <c r="E5304" s="3">
        <v>-0.46196489066830898</v>
      </c>
      <c r="F5304" s="3">
        <v>-0.46196489066830898</v>
      </c>
      <c r="G5304" s="3">
        <v>32.32</v>
      </c>
      <c r="H5304" s="3">
        <v>800.65833331057502</v>
      </c>
      <c r="I5304" s="3">
        <v>32.4</v>
      </c>
      <c r="J5304" s="3">
        <v>32.590000000000003</v>
      </c>
      <c r="K5304" s="3">
        <v>32.01</v>
      </c>
      <c r="L5304" s="3">
        <v>800.65833331057502</v>
      </c>
    </row>
    <row r="5305" spans="1:12" ht="15" customHeight="1" x14ac:dyDescent="0.2">
      <c r="A5305" s="2">
        <v>38352</v>
      </c>
      <c r="B5305" s="3">
        <v>32.47</v>
      </c>
      <c r="C5305" s="1">
        <v>370424</v>
      </c>
      <c r="D5305" s="3">
        <v>-0.100000000000001</v>
      </c>
      <c r="E5305" s="3">
        <v>-0.30703101013202999</v>
      </c>
      <c r="F5305" s="3">
        <v>-0.30703101013202999</v>
      </c>
      <c r="G5305" s="3">
        <v>32.47</v>
      </c>
      <c r="H5305" s="3">
        <v>804.83836889215297</v>
      </c>
      <c r="I5305" s="3">
        <v>32.53</v>
      </c>
      <c r="J5305" s="3">
        <v>32.78</v>
      </c>
      <c r="K5305" s="3">
        <v>32.25</v>
      </c>
      <c r="L5305" s="3">
        <v>804.83836889215297</v>
      </c>
    </row>
    <row r="5306" spans="1:12" ht="15" customHeight="1" x14ac:dyDescent="0.2">
      <c r="A5306" s="2">
        <v>38351</v>
      </c>
      <c r="B5306" s="3">
        <v>32.57</v>
      </c>
      <c r="C5306" s="1">
        <v>280565</v>
      </c>
      <c r="D5306" s="3"/>
      <c r="E5306" s="3"/>
      <c r="F5306" s="3"/>
      <c r="G5306" s="3">
        <v>32.57</v>
      </c>
      <c r="H5306" s="3">
        <v>807.62505927987104</v>
      </c>
      <c r="I5306" s="3">
        <v>32.590000000000003</v>
      </c>
      <c r="J5306" s="3">
        <v>32.700000000000003</v>
      </c>
      <c r="K5306" s="3">
        <v>32.270000000000003</v>
      </c>
      <c r="L5306" s="3">
        <v>807.62505927987104</v>
      </c>
    </row>
    <row r="5307" spans="1:12" ht="15" customHeight="1" x14ac:dyDescent="0.2">
      <c r="A5307" s="2">
        <v>38350</v>
      </c>
      <c r="B5307" s="3">
        <v>32.57</v>
      </c>
      <c r="C5307" s="1">
        <v>417734</v>
      </c>
      <c r="D5307" s="3">
        <v>0.22999999999999601</v>
      </c>
      <c r="E5307" s="3">
        <v>0.711193568336421</v>
      </c>
      <c r="F5307" s="3">
        <v>0.711193568336421</v>
      </c>
      <c r="G5307" s="3">
        <v>32.57</v>
      </c>
      <c r="H5307" s="3">
        <v>807.62505927987104</v>
      </c>
      <c r="I5307" s="3">
        <v>32.4</v>
      </c>
      <c r="J5307" s="3">
        <v>32.6</v>
      </c>
      <c r="K5307" s="3">
        <v>32.26</v>
      </c>
      <c r="L5307" s="3">
        <v>807.62505927987104</v>
      </c>
    </row>
    <row r="5308" spans="1:12" ht="15" customHeight="1" x14ac:dyDescent="0.2">
      <c r="A5308" s="2">
        <v>38349</v>
      </c>
      <c r="B5308" s="3">
        <v>32.340000000000003</v>
      </c>
      <c r="C5308" s="1">
        <v>573712</v>
      </c>
      <c r="D5308" s="3">
        <v>0.71000000000000396</v>
      </c>
      <c r="E5308" s="3">
        <v>2.2447043945621399</v>
      </c>
      <c r="F5308" s="3">
        <v>2.2447043945621399</v>
      </c>
      <c r="G5308" s="3">
        <v>32.340000000000003</v>
      </c>
      <c r="H5308" s="3">
        <v>801.21567138811895</v>
      </c>
      <c r="I5308" s="3">
        <v>31.59</v>
      </c>
      <c r="J5308" s="3">
        <v>32.6</v>
      </c>
      <c r="K5308" s="3">
        <v>31.59</v>
      </c>
      <c r="L5308" s="3">
        <v>801.21567138811895</v>
      </c>
    </row>
    <row r="5309" spans="1:12" ht="15" customHeight="1" x14ac:dyDescent="0.2">
      <c r="A5309" s="2">
        <v>38348</v>
      </c>
      <c r="B5309" s="3">
        <v>31.63</v>
      </c>
      <c r="C5309" s="1">
        <v>306996</v>
      </c>
      <c r="D5309" s="3">
        <v>-0.130000000000002</v>
      </c>
      <c r="E5309" s="3">
        <v>-0.40931989924434198</v>
      </c>
      <c r="F5309" s="3">
        <v>-0.40931989924434198</v>
      </c>
      <c r="G5309" s="3">
        <v>31.63</v>
      </c>
      <c r="H5309" s="3">
        <v>781.43016963531795</v>
      </c>
      <c r="I5309" s="3">
        <v>31.95</v>
      </c>
      <c r="J5309" s="3">
        <v>31.97</v>
      </c>
      <c r="K5309" s="3">
        <v>31.300999999999998</v>
      </c>
      <c r="L5309" s="3">
        <v>781.43016963531795</v>
      </c>
    </row>
    <row r="5310" spans="1:12" ht="15" customHeight="1" x14ac:dyDescent="0.2">
      <c r="A5310" s="2">
        <v>38344</v>
      </c>
      <c r="B5310" s="3">
        <v>31.76</v>
      </c>
      <c r="C5310" s="1">
        <v>254448</v>
      </c>
      <c r="D5310" s="3">
        <v>-0.12999999999999901</v>
      </c>
      <c r="E5310" s="3">
        <v>-0.40765130134837702</v>
      </c>
      <c r="F5310" s="3">
        <v>-0.40765130134837702</v>
      </c>
      <c r="G5310" s="3">
        <v>31.76</v>
      </c>
      <c r="H5310" s="3">
        <v>785.05286713935197</v>
      </c>
      <c r="I5310" s="3">
        <v>31.79</v>
      </c>
      <c r="J5310" s="3">
        <v>31.89</v>
      </c>
      <c r="K5310" s="3">
        <v>31.42</v>
      </c>
      <c r="L5310" s="3">
        <v>785.05286713935197</v>
      </c>
    </row>
    <row r="5311" spans="1:12" ht="15" customHeight="1" x14ac:dyDescent="0.2">
      <c r="A5311" s="2">
        <v>38343</v>
      </c>
      <c r="B5311" s="3">
        <v>31.89</v>
      </c>
      <c r="C5311" s="1">
        <v>259233</v>
      </c>
      <c r="D5311" s="3">
        <v>0.17999999999999899</v>
      </c>
      <c r="E5311" s="3">
        <v>0.56764427625355296</v>
      </c>
      <c r="F5311" s="3">
        <v>0.56764427625355296</v>
      </c>
      <c r="G5311" s="3">
        <v>31.89</v>
      </c>
      <c r="H5311" s="3">
        <v>788.675564643386</v>
      </c>
      <c r="I5311" s="3">
        <v>31.84</v>
      </c>
      <c r="J5311" s="3">
        <v>32.03</v>
      </c>
      <c r="K5311" s="3">
        <v>31.58</v>
      </c>
      <c r="L5311" s="3">
        <v>788.675564643386</v>
      </c>
    </row>
    <row r="5312" spans="1:12" ht="15" customHeight="1" x14ac:dyDescent="0.2">
      <c r="A5312" s="2">
        <v>38342</v>
      </c>
      <c r="B5312" s="3">
        <v>31.71</v>
      </c>
      <c r="C5312" s="1">
        <v>321611</v>
      </c>
      <c r="D5312" s="3">
        <v>0.26999999999999902</v>
      </c>
      <c r="E5312" s="3">
        <v>0.85877862595420396</v>
      </c>
      <c r="F5312" s="3">
        <v>0.85877862595420396</v>
      </c>
      <c r="G5312" s="3">
        <v>31.71</v>
      </c>
      <c r="H5312" s="3">
        <v>783.659521945493</v>
      </c>
      <c r="I5312" s="3">
        <v>31.5</v>
      </c>
      <c r="J5312" s="3">
        <v>31.83</v>
      </c>
      <c r="K5312" s="3">
        <v>31.45</v>
      </c>
      <c r="L5312" s="3">
        <v>783.659521945493</v>
      </c>
    </row>
    <row r="5313" spans="1:12" ht="15" customHeight="1" x14ac:dyDescent="0.2">
      <c r="A5313" s="2">
        <v>38341</v>
      </c>
      <c r="B5313" s="3">
        <v>31.44</v>
      </c>
      <c r="C5313" s="1">
        <v>397241</v>
      </c>
      <c r="D5313" s="3">
        <v>-0.12999999999999901</v>
      </c>
      <c r="E5313" s="3">
        <v>-0.41178333861260302</v>
      </c>
      <c r="F5313" s="3">
        <v>-0.41178333861260302</v>
      </c>
      <c r="G5313" s="3">
        <v>31.44</v>
      </c>
      <c r="H5313" s="3">
        <v>776.13545789865304</v>
      </c>
      <c r="I5313" s="3">
        <v>31.65</v>
      </c>
      <c r="J5313" s="3">
        <v>31.84</v>
      </c>
      <c r="K5313" s="3">
        <v>31.24</v>
      </c>
      <c r="L5313" s="3">
        <v>776.13545789865304</v>
      </c>
    </row>
    <row r="5314" spans="1:12" ht="15" customHeight="1" x14ac:dyDescent="0.2">
      <c r="A5314" s="2">
        <v>38338</v>
      </c>
      <c r="B5314" s="3">
        <v>31.57</v>
      </c>
      <c r="C5314" s="1">
        <v>497380</v>
      </c>
      <c r="D5314" s="3">
        <v>-0.32999999999999802</v>
      </c>
      <c r="E5314" s="3">
        <v>-1.03448275862068</v>
      </c>
      <c r="F5314" s="3">
        <v>-1.03448275862068</v>
      </c>
      <c r="G5314" s="3">
        <v>31.57</v>
      </c>
      <c r="H5314" s="3">
        <v>779.75815540268695</v>
      </c>
      <c r="I5314" s="3">
        <v>31.67</v>
      </c>
      <c r="J5314" s="3">
        <v>32.31</v>
      </c>
      <c r="K5314" s="3">
        <v>31.42</v>
      </c>
      <c r="L5314" s="3">
        <v>779.75815540268695</v>
      </c>
    </row>
    <row r="5315" spans="1:12" ht="15" customHeight="1" x14ac:dyDescent="0.2">
      <c r="A5315" s="2">
        <v>38337</v>
      </c>
      <c r="B5315" s="3">
        <v>31.9</v>
      </c>
      <c r="C5315" s="1">
        <v>486142</v>
      </c>
      <c r="D5315" s="3">
        <v>-0.440000000000004</v>
      </c>
      <c r="E5315" s="3">
        <v>-1.3605442176870799</v>
      </c>
      <c r="F5315" s="3">
        <v>-1.3605442176870799</v>
      </c>
      <c r="G5315" s="3">
        <v>31.9</v>
      </c>
      <c r="H5315" s="3">
        <v>788.95423368215802</v>
      </c>
      <c r="I5315" s="3">
        <v>32.15</v>
      </c>
      <c r="J5315" s="3">
        <v>32.32</v>
      </c>
      <c r="K5315" s="3">
        <v>31.71</v>
      </c>
      <c r="L5315" s="3">
        <v>788.95423368215802</v>
      </c>
    </row>
    <row r="5316" spans="1:12" ht="15" customHeight="1" x14ac:dyDescent="0.2">
      <c r="A5316" s="2">
        <v>38336</v>
      </c>
      <c r="B5316" s="3">
        <v>32.340000000000003</v>
      </c>
      <c r="C5316" s="1">
        <v>466762</v>
      </c>
      <c r="D5316" s="3">
        <v>0.130000000000002</v>
      </c>
      <c r="E5316" s="3">
        <v>0.40360136603541003</v>
      </c>
      <c r="F5316" s="3">
        <v>0.40360136603541003</v>
      </c>
      <c r="G5316" s="3">
        <v>32.340000000000003</v>
      </c>
      <c r="H5316" s="3">
        <v>801.21567138811895</v>
      </c>
      <c r="I5316" s="3">
        <v>32.21</v>
      </c>
      <c r="J5316" s="3">
        <v>32.479999999999997</v>
      </c>
      <c r="K5316" s="3">
        <v>32.01</v>
      </c>
      <c r="L5316" s="3">
        <v>801.21567138811895</v>
      </c>
    </row>
    <row r="5317" spans="1:12" ht="15" customHeight="1" x14ac:dyDescent="0.2">
      <c r="A5317" s="2">
        <v>38335</v>
      </c>
      <c r="B5317" s="3">
        <v>32.21</v>
      </c>
      <c r="C5317" s="1">
        <v>443113</v>
      </c>
      <c r="D5317" s="3">
        <v>0.26999999999999902</v>
      </c>
      <c r="E5317" s="3">
        <v>0.84533500313086396</v>
      </c>
      <c r="F5317" s="3">
        <v>0.84533500313086396</v>
      </c>
      <c r="G5317" s="3">
        <v>32.21</v>
      </c>
      <c r="H5317" s="3">
        <v>797.59297388408504</v>
      </c>
      <c r="I5317" s="3">
        <v>31.95</v>
      </c>
      <c r="J5317" s="3">
        <v>32.340000000000003</v>
      </c>
      <c r="K5317" s="3">
        <v>31.74</v>
      </c>
      <c r="L5317" s="3">
        <v>797.59297388408504</v>
      </c>
    </row>
    <row r="5318" spans="1:12" ht="15" customHeight="1" x14ac:dyDescent="0.2">
      <c r="A5318" s="2">
        <v>38334</v>
      </c>
      <c r="B5318" s="3">
        <v>31.94</v>
      </c>
      <c r="C5318" s="1">
        <v>427219</v>
      </c>
      <c r="D5318" s="3">
        <v>0.17000000000000101</v>
      </c>
      <c r="E5318" s="3">
        <v>0.53509600251810896</v>
      </c>
      <c r="F5318" s="3">
        <v>0.53509600251810896</v>
      </c>
      <c r="G5318" s="3">
        <v>31.94</v>
      </c>
      <c r="H5318" s="3">
        <v>790.06890983724497</v>
      </c>
      <c r="I5318" s="3">
        <v>31.84</v>
      </c>
      <c r="J5318" s="3">
        <v>32</v>
      </c>
      <c r="K5318" s="3">
        <v>31.55</v>
      </c>
      <c r="L5318" s="3">
        <v>790.06890983724497</v>
      </c>
    </row>
    <row r="5319" spans="1:12" ht="15" customHeight="1" x14ac:dyDescent="0.2">
      <c r="A5319" s="2">
        <v>38331</v>
      </c>
      <c r="B5319" s="3">
        <v>31.77</v>
      </c>
      <c r="C5319" s="1">
        <v>432524</v>
      </c>
      <c r="D5319" s="3">
        <v>-0.320000000000003</v>
      </c>
      <c r="E5319" s="3">
        <v>-0.997195387971339</v>
      </c>
      <c r="F5319" s="3">
        <v>-0.997195387971339</v>
      </c>
      <c r="G5319" s="3">
        <v>31.77</v>
      </c>
      <c r="H5319" s="3">
        <v>785.331536178124</v>
      </c>
      <c r="I5319" s="3">
        <v>32.25</v>
      </c>
      <c r="J5319" s="3">
        <v>32.25</v>
      </c>
      <c r="K5319" s="3">
        <v>31.5</v>
      </c>
      <c r="L5319" s="3">
        <v>785.331536178124</v>
      </c>
    </row>
    <row r="5320" spans="1:12" ht="15" customHeight="1" x14ac:dyDescent="0.2">
      <c r="A5320" s="2">
        <v>38330</v>
      </c>
      <c r="B5320" s="3">
        <v>32.090000000000003</v>
      </c>
      <c r="C5320" s="1">
        <v>842152</v>
      </c>
      <c r="D5320" s="3">
        <v>5.6652000000006801E-2</v>
      </c>
      <c r="E5320" s="3">
        <v>0.17685319686224699</v>
      </c>
      <c r="F5320" s="3">
        <v>0.17685319686224699</v>
      </c>
      <c r="G5320" s="3">
        <v>32.090000000000003</v>
      </c>
      <c r="H5320" s="3">
        <v>794.24894541882304</v>
      </c>
      <c r="I5320" s="3">
        <v>32.1</v>
      </c>
      <c r="J5320" s="3">
        <v>32.299999999999997</v>
      </c>
      <c r="K5320" s="3">
        <v>31.51</v>
      </c>
      <c r="L5320" s="3">
        <v>794.24894541882304</v>
      </c>
    </row>
    <row r="5321" spans="1:12" ht="15" customHeight="1" x14ac:dyDescent="0.2">
      <c r="A5321" s="2">
        <v>38329</v>
      </c>
      <c r="B5321" s="3">
        <v>32.033347999999997</v>
      </c>
      <c r="C5321" s="1">
        <v>758314.15</v>
      </c>
      <c r="D5321" s="3">
        <v>0.153333999999997</v>
      </c>
      <c r="E5321" s="3">
        <v>0.48097218526941199</v>
      </c>
      <c r="F5321" s="3">
        <v>0.48097218526941199</v>
      </c>
      <c r="G5321" s="3">
        <v>32.033347999999997</v>
      </c>
      <c r="H5321" s="3">
        <v>792.67022958037205</v>
      </c>
      <c r="I5321" s="3">
        <v>31.926682</v>
      </c>
      <c r="J5321" s="3">
        <v>32.240017000000002</v>
      </c>
      <c r="K5321" s="3">
        <v>31.586683000000001</v>
      </c>
      <c r="L5321" s="3">
        <v>792.67022958037205</v>
      </c>
    </row>
    <row r="5322" spans="1:12" ht="15" customHeight="1" x14ac:dyDescent="0.2">
      <c r="A5322" s="2">
        <v>38328</v>
      </c>
      <c r="B5322" s="3">
        <v>31.880013999999999</v>
      </c>
      <c r="C5322" s="1">
        <v>715754.7</v>
      </c>
      <c r="D5322" s="3">
        <v>-0.64667000000000296</v>
      </c>
      <c r="E5322" s="3">
        <v>-1.98812150663745</v>
      </c>
      <c r="F5322" s="3">
        <v>-1.98812150663745</v>
      </c>
      <c r="G5322" s="3">
        <v>31.880013999999999</v>
      </c>
      <c r="H5322" s="3">
        <v>788.39728574126798</v>
      </c>
      <c r="I5322" s="3">
        <v>32.640014999999998</v>
      </c>
      <c r="J5322" s="3">
        <v>32.660015000000001</v>
      </c>
      <c r="K5322" s="3">
        <v>31.833349999999999</v>
      </c>
      <c r="L5322" s="3">
        <v>788.39728574126798</v>
      </c>
    </row>
    <row r="5323" spans="1:12" ht="15" customHeight="1" x14ac:dyDescent="0.2">
      <c r="A5323" s="2">
        <v>38327</v>
      </c>
      <c r="B5323" s="3">
        <v>32.526684000000003</v>
      </c>
      <c r="C5323" s="1">
        <v>871316.6</v>
      </c>
      <c r="D5323" s="3">
        <v>-0.29999899999999902</v>
      </c>
      <c r="E5323" s="3">
        <v>-0.91388764438977699</v>
      </c>
      <c r="F5323" s="3">
        <v>-0.91388764438977699</v>
      </c>
      <c r="G5323" s="3">
        <v>32.526684000000003</v>
      </c>
      <c r="H5323" s="3">
        <v>806.41797647152703</v>
      </c>
      <c r="I5323" s="3">
        <v>32.066679999999998</v>
      </c>
      <c r="J5323" s="3">
        <v>32.526684000000003</v>
      </c>
      <c r="K5323" s="3">
        <v>31.766684000000001</v>
      </c>
      <c r="L5323" s="3">
        <v>806.41797647152703</v>
      </c>
    </row>
    <row r="5324" spans="1:12" ht="15" customHeight="1" x14ac:dyDescent="0.2">
      <c r="A5324" s="2">
        <v>38324</v>
      </c>
      <c r="B5324" s="3">
        <v>32.826683000000003</v>
      </c>
      <c r="C5324" s="1">
        <v>789089.6</v>
      </c>
      <c r="D5324" s="3">
        <v>-0.50666699999999998</v>
      </c>
      <c r="E5324" s="3">
        <v>-1.52000023999988</v>
      </c>
      <c r="F5324" s="3">
        <v>-1.52000023999988</v>
      </c>
      <c r="G5324" s="3">
        <v>32.826683000000003</v>
      </c>
      <c r="H5324" s="3">
        <v>814.77801976777801</v>
      </c>
      <c r="I5324" s="3">
        <v>33.266685000000003</v>
      </c>
      <c r="J5324" s="3">
        <v>33.280014000000001</v>
      </c>
      <c r="K5324" s="3">
        <v>32.746679999999998</v>
      </c>
      <c r="L5324" s="3">
        <v>814.77801976777801</v>
      </c>
    </row>
    <row r="5325" spans="1:12" ht="15" customHeight="1" x14ac:dyDescent="0.2">
      <c r="A5325" s="2">
        <v>38323</v>
      </c>
      <c r="B5325" s="3">
        <v>33.333350000000003</v>
      </c>
      <c r="C5325" s="1">
        <v>632200.19999999995</v>
      </c>
      <c r="D5325" s="3">
        <v>-0.16000499999999801</v>
      </c>
      <c r="E5325" s="3">
        <v>-0.477721625677685</v>
      </c>
      <c r="F5325" s="3">
        <v>-0.477721625677685</v>
      </c>
      <c r="G5325" s="3">
        <v>33.333350000000003</v>
      </c>
      <c r="H5325" s="3">
        <v>828.89726035451895</v>
      </c>
      <c r="I5325" s="3">
        <v>33.340020000000003</v>
      </c>
      <c r="J5325" s="3">
        <v>33.500014999999998</v>
      </c>
      <c r="K5325" s="3">
        <v>33.040016000000001</v>
      </c>
      <c r="L5325" s="3">
        <v>828.89726035451895</v>
      </c>
    </row>
    <row r="5326" spans="1:12" ht="15" customHeight="1" x14ac:dyDescent="0.2">
      <c r="A5326" s="2">
        <v>38322</v>
      </c>
      <c r="B5326" s="3">
        <v>33.493355000000001</v>
      </c>
      <c r="C5326" s="1">
        <v>832375.1</v>
      </c>
      <c r="D5326" s="3">
        <v>0.90000500000000005</v>
      </c>
      <c r="E5326" s="3">
        <v>2.7613148080820098</v>
      </c>
      <c r="F5326" s="3">
        <v>2.7613148080820098</v>
      </c>
      <c r="G5326" s="3">
        <v>33.493355000000001</v>
      </c>
      <c r="H5326" s="3">
        <v>833.356104309388</v>
      </c>
      <c r="I5326" s="3">
        <v>32.800020000000004</v>
      </c>
      <c r="J5326" s="3">
        <v>33.493355000000001</v>
      </c>
      <c r="K5326" s="3">
        <v>32.400013000000001</v>
      </c>
      <c r="L5326" s="3">
        <v>833.356104309388</v>
      </c>
    </row>
    <row r="5327" spans="1:12" ht="15" customHeight="1" x14ac:dyDescent="0.2">
      <c r="A5327" s="2">
        <v>38321</v>
      </c>
      <c r="B5327" s="3">
        <v>32.593350000000001</v>
      </c>
      <c r="C5327" s="1">
        <v>799397.64</v>
      </c>
      <c r="D5327" s="3">
        <v>-0.186664</v>
      </c>
      <c r="E5327" s="3">
        <v>-0.56944454020062496</v>
      </c>
      <c r="F5327" s="3">
        <v>-0.56944454020062496</v>
      </c>
      <c r="G5327" s="3">
        <v>32.593350000000001</v>
      </c>
      <c r="H5327" s="3">
        <v>808.27575148540302</v>
      </c>
      <c r="I5327" s="3">
        <v>32.766685000000003</v>
      </c>
      <c r="J5327" s="3">
        <v>32.893349999999998</v>
      </c>
      <c r="K5327" s="3">
        <v>32.49335</v>
      </c>
      <c r="L5327" s="3">
        <v>808.27575148540302</v>
      </c>
    </row>
    <row r="5328" spans="1:12" ht="15" customHeight="1" x14ac:dyDescent="0.2">
      <c r="A5328" s="2">
        <v>38320</v>
      </c>
      <c r="B5328" s="3">
        <v>32.780014000000001</v>
      </c>
      <c r="C5328" s="1">
        <v>682511.66</v>
      </c>
      <c r="D5328" s="3">
        <v>0.113331000000002</v>
      </c>
      <c r="E5328" s="3">
        <v>0.34693145918733798</v>
      </c>
      <c r="F5328" s="3">
        <v>0.34693145918733798</v>
      </c>
      <c r="G5328" s="3">
        <v>32.780014000000001</v>
      </c>
      <c r="H5328" s="3">
        <v>813.477499230734</v>
      </c>
      <c r="I5328" s="3">
        <v>32.833350000000003</v>
      </c>
      <c r="J5328" s="3">
        <v>33.033347999999997</v>
      </c>
      <c r="K5328" s="3">
        <v>32.466681999999999</v>
      </c>
      <c r="L5328" s="3">
        <v>813.477499230734</v>
      </c>
    </row>
    <row r="5329" spans="1:12" ht="15" customHeight="1" x14ac:dyDescent="0.2">
      <c r="A5329" s="2">
        <v>38317</v>
      </c>
      <c r="B5329" s="3">
        <v>32.666682999999999</v>
      </c>
      <c r="C5329" s="1">
        <v>167254.43</v>
      </c>
      <c r="D5329" s="3">
        <v>-7.3334000000002605E-2</v>
      </c>
      <c r="E5329" s="3">
        <v>-0.22398888797157099</v>
      </c>
      <c r="F5329" s="3">
        <v>-0.22398888797157099</v>
      </c>
      <c r="G5329" s="3">
        <v>32.666682999999999</v>
      </c>
      <c r="H5329" s="3">
        <v>810.31931514742905</v>
      </c>
      <c r="I5329" s="3">
        <v>32.706684000000003</v>
      </c>
      <c r="J5329" s="3">
        <v>32.846684000000003</v>
      </c>
      <c r="K5329" s="3">
        <v>32.640014999999998</v>
      </c>
      <c r="L5329" s="3">
        <v>810.31931514742905</v>
      </c>
    </row>
    <row r="5330" spans="1:12" ht="15" customHeight="1" x14ac:dyDescent="0.2">
      <c r="A5330" s="2">
        <v>38315</v>
      </c>
      <c r="B5330" s="3">
        <v>32.740017000000002</v>
      </c>
      <c r="C5330" s="1">
        <v>531664.25</v>
      </c>
      <c r="D5330" s="3">
        <v>0.52666700000000299</v>
      </c>
      <c r="E5330" s="3">
        <v>1.6349339637138101</v>
      </c>
      <c r="F5330" s="3">
        <v>1.6349339637138101</v>
      </c>
      <c r="G5330" s="3">
        <v>32.740017000000002</v>
      </c>
      <c r="H5330" s="3">
        <v>812.36290667635797</v>
      </c>
      <c r="I5330" s="3">
        <v>32.100017999999999</v>
      </c>
      <c r="J5330" s="3">
        <v>32.926679999999998</v>
      </c>
      <c r="K5330" s="3">
        <v>32.026684000000003</v>
      </c>
      <c r="L5330" s="3">
        <v>812.36290667635797</v>
      </c>
    </row>
    <row r="5331" spans="1:12" ht="15" customHeight="1" x14ac:dyDescent="0.2">
      <c r="A5331" s="2">
        <v>38314</v>
      </c>
      <c r="B5331" s="3">
        <v>32.213349999999998</v>
      </c>
      <c r="C5331" s="1">
        <v>551836.24</v>
      </c>
      <c r="D5331" s="3">
        <v>0.44000199999999901</v>
      </c>
      <c r="E5331" s="3">
        <v>1.3848147195567799</v>
      </c>
      <c r="F5331" s="3">
        <v>1.3848147195567799</v>
      </c>
      <c r="G5331" s="3">
        <v>32.213349999999998</v>
      </c>
      <c r="H5331" s="3">
        <v>797.68632801207298</v>
      </c>
      <c r="I5331" s="3">
        <v>31.700018</v>
      </c>
      <c r="J5331" s="3">
        <v>32.233350000000002</v>
      </c>
      <c r="K5331" s="3">
        <v>31.700013999999999</v>
      </c>
      <c r="L5331" s="3">
        <v>797.68632801207298</v>
      </c>
    </row>
    <row r="5332" spans="1:12" ht="15" customHeight="1" x14ac:dyDescent="0.2">
      <c r="A5332" s="2">
        <v>38313</v>
      </c>
      <c r="B5332" s="3">
        <v>31.773347999999999</v>
      </c>
      <c r="C5332" s="1">
        <v>560323.24</v>
      </c>
      <c r="D5332" s="3">
        <v>0.34666599999999897</v>
      </c>
      <c r="E5332" s="3">
        <v>1.10309449785377</v>
      </c>
      <c r="F5332" s="3">
        <v>1.10309449785377</v>
      </c>
      <c r="G5332" s="3">
        <v>31.773347999999999</v>
      </c>
      <c r="H5332" s="3">
        <v>785.42483457230503</v>
      </c>
      <c r="I5332" s="3">
        <v>31.386683000000001</v>
      </c>
      <c r="J5332" s="3">
        <v>31.820015000000001</v>
      </c>
      <c r="K5332" s="3">
        <v>31.30668</v>
      </c>
      <c r="L5332" s="3">
        <v>785.42483457230503</v>
      </c>
    </row>
    <row r="5333" spans="1:12" ht="15" customHeight="1" x14ac:dyDescent="0.2">
      <c r="A5333" s="2">
        <v>38310</v>
      </c>
      <c r="B5333" s="3">
        <v>31.426682</v>
      </c>
      <c r="C5333" s="1">
        <v>881149.05</v>
      </c>
      <c r="D5333" s="3">
        <v>-0.67999799999999699</v>
      </c>
      <c r="E5333" s="3">
        <v>-2.1179330905593399</v>
      </c>
      <c r="F5333" s="3">
        <v>-2.1179330905593399</v>
      </c>
      <c r="G5333" s="3">
        <v>31.426682</v>
      </c>
      <c r="H5333" s="3">
        <v>775.76432647281695</v>
      </c>
      <c r="I5333" s="3">
        <v>32.13335</v>
      </c>
      <c r="J5333" s="3">
        <v>32.13335</v>
      </c>
      <c r="K5333" s="3">
        <v>31.30668</v>
      </c>
      <c r="L5333" s="3">
        <v>775.76432647281695</v>
      </c>
    </row>
    <row r="5334" spans="1:12" ht="15" customHeight="1" x14ac:dyDescent="0.2">
      <c r="A5334" s="2">
        <v>38309</v>
      </c>
      <c r="B5334" s="3">
        <v>32.106679999999997</v>
      </c>
      <c r="C5334" s="1">
        <v>916118.6</v>
      </c>
      <c r="D5334" s="3">
        <v>5.3329999999995402E-2</v>
      </c>
      <c r="E5334" s="3">
        <v>0.16637886523560499</v>
      </c>
      <c r="F5334" s="3">
        <v>0.16637886523560499</v>
      </c>
      <c r="G5334" s="3">
        <v>32.106679999999997</v>
      </c>
      <c r="H5334" s="3">
        <v>794.71376537549395</v>
      </c>
      <c r="I5334" s="3">
        <v>32.033347999999997</v>
      </c>
      <c r="J5334" s="3">
        <v>32.226680000000002</v>
      </c>
      <c r="K5334" s="3">
        <v>31.500015000000001</v>
      </c>
      <c r="L5334" s="3">
        <v>794.71376537549395</v>
      </c>
    </row>
    <row r="5335" spans="1:12" ht="15" customHeight="1" x14ac:dyDescent="0.2">
      <c r="A5335" s="2">
        <v>38308</v>
      </c>
      <c r="B5335" s="3">
        <v>32.053350000000002</v>
      </c>
      <c r="C5335" s="1">
        <v>681302.7</v>
      </c>
      <c r="D5335" s="3">
        <v>2.0002000000005099E-2</v>
      </c>
      <c r="E5335" s="3">
        <v>6.2441178486882798E-2</v>
      </c>
      <c r="F5335" s="3">
        <v>6.2441178486882798E-2</v>
      </c>
      <c r="G5335" s="3">
        <v>32.053350000000002</v>
      </c>
      <c r="H5335" s="3">
        <v>793.22762339172402</v>
      </c>
      <c r="I5335" s="3">
        <v>32.020015999999998</v>
      </c>
      <c r="J5335" s="3">
        <v>32.486682999999999</v>
      </c>
      <c r="K5335" s="3">
        <v>31.746680999999999</v>
      </c>
      <c r="L5335" s="3">
        <v>793.22762339172402</v>
      </c>
    </row>
    <row r="5336" spans="1:12" ht="15" customHeight="1" x14ac:dyDescent="0.2">
      <c r="A5336" s="2">
        <v>38307</v>
      </c>
      <c r="B5336" s="3">
        <v>32.033347999999997</v>
      </c>
      <c r="C5336" s="1">
        <v>596878.19999999995</v>
      </c>
      <c r="D5336" s="3">
        <v>-0.57999800000000301</v>
      </c>
      <c r="E5336" s="3">
        <v>-1.7784069135378</v>
      </c>
      <c r="F5336" s="3">
        <v>-1.7784069135378</v>
      </c>
      <c r="G5336" s="3">
        <v>32.033347999999997</v>
      </c>
      <c r="H5336" s="3">
        <v>792.67022958037205</v>
      </c>
      <c r="I5336" s="3">
        <v>32.593350000000001</v>
      </c>
      <c r="J5336" s="3">
        <v>32.593350000000001</v>
      </c>
      <c r="K5336" s="3">
        <v>32.000014999999998</v>
      </c>
      <c r="L5336" s="3">
        <v>792.67022958037205</v>
      </c>
    </row>
    <row r="5337" spans="1:12" ht="15" customHeight="1" x14ac:dyDescent="0.2">
      <c r="A5337" s="2">
        <v>38306</v>
      </c>
      <c r="B5337" s="3">
        <v>32.613346</v>
      </c>
      <c r="C5337" s="1">
        <v>913163.6</v>
      </c>
      <c r="D5337" s="3">
        <v>9.9997999999999296E-2</v>
      </c>
      <c r="E5337" s="3">
        <v>0.30755983665540199</v>
      </c>
      <c r="F5337" s="3">
        <v>0.30755983665540199</v>
      </c>
      <c r="G5337" s="3">
        <v>32.613346</v>
      </c>
      <c r="H5337" s="3">
        <v>808.83297809533099</v>
      </c>
      <c r="I5337" s="3">
        <v>32.566679999999998</v>
      </c>
      <c r="J5337" s="3">
        <v>32.673347</v>
      </c>
      <c r="K5337" s="3">
        <v>32.020015999999998</v>
      </c>
      <c r="L5337" s="3">
        <v>808.83297809533099</v>
      </c>
    </row>
    <row r="5338" spans="1:12" ht="15" customHeight="1" x14ac:dyDescent="0.2">
      <c r="A5338" s="2">
        <v>38303</v>
      </c>
      <c r="B5338" s="3">
        <v>32.513348000000001</v>
      </c>
      <c r="C5338" s="1">
        <v>909685.06</v>
      </c>
      <c r="D5338" s="3">
        <v>4.6666000000001803E-2</v>
      </c>
      <c r="E5338" s="3">
        <v>0.143735045053272</v>
      </c>
      <c r="F5338" s="3">
        <v>0.143735045053272</v>
      </c>
      <c r="G5338" s="3">
        <v>32.513348000000001</v>
      </c>
      <c r="H5338" s="3">
        <v>806.04634344142096</v>
      </c>
      <c r="I5338" s="3">
        <v>32.533347999999997</v>
      </c>
      <c r="J5338" s="3">
        <v>32.600017999999999</v>
      </c>
      <c r="K5338" s="3">
        <v>31.813348999999999</v>
      </c>
      <c r="L5338" s="3">
        <v>806.04634344142096</v>
      </c>
    </row>
    <row r="5339" spans="1:12" ht="15" customHeight="1" x14ac:dyDescent="0.2">
      <c r="A5339" s="2">
        <v>38302</v>
      </c>
      <c r="B5339" s="3">
        <v>32.466681999999999</v>
      </c>
      <c r="C5339" s="1">
        <v>1138916.5</v>
      </c>
      <c r="D5339" s="3">
        <v>1</v>
      </c>
      <c r="E5339" s="3">
        <v>3.1779645531104999</v>
      </c>
      <c r="F5339" s="3">
        <v>3.1779645531104999</v>
      </c>
      <c r="G5339" s="3">
        <v>32.466681999999999</v>
      </c>
      <c r="H5339" s="3">
        <v>804.74590650508799</v>
      </c>
      <c r="I5339" s="3">
        <v>31.613347999999998</v>
      </c>
      <c r="J5339" s="3">
        <v>32.653346999999997</v>
      </c>
      <c r="K5339" s="3">
        <v>31.366682000000001</v>
      </c>
      <c r="L5339" s="3">
        <v>804.74590650508799</v>
      </c>
    </row>
    <row r="5340" spans="1:12" ht="15" customHeight="1" x14ac:dyDescent="0.2">
      <c r="A5340" s="2">
        <v>38301</v>
      </c>
      <c r="B5340" s="3">
        <v>31.466681999999999</v>
      </c>
      <c r="C5340" s="1">
        <v>1081139.5</v>
      </c>
      <c r="D5340" s="3">
        <v>0.29333499999999901</v>
      </c>
      <c r="E5340" s="3">
        <v>0.94098012638810202</v>
      </c>
      <c r="F5340" s="3">
        <v>0.94098012638810202</v>
      </c>
      <c r="G5340" s="3">
        <v>31.466681999999999</v>
      </c>
      <c r="H5340" s="3">
        <v>776.87900262790401</v>
      </c>
      <c r="I5340" s="3">
        <v>31.486685000000001</v>
      </c>
      <c r="J5340" s="3">
        <v>32.060017000000002</v>
      </c>
      <c r="K5340" s="3">
        <v>31.353348</v>
      </c>
      <c r="L5340" s="3">
        <v>776.87900262790401</v>
      </c>
    </row>
    <row r="5341" spans="1:12" ht="15" customHeight="1" x14ac:dyDescent="0.2">
      <c r="A5341" s="2">
        <v>38300</v>
      </c>
      <c r="B5341" s="3">
        <v>31.173347</v>
      </c>
      <c r="C5341" s="1">
        <v>860843.57</v>
      </c>
      <c r="D5341" s="3">
        <v>0.440000000000001</v>
      </c>
      <c r="E5341" s="3">
        <v>1.43166964535297</v>
      </c>
      <c r="F5341" s="3">
        <v>1.43166964535297</v>
      </c>
      <c r="G5341" s="3">
        <v>31.173347</v>
      </c>
      <c r="H5341" s="3">
        <v>768.70466437909101</v>
      </c>
      <c r="I5341" s="3">
        <v>30.780014000000001</v>
      </c>
      <c r="J5341" s="3">
        <v>31.320015000000001</v>
      </c>
      <c r="K5341" s="3">
        <v>30.726680000000002</v>
      </c>
      <c r="L5341" s="3">
        <v>768.70466437909101</v>
      </c>
    </row>
    <row r="5342" spans="1:12" ht="15" customHeight="1" x14ac:dyDescent="0.2">
      <c r="A5342" s="2">
        <v>38299</v>
      </c>
      <c r="B5342" s="3">
        <v>30.733346999999998</v>
      </c>
      <c r="C5342" s="1">
        <v>900374.6</v>
      </c>
      <c r="D5342" s="3">
        <v>-0.69333500000000103</v>
      </c>
      <c r="E5342" s="3">
        <v>-2.20619854173597</v>
      </c>
      <c r="F5342" s="3">
        <v>-2.20619854173597</v>
      </c>
      <c r="G5342" s="3">
        <v>30.733346999999998</v>
      </c>
      <c r="H5342" s="3">
        <v>756.44322667312997</v>
      </c>
      <c r="I5342" s="3">
        <v>31.366682000000001</v>
      </c>
      <c r="J5342" s="3">
        <v>31.413347000000002</v>
      </c>
      <c r="K5342" s="3">
        <v>30.506679999999999</v>
      </c>
      <c r="L5342" s="3">
        <v>756.44322667312997</v>
      </c>
    </row>
    <row r="5343" spans="1:12" ht="15" customHeight="1" x14ac:dyDescent="0.2">
      <c r="A5343" s="2">
        <v>38296</v>
      </c>
      <c r="B5343" s="3">
        <v>31.426682</v>
      </c>
      <c r="C5343" s="1">
        <v>1192725.8</v>
      </c>
      <c r="D5343" s="3">
        <v>0.58666799999999897</v>
      </c>
      <c r="E5343" s="3">
        <v>1.9022948562863899</v>
      </c>
      <c r="F5343" s="3">
        <v>1.9022948562863899</v>
      </c>
      <c r="G5343" s="3">
        <v>31.426682</v>
      </c>
      <c r="H5343" s="3">
        <v>775.76432647281695</v>
      </c>
      <c r="I5343" s="3">
        <v>30.960014000000001</v>
      </c>
      <c r="J5343" s="3">
        <v>31.540016000000001</v>
      </c>
      <c r="K5343" s="3">
        <v>30.860016000000002</v>
      </c>
      <c r="L5343" s="3">
        <v>775.76432647281695</v>
      </c>
    </row>
    <row r="5344" spans="1:12" ht="15" customHeight="1" x14ac:dyDescent="0.2">
      <c r="A5344" s="2">
        <v>38295</v>
      </c>
      <c r="B5344" s="3">
        <v>30.840014</v>
      </c>
      <c r="C5344" s="1">
        <v>756904.1</v>
      </c>
      <c r="D5344" s="3">
        <v>0.85333299999999901</v>
      </c>
      <c r="E5344" s="3">
        <v>2.84570673226556</v>
      </c>
      <c r="F5344" s="3">
        <v>2.84570673226556</v>
      </c>
      <c r="G5344" s="3">
        <v>30.840014</v>
      </c>
      <c r="H5344" s="3">
        <v>759.41570570899705</v>
      </c>
      <c r="I5344" s="3">
        <v>30.000015000000001</v>
      </c>
      <c r="J5344" s="3">
        <v>30.893349000000001</v>
      </c>
      <c r="K5344" s="3">
        <v>29.920014999999999</v>
      </c>
      <c r="L5344" s="3">
        <v>759.41570570899705</v>
      </c>
    </row>
    <row r="5345" spans="1:12" ht="15" customHeight="1" x14ac:dyDescent="0.2">
      <c r="A5345" s="2">
        <v>38294</v>
      </c>
      <c r="B5345" s="3">
        <v>29.986681000000001</v>
      </c>
      <c r="C5345" s="1">
        <v>820361.63</v>
      </c>
      <c r="D5345" s="3">
        <v>0.44000100000000197</v>
      </c>
      <c r="E5345" s="3">
        <v>1.48917238755759</v>
      </c>
      <c r="F5345" s="3">
        <v>1.48917238755759</v>
      </c>
      <c r="G5345" s="3">
        <v>29.986681000000001</v>
      </c>
      <c r="H5345" s="3">
        <v>735.63595702276905</v>
      </c>
      <c r="I5345" s="3">
        <v>29.953347999999998</v>
      </c>
      <c r="J5345" s="3">
        <v>30.446680000000001</v>
      </c>
      <c r="K5345" s="3">
        <v>29.666681000000001</v>
      </c>
      <c r="L5345" s="3">
        <v>735.63595702276905</v>
      </c>
    </row>
    <row r="5346" spans="1:12" ht="15" customHeight="1" x14ac:dyDescent="0.2">
      <c r="A5346" s="2">
        <v>38293</v>
      </c>
      <c r="B5346" s="3">
        <v>29.546679999999999</v>
      </c>
      <c r="C5346" s="1">
        <v>887261.53999999899</v>
      </c>
      <c r="D5346" s="3">
        <v>-9.3333000000001207E-2</v>
      </c>
      <c r="E5346" s="3">
        <v>-0.31488852585861399</v>
      </c>
      <c r="F5346" s="3">
        <v>-0.31488852585861399</v>
      </c>
      <c r="G5346" s="3">
        <v>29.546679999999999</v>
      </c>
      <c r="H5346" s="3">
        <v>723.37449144990399</v>
      </c>
      <c r="I5346" s="3">
        <v>29.533346000000002</v>
      </c>
      <c r="J5346" s="3">
        <v>29.980015000000002</v>
      </c>
      <c r="K5346" s="3">
        <v>29.433347999999999</v>
      </c>
      <c r="L5346" s="3">
        <v>723.37449144990399</v>
      </c>
    </row>
    <row r="5347" spans="1:12" ht="15" customHeight="1" x14ac:dyDescent="0.2">
      <c r="A5347" s="2">
        <v>38292</v>
      </c>
      <c r="B5347" s="3">
        <v>29.640013</v>
      </c>
      <c r="C5347" s="1">
        <v>527228.76</v>
      </c>
      <c r="D5347" s="3">
        <v>0.69999899999999804</v>
      </c>
      <c r="E5347" s="3">
        <v>2.4187928865549102</v>
      </c>
      <c r="F5347" s="3">
        <v>2.4187928865549102</v>
      </c>
      <c r="G5347" s="3">
        <v>29.640013</v>
      </c>
      <c r="H5347" s="3">
        <v>725.97539318947304</v>
      </c>
      <c r="I5347" s="3">
        <v>29.000012999999999</v>
      </c>
      <c r="J5347" s="3">
        <v>29.720015</v>
      </c>
      <c r="K5347" s="3">
        <v>28.773347999999999</v>
      </c>
      <c r="L5347" s="3">
        <v>725.97539318947304</v>
      </c>
    </row>
    <row r="5348" spans="1:12" ht="15" customHeight="1" x14ac:dyDescent="0.2">
      <c r="A5348" s="2">
        <v>38289</v>
      </c>
      <c r="B5348" s="3">
        <v>28.940014000000001</v>
      </c>
      <c r="C5348" s="1">
        <v>788939.64</v>
      </c>
      <c r="D5348" s="3">
        <v>-1.99979999999975E-2</v>
      </c>
      <c r="E5348" s="3">
        <v>-6.9053838789834204E-2</v>
      </c>
      <c r="F5348" s="3">
        <v>-6.9053838789834204E-2</v>
      </c>
      <c r="G5348" s="3">
        <v>28.940014000000001</v>
      </c>
      <c r="H5348" s="3">
        <v>706.46858834234797</v>
      </c>
      <c r="I5348" s="3">
        <v>29.013348000000001</v>
      </c>
      <c r="J5348" s="3">
        <v>29.366679999999999</v>
      </c>
      <c r="K5348" s="3">
        <v>28.760014000000002</v>
      </c>
      <c r="L5348" s="3">
        <v>706.46858834234797</v>
      </c>
    </row>
    <row r="5349" spans="1:12" ht="15" customHeight="1" x14ac:dyDescent="0.2">
      <c r="A5349" s="2">
        <v>38288</v>
      </c>
      <c r="B5349" s="3">
        <v>28.960011999999999</v>
      </c>
      <c r="C5349" s="1">
        <v>606175.19999999995</v>
      </c>
      <c r="D5349" s="3">
        <v>-0.42667100000000202</v>
      </c>
      <c r="E5349" s="3">
        <v>-1.45191956506286</v>
      </c>
      <c r="F5349" s="3">
        <v>-1.45191956506286</v>
      </c>
      <c r="G5349" s="3">
        <v>28.960011999999999</v>
      </c>
      <c r="H5349" s="3">
        <v>707.02587068608398</v>
      </c>
      <c r="I5349" s="3">
        <v>29.200016000000002</v>
      </c>
      <c r="J5349" s="3">
        <v>29.240015</v>
      </c>
      <c r="K5349" s="3">
        <v>28.710681999999998</v>
      </c>
      <c r="L5349" s="3">
        <v>707.02587068608398</v>
      </c>
    </row>
    <row r="5350" spans="1:12" ht="15" customHeight="1" x14ac:dyDescent="0.2">
      <c r="A5350" s="2">
        <v>38287</v>
      </c>
      <c r="B5350" s="3">
        <v>29.386683000000001</v>
      </c>
      <c r="C5350" s="1">
        <v>546976.26</v>
      </c>
      <c r="D5350" s="3">
        <v>0.52000300000000199</v>
      </c>
      <c r="E5350" s="3">
        <v>1.8013952418497901</v>
      </c>
      <c r="F5350" s="3">
        <v>1.8013952418497901</v>
      </c>
      <c r="G5350" s="3">
        <v>29.386683000000001</v>
      </c>
      <c r="H5350" s="3">
        <v>718.91587043026595</v>
      </c>
      <c r="I5350" s="3">
        <v>28.980015000000002</v>
      </c>
      <c r="J5350" s="3">
        <v>29.446680000000001</v>
      </c>
      <c r="K5350" s="3">
        <v>28.666679999999999</v>
      </c>
      <c r="L5350" s="3">
        <v>718.91587043026595</v>
      </c>
    </row>
    <row r="5351" spans="1:12" ht="15" customHeight="1" x14ac:dyDescent="0.2">
      <c r="A5351" s="2">
        <v>38286</v>
      </c>
      <c r="B5351" s="3">
        <v>28.866679999999999</v>
      </c>
      <c r="C5351" s="1">
        <v>766456.1</v>
      </c>
      <c r="D5351" s="3">
        <v>0.20666499999999699</v>
      </c>
      <c r="E5351" s="3">
        <v>0.72109173704200102</v>
      </c>
      <c r="F5351" s="3">
        <v>0.72109173704200102</v>
      </c>
      <c r="G5351" s="3">
        <v>28.866679999999999</v>
      </c>
      <c r="H5351" s="3">
        <v>704.42499681341906</v>
      </c>
      <c r="I5351" s="3">
        <v>28.666679999999999</v>
      </c>
      <c r="J5351" s="3">
        <v>29.000012999999999</v>
      </c>
      <c r="K5351" s="3">
        <v>28.46668</v>
      </c>
      <c r="L5351" s="3">
        <v>704.42499681341906</v>
      </c>
    </row>
    <row r="5352" spans="1:12" ht="15" customHeight="1" x14ac:dyDescent="0.2">
      <c r="A5352" s="2">
        <v>38285</v>
      </c>
      <c r="B5352" s="3">
        <v>28.660015000000001</v>
      </c>
      <c r="C5352" s="1">
        <v>556724.73</v>
      </c>
      <c r="D5352" s="3">
        <v>-0.246665999999997</v>
      </c>
      <c r="E5352" s="3">
        <v>-0.85331830382048202</v>
      </c>
      <c r="F5352" s="3">
        <v>-0.85331830382048202</v>
      </c>
      <c r="G5352" s="3">
        <v>28.660015000000001</v>
      </c>
      <c r="H5352" s="3">
        <v>698.66588312364104</v>
      </c>
      <c r="I5352" s="3">
        <v>28.866679999999999</v>
      </c>
      <c r="J5352" s="3">
        <v>28.900013000000001</v>
      </c>
      <c r="K5352" s="3">
        <v>28.46668</v>
      </c>
      <c r="L5352" s="3">
        <v>698.66588312364104</v>
      </c>
    </row>
    <row r="5353" spans="1:12" ht="15" customHeight="1" x14ac:dyDescent="0.2">
      <c r="A5353" s="2">
        <v>38282</v>
      </c>
      <c r="B5353" s="3">
        <v>28.906680999999999</v>
      </c>
      <c r="C5353" s="1">
        <v>544780.30000000005</v>
      </c>
      <c r="D5353" s="3">
        <v>-0.246666000000001</v>
      </c>
      <c r="E5353" s="3">
        <v>-0.84609839137853504</v>
      </c>
      <c r="F5353" s="3">
        <v>-0.84609839137853504</v>
      </c>
      <c r="G5353" s="3">
        <v>28.906680999999999</v>
      </c>
      <c r="H5353" s="3">
        <v>705.53970083541003</v>
      </c>
      <c r="I5353" s="3">
        <v>29.213346000000001</v>
      </c>
      <c r="J5353" s="3">
        <v>29.346682000000001</v>
      </c>
      <c r="K5353" s="3">
        <v>28.673345999999999</v>
      </c>
      <c r="L5353" s="3">
        <v>705.53970083541003</v>
      </c>
    </row>
    <row r="5354" spans="1:12" ht="15" customHeight="1" x14ac:dyDescent="0.2">
      <c r="A5354" s="2">
        <v>38281</v>
      </c>
      <c r="B5354" s="3">
        <v>29.153347</v>
      </c>
      <c r="C5354" s="1">
        <v>1073864.5</v>
      </c>
      <c r="D5354" s="3">
        <v>-0.466667000000001</v>
      </c>
      <c r="E5354" s="3">
        <v>-1.57551242210757</v>
      </c>
      <c r="F5354" s="3">
        <v>-1.57551242210757</v>
      </c>
      <c r="G5354" s="3">
        <v>29.153347</v>
      </c>
      <c r="H5354" s="3">
        <v>712.41351854718005</v>
      </c>
      <c r="I5354" s="3">
        <v>29.740015</v>
      </c>
      <c r="J5354" s="3">
        <v>29.780011999999999</v>
      </c>
      <c r="K5354" s="3">
        <v>28.826681000000001</v>
      </c>
      <c r="L5354" s="3">
        <v>712.41351854718005</v>
      </c>
    </row>
    <row r="5355" spans="1:12" ht="15" customHeight="1" x14ac:dyDescent="0.2">
      <c r="A5355" s="2">
        <v>38280</v>
      </c>
      <c r="B5355" s="3">
        <v>29.620014000000001</v>
      </c>
      <c r="C5355" s="1">
        <v>2924160</v>
      </c>
      <c r="D5355" s="3">
        <v>1.01999999999999</v>
      </c>
      <c r="E5355" s="3">
        <v>3.5664318206277601</v>
      </c>
      <c r="F5355" s="3">
        <v>3.5664318206277601</v>
      </c>
      <c r="G5355" s="3">
        <v>29.620014000000001</v>
      </c>
      <c r="H5355" s="3">
        <v>725.41808297883301</v>
      </c>
      <c r="I5355" s="3">
        <v>28.520012000000001</v>
      </c>
      <c r="J5355" s="3">
        <v>30.633348000000002</v>
      </c>
      <c r="K5355" s="3">
        <v>28.406680999999999</v>
      </c>
      <c r="L5355" s="3">
        <v>725.41808297883301</v>
      </c>
    </row>
    <row r="5356" spans="1:12" ht="15" customHeight="1" x14ac:dyDescent="0.2">
      <c r="A5356" s="2">
        <v>38279</v>
      </c>
      <c r="B5356" s="3">
        <v>28.600014000000002</v>
      </c>
      <c r="C5356" s="1">
        <v>778223.63</v>
      </c>
      <c r="D5356" s="3">
        <v>-9.9999999999997799E-2</v>
      </c>
      <c r="E5356" s="3">
        <v>-0.34843188578235201</v>
      </c>
      <c r="F5356" s="3">
        <v>-0.34843188578235201</v>
      </c>
      <c r="G5356" s="3">
        <v>28.600014000000002</v>
      </c>
      <c r="H5356" s="3">
        <v>696.99384102410602</v>
      </c>
      <c r="I5356" s="3">
        <v>28.700016000000002</v>
      </c>
      <c r="J5356" s="3">
        <v>29.046679999999999</v>
      </c>
      <c r="K5356" s="3">
        <v>28.600014000000002</v>
      </c>
      <c r="L5356" s="3">
        <v>696.99384102410602</v>
      </c>
    </row>
    <row r="5357" spans="1:12" ht="15" customHeight="1" x14ac:dyDescent="0.2">
      <c r="A5357" s="2">
        <v>38278</v>
      </c>
      <c r="B5357" s="3">
        <v>28.700013999999999</v>
      </c>
      <c r="C5357" s="1">
        <v>725228.64</v>
      </c>
      <c r="D5357" s="3">
        <v>0.44666699999999698</v>
      </c>
      <c r="E5357" s="3">
        <v>1.5809348180942899</v>
      </c>
      <c r="F5357" s="3">
        <v>1.5809348180942899</v>
      </c>
      <c r="G5357" s="3">
        <v>28.700013999999999</v>
      </c>
      <c r="H5357" s="3">
        <v>699.78053141182397</v>
      </c>
      <c r="I5357" s="3">
        <v>28.233345</v>
      </c>
      <c r="J5357" s="3">
        <v>28.846682000000001</v>
      </c>
      <c r="K5357" s="3">
        <v>27.866679999999999</v>
      </c>
      <c r="L5357" s="3">
        <v>699.78053141182397</v>
      </c>
    </row>
    <row r="5358" spans="1:12" ht="15" customHeight="1" x14ac:dyDescent="0.2">
      <c r="A5358" s="2">
        <v>38275</v>
      </c>
      <c r="B5358" s="3">
        <v>28.253347000000002</v>
      </c>
      <c r="C5358" s="1">
        <v>603428.69999999995</v>
      </c>
      <c r="D5358" s="3">
        <v>0.44666800000000201</v>
      </c>
      <c r="E5358" s="3">
        <v>1.6063334999479799</v>
      </c>
      <c r="F5358" s="3">
        <v>1.6063334999479799</v>
      </c>
      <c r="G5358" s="3">
        <v>28.253347000000002</v>
      </c>
      <c r="H5358" s="3">
        <v>687.33330505771403</v>
      </c>
      <c r="I5358" s="3">
        <v>27.953346</v>
      </c>
      <c r="J5358" s="3">
        <v>28.420013000000001</v>
      </c>
      <c r="K5358" s="3">
        <v>27.893346999999999</v>
      </c>
      <c r="L5358" s="3">
        <v>687.33330505771403</v>
      </c>
    </row>
    <row r="5359" spans="1:12" ht="15" customHeight="1" x14ac:dyDescent="0.2">
      <c r="A5359" s="2">
        <v>38274</v>
      </c>
      <c r="B5359" s="3">
        <v>27.806678999999999</v>
      </c>
      <c r="C5359" s="1">
        <v>993040</v>
      </c>
      <c r="D5359" s="3">
        <v>-0.33333400000000002</v>
      </c>
      <c r="E5359" s="3">
        <v>-1.1845552452303401</v>
      </c>
      <c r="F5359" s="3">
        <v>-1.1845552452303401</v>
      </c>
      <c r="G5359" s="3">
        <v>27.806678999999999</v>
      </c>
      <c r="H5359" s="3">
        <v>674.88605083669995</v>
      </c>
      <c r="I5359" s="3">
        <v>28.46668</v>
      </c>
      <c r="J5359" s="3">
        <v>28.546679999999999</v>
      </c>
      <c r="K5359" s="3">
        <v>27.806678999999999</v>
      </c>
      <c r="L5359" s="3">
        <v>674.88605083669995</v>
      </c>
    </row>
    <row r="5360" spans="1:12" ht="15" customHeight="1" x14ac:dyDescent="0.2">
      <c r="A5360" s="2">
        <v>38273</v>
      </c>
      <c r="B5360" s="3">
        <v>28.140013</v>
      </c>
      <c r="C5360" s="1">
        <v>792757.14</v>
      </c>
      <c r="D5360" s="3">
        <v>0.14666599999999899</v>
      </c>
      <c r="E5360" s="3">
        <v>0.52393163275545795</v>
      </c>
      <c r="F5360" s="3">
        <v>0.52393163275545795</v>
      </c>
      <c r="G5360" s="3">
        <v>28.140013</v>
      </c>
      <c r="H5360" s="3">
        <v>684.17503737369805</v>
      </c>
      <c r="I5360" s="3">
        <v>28.000012999999999</v>
      </c>
      <c r="J5360" s="3">
        <v>28.493347</v>
      </c>
      <c r="K5360" s="3">
        <v>28.000012999999999</v>
      </c>
      <c r="L5360" s="3">
        <v>684.17503737369805</v>
      </c>
    </row>
    <row r="5361" spans="1:12" ht="15" customHeight="1" x14ac:dyDescent="0.2">
      <c r="A5361" s="2">
        <v>38272</v>
      </c>
      <c r="B5361" s="3">
        <v>27.993347</v>
      </c>
      <c r="C5361" s="1">
        <v>843730.1</v>
      </c>
      <c r="D5361" s="3">
        <v>0.126667000000001</v>
      </c>
      <c r="E5361" s="3">
        <v>0.454546433231373</v>
      </c>
      <c r="F5361" s="3">
        <v>0.454546433231373</v>
      </c>
      <c r="G5361" s="3">
        <v>27.993347</v>
      </c>
      <c r="H5361" s="3">
        <v>680.08791004964701</v>
      </c>
      <c r="I5361" s="3">
        <v>27.766681999999999</v>
      </c>
      <c r="J5361" s="3">
        <v>28.066679000000001</v>
      </c>
      <c r="K5361" s="3">
        <v>27.580013000000001</v>
      </c>
      <c r="L5361" s="3">
        <v>680.08791004964701</v>
      </c>
    </row>
    <row r="5362" spans="1:12" ht="15" customHeight="1" x14ac:dyDescent="0.2">
      <c r="A5362" s="2">
        <v>38271</v>
      </c>
      <c r="B5362" s="3">
        <v>27.866679999999999</v>
      </c>
      <c r="C5362" s="1">
        <v>402715.3</v>
      </c>
      <c r="D5362" s="3">
        <v>-0.25999799999999901</v>
      </c>
      <c r="E5362" s="3">
        <v>-0.92438218263812799</v>
      </c>
      <c r="F5362" s="3">
        <v>-0.92438218263812799</v>
      </c>
      <c r="G5362" s="3">
        <v>27.866679999999999</v>
      </c>
      <c r="H5362" s="3">
        <v>676.55809293623497</v>
      </c>
      <c r="I5362" s="3">
        <v>28.100014000000002</v>
      </c>
      <c r="J5362" s="3">
        <v>28.320012999999999</v>
      </c>
      <c r="K5362" s="3">
        <v>27.613346</v>
      </c>
      <c r="L5362" s="3">
        <v>676.55809293623497</v>
      </c>
    </row>
    <row r="5363" spans="1:12" ht="15" customHeight="1" x14ac:dyDescent="0.2">
      <c r="A5363" s="2">
        <v>38268</v>
      </c>
      <c r="B5363" s="3">
        <v>28.126677999999998</v>
      </c>
      <c r="C5363" s="1">
        <v>781345.15</v>
      </c>
      <c r="D5363" s="3">
        <v>-0.106667000000001</v>
      </c>
      <c r="E5363" s="3">
        <v>-0.37780503868741699</v>
      </c>
      <c r="F5363" s="3">
        <v>-0.37780503868741699</v>
      </c>
      <c r="G5363" s="3">
        <v>28.126677999999998</v>
      </c>
      <c r="H5363" s="3">
        <v>683.80343221049498</v>
      </c>
      <c r="I5363" s="3">
        <v>28.000012999999999</v>
      </c>
      <c r="J5363" s="3">
        <v>28.433347999999999</v>
      </c>
      <c r="K5363" s="3">
        <v>28.000012999999999</v>
      </c>
      <c r="L5363" s="3">
        <v>683.80343221049498</v>
      </c>
    </row>
    <row r="5364" spans="1:12" ht="15" customHeight="1" x14ac:dyDescent="0.2">
      <c r="A5364" s="2">
        <v>38267</v>
      </c>
      <c r="B5364" s="3">
        <v>28.233345</v>
      </c>
      <c r="C5364" s="1">
        <v>617317.19999999995</v>
      </c>
      <c r="D5364" s="3">
        <v>-0.34000199999999797</v>
      </c>
      <c r="E5364" s="3">
        <v>-1.18992710234471</v>
      </c>
      <c r="F5364" s="3">
        <v>-1.18992710234471</v>
      </c>
      <c r="G5364" s="3">
        <v>28.233345</v>
      </c>
      <c r="H5364" s="3">
        <v>686.77591124636297</v>
      </c>
      <c r="I5364" s="3">
        <v>28.453346</v>
      </c>
      <c r="J5364" s="3">
        <v>28.526679999999999</v>
      </c>
      <c r="K5364" s="3">
        <v>28.166679999999999</v>
      </c>
      <c r="L5364" s="3">
        <v>686.77591124636297</v>
      </c>
    </row>
    <row r="5365" spans="1:12" ht="15" customHeight="1" x14ac:dyDescent="0.2">
      <c r="A5365" s="2">
        <v>38266</v>
      </c>
      <c r="B5365" s="3">
        <v>28.573346999999998</v>
      </c>
      <c r="C5365" s="1">
        <v>874018.07</v>
      </c>
      <c r="D5365" s="3">
        <v>1.33339999999968E-2</v>
      </c>
      <c r="E5365" s="3">
        <v>4.6687653818633303E-2</v>
      </c>
      <c r="F5365" s="3">
        <v>4.6687653818633303E-2</v>
      </c>
      <c r="G5365" s="3">
        <v>28.573346999999998</v>
      </c>
      <c r="H5365" s="3">
        <v>696.25071429841296</v>
      </c>
      <c r="I5365" s="3">
        <v>28.586680999999999</v>
      </c>
      <c r="J5365" s="3">
        <v>28.893346999999999</v>
      </c>
      <c r="K5365" s="3">
        <v>28.48668</v>
      </c>
      <c r="L5365" s="3">
        <v>696.25071429841296</v>
      </c>
    </row>
    <row r="5366" spans="1:12" ht="15" customHeight="1" x14ac:dyDescent="0.2">
      <c r="A5366" s="2">
        <v>38265</v>
      </c>
      <c r="B5366" s="3">
        <v>28.560013000000001</v>
      </c>
      <c r="C5366" s="1">
        <v>553796.75</v>
      </c>
      <c r="D5366" s="3">
        <v>-0.25333599999999701</v>
      </c>
      <c r="E5366" s="3">
        <v>-0.87923135904818195</v>
      </c>
      <c r="F5366" s="3">
        <v>-0.87923135904818195</v>
      </c>
      <c r="G5366" s="3">
        <v>28.560013000000001</v>
      </c>
      <c r="H5366" s="3">
        <v>695.87913700211504</v>
      </c>
      <c r="I5366" s="3">
        <v>28.733346999999998</v>
      </c>
      <c r="J5366" s="3">
        <v>28.733346999999998</v>
      </c>
      <c r="K5366" s="3">
        <v>28.493347</v>
      </c>
      <c r="L5366" s="3">
        <v>695.87913700211504</v>
      </c>
    </row>
    <row r="5367" spans="1:12" ht="15" customHeight="1" x14ac:dyDescent="0.2">
      <c r="A5367" s="2">
        <v>38264</v>
      </c>
      <c r="B5367" s="3">
        <v>28.813348999999999</v>
      </c>
      <c r="C5367" s="1">
        <v>1149154</v>
      </c>
      <c r="D5367" s="3">
        <v>0.186671</v>
      </c>
      <c r="E5367" s="3">
        <v>0.65208753876366798</v>
      </c>
      <c r="F5367" s="3">
        <v>0.65208753876366798</v>
      </c>
      <c r="G5367" s="3">
        <v>28.813348999999999</v>
      </c>
      <c r="H5367" s="3">
        <v>702.938826962745</v>
      </c>
      <c r="I5367" s="3">
        <v>28.80668</v>
      </c>
      <c r="J5367" s="3">
        <v>29.366679999999999</v>
      </c>
      <c r="K5367" s="3">
        <v>28.746680000000001</v>
      </c>
      <c r="L5367" s="3">
        <v>702.938826962745</v>
      </c>
    </row>
    <row r="5368" spans="1:12" ht="15" customHeight="1" x14ac:dyDescent="0.2">
      <c r="A5368" s="2">
        <v>38261</v>
      </c>
      <c r="B5368" s="3">
        <v>28.626677999999998</v>
      </c>
      <c r="C5368" s="1">
        <v>564485.80000000005</v>
      </c>
      <c r="D5368" s="3">
        <v>-0.30667</v>
      </c>
      <c r="E5368" s="3">
        <v>-1.0599188175526699</v>
      </c>
      <c r="F5368" s="3">
        <v>-1.0599188175526699</v>
      </c>
      <c r="G5368" s="3">
        <v>28.626677999999998</v>
      </c>
      <c r="H5368" s="3">
        <v>697.73688414908702</v>
      </c>
      <c r="I5368" s="3">
        <v>29.060016999999998</v>
      </c>
      <c r="J5368" s="3">
        <v>29.073346999999998</v>
      </c>
      <c r="K5368" s="3">
        <v>28.526679999999999</v>
      </c>
      <c r="L5368" s="3">
        <v>697.73688414908702</v>
      </c>
    </row>
    <row r="5369" spans="1:12" ht="15" customHeight="1" x14ac:dyDescent="0.2">
      <c r="A5369" s="2">
        <v>38260</v>
      </c>
      <c r="B5369" s="3">
        <v>28.933347999999999</v>
      </c>
      <c r="C5369" s="1">
        <v>658070.69999999995</v>
      </c>
      <c r="D5369" s="3">
        <v>-4.6667000000002901E-2</v>
      </c>
      <c r="E5369" s="3">
        <v>-0.16103166268203101</v>
      </c>
      <c r="F5369" s="3">
        <v>-0.16103166268203101</v>
      </c>
      <c r="G5369" s="3">
        <v>28.933347999999999</v>
      </c>
      <c r="H5369" s="3">
        <v>706.28282756110298</v>
      </c>
      <c r="I5369" s="3">
        <v>28.980015000000002</v>
      </c>
      <c r="J5369" s="3">
        <v>29.046679999999999</v>
      </c>
      <c r="K5369" s="3">
        <v>28.46668</v>
      </c>
      <c r="L5369" s="3">
        <v>706.28282756110298</v>
      </c>
    </row>
    <row r="5370" spans="1:12" ht="15" customHeight="1" x14ac:dyDescent="0.2">
      <c r="A5370" s="2">
        <v>38259</v>
      </c>
      <c r="B5370" s="3">
        <v>28.980015000000002</v>
      </c>
      <c r="C5370" s="1">
        <v>774277.1</v>
      </c>
      <c r="D5370" s="3">
        <v>0.62666900000000303</v>
      </c>
      <c r="E5370" s="3">
        <v>2.2102118035733902</v>
      </c>
      <c r="F5370" s="3">
        <v>2.2102118035733902</v>
      </c>
      <c r="G5370" s="3">
        <v>28.980015000000002</v>
      </c>
      <c r="H5370" s="3">
        <v>707.58329236433997</v>
      </c>
      <c r="I5370" s="3">
        <v>28.340015000000001</v>
      </c>
      <c r="J5370" s="3">
        <v>29.106680000000001</v>
      </c>
      <c r="K5370" s="3">
        <v>28.333347</v>
      </c>
      <c r="L5370" s="3">
        <v>707.58329236433997</v>
      </c>
    </row>
    <row r="5371" spans="1:12" ht="15" customHeight="1" x14ac:dyDescent="0.2">
      <c r="A5371" s="2">
        <v>38258</v>
      </c>
      <c r="B5371" s="3">
        <v>28.353345999999998</v>
      </c>
      <c r="C5371" s="1">
        <v>712421.7</v>
      </c>
      <c r="D5371" s="3">
        <v>0.11333299999999701</v>
      </c>
      <c r="E5371" s="3">
        <v>0.40132063678581797</v>
      </c>
      <c r="F5371" s="3">
        <v>0.40132063678581797</v>
      </c>
      <c r="G5371" s="3">
        <v>28.353345999999998</v>
      </c>
      <c r="H5371" s="3">
        <v>690.11996757852899</v>
      </c>
      <c r="I5371" s="3">
        <v>28.326681000000001</v>
      </c>
      <c r="J5371" s="3">
        <v>28.46668</v>
      </c>
      <c r="K5371" s="3">
        <v>27.933347999999999</v>
      </c>
      <c r="L5371" s="3">
        <v>690.11996757852899</v>
      </c>
    </row>
    <row r="5372" spans="1:12" ht="15" customHeight="1" x14ac:dyDescent="0.2">
      <c r="A5372" s="2">
        <v>38257</v>
      </c>
      <c r="B5372" s="3">
        <v>28.240013000000001</v>
      </c>
      <c r="C5372" s="1">
        <v>668308.17000000004</v>
      </c>
      <c r="D5372" s="3">
        <v>-0.44000099999999798</v>
      </c>
      <c r="E5372" s="3">
        <v>-1.53417289126845</v>
      </c>
      <c r="F5372" s="3">
        <v>-1.53417289126845</v>
      </c>
      <c r="G5372" s="3">
        <v>28.240013000000001</v>
      </c>
      <c r="H5372" s="3">
        <v>686.961727761416</v>
      </c>
      <c r="I5372" s="3">
        <v>28.63335</v>
      </c>
      <c r="J5372" s="3">
        <v>28.700013999999999</v>
      </c>
      <c r="K5372" s="3">
        <v>28.173345999999999</v>
      </c>
      <c r="L5372" s="3">
        <v>686.961727761416</v>
      </c>
    </row>
    <row r="5373" spans="1:12" ht="15" customHeight="1" x14ac:dyDescent="0.2">
      <c r="A5373" s="2">
        <v>38254</v>
      </c>
      <c r="B5373" s="3">
        <v>28.680014</v>
      </c>
      <c r="C5373" s="1">
        <v>1008134.5</v>
      </c>
      <c r="D5373" s="3">
        <v>0.80000099999999796</v>
      </c>
      <c r="E5373" s="3">
        <v>2.86944270793561</v>
      </c>
      <c r="F5373" s="3">
        <v>2.86944270793561</v>
      </c>
      <c r="G5373" s="3">
        <v>28.680014</v>
      </c>
      <c r="H5373" s="3">
        <v>699.22319333428095</v>
      </c>
      <c r="I5373" s="3">
        <v>27.846684</v>
      </c>
      <c r="J5373" s="3">
        <v>29.12668</v>
      </c>
      <c r="K5373" s="3">
        <v>27.700012000000001</v>
      </c>
      <c r="L5373" s="3">
        <v>699.22319333428095</v>
      </c>
    </row>
    <row r="5374" spans="1:12" ht="15" customHeight="1" x14ac:dyDescent="0.2">
      <c r="A5374" s="2">
        <v>38253</v>
      </c>
      <c r="B5374" s="3">
        <v>27.880013000000002</v>
      </c>
      <c r="C5374" s="1">
        <v>653720.69999999995</v>
      </c>
      <c r="D5374" s="3">
        <v>-6.00009999999997E-2</v>
      </c>
      <c r="E5374" s="3">
        <v>-0.21474935553002999</v>
      </c>
      <c r="F5374" s="3">
        <v>-0.21474935553002999</v>
      </c>
      <c r="G5374" s="3">
        <v>27.880013000000002</v>
      </c>
      <c r="H5374" s="3">
        <v>676.92964236563</v>
      </c>
      <c r="I5374" s="3">
        <v>27.733345</v>
      </c>
      <c r="J5374" s="3">
        <v>28.513348000000001</v>
      </c>
      <c r="K5374" s="3">
        <v>27.613346</v>
      </c>
      <c r="L5374" s="3">
        <v>676.92964236563</v>
      </c>
    </row>
    <row r="5375" spans="1:12" ht="15" customHeight="1" x14ac:dyDescent="0.2">
      <c r="A5375" s="2">
        <v>38252</v>
      </c>
      <c r="B5375" s="3">
        <v>27.940014000000001</v>
      </c>
      <c r="C5375" s="1">
        <v>823070.6</v>
      </c>
      <c r="D5375" s="3">
        <v>-0.32666799999999702</v>
      </c>
      <c r="E5375" s="3">
        <v>-1.15566446744614</v>
      </c>
      <c r="F5375" s="3">
        <v>-1.15566446744614</v>
      </c>
      <c r="G5375" s="3">
        <v>27.940014000000001</v>
      </c>
      <c r="H5375" s="3">
        <v>678.60168446516502</v>
      </c>
      <c r="I5375" s="3">
        <v>28.026679999999999</v>
      </c>
      <c r="J5375" s="3">
        <v>28.086680999999999</v>
      </c>
      <c r="K5375" s="3">
        <v>27.706679999999999</v>
      </c>
      <c r="L5375" s="3">
        <v>678.60168446516502</v>
      </c>
    </row>
    <row r="5376" spans="1:12" ht="15" customHeight="1" x14ac:dyDescent="0.2">
      <c r="A5376" s="2">
        <v>38251</v>
      </c>
      <c r="B5376" s="3">
        <v>28.266681999999999</v>
      </c>
      <c r="C5376" s="1">
        <v>1329536.3999999999</v>
      </c>
      <c r="D5376" s="3">
        <v>0.55333599999999805</v>
      </c>
      <c r="E5376" s="3">
        <v>1.99664089641142</v>
      </c>
      <c r="F5376" s="3">
        <v>1.99664089641142</v>
      </c>
      <c r="G5376" s="3">
        <v>28.266681999999999</v>
      </c>
      <c r="H5376" s="3">
        <v>687.70491022091699</v>
      </c>
      <c r="I5376" s="3">
        <v>27.640013</v>
      </c>
      <c r="J5376" s="3">
        <v>28.666679999999999</v>
      </c>
      <c r="K5376" s="3">
        <v>27.640013</v>
      </c>
      <c r="L5376" s="3">
        <v>687.70491022091699</v>
      </c>
    </row>
    <row r="5377" spans="1:12" ht="15" customHeight="1" x14ac:dyDescent="0.2">
      <c r="A5377" s="2">
        <v>38250</v>
      </c>
      <c r="B5377" s="3">
        <v>27.713346000000001</v>
      </c>
      <c r="C5377" s="1">
        <v>708146.66999999899</v>
      </c>
      <c r="D5377" s="3">
        <v>-0.246665999999997</v>
      </c>
      <c r="E5377" s="3">
        <v>-0.88220992179830404</v>
      </c>
      <c r="F5377" s="3">
        <v>-0.88220992179830404</v>
      </c>
      <c r="G5377" s="3">
        <v>27.713346000000001</v>
      </c>
      <c r="H5377" s="3">
        <v>672.28514909713101</v>
      </c>
      <c r="I5377" s="3">
        <v>27.846684</v>
      </c>
      <c r="J5377" s="3">
        <v>27.933347999999999</v>
      </c>
      <c r="K5377" s="3">
        <v>27.593346</v>
      </c>
      <c r="L5377" s="3">
        <v>672.28514909713101</v>
      </c>
    </row>
    <row r="5378" spans="1:12" ht="15" customHeight="1" x14ac:dyDescent="0.2">
      <c r="A5378" s="2">
        <v>38247</v>
      </c>
      <c r="B5378" s="3">
        <v>27.960011999999999</v>
      </c>
      <c r="C5378" s="1">
        <v>676669.2</v>
      </c>
      <c r="D5378" s="3">
        <v>0.113331999999999</v>
      </c>
      <c r="E5378" s="3">
        <v>0.40698568016006498</v>
      </c>
      <c r="F5378" s="3">
        <v>0.40698568016006498</v>
      </c>
      <c r="G5378" s="3">
        <v>27.960011999999999</v>
      </c>
      <c r="H5378" s="3">
        <v>679.15896680890103</v>
      </c>
      <c r="I5378" s="3">
        <v>27.673345999999999</v>
      </c>
      <c r="J5378" s="3">
        <v>28.266012</v>
      </c>
      <c r="K5378" s="3">
        <v>27.666679999999999</v>
      </c>
      <c r="L5378" s="3">
        <v>679.15896680890103</v>
      </c>
    </row>
    <row r="5379" spans="1:12" ht="15" customHeight="1" x14ac:dyDescent="0.2">
      <c r="A5379" s="2">
        <v>38246</v>
      </c>
      <c r="B5379" s="3">
        <v>27.846679999999999</v>
      </c>
      <c r="C5379" s="1">
        <v>521552.73</v>
      </c>
      <c r="D5379" s="3">
        <v>0.186664999999997</v>
      </c>
      <c r="E5379" s="3">
        <v>0.67485502086674898</v>
      </c>
      <c r="F5379" s="3">
        <v>0.67485502086674898</v>
      </c>
      <c r="G5379" s="3">
        <v>27.846679999999999</v>
      </c>
      <c r="H5379" s="3">
        <v>676.00075485869195</v>
      </c>
      <c r="I5379" s="3">
        <v>27.660015000000001</v>
      </c>
      <c r="J5379" s="3">
        <v>28.120014000000001</v>
      </c>
      <c r="K5379" s="3">
        <v>27.560013000000001</v>
      </c>
      <c r="L5379" s="3">
        <v>676.00075485869195</v>
      </c>
    </row>
    <row r="5380" spans="1:12" ht="15" customHeight="1" x14ac:dyDescent="0.2">
      <c r="A5380" s="2">
        <v>38245</v>
      </c>
      <c r="B5380" s="3">
        <v>27.660015000000001</v>
      </c>
      <c r="C5380" s="1">
        <v>865252.1</v>
      </c>
      <c r="D5380" s="3">
        <v>-2.6664999999997701E-2</v>
      </c>
      <c r="E5380" s="3">
        <v>-9.6309850079523404E-2</v>
      </c>
      <c r="F5380" s="3">
        <v>-9.6309850079523404E-2</v>
      </c>
      <c r="G5380" s="3">
        <v>27.660015000000001</v>
      </c>
      <c r="H5380" s="3">
        <v>670.79897924645695</v>
      </c>
      <c r="I5380" s="3">
        <v>27.546679999999999</v>
      </c>
      <c r="J5380" s="3">
        <v>27.833347</v>
      </c>
      <c r="K5380" s="3">
        <v>27.233345</v>
      </c>
      <c r="L5380" s="3">
        <v>670.79897924645695</v>
      </c>
    </row>
    <row r="5381" spans="1:12" ht="15" customHeight="1" x14ac:dyDescent="0.2">
      <c r="A5381" s="2">
        <v>38244</v>
      </c>
      <c r="B5381" s="3">
        <v>27.686679999999999</v>
      </c>
      <c r="C5381" s="1">
        <v>470794.28</v>
      </c>
      <c r="D5381" s="3">
        <v>-6.6680000000012198E-3</v>
      </c>
      <c r="E5381" s="3">
        <v>-2.40779843592831E-2</v>
      </c>
      <c r="F5381" s="3">
        <v>-2.40779843592831E-2</v>
      </c>
      <c r="G5381" s="3">
        <v>27.686679999999999</v>
      </c>
      <c r="H5381" s="3">
        <v>671.54205023834197</v>
      </c>
      <c r="I5381" s="3">
        <v>27.666679999999999</v>
      </c>
      <c r="J5381" s="3">
        <v>27.920013000000001</v>
      </c>
      <c r="K5381" s="3">
        <v>27.580013000000001</v>
      </c>
      <c r="L5381" s="3">
        <v>671.54205023834197</v>
      </c>
    </row>
    <row r="5382" spans="1:12" ht="15" customHeight="1" x14ac:dyDescent="0.2">
      <c r="A5382" s="2">
        <v>38243</v>
      </c>
      <c r="B5382" s="3">
        <v>27.693348</v>
      </c>
      <c r="C5382" s="1">
        <v>813529.1</v>
      </c>
      <c r="D5382" s="3">
        <v>0.186668</v>
      </c>
      <c r="E5382" s="3">
        <v>0.67862788239074701</v>
      </c>
      <c r="F5382" s="3">
        <v>0.67862788239074701</v>
      </c>
      <c r="G5382" s="3">
        <v>27.693348</v>
      </c>
      <c r="H5382" s="3">
        <v>671.72786675339501</v>
      </c>
      <c r="I5382" s="3">
        <v>27.453346</v>
      </c>
      <c r="J5382" s="3">
        <v>27.826681000000001</v>
      </c>
      <c r="K5382" s="3">
        <v>27.433347999999999</v>
      </c>
      <c r="L5382" s="3">
        <v>671.72786675339501</v>
      </c>
    </row>
    <row r="5383" spans="1:12" ht="15" customHeight="1" x14ac:dyDescent="0.2">
      <c r="A5383" s="2">
        <v>38240</v>
      </c>
      <c r="B5383" s="3">
        <v>27.506679999999999</v>
      </c>
      <c r="C5383" s="1">
        <v>691397.7</v>
      </c>
      <c r="D5383" s="3">
        <v>-0.153335000000002</v>
      </c>
      <c r="E5383" s="3">
        <v>-0.55435617081192001</v>
      </c>
      <c r="F5383" s="3">
        <v>-0.55435617081192001</v>
      </c>
      <c r="G5383" s="3">
        <v>27.506679999999999</v>
      </c>
      <c r="H5383" s="3">
        <v>666.52600754044897</v>
      </c>
      <c r="I5383" s="3">
        <v>27.46668</v>
      </c>
      <c r="J5383" s="3">
        <v>27.653347</v>
      </c>
      <c r="K5383" s="3">
        <v>27.173345999999999</v>
      </c>
      <c r="L5383" s="3">
        <v>666.52600754044897</v>
      </c>
    </row>
    <row r="5384" spans="1:12" ht="15" customHeight="1" x14ac:dyDescent="0.2">
      <c r="A5384" s="2">
        <v>38239</v>
      </c>
      <c r="B5384" s="3">
        <v>27.660015000000001</v>
      </c>
      <c r="C5384" s="1">
        <v>538085.75</v>
      </c>
      <c r="D5384" s="3">
        <v>0.30000100000000102</v>
      </c>
      <c r="E5384" s="3">
        <v>1.09649432196927</v>
      </c>
      <c r="F5384" s="3">
        <v>1.09649432196927</v>
      </c>
      <c r="G5384" s="3">
        <v>27.660015000000001</v>
      </c>
      <c r="H5384" s="3">
        <v>670.79897924645695</v>
      </c>
      <c r="I5384" s="3">
        <v>27.406680999999999</v>
      </c>
      <c r="J5384" s="3">
        <v>27.766681999999999</v>
      </c>
      <c r="K5384" s="3">
        <v>27.333347</v>
      </c>
      <c r="L5384" s="3">
        <v>670.79897924645695</v>
      </c>
    </row>
    <row r="5385" spans="1:12" ht="15" customHeight="1" x14ac:dyDescent="0.2">
      <c r="A5385" s="2">
        <v>38238</v>
      </c>
      <c r="B5385" s="3">
        <v>27.360014</v>
      </c>
      <c r="C5385" s="1">
        <v>798737.6</v>
      </c>
      <c r="D5385" s="3">
        <v>-8.0000000000001806E-2</v>
      </c>
      <c r="E5385" s="3">
        <v>-0.29154504075691301</v>
      </c>
      <c r="F5385" s="3">
        <v>-0.29154504075691301</v>
      </c>
      <c r="G5385" s="3">
        <v>27.360014</v>
      </c>
      <c r="H5385" s="3">
        <v>662.43888021639805</v>
      </c>
      <c r="I5385" s="3">
        <v>27.333347</v>
      </c>
      <c r="J5385" s="3">
        <v>27.833347</v>
      </c>
      <c r="K5385" s="3">
        <v>27.133347000000001</v>
      </c>
      <c r="L5385" s="3">
        <v>662.43888021639805</v>
      </c>
    </row>
    <row r="5386" spans="1:12" ht="15" customHeight="1" x14ac:dyDescent="0.2">
      <c r="A5386" s="2">
        <v>38237</v>
      </c>
      <c r="B5386" s="3">
        <v>27.440014000000001</v>
      </c>
      <c r="C5386" s="1">
        <v>1466337.8</v>
      </c>
      <c r="D5386" s="3">
        <v>-0.493333999999997</v>
      </c>
      <c r="E5386" s="3">
        <v>-1.76611124452391</v>
      </c>
      <c r="F5386" s="3">
        <v>-1.76611124452391</v>
      </c>
      <c r="G5386" s="3">
        <v>27.440014000000001</v>
      </c>
      <c r="H5386" s="3">
        <v>664.66823252657298</v>
      </c>
      <c r="I5386" s="3">
        <v>27.093346</v>
      </c>
      <c r="J5386" s="3">
        <v>27.933347999999999</v>
      </c>
      <c r="K5386" s="3">
        <v>26.98668</v>
      </c>
      <c r="L5386" s="3">
        <v>664.66823252657298</v>
      </c>
    </row>
    <row r="5387" spans="1:12" ht="15" customHeight="1" x14ac:dyDescent="0.2">
      <c r="A5387" s="2">
        <v>38233</v>
      </c>
      <c r="B5387" s="3">
        <v>27.933347999999999</v>
      </c>
      <c r="C5387" s="1">
        <v>419971.3</v>
      </c>
      <c r="D5387" s="3">
        <v>0.16666599999999901</v>
      </c>
      <c r="E5387" s="3">
        <v>0.60023736361440805</v>
      </c>
      <c r="F5387" s="3">
        <v>0.60023736361440805</v>
      </c>
      <c r="G5387" s="3">
        <v>27.933347999999999</v>
      </c>
      <c r="H5387" s="3">
        <v>678.415923683919</v>
      </c>
      <c r="I5387" s="3">
        <v>27.826681000000001</v>
      </c>
      <c r="J5387" s="3">
        <v>28.020012000000001</v>
      </c>
      <c r="K5387" s="3">
        <v>27.680014</v>
      </c>
      <c r="L5387" s="3">
        <v>678.415923683919</v>
      </c>
    </row>
    <row r="5388" spans="1:12" ht="15" customHeight="1" x14ac:dyDescent="0.2">
      <c r="A5388" s="2">
        <v>38232</v>
      </c>
      <c r="B5388" s="3">
        <v>27.766681999999999</v>
      </c>
      <c r="C5388" s="1">
        <v>854971.07</v>
      </c>
      <c r="D5388" s="3">
        <v>-0.23333099999999901</v>
      </c>
      <c r="E5388" s="3">
        <v>-0.83332461309928396</v>
      </c>
      <c r="F5388" s="3">
        <v>-0.83332461309928396</v>
      </c>
      <c r="G5388" s="3">
        <v>27.766681999999999</v>
      </c>
      <c r="H5388" s="3">
        <v>673.77145828232506</v>
      </c>
      <c r="I5388" s="3">
        <v>27.940014000000001</v>
      </c>
      <c r="J5388" s="3">
        <v>28.173345999999999</v>
      </c>
      <c r="K5388" s="3">
        <v>27.273346</v>
      </c>
      <c r="L5388" s="3">
        <v>673.77145828232506</v>
      </c>
    </row>
    <row r="5389" spans="1:12" ht="15" customHeight="1" x14ac:dyDescent="0.2">
      <c r="A5389" s="2">
        <v>38231</v>
      </c>
      <c r="B5389" s="3">
        <v>28.000012999999999</v>
      </c>
      <c r="C5389" s="1">
        <v>582707.76</v>
      </c>
      <c r="D5389" s="3">
        <v>0.41333199999999998</v>
      </c>
      <c r="E5389" s="3">
        <v>1.49830274979436</v>
      </c>
      <c r="F5389" s="3">
        <v>1.49830274979436</v>
      </c>
      <c r="G5389" s="3">
        <v>28.000012999999999</v>
      </c>
      <c r="H5389" s="3">
        <v>680.273670830892</v>
      </c>
      <c r="I5389" s="3">
        <v>27.640013</v>
      </c>
      <c r="J5389" s="3">
        <v>28.000012999999999</v>
      </c>
      <c r="K5389" s="3">
        <v>27.426680000000001</v>
      </c>
      <c r="L5389" s="3">
        <v>680.273670830892</v>
      </c>
    </row>
    <row r="5390" spans="1:12" ht="15" customHeight="1" x14ac:dyDescent="0.2">
      <c r="A5390" s="2">
        <v>38230</v>
      </c>
      <c r="B5390" s="3">
        <v>27.586680999999999</v>
      </c>
      <c r="C5390" s="1">
        <v>570721.25</v>
      </c>
      <c r="D5390" s="3">
        <v>0.38000099999999998</v>
      </c>
      <c r="E5390" s="3">
        <v>1.39671948212718</v>
      </c>
      <c r="F5390" s="3">
        <v>1.39671948212718</v>
      </c>
      <c r="G5390" s="3">
        <v>27.586680999999999</v>
      </c>
      <c r="H5390" s="3">
        <v>668.75538771752804</v>
      </c>
      <c r="I5390" s="3">
        <v>27.266680000000001</v>
      </c>
      <c r="J5390" s="3">
        <v>27.600014000000002</v>
      </c>
      <c r="K5390" s="3">
        <v>27.200012000000001</v>
      </c>
      <c r="L5390" s="3">
        <v>668.75538771752804</v>
      </c>
    </row>
    <row r="5391" spans="1:12" ht="15" customHeight="1" x14ac:dyDescent="0.2">
      <c r="A5391" s="2">
        <v>38229</v>
      </c>
      <c r="B5391" s="3">
        <v>27.206679999999999</v>
      </c>
      <c r="C5391" s="1">
        <v>515594.7</v>
      </c>
      <c r="D5391" s="3">
        <v>-9.3333000000001207E-2</v>
      </c>
      <c r="E5391" s="3">
        <v>-0.34187895807962199</v>
      </c>
      <c r="F5391" s="3">
        <v>-0.34187895807962199</v>
      </c>
      <c r="G5391" s="3">
        <v>27.206679999999999</v>
      </c>
      <c r="H5391" s="3">
        <v>658.16593637729397</v>
      </c>
      <c r="I5391" s="3">
        <v>27.240013000000001</v>
      </c>
      <c r="J5391" s="3">
        <v>27.453346</v>
      </c>
      <c r="K5391" s="3">
        <v>27.166679999999999</v>
      </c>
      <c r="L5391" s="3">
        <v>658.16593637729397</v>
      </c>
    </row>
    <row r="5392" spans="1:12" ht="15" customHeight="1" x14ac:dyDescent="0.2">
      <c r="A5392" s="2">
        <v>38226</v>
      </c>
      <c r="B5392" s="3">
        <v>27.300013</v>
      </c>
      <c r="C5392" s="1">
        <v>487466.77</v>
      </c>
      <c r="D5392" s="3">
        <v>2.0001000000000602E-2</v>
      </c>
      <c r="E5392" s="3">
        <v>7.3317416429286006E-2</v>
      </c>
      <c r="F5392" s="3">
        <v>7.3317416429286006E-2</v>
      </c>
      <c r="G5392" s="3">
        <v>27.300013</v>
      </c>
      <c r="H5392" s="3">
        <v>660.76683811686303</v>
      </c>
      <c r="I5392" s="3">
        <v>27.353345999999998</v>
      </c>
      <c r="J5392" s="3">
        <v>27.426680000000001</v>
      </c>
      <c r="K5392" s="3">
        <v>27.000012999999999</v>
      </c>
      <c r="L5392" s="3">
        <v>660.76683811686303</v>
      </c>
    </row>
    <row r="5393" spans="1:12" ht="15" customHeight="1" x14ac:dyDescent="0.2">
      <c r="A5393" s="2">
        <v>38225</v>
      </c>
      <c r="B5393" s="3">
        <v>27.280011999999999</v>
      </c>
      <c r="C5393" s="1">
        <v>561863.799999999</v>
      </c>
      <c r="D5393" s="3">
        <v>0.23333299999999799</v>
      </c>
      <c r="E5393" s="3">
        <v>0.86270480749226497</v>
      </c>
      <c r="F5393" s="3">
        <v>0.86270480749226497</v>
      </c>
      <c r="G5393" s="3">
        <v>27.280011999999999</v>
      </c>
      <c r="H5393" s="3">
        <v>660.20947217241599</v>
      </c>
      <c r="I5393" s="3">
        <v>26.980013</v>
      </c>
      <c r="J5393" s="3">
        <v>27.493347</v>
      </c>
      <c r="K5393" s="3">
        <v>26.713346000000001</v>
      </c>
      <c r="L5393" s="3">
        <v>660.20947217241599</v>
      </c>
    </row>
    <row r="5394" spans="1:12" ht="15" customHeight="1" x14ac:dyDescent="0.2">
      <c r="A5394" s="2">
        <v>38224</v>
      </c>
      <c r="B5394" s="3">
        <v>27.046679000000001</v>
      </c>
      <c r="C5394" s="1">
        <v>1278540.8999999999</v>
      </c>
      <c r="D5394" s="3">
        <v>-0.17333599999999899</v>
      </c>
      <c r="E5394" s="3">
        <v>-0.63679612226517002</v>
      </c>
      <c r="F5394" s="3">
        <v>-0.63679612226517002</v>
      </c>
      <c r="G5394" s="3">
        <v>27.046679000000001</v>
      </c>
      <c r="H5394" s="3">
        <v>653.707203890041</v>
      </c>
      <c r="I5394" s="3">
        <v>26.940011999999999</v>
      </c>
      <c r="J5394" s="3">
        <v>27.080010999999999</v>
      </c>
      <c r="K5394" s="3">
        <v>26.480013</v>
      </c>
      <c r="L5394" s="3">
        <v>653.707203890041</v>
      </c>
    </row>
    <row r="5395" spans="1:12" ht="15" customHeight="1" x14ac:dyDescent="0.2">
      <c r="A5395" s="2">
        <v>38223</v>
      </c>
      <c r="B5395" s="3">
        <v>27.220015</v>
      </c>
      <c r="C5395" s="1">
        <v>694135.2</v>
      </c>
      <c r="D5395" s="3">
        <v>0.62000099999999803</v>
      </c>
      <c r="E5395" s="3">
        <v>2.33082960031523</v>
      </c>
      <c r="F5395" s="3">
        <v>2.33082960031523</v>
      </c>
      <c r="G5395" s="3">
        <v>27.220015</v>
      </c>
      <c r="H5395" s="3">
        <v>658.53754154049602</v>
      </c>
      <c r="I5395" s="3">
        <v>26.680014</v>
      </c>
      <c r="J5395" s="3">
        <v>27.306678999999999</v>
      </c>
      <c r="K5395" s="3">
        <v>26.680014</v>
      </c>
      <c r="L5395" s="3">
        <v>658.53754154049602</v>
      </c>
    </row>
    <row r="5396" spans="1:12" ht="15" customHeight="1" x14ac:dyDescent="0.2">
      <c r="A5396" s="2">
        <v>38222</v>
      </c>
      <c r="B5396" s="3">
        <v>26.600014000000002</v>
      </c>
      <c r="C5396" s="1">
        <v>476654.8</v>
      </c>
      <c r="D5396" s="3">
        <v>-0.13333099999999801</v>
      </c>
      <c r="E5396" s="3">
        <v>-0.49874417137098997</v>
      </c>
      <c r="F5396" s="3">
        <v>-0.49874417137098997</v>
      </c>
      <c r="G5396" s="3">
        <v>26.600014000000002</v>
      </c>
      <c r="H5396" s="3">
        <v>641.26003326973898</v>
      </c>
      <c r="I5396" s="3">
        <v>26.800013</v>
      </c>
      <c r="J5396" s="3">
        <v>26.980013</v>
      </c>
      <c r="K5396" s="3">
        <v>26.600014000000002</v>
      </c>
      <c r="L5396" s="3">
        <v>641.26003326973898</v>
      </c>
    </row>
    <row r="5397" spans="1:12" ht="15" customHeight="1" x14ac:dyDescent="0.2">
      <c r="A5397" s="2">
        <v>38219</v>
      </c>
      <c r="B5397" s="3">
        <v>26.733345</v>
      </c>
      <c r="C5397" s="1">
        <v>470869.3</v>
      </c>
      <c r="D5397" s="3">
        <v>0.33999800000000102</v>
      </c>
      <c r="E5397" s="3">
        <v>1.28819584723378</v>
      </c>
      <c r="F5397" s="3">
        <v>1.28819584723378</v>
      </c>
      <c r="G5397" s="3">
        <v>26.733345</v>
      </c>
      <c r="H5397" s="3">
        <v>644.97555543058797</v>
      </c>
      <c r="I5397" s="3">
        <v>26.313347</v>
      </c>
      <c r="J5397" s="3">
        <v>26.746680000000001</v>
      </c>
      <c r="K5397" s="3">
        <v>26.266680000000001</v>
      </c>
      <c r="L5397" s="3">
        <v>644.97555543058797</v>
      </c>
    </row>
    <row r="5398" spans="1:12" ht="15" customHeight="1" x14ac:dyDescent="0.2">
      <c r="A5398" s="2">
        <v>38218</v>
      </c>
      <c r="B5398" s="3">
        <v>26.393346999999999</v>
      </c>
      <c r="C5398" s="1">
        <v>463121.8</v>
      </c>
      <c r="D5398" s="3">
        <v>1.33339999999968E-2</v>
      </c>
      <c r="E5398" s="3">
        <v>5.0545843172988797E-2</v>
      </c>
      <c r="F5398" s="3">
        <v>5.0545843172988797E-2</v>
      </c>
      <c r="G5398" s="3">
        <v>26.393346999999999</v>
      </c>
      <c r="H5398" s="3">
        <v>635.50086384615304</v>
      </c>
      <c r="I5398" s="3">
        <v>26.400010999999999</v>
      </c>
      <c r="J5398" s="3">
        <v>26.586680000000001</v>
      </c>
      <c r="K5398" s="3">
        <v>26.246680000000001</v>
      </c>
      <c r="L5398" s="3">
        <v>635.50086384615304</v>
      </c>
    </row>
    <row r="5399" spans="1:12" ht="15" customHeight="1" x14ac:dyDescent="0.2">
      <c r="A5399" s="2">
        <v>38217</v>
      </c>
      <c r="B5399" s="3">
        <v>26.380013000000002</v>
      </c>
      <c r="C5399" s="1">
        <v>1055380</v>
      </c>
      <c r="D5399" s="3">
        <v>4.0001000000000099E-2</v>
      </c>
      <c r="E5399" s="3">
        <v>0.151864015855429</v>
      </c>
      <c r="F5399" s="3">
        <v>0.151864015855429</v>
      </c>
      <c r="G5399" s="3">
        <v>26.380013000000002</v>
      </c>
      <c r="H5399" s="3">
        <v>635.12928654985399</v>
      </c>
      <c r="I5399" s="3">
        <v>26.246680000000001</v>
      </c>
      <c r="J5399" s="3">
        <v>26.533346000000002</v>
      </c>
      <c r="K5399" s="3">
        <v>26.073346999999998</v>
      </c>
      <c r="L5399" s="3">
        <v>635.12928654985399</v>
      </c>
    </row>
    <row r="5400" spans="1:12" ht="15" customHeight="1" x14ac:dyDescent="0.2">
      <c r="A5400" s="2">
        <v>38216</v>
      </c>
      <c r="B5400" s="3">
        <v>26.340012000000002</v>
      </c>
      <c r="C5400" s="1">
        <v>1001843.5</v>
      </c>
      <c r="D5400" s="3">
        <v>0.37333300000000202</v>
      </c>
      <c r="E5400" s="3">
        <v>1.4377387266196</v>
      </c>
      <c r="F5400" s="3">
        <v>1.4377387266196</v>
      </c>
      <c r="G5400" s="3">
        <v>26.340012000000002</v>
      </c>
      <c r="H5400" s="3">
        <v>634.01458252786301</v>
      </c>
      <c r="I5400" s="3">
        <v>25.973344999999998</v>
      </c>
      <c r="J5400" s="3">
        <v>26.553346999999999</v>
      </c>
      <c r="K5400" s="3">
        <v>25.906680000000001</v>
      </c>
      <c r="L5400" s="3">
        <v>634.01458252786301</v>
      </c>
    </row>
    <row r="5401" spans="1:12" ht="15" customHeight="1" x14ac:dyDescent="0.2">
      <c r="A5401" s="2">
        <v>38215</v>
      </c>
      <c r="B5401" s="3">
        <v>25.966678999999999</v>
      </c>
      <c r="C5401" s="1">
        <v>666275.69999999995</v>
      </c>
      <c r="D5401" s="3">
        <v>0.220002</v>
      </c>
      <c r="E5401" s="3">
        <v>0.85448696932812696</v>
      </c>
      <c r="F5401" s="3">
        <v>0.85448696932812696</v>
      </c>
      <c r="G5401" s="3">
        <v>25.966678999999999</v>
      </c>
      <c r="H5401" s="3">
        <v>623.61094770268301</v>
      </c>
      <c r="I5401" s="3">
        <v>25.760012</v>
      </c>
      <c r="J5401" s="3">
        <v>26.066679000000001</v>
      </c>
      <c r="K5401" s="3">
        <v>25.46001</v>
      </c>
      <c r="L5401" s="3">
        <v>623.61094770268301</v>
      </c>
    </row>
    <row r="5402" spans="1:12" ht="15" customHeight="1" x14ac:dyDescent="0.2">
      <c r="A5402" s="2">
        <v>38212</v>
      </c>
      <c r="B5402" s="3">
        <v>25.746676999999998</v>
      </c>
      <c r="C5402" s="1">
        <v>615955.19999999995</v>
      </c>
      <c r="D5402" s="3">
        <v>0.22666499999999701</v>
      </c>
      <c r="E5402" s="3">
        <v>0.88818531903509501</v>
      </c>
      <c r="F5402" s="3">
        <v>0.88818531903509501</v>
      </c>
      <c r="G5402" s="3">
        <v>25.746676999999998</v>
      </c>
      <c r="H5402" s="3">
        <v>617.48017311589501</v>
      </c>
      <c r="I5402" s="3">
        <v>25.613344000000001</v>
      </c>
      <c r="J5402" s="3">
        <v>26.040013999999999</v>
      </c>
      <c r="K5402" s="3">
        <v>25.466678999999999</v>
      </c>
      <c r="L5402" s="3">
        <v>617.48017311589501</v>
      </c>
    </row>
    <row r="5403" spans="1:12" ht="15" customHeight="1" x14ac:dyDescent="0.2">
      <c r="A5403" s="2">
        <v>38211</v>
      </c>
      <c r="B5403" s="3">
        <v>25.520012000000001</v>
      </c>
      <c r="C5403" s="1">
        <v>920924.56</v>
      </c>
      <c r="D5403" s="3">
        <v>-0.84666599999999903</v>
      </c>
      <c r="E5403" s="3">
        <v>-3.2111212493284</v>
      </c>
      <c r="F5403" s="3">
        <v>-3.2111212493284</v>
      </c>
      <c r="G5403" s="3">
        <v>25.520012000000001</v>
      </c>
      <c r="H5403" s="3">
        <v>611.16372134857295</v>
      </c>
      <c r="I5403" s="3">
        <v>26.380013000000002</v>
      </c>
      <c r="J5403" s="3">
        <v>26.440011999999999</v>
      </c>
      <c r="K5403" s="3">
        <v>25.433346</v>
      </c>
      <c r="L5403" s="3">
        <v>611.16372134857295</v>
      </c>
    </row>
    <row r="5404" spans="1:12" ht="15" customHeight="1" x14ac:dyDescent="0.2">
      <c r="A5404" s="2">
        <v>38210</v>
      </c>
      <c r="B5404" s="3">
        <v>26.366678</v>
      </c>
      <c r="C5404" s="1">
        <v>1457631.7</v>
      </c>
      <c r="D5404" s="3">
        <v>-0.20666899999999799</v>
      </c>
      <c r="E5404" s="3">
        <v>-0.77773040784060399</v>
      </c>
      <c r="F5404" s="3">
        <v>-0.77773040784060399</v>
      </c>
      <c r="G5404" s="3">
        <v>26.366678</v>
      </c>
      <c r="H5404" s="3">
        <v>634.75768138665205</v>
      </c>
      <c r="I5404" s="3">
        <v>26.206682000000001</v>
      </c>
      <c r="J5404" s="3">
        <v>26.526679999999999</v>
      </c>
      <c r="K5404" s="3">
        <v>25.833345000000001</v>
      </c>
      <c r="L5404" s="3">
        <v>634.75768138665205</v>
      </c>
    </row>
    <row r="5405" spans="1:12" ht="15" customHeight="1" x14ac:dyDescent="0.2">
      <c r="A5405" s="2">
        <v>38209</v>
      </c>
      <c r="B5405" s="3">
        <v>26.573346999999998</v>
      </c>
      <c r="C5405" s="1">
        <v>968759.6</v>
      </c>
      <c r="D5405" s="3">
        <v>0.900002999999998</v>
      </c>
      <c r="E5405" s="3">
        <v>3.5055931942484699</v>
      </c>
      <c r="F5405" s="3">
        <v>3.5055931942484699</v>
      </c>
      <c r="G5405" s="3">
        <v>26.573346999999998</v>
      </c>
      <c r="H5405" s="3">
        <v>640.51690654404604</v>
      </c>
      <c r="I5405" s="3">
        <v>25.753344999999999</v>
      </c>
      <c r="J5405" s="3">
        <v>26.693345999999998</v>
      </c>
      <c r="K5405" s="3">
        <v>25.580010999999999</v>
      </c>
      <c r="L5405" s="3">
        <v>640.51690654404604</v>
      </c>
    </row>
    <row r="5406" spans="1:12" ht="15" customHeight="1" x14ac:dyDescent="0.2">
      <c r="A5406" s="2">
        <v>38208</v>
      </c>
      <c r="B5406" s="3">
        <v>25.673344</v>
      </c>
      <c r="C5406" s="1">
        <v>490315.27999999898</v>
      </c>
      <c r="D5406" s="3">
        <v>-0.160001000000001</v>
      </c>
      <c r="E5406" s="3">
        <v>-0.61935842996716495</v>
      </c>
      <c r="F5406" s="3">
        <v>-0.61935842996716495</v>
      </c>
      <c r="G5406" s="3">
        <v>25.673344</v>
      </c>
      <c r="H5406" s="3">
        <v>615.43660945386898</v>
      </c>
      <c r="I5406" s="3">
        <v>25.913347000000002</v>
      </c>
      <c r="J5406" s="3">
        <v>26.206679999999999</v>
      </c>
      <c r="K5406" s="3">
        <v>25.633347000000001</v>
      </c>
      <c r="L5406" s="3">
        <v>615.43660945386898</v>
      </c>
    </row>
    <row r="5407" spans="1:12" ht="15" customHeight="1" x14ac:dyDescent="0.2">
      <c r="A5407" s="2">
        <v>38205</v>
      </c>
      <c r="B5407" s="3">
        <v>25.833345000000001</v>
      </c>
      <c r="C5407" s="1">
        <v>1362062.4</v>
      </c>
      <c r="D5407" s="3">
        <v>-0.26666899999999999</v>
      </c>
      <c r="E5407" s="3">
        <v>-1.0217197584644999</v>
      </c>
      <c r="F5407" s="3">
        <v>-1.0217197584644999</v>
      </c>
      <c r="G5407" s="3">
        <v>25.833345000000001</v>
      </c>
      <c r="H5407" s="3">
        <v>619.89534194112196</v>
      </c>
      <c r="I5407" s="3">
        <v>26.040013999999999</v>
      </c>
      <c r="J5407" s="3">
        <v>26.066679000000001</v>
      </c>
      <c r="K5407" s="3">
        <v>25.633347000000001</v>
      </c>
      <c r="L5407" s="3">
        <v>619.89534194112196</v>
      </c>
    </row>
    <row r="5408" spans="1:12" ht="15" customHeight="1" x14ac:dyDescent="0.2">
      <c r="A5408" s="2">
        <v>38204</v>
      </c>
      <c r="B5408" s="3">
        <v>26.100014000000002</v>
      </c>
      <c r="C5408" s="1">
        <v>1095940</v>
      </c>
      <c r="D5408" s="3">
        <v>-0.753331999999996</v>
      </c>
      <c r="E5408" s="3">
        <v>-2.8053561742361501</v>
      </c>
      <c r="F5408" s="3">
        <v>-2.8053561742361501</v>
      </c>
      <c r="G5408" s="3">
        <v>26.100014000000002</v>
      </c>
      <c r="H5408" s="3">
        <v>627.32658133114705</v>
      </c>
      <c r="I5408" s="3">
        <v>26.893346999999999</v>
      </c>
      <c r="J5408" s="3">
        <v>26.946677999999999</v>
      </c>
      <c r="K5408" s="3">
        <v>26.100014000000002</v>
      </c>
      <c r="L5408" s="3">
        <v>627.32658133114705</v>
      </c>
    </row>
    <row r="5409" spans="1:12" ht="15" customHeight="1" x14ac:dyDescent="0.2">
      <c r="A5409" s="2">
        <v>38203</v>
      </c>
      <c r="B5409" s="3">
        <v>26.853345999999998</v>
      </c>
      <c r="C5409" s="1">
        <v>732463.13</v>
      </c>
      <c r="D5409" s="3">
        <v>-0.39333400000000202</v>
      </c>
      <c r="E5409" s="3">
        <v>-1.44360340415787</v>
      </c>
      <c r="F5409" s="3">
        <v>-1.44360340415787</v>
      </c>
      <c r="G5409" s="3">
        <v>26.853345999999998</v>
      </c>
      <c r="H5409" s="3">
        <v>648.31961176275297</v>
      </c>
      <c r="I5409" s="3">
        <v>27.186678000000001</v>
      </c>
      <c r="J5409" s="3">
        <v>27.246680000000001</v>
      </c>
      <c r="K5409" s="3">
        <v>26.706679999999999</v>
      </c>
      <c r="L5409" s="3">
        <v>648.31961176275297</v>
      </c>
    </row>
    <row r="5410" spans="1:12" ht="15" customHeight="1" x14ac:dyDescent="0.2">
      <c r="A5410" s="2">
        <v>38202</v>
      </c>
      <c r="B5410" s="3">
        <v>27.246680000000001</v>
      </c>
      <c r="C5410" s="1">
        <v>785695.1</v>
      </c>
      <c r="D5410" s="3">
        <v>-0.68666799999999695</v>
      </c>
      <c r="E5410" s="3">
        <v>-2.4582373727631799</v>
      </c>
      <c r="F5410" s="3">
        <v>-2.4582373727631799</v>
      </c>
      <c r="G5410" s="3">
        <v>27.246680000000001</v>
      </c>
      <c r="H5410" s="3">
        <v>659.28061253238195</v>
      </c>
      <c r="I5410" s="3">
        <v>27.980015000000002</v>
      </c>
      <c r="J5410" s="3">
        <v>27.980015000000002</v>
      </c>
      <c r="K5410" s="3">
        <v>27.14668</v>
      </c>
      <c r="L5410" s="3">
        <v>659.28061253238195</v>
      </c>
    </row>
    <row r="5411" spans="1:12" ht="15" customHeight="1" x14ac:dyDescent="0.2">
      <c r="A5411" s="2">
        <v>38201</v>
      </c>
      <c r="B5411" s="3">
        <v>27.933347999999999</v>
      </c>
      <c r="C5411" s="1">
        <v>567910.30000000005</v>
      </c>
      <c r="D5411" s="3">
        <v>8.6667999999999495E-2</v>
      </c>
      <c r="E5411" s="3">
        <v>0.31123279328091302</v>
      </c>
      <c r="F5411" s="3">
        <v>0.31123279328091302</v>
      </c>
      <c r="G5411" s="3">
        <v>27.933347999999999</v>
      </c>
      <c r="H5411" s="3">
        <v>678.415923683919</v>
      </c>
      <c r="I5411" s="3">
        <v>27.520012000000001</v>
      </c>
      <c r="J5411" s="3">
        <v>28.026679999999999</v>
      </c>
      <c r="K5411" s="3">
        <v>27.520012000000001</v>
      </c>
      <c r="L5411" s="3">
        <v>678.415923683919</v>
      </c>
    </row>
    <row r="5412" spans="1:12" ht="15" customHeight="1" x14ac:dyDescent="0.2">
      <c r="A5412" s="2">
        <v>38198</v>
      </c>
      <c r="B5412" s="3">
        <v>27.846679999999999</v>
      </c>
      <c r="C5412" s="1">
        <v>826537.1</v>
      </c>
      <c r="D5412" s="3">
        <v>-8.0000000000001806E-2</v>
      </c>
      <c r="E5412" s="3">
        <v>-0.28646441324211502</v>
      </c>
      <c r="F5412" s="3">
        <v>-0.28646441324211502</v>
      </c>
      <c r="G5412" s="3">
        <v>27.846679999999999</v>
      </c>
      <c r="H5412" s="3">
        <v>676.00075485869195</v>
      </c>
      <c r="I5412" s="3">
        <v>27.920017000000001</v>
      </c>
      <c r="J5412" s="3">
        <v>27.960011999999999</v>
      </c>
      <c r="K5412" s="3">
        <v>27.546679999999999</v>
      </c>
      <c r="L5412" s="3">
        <v>676.00075485869195</v>
      </c>
    </row>
    <row r="5413" spans="1:12" ht="15" customHeight="1" x14ac:dyDescent="0.2">
      <c r="A5413" s="2">
        <v>38197</v>
      </c>
      <c r="B5413" s="3">
        <v>27.926680000000001</v>
      </c>
      <c r="C5413" s="1">
        <v>436985.77999999898</v>
      </c>
      <c r="D5413" s="3">
        <v>1.33350000000014E-2</v>
      </c>
      <c r="E5413" s="3">
        <v>4.7772848435045902E-2</v>
      </c>
      <c r="F5413" s="3">
        <v>4.7772848435045902E-2</v>
      </c>
      <c r="G5413" s="3">
        <v>27.926680000000001</v>
      </c>
      <c r="H5413" s="3">
        <v>678.23010716886597</v>
      </c>
      <c r="I5413" s="3">
        <v>27.960011999999999</v>
      </c>
      <c r="J5413" s="3">
        <v>28.046679999999999</v>
      </c>
      <c r="K5413" s="3">
        <v>27.666679999999999</v>
      </c>
      <c r="L5413" s="3">
        <v>678.23010716886597</v>
      </c>
    </row>
    <row r="5414" spans="1:12" ht="15" customHeight="1" x14ac:dyDescent="0.2">
      <c r="A5414" s="2">
        <v>38196</v>
      </c>
      <c r="B5414" s="3">
        <v>27.913345</v>
      </c>
      <c r="C5414" s="1">
        <v>584227.23</v>
      </c>
      <c r="D5414" s="3">
        <v>-0.22666800000000001</v>
      </c>
      <c r="E5414" s="3">
        <v>-0.80550069397622404</v>
      </c>
      <c r="F5414" s="3">
        <v>-0.80550069397622404</v>
      </c>
      <c r="G5414" s="3">
        <v>27.913345</v>
      </c>
      <c r="H5414" s="3">
        <v>677.85850200566404</v>
      </c>
      <c r="I5414" s="3">
        <v>28.233345</v>
      </c>
      <c r="J5414" s="3">
        <v>28.233345</v>
      </c>
      <c r="K5414" s="3">
        <v>27.640013</v>
      </c>
      <c r="L5414" s="3">
        <v>677.85850200566404</v>
      </c>
    </row>
    <row r="5415" spans="1:12" ht="15" customHeight="1" x14ac:dyDescent="0.2">
      <c r="A5415" s="2">
        <v>38195</v>
      </c>
      <c r="B5415" s="3">
        <v>28.140013</v>
      </c>
      <c r="C5415" s="1">
        <v>1006618</v>
      </c>
      <c r="D5415" s="3">
        <v>0.71999999999999797</v>
      </c>
      <c r="E5415" s="3">
        <v>2.6258193240097998</v>
      </c>
      <c r="F5415" s="3">
        <v>2.6258193240097998</v>
      </c>
      <c r="G5415" s="3">
        <v>28.140013</v>
      </c>
      <c r="H5415" s="3">
        <v>684.17503737369805</v>
      </c>
      <c r="I5415" s="3">
        <v>27.546679999999999</v>
      </c>
      <c r="J5415" s="3">
        <v>28.306678999999999</v>
      </c>
      <c r="K5415" s="3">
        <v>27.420013000000001</v>
      </c>
      <c r="L5415" s="3">
        <v>684.17503737369805</v>
      </c>
    </row>
    <row r="5416" spans="1:12" ht="15" customHeight="1" x14ac:dyDescent="0.2">
      <c r="A5416" s="2">
        <v>38194</v>
      </c>
      <c r="B5416" s="3">
        <v>27.420013000000001</v>
      </c>
      <c r="C5416" s="1">
        <v>684244.2</v>
      </c>
      <c r="D5416" s="3">
        <v>-2.0001000000000602E-2</v>
      </c>
      <c r="E5416" s="3">
        <v>-7.2889904502237896E-2</v>
      </c>
      <c r="F5416" s="3">
        <v>-7.2889904502237896E-2</v>
      </c>
      <c r="G5416" s="3">
        <v>27.420013000000001</v>
      </c>
      <c r="H5416" s="3">
        <v>664.11086658212503</v>
      </c>
      <c r="I5416" s="3">
        <v>27.453346</v>
      </c>
      <c r="J5416" s="3">
        <v>27.820012999999999</v>
      </c>
      <c r="K5416" s="3">
        <v>27.300013</v>
      </c>
      <c r="L5416" s="3">
        <v>664.11086658212503</v>
      </c>
    </row>
    <row r="5417" spans="1:12" ht="15" customHeight="1" x14ac:dyDescent="0.2">
      <c r="A5417" s="2">
        <v>38191</v>
      </c>
      <c r="B5417" s="3">
        <v>27.440014000000001</v>
      </c>
      <c r="C5417" s="1">
        <v>862334.53</v>
      </c>
      <c r="D5417" s="3">
        <v>-0.27333199999999902</v>
      </c>
      <c r="E5417" s="3">
        <v>-0.986282926644799</v>
      </c>
      <c r="F5417" s="3">
        <v>-0.986282926644799</v>
      </c>
      <c r="G5417" s="3">
        <v>27.440014000000001</v>
      </c>
      <c r="H5417" s="3">
        <v>664.66823252657298</v>
      </c>
      <c r="I5417" s="3">
        <v>27.706683999999999</v>
      </c>
      <c r="J5417" s="3">
        <v>27.793346</v>
      </c>
      <c r="K5417" s="3">
        <v>27.213346000000001</v>
      </c>
      <c r="L5417" s="3">
        <v>664.66823252657298</v>
      </c>
    </row>
    <row r="5418" spans="1:12" ht="15" customHeight="1" x14ac:dyDescent="0.2">
      <c r="A5418" s="2">
        <v>38190</v>
      </c>
      <c r="B5418" s="3">
        <v>27.713346000000001</v>
      </c>
      <c r="C5418" s="1">
        <v>850882.14</v>
      </c>
      <c r="D5418" s="3">
        <v>0.13999900000000301</v>
      </c>
      <c r="E5418" s="3">
        <v>0.50773306555784703</v>
      </c>
      <c r="F5418" s="3">
        <v>0.50773306555784703</v>
      </c>
      <c r="G5418" s="3">
        <v>27.713346000000001</v>
      </c>
      <c r="H5418" s="3">
        <v>672.28514909713101</v>
      </c>
      <c r="I5418" s="3">
        <v>27.560016999999998</v>
      </c>
      <c r="J5418" s="3">
        <v>27.96668</v>
      </c>
      <c r="K5418" s="3">
        <v>27.026679999999999</v>
      </c>
      <c r="L5418" s="3">
        <v>672.28514909713101</v>
      </c>
    </row>
    <row r="5419" spans="1:12" ht="15" customHeight="1" x14ac:dyDescent="0.2">
      <c r="A5419" s="2">
        <v>38189</v>
      </c>
      <c r="B5419" s="3">
        <v>27.573346999999998</v>
      </c>
      <c r="C5419" s="1">
        <v>3626764.2</v>
      </c>
      <c r="D5419" s="3">
        <v>0.51333399999999596</v>
      </c>
      <c r="E5419" s="3">
        <v>1.89702052249567</v>
      </c>
      <c r="F5419" s="3">
        <v>1.89702052249567</v>
      </c>
      <c r="G5419" s="3">
        <v>27.573346999999998</v>
      </c>
      <c r="H5419" s="3">
        <v>668.38381042123001</v>
      </c>
      <c r="I5419" s="3">
        <v>27.120011999999999</v>
      </c>
      <c r="J5419" s="3">
        <v>28.280011999999999</v>
      </c>
      <c r="K5419" s="3">
        <v>27.120011999999999</v>
      </c>
      <c r="L5419" s="3">
        <v>668.38381042123001</v>
      </c>
    </row>
    <row r="5420" spans="1:12" ht="15" customHeight="1" x14ac:dyDescent="0.2">
      <c r="A5420" s="2">
        <v>38188</v>
      </c>
      <c r="B5420" s="3">
        <v>27.060013000000001</v>
      </c>
      <c r="C5420" s="1">
        <v>2147364.5</v>
      </c>
      <c r="D5420" s="3">
        <v>0.32</v>
      </c>
      <c r="E5420" s="3">
        <v>1.1967084683167399</v>
      </c>
      <c r="F5420" s="3">
        <v>1.1967084683167399</v>
      </c>
      <c r="G5420" s="3">
        <v>27.060013000000001</v>
      </c>
      <c r="H5420" s="3">
        <v>654.07878118633903</v>
      </c>
      <c r="I5420" s="3">
        <v>26.64668</v>
      </c>
      <c r="J5420" s="3">
        <v>27.306678999999999</v>
      </c>
      <c r="K5420" s="3">
        <v>26.635429999999999</v>
      </c>
      <c r="L5420" s="3">
        <v>654.07878118633903</v>
      </c>
    </row>
    <row r="5421" spans="1:12" ht="15" customHeight="1" x14ac:dyDescent="0.2">
      <c r="A5421" s="2">
        <v>38187</v>
      </c>
      <c r="B5421" s="3">
        <v>26.740013000000001</v>
      </c>
      <c r="C5421" s="1">
        <v>2017029.5</v>
      </c>
      <c r="D5421" s="3">
        <v>-1.3334000000000399E-2</v>
      </c>
      <c r="E5421" s="3">
        <v>-4.9840492854968901E-2</v>
      </c>
      <c r="F5421" s="3">
        <v>-4.9840492854968901E-2</v>
      </c>
      <c r="G5421" s="3">
        <v>26.740013000000001</v>
      </c>
      <c r="H5421" s="3">
        <v>645.16137194564101</v>
      </c>
      <c r="I5421" s="3">
        <v>26.880013000000002</v>
      </c>
      <c r="J5421" s="3">
        <v>27.273346</v>
      </c>
      <c r="K5421" s="3">
        <v>26.726679000000001</v>
      </c>
      <c r="L5421" s="3">
        <v>645.16137194564101</v>
      </c>
    </row>
    <row r="5422" spans="1:12" ht="15" customHeight="1" x14ac:dyDescent="0.2">
      <c r="A5422" s="2">
        <v>38184</v>
      </c>
      <c r="B5422" s="3">
        <v>26.753347000000002</v>
      </c>
      <c r="C5422" s="1">
        <v>1805135.0999999901</v>
      </c>
      <c r="D5422" s="3">
        <v>-1.3066659999999899</v>
      </c>
      <c r="E5422" s="3">
        <v>-4.6566835161480498</v>
      </c>
      <c r="F5422" s="3">
        <v>-4.6566835161480498</v>
      </c>
      <c r="G5422" s="3">
        <v>26.753347000000002</v>
      </c>
      <c r="H5422" s="3">
        <v>645.53294924193904</v>
      </c>
      <c r="I5422" s="3">
        <v>28.233345</v>
      </c>
      <c r="J5422" s="3">
        <v>28.240013000000001</v>
      </c>
      <c r="K5422" s="3">
        <v>26.746680000000001</v>
      </c>
      <c r="L5422" s="3">
        <v>645.53294924193904</v>
      </c>
    </row>
    <row r="5423" spans="1:12" ht="15" customHeight="1" x14ac:dyDescent="0.2">
      <c r="A5423" s="2">
        <v>38183</v>
      </c>
      <c r="B5423" s="3">
        <v>28.060013000000001</v>
      </c>
      <c r="C5423" s="1">
        <v>1306436.3999999999</v>
      </c>
      <c r="D5423" s="3">
        <v>1.3866670000000001</v>
      </c>
      <c r="E5423" s="3">
        <v>5.1986991058414702</v>
      </c>
      <c r="F5423" s="3">
        <v>5.1986991058414702</v>
      </c>
      <c r="G5423" s="3">
        <v>28.060013000000001</v>
      </c>
      <c r="H5423" s="3">
        <v>681.945685063523</v>
      </c>
      <c r="I5423" s="3">
        <v>26.653345000000002</v>
      </c>
      <c r="J5423" s="3">
        <v>28.133347000000001</v>
      </c>
      <c r="K5423" s="3">
        <v>26.606680000000001</v>
      </c>
      <c r="L5423" s="3">
        <v>681.945685063523</v>
      </c>
    </row>
    <row r="5424" spans="1:12" ht="15" customHeight="1" x14ac:dyDescent="0.2">
      <c r="A5424" s="2">
        <v>38182</v>
      </c>
      <c r="B5424" s="3">
        <v>26.673345999999999</v>
      </c>
      <c r="C5424" s="1">
        <v>738784.1</v>
      </c>
      <c r="D5424" s="3">
        <v>0.13333199999999901</v>
      </c>
      <c r="E5424" s="3">
        <v>0.50238104621949098</v>
      </c>
      <c r="F5424" s="3">
        <v>0.50238104621949098</v>
      </c>
      <c r="G5424" s="3">
        <v>26.673345999999999</v>
      </c>
      <c r="H5424" s="3">
        <v>643.30356906485997</v>
      </c>
      <c r="I5424" s="3">
        <v>26.433347999999999</v>
      </c>
      <c r="J5424" s="3">
        <v>27.433347999999999</v>
      </c>
      <c r="K5424" s="3">
        <v>26.340012000000002</v>
      </c>
      <c r="L5424" s="3">
        <v>643.30356906485997</v>
      </c>
    </row>
    <row r="5425" spans="1:12" ht="15" customHeight="1" x14ac:dyDescent="0.2">
      <c r="A5425" s="2">
        <v>38181</v>
      </c>
      <c r="B5425" s="3">
        <v>26.540013999999999</v>
      </c>
      <c r="C5425" s="1">
        <v>469474.27</v>
      </c>
      <c r="D5425" s="3">
        <v>-0.13333199999999901</v>
      </c>
      <c r="E5425" s="3">
        <v>-0.49986979511306101</v>
      </c>
      <c r="F5425" s="3">
        <v>-0.49986979511306101</v>
      </c>
      <c r="G5425" s="3">
        <v>26.540013999999999</v>
      </c>
      <c r="H5425" s="3">
        <v>639.58801903710798</v>
      </c>
      <c r="I5425" s="3">
        <v>26.693345999999998</v>
      </c>
      <c r="J5425" s="3">
        <v>26.833345000000001</v>
      </c>
      <c r="K5425" s="3">
        <v>26.46668</v>
      </c>
      <c r="L5425" s="3">
        <v>639.58801903710798</v>
      </c>
    </row>
    <row r="5426" spans="1:12" ht="15" customHeight="1" x14ac:dyDescent="0.2">
      <c r="A5426" s="2">
        <v>38180</v>
      </c>
      <c r="B5426" s="3">
        <v>26.673345999999999</v>
      </c>
      <c r="C5426" s="1">
        <v>540689.76</v>
      </c>
      <c r="D5426" s="3">
        <v>0.20000100000000001</v>
      </c>
      <c r="E5426" s="3">
        <v>0.75548065422030797</v>
      </c>
      <c r="F5426" s="3">
        <v>0.75548065422030797</v>
      </c>
      <c r="G5426" s="3">
        <v>26.673345999999999</v>
      </c>
      <c r="H5426" s="3">
        <v>643.30356906485997</v>
      </c>
      <c r="I5426" s="3">
        <v>26.380013000000002</v>
      </c>
      <c r="J5426" s="3">
        <v>26.720015</v>
      </c>
      <c r="K5426" s="3">
        <v>26.153345000000002</v>
      </c>
      <c r="L5426" s="3">
        <v>643.30356906485997</v>
      </c>
    </row>
    <row r="5427" spans="1:12" ht="15" customHeight="1" x14ac:dyDescent="0.2">
      <c r="A5427" s="2">
        <v>38177</v>
      </c>
      <c r="B5427" s="3">
        <v>26.473344999999998</v>
      </c>
      <c r="C5427" s="1">
        <v>422192.8</v>
      </c>
      <c r="D5427" s="3">
        <v>0.39999800000000002</v>
      </c>
      <c r="E5427" s="3">
        <v>1.5341260176531899</v>
      </c>
      <c r="F5427" s="3">
        <v>1.5341260176531899</v>
      </c>
      <c r="G5427" s="3">
        <v>26.473344999999998</v>
      </c>
      <c r="H5427" s="3">
        <v>637.73016042252004</v>
      </c>
      <c r="I5427" s="3">
        <v>26.026679999999999</v>
      </c>
      <c r="J5427" s="3">
        <v>26.500012999999999</v>
      </c>
      <c r="K5427" s="3">
        <v>26.026679999999999</v>
      </c>
      <c r="L5427" s="3">
        <v>637.73016042252004</v>
      </c>
    </row>
    <row r="5428" spans="1:12" ht="15" customHeight="1" x14ac:dyDescent="0.2">
      <c r="A5428" s="2">
        <v>38176</v>
      </c>
      <c r="B5428" s="3">
        <v>26.073346999999998</v>
      </c>
      <c r="C5428" s="1">
        <v>547697.75</v>
      </c>
      <c r="D5428" s="3">
        <v>4.0000999999996602E-2</v>
      </c>
      <c r="E5428" s="3">
        <v>0.15365293420215301</v>
      </c>
      <c r="F5428" s="3">
        <v>0.15365293420215301</v>
      </c>
      <c r="G5428" s="3">
        <v>26.073346999999998</v>
      </c>
      <c r="H5428" s="3">
        <v>626.58345460545399</v>
      </c>
      <c r="I5428" s="3">
        <v>25.980013</v>
      </c>
      <c r="J5428" s="3">
        <v>26.266680000000001</v>
      </c>
      <c r="K5428" s="3">
        <v>25.880013000000002</v>
      </c>
      <c r="L5428" s="3">
        <v>626.58345460545399</v>
      </c>
    </row>
    <row r="5429" spans="1:12" ht="15" customHeight="1" x14ac:dyDescent="0.2">
      <c r="A5429" s="2">
        <v>38175</v>
      </c>
      <c r="B5429" s="3">
        <v>26.033346000000002</v>
      </c>
      <c r="C5429" s="1">
        <v>1174190.5999999901</v>
      </c>
      <c r="D5429" s="3">
        <v>0.51333399999999996</v>
      </c>
      <c r="E5429" s="3">
        <v>2.0114959193592901</v>
      </c>
      <c r="F5429" s="3">
        <v>2.0114959193592901</v>
      </c>
      <c r="G5429" s="3">
        <v>26.033346000000002</v>
      </c>
      <c r="H5429" s="3">
        <v>625.46875058346302</v>
      </c>
      <c r="I5429" s="3">
        <v>25.700013999999999</v>
      </c>
      <c r="J5429" s="3">
        <v>26.500012999999999</v>
      </c>
      <c r="K5429" s="3">
        <v>25.566676999999999</v>
      </c>
      <c r="L5429" s="3">
        <v>625.46875058346302</v>
      </c>
    </row>
    <row r="5430" spans="1:12" ht="15" customHeight="1" x14ac:dyDescent="0.2">
      <c r="A5430" s="2">
        <v>38174</v>
      </c>
      <c r="B5430" s="3">
        <v>25.520012000000001</v>
      </c>
      <c r="C5430" s="1">
        <v>1062967</v>
      </c>
      <c r="D5430" s="3">
        <v>-0.32666799999999702</v>
      </c>
      <c r="E5430" s="3">
        <v>-1.26386831887111</v>
      </c>
      <c r="F5430" s="3">
        <v>-1.26386831887111</v>
      </c>
      <c r="G5430" s="3">
        <v>25.520012000000001</v>
      </c>
      <c r="H5430" s="3">
        <v>611.16372134857295</v>
      </c>
      <c r="I5430" s="3">
        <v>25.880013000000002</v>
      </c>
      <c r="J5430" s="3">
        <v>25.880013000000002</v>
      </c>
      <c r="K5430" s="3">
        <v>25.180012000000001</v>
      </c>
      <c r="L5430" s="3">
        <v>611.16372134857295</v>
      </c>
    </row>
    <row r="5431" spans="1:12" ht="15" customHeight="1" x14ac:dyDescent="0.2">
      <c r="A5431" s="2">
        <v>38170</v>
      </c>
      <c r="B5431" s="3">
        <v>25.846679999999999</v>
      </c>
      <c r="C5431" s="1">
        <v>397310.82</v>
      </c>
      <c r="D5431" s="3">
        <v>-0.31333299999999997</v>
      </c>
      <c r="E5431" s="3">
        <v>-1.1977555209930399</v>
      </c>
      <c r="F5431" s="3">
        <v>-1.1977555209930399</v>
      </c>
      <c r="G5431" s="3">
        <v>25.846679999999999</v>
      </c>
      <c r="H5431" s="3">
        <v>620.266947104324</v>
      </c>
      <c r="I5431" s="3">
        <v>26.140013</v>
      </c>
      <c r="J5431" s="3">
        <v>26.260012</v>
      </c>
      <c r="K5431" s="3">
        <v>25.833345000000001</v>
      </c>
      <c r="L5431" s="3">
        <v>620.266947104324</v>
      </c>
    </row>
    <row r="5432" spans="1:12" ht="15" customHeight="1" x14ac:dyDescent="0.2">
      <c r="A5432" s="2">
        <v>38169</v>
      </c>
      <c r="B5432" s="3">
        <v>26.160012999999999</v>
      </c>
      <c r="C5432" s="1">
        <v>785254.15</v>
      </c>
      <c r="D5432" s="3">
        <v>-0.36666699999999902</v>
      </c>
      <c r="E5432" s="3">
        <v>-1.3822574102752301</v>
      </c>
      <c r="F5432" s="3">
        <v>-1.3822574102752301</v>
      </c>
      <c r="G5432" s="3">
        <v>26.160012999999999</v>
      </c>
      <c r="H5432" s="3">
        <v>628.99856769687403</v>
      </c>
      <c r="I5432" s="3">
        <v>26.440011999999999</v>
      </c>
      <c r="J5432" s="3">
        <v>26.640013</v>
      </c>
      <c r="K5432" s="3">
        <v>26.14668</v>
      </c>
      <c r="L5432" s="3">
        <v>628.99856769687403</v>
      </c>
    </row>
    <row r="5433" spans="1:12" ht="15" customHeight="1" x14ac:dyDescent="0.2">
      <c r="A5433" s="2">
        <v>38168</v>
      </c>
      <c r="B5433" s="3">
        <v>26.526679999999999</v>
      </c>
      <c r="C5433" s="1">
        <v>1440050.4</v>
      </c>
      <c r="D5433" s="3">
        <v>0.126668999999999</v>
      </c>
      <c r="E5433" s="3">
        <v>0.47980661826239002</v>
      </c>
      <c r="F5433" s="3">
        <v>0.47980661826239002</v>
      </c>
      <c r="G5433" s="3">
        <v>26.526679999999999</v>
      </c>
      <c r="H5433" s="3">
        <v>639.21644174080905</v>
      </c>
      <c r="I5433" s="3">
        <v>26.526679999999999</v>
      </c>
      <c r="J5433" s="3">
        <v>26.593346</v>
      </c>
      <c r="K5433" s="3">
        <v>25.893345</v>
      </c>
      <c r="L5433" s="3">
        <v>639.21644174080905</v>
      </c>
    </row>
    <row r="5434" spans="1:12" ht="15" customHeight="1" x14ac:dyDescent="0.2">
      <c r="A5434" s="2">
        <v>38167</v>
      </c>
      <c r="B5434" s="3">
        <v>26.400010999999999</v>
      </c>
      <c r="C5434" s="1">
        <v>942257.57</v>
      </c>
      <c r="D5434" s="3">
        <v>-0.37333499999999997</v>
      </c>
      <c r="E5434" s="3">
        <v>-1.39442787614219</v>
      </c>
      <c r="F5434" s="3">
        <v>-1.39442787614219</v>
      </c>
      <c r="G5434" s="3">
        <v>26.400010999999999</v>
      </c>
      <c r="H5434" s="3">
        <v>635.68656889358999</v>
      </c>
      <c r="I5434" s="3">
        <v>26.800013</v>
      </c>
      <c r="J5434" s="3">
        <v>26.840012000000002</v>
      </c>
      <c r="K5434" s="3">
        <v>26.380013000000002</v>
      </c>
      <c r="L5434" s="3">
        <v>635.68656889358999</v>
      </c>
    </row>
    <row r="5435" spans="1:12" ht="15" customHeight="1" x14ac:dyDescent="0.2">
      <c r="A5435" s="2">
        <v>38166</v>
      </c>
      <c r="B5435" s="3">
        <v>26.773346</v>
      </c>
      <c r="C5435" s="1">
        <v>568538.76</v>
      </c>
      <c r="D5435" s="3">
        <v>-0.566666000000001</v>
      </c>
      <c r="E5435" s="3">
        <v>-2.072661855452</v>
      </c>
      <c r="F5435" s="3">
        <v>-2.072661855452</v>
      </c>
      <c r="G5435" s="3">
        <v>26.773346</v>
      </c>
      <c r="H5435" s="3">
        <v>646.09025945257895</v>
      </c>
      <c r="I5435" s="3">
        <v>27.380013000000002</v>
      </c>
      <c r="J5435" s="3">
        <v>27.393346999999999</v>
      </c>
      <c r="K5435" s="3">
        <v>26.666679999999999</v>
      </c>
      <c r="L5435" s="3">
        <v>646.09025945257895</v>
      </c>
    </row>
    <row r="5436" spans="1:12" ht="15" customHeight="1" x14ac:dyDescent="0.2">
      <c r="A5436" s="2">
        <v>38163</v>
      </c>
      <c r="B5436" s="3">
        <v>27.340012000000002</v>
      </c>
      <c r="C5436" s="1">
        <v>659317.19999999995</v>
      </c>
      <c r="D5436" s="3">
        <v>-2.6667999999997201E-2</v>
      </c>
      <c r="E5436" s="3">
        <v>-9.7446968357128794E-2</v>
      </c>
      <c r="F5436" s="3">
        <v>-9.7446968357128794E-2</v>
      </c>
      <c r="G5436" s="3">
        <v>27.340012000000002</v>
      </c>
      <c r="H5436" s="3">
        <v>661.88148640504699</v>
      </c>
      <c r="I5436" s="3">
        <v>27.380013000000002</v>
      </c>
      <c r="J5436" s="3">
        <v>27.420013000000001</v>
      </c>
      <c r="K5436" s="3">
        <v>27.160012999999999</v>
      </c>
      <c r="L5436" s="3">
        <v>661.88148640504699</v>
      </c>
    </row>
    <row r="5437" spans="1:12" ht="15" customHeight="1" x14ac:dyDescent="0.2">
      <c r="A5437" s="2">
        <v>38162</v>
      </c>
      <c r="B5437" s="3">
        <v>27.366679999999999</v>
      </c>
      <c r="C5437" s="1">
        <v>676231.2</v>
      </c>
      <c r="D5437" s="3">
        <v>6.66599999999917E-3</v>
      </c>
      <c r="E5437" s="3">
        <v>2.4364022620737499E-2</v>
      </c>
      <c r="F5437" s="3">
        <v>2.4364022620737499E-2</v>
      </c>
      <c r="G5437" s="3">
        <v>27.366679999999999</v>
      </c>
      <c r="H5437" s="3">
        <v>662.62464099764395</v>
      </c>
      <c r="I5437" s="3">
        <v>27.186678000000001</v>
      </c>
      <c r="J5437" s="3">
        <v>27.380013000000002</v>
      </c>
      <c r="K5437" s="3">
        <v>27.120011999999999</v>
      </c>
      <c r="L5437" s="3">
        <v>662.62464099764395</v>
      </c>
    </row>
    <row r="5438" spans="1:12" ht="15" customHeight="1" x14ac:dyDescent="0.2">
      <c r="A5438" s="2">
        <v>38161</v>
      </c>
      <c r="B5438" s="3">
        <v>27.360014</v>
      </c>
      <c r="C5438" s="1">
        <v>1198451.3999999999</v>
      </c>
      <c r="D5438" s="3">
        <v>0.213333999999999</v>
      </c>
      <c r="E5438" s="3">
        <v>0.78585668671084996</v>
      </c>
      <c r="F5438" s="3">
        <v>0.78585668671084996</v>
      </c>
      <c r="G5438" s="3">
        <v>27.360014</v>
      </c>
      <c r="H5438" s="3">
        <v>662.43888021639805</v>
      </c>
      <c r="I5438" s="3">
        <v>27.100014000000002</v>
      </c>
      <c r="J5438" s="3">
        <v>27.713346000000001</v>
      </c>
      <c r="K5438" s="3">
        <v>27.080010999999999</v>
      </c>
      <c r="L5438" s="3">
        <v>662.43888021639805</v>
      </c>
    </row>
    <row r="5439" spans="1:12" ht="15" customHeight="1" x14ac:dyDescent="0.2">
      <c r="A5439" s="2">
        <v>38160</v>
      </c>
      <c r="B5439" s="3">
        <v>27.14668</v>
      </c>
      <c r="C5439" s="1">
        <v>600280.19999999995</v>
      </c>
      <c r="D5439" s="3">
        <v>-0.18000099999999999</v>
      </c>
      <c r="E5439" s="3">
        <v>-0.65870055715877496</v>
      </c>
      <c r="F5439" s="3">
        <v>-0.65870055715877496</v>
      </c>
      <c r="G5439" s="3">
        <v>27.14668</v>
      </c>
      <c r="H5439" s="3">
        <v>656.49392214466297</v>
      </c>
      <c r="I5439" s="3">
        <v>27.333347</v>
      </c>
      <c r="J5439" s="3">
        <v>27.453346</v>
      </c>
      <c r="K5439" s="3">
        <v>27.086680000000001</v>
      </c>
      <c r="L5439" s="3">
        <v>656.49392214466297</v>
      </c>
    </row>
    <row r="5440" spans="1:12" ht="15" customHeight="1" x14ac:dyDescent="0.2">
      <c r="A5440" s="2">
        <v>38159</v>
      </c>
      <c r="B5440" s="3">
        <v>27.326681000000001</v>
      </c>
      <c r="C5440" s="1">
        <v>495311.74</v>
      </c>
      <c r="D5440" s="3">
        <v>-0.159998999999999</v>
      </c>
      <c r="E5440" s="3">
        <v>-0.58209649182804302</v>
      </c>
      <c r="F5440" s="3">
        <v>-0.58209649182804302</v>
      </c>
      <c r="G5440" s="3">
        <v>27.326681000000001</v>
      </c>
      <c r="H5440" s="3">
        <v>661.50999270945999</v>
      </c>
      <c r="I5440" s="3">
        <v>27.346684</v>
      </c>
      <c r="J5440" s="3">
        <v>27.500012999999999</v>
      </c>
      <c r="K5440" s="3">
        <v>27.233345</v>
      </c>
      <c r="L5440" s="3">
        <v>661.50999270945999</v>
      </c>
    </row>
    <row r="5441" spans="1:12" ht="15" customHeight="1" x14ac:dyDescent="0.2">
      <c r="A5441" s="2">
        <v>38156</v>
      </c>
      <c r="B5441" s="3">
        <v>27.48668</v>
      </c>
      <c r="C5441" s="1">
        <v>443960.8</v>
      </c>
      <c r="D5441" s="3">
        <v>-1.9999999999999501E-2</v>
      </c>
      <c r="E5441" s="3">
        <v>-7.2709610901788804E-2</v>
      </c>
      <c r="F5441" s="3">
        <v>-7.2709610901788804E-2</v>
      </c>
      <c r="G5441" s="3">
        <v>27.48668</v>
      </c>
      <c r="H5441" s="3">
        <v>665.96866946290595</v>
      </c>
      <c r="I5441" s="3">
        <v>27.453346</v>
      </c>
      <c r="J5441" s="3">
        <v>27.613346</v>
      </c>
      <c r="K5441" s="3">
        <v>27.340012000000002</v>
      </c>
      <c r="L5441" s="3">
        <v>665.96866946290595</v>
      </c>
    </row>
    <row r="5442" spans="1:12" ht="15" customHeight="1" x14ac:dyDescent="0.2">
      <c r="A5442" s="2">
        <v>38155</v>
      </c>
      <c r="B5442" s="3">
        <v>27.506679999999999</v>
      </c>
      <c r="C5442" s="1">
        <v>572909.69999999995</v>
      </c>
      <c r="D5442" s="3">
        <v>-5.3333000000001997E-2</v>
      </c>
      <c r="E5442" s="3">
        <v>-0.19351587388584099</v>
      </c>
      <c r="F5442" s="3">
        <v>-0.19351587388584099</v>
      </c>
      <c r="G5442" s="3">
        <v>27.506679999999999</v>
      </c>
      <c r="H5442" s="3">
        <v>666.52600754044897</v>
      </c>
      <c r="I5442" s="3">
        <v>27.320012999999999</v>
      </c>
      <c r="J5442" s="3">
        <v>27.506679999999999</v>
      </c>
      <c r="K5442" s="3">
        <v>27.000012999999999</v>
      </c>
      <c r="L5442" s="3">
        <v>666.52600754044897</v>
      </c>
    </row>
    <row r="5443" spans="1:12" ht="15" customHeight="1" x14ac:dyDescent="0.2">
      <c r="A5443" s="2">
        <v>38154</v>
      </c>
      <c r="B5443" s="3">
        <v>27.560013000000001</v>
      </c>
      <c r="C5443" s="1">
        <v>447971.77</v>
      </c>
      <c r="D5443" s="3">
        <v>0.24000000000000199</v>
      </c>
      <c r="E5443" s="3">
        <v>0.87847688798685597</v>
      </c>
      <c r="F5443" s="3">
        <v>0.87847688798685597</v>
      </c>
      <c r="G5443" s="3">
        <v>27.560013000000001</v>
      </c>
      <c r="H5443" s="3">
        <v>668.01223312493096</v>
      </c>
      <c r="I5443" s="3">
        <v>27.560016999999998</v>
      </c>
      <c r="J5443" s="3">
        <v>27.693348</v>
      </c>
      <c r="K5443" s="3">
        <v>27.246680000000001</v>
      </c>
      <c r="L5443" s="3">
        <v>668.01223312493096</v>
      </c>
    </row>
    <row r="5444" spans="1:12" ht="15" customHeight="1" x14ac:dyDescent="0.2">
      <c r="A5444" s="2">
        <v>38153</v>
      </c>
      <c r="B5444" s="3">
        <v>27.320012999999999</v>
      </c>
      <c r="C5444" s="1">
        <v>521933.8</v>
      </c>
      <c r="D5444" s="3">
        <v>0.38666499999999998</v>
      </c>
      <c r="E5444" s="3">
        <v>1.43563659445531</v>
      </c>
      <c r="F5444" s="3">
        <v>1.43563659445531</v>
      </c>
      <c r="G5444" s="3">
        <v>27.320012999999999</v>
      </c>
      <c r="H5444" s="3">
        <v>661.32417619440696</v>
      </c>
      <c r="I5444" s="3">
        <v>27.260012</v>
      </c>
      <c r="J5444" s="3">
        <v>27.566679000000001</v>
      </c>
      <c r="K5444" s="3">
        <v>26.993347</v>
      </c>
      <c r="L5444" s="3">
        <v>661.32417619440696</v>
      </c>
    </row>
    <row r="5445" spans="1:12" ht="15" customHeight="1" x14ac:dyDescent="0.2">
      <c r="A5445" s="2">
        <v>38152</v>
      </c>
      <c r="B5445" s="3">
        <v>26.933347999999999</v>
      </c>
      <c r="C5445" s="1">
        <v>485185.27</v>
      </c>
      <c r="D5445" s="3">
        <v>-0.44666500000000298</v>
      </c>
      <c r="E5445" s="3">
        <v>-1.63135422908675</v>
      </c>
      <c r="F5445" s="3">
        <v>-1.63135422908675</v>
      </c>
      <c r="G5445" s="3">
        <v>26.933347999999999</v>
      </c>
      <c r="H5445" s="3">
        <v>650.54901980673606</v>
      </c>
      <c r="I5445" s="3">
        <v>27.180014</v>
      </c>
      <c r="J5445" s="3">
        <v>27.606680000000001</v>
      </c>
      <c r="K5445" s="3">
        <v>26.933347999999999</v>
      </c>
      <c r="L5445" s="3">
        <v>650.54901980673606</v>
      </c>
    </row>
    <row r="5446" spans="1:12" ht="15" customHeight="1" x14ac:dyDescent="0.2">
      <c r="A5446" s="2">
        <v>38148</v>
      </c>
      <c r="B5446" s="3">
        <v>27.380013000000002</v>
      </c>
      <c r="C5446" s="1">
        <v>476464.3</v>
      </c>
      <c r="D5446" s="3">
        <v>-0.16666699999999601</v>
      </c>
      <c r="E5446" s="3">
        <v>-0.60503479911189195</v>
      </c>
      <c r="F5446" s="3">
        <v>-0.60503479911189195</v>
      </c>
      <c r="G5446" s="3">
        <v>27.380013000000002</v>
      </c>
      <c r="H5446" s="3">
        <v>662.99619042703796</v>
      </c>
      <c r="I5446" s="3">
        <v>27.713346000000001</v>
      </c>
      <c r="J5446" s="3">
        <v>27.726680000000002</v>
      </c>
      <c r="K5446" s="3">
        <v>27.380013000000002</v>
      </c>
      <c r="L5446" s="3">
        <v>662.99619042703796</v>
      </c>
    </row>
    <row r="5447" spans="1:12" ht="15" customHeight="1" x14ac:dyDescent="0.2">
      <c r="A5447" s="2">
        <v>38147</v>
      </c>
      <c r="B5447" s="3">
        <v>27.546679999999999</v>
      </c>
      <c r="C5447" s="1">
        <v>1309518.8999999999</v>
      </c>
      <c r="D5447" s="3">
        <v>0.52666799999999703</v>
      </c>
      <c r="E5447" s="3">
        <v>1.9491775207205599</v>
      </c>
      <c r="F5447" s="3">
        <v>1.9491775207205599</v>
      </c>
      <c r="G5447" s="3">
        <v>27.546679999999999</v>
      </c>
      <c r="H5447" s="3">
        <v>667.64068369553695</v>
      </c>
      <c r="I5447" s="3">
        <v>27.013345999999999</v>
      </c>
      <c r="J5447" s="3">
        <v>27.713346000000001</v>
      </c>
      <c r="K5447" s="3">
        <v>26.833345000000001</v>
      </c>
      <c r="L5447" s="3">
        <v>667.64068369553695</v>
      </c>
    </row>
    <row r="5448" spans="1:12" ht="15" customHeight="1" x14ac:dyDescent="0.2">
      <c r="A5448" s="2">
        <v>38146</v>
      </c>
      <c r="B5448" s="3">
        <v>27.020012000000001</v>
      </c>
      <c r="C5448" s="1">
        <v>640570.19999999995</v>
      </c>
      <c r="D5448" s="3">
        <v>-8.6667999999999495E-2</v>
      </c>
      <c r="E5448" s="3">
        <v>-0.31972930657683202</v>
      </c>
      <c r="F5448" s="3">
        <v>-0.31972930657683202</v>
      </c>
      <c r="G5448" s="3">
        <v>27.020012000000001</v>
      </c>
      <c r="H5448" s="3">
        <v>652.96407716434805</v>
      </c>
      <c r="I5448" s="3">
        <v>27.000012999999999</v>
      </c>
      <c r="J5448" s="3">
        <v>27.433347999999999</v>
      </c>
      <c r="K5448" s="3">
        <v>26.900010999999999</v>
      </c>
      <c r="L5448" s="3">
        <v>652.96407716434805</v>
      </c>
    </row>
    <row r="5449" spans="1:12" ht="15" customHeight="1" x14ac:dyDescent="0.2">
      <c r="A5449" s="2">
        <v>38145</v>
      </c>
      <c r="B5449" s="3">
        <v>27.106680000000001</v>
      </c>
      <c r="C5449" s="1">
        <v>804613.1</v>
      </c>
      <c r="D5449" s="3">
        <v>0.80000100000000096</v>
      </c>
      <c r="E5449" s="3">
        <v>3.0410566077154702</v>
      </c>
      <c r="F5449" s="3">
        <v>3.0410566077154702</v>
      </c>
      <c r="G5449" s="3">
        <v>27.106680000000001</v>
      </c>
      <c r="H5449" s="3">
        <v>655.37924598957602</v>
      </c>
      <c r="I5449" s="3">
        <v>26.520012000000001</v>
      </c>
      <c r="J5449" s="3">
        <v>27.106680000000001</v>
      </c>
      <c r="K5449" s="3">
        <v>26.393346999999999</v>
      </c>
      <c r="L5449" s="3">
        <v>655.37924598957602</v>
      </c>
    </row>
    <row r="5450" spans="1:12" ht="15" customHeight="1" x14ac:dyDescent="0.2">
      <c r="A5450" s="2">
        <v>38142</v>
      </c>
      <c r="B5450" s="3">
        <v>26.306678999999999</v>
      </c>
      <c r="C5450" s="1">
        <v>841000.1</v>
      </c>
      <c r="D5450" s="3">
        <v>-0.24000000000000199</v>
      </c>
      <c r="E5450" s="3">
        <v>-0.90406788736173604</v>
      </c>
      <c r="F5450" s="3">
        <v>-0.90406788736173604</v>
      </c>
      <c r="G5450" s="3">
        <v>26.306678999999999</v>
      </c>
      <c r="H5450" s="3">
        <v>633.08569502092496</v>
      </c>
      <c r="I5450" s="3">
        <v>26.62668</v>
      </c>
      <c r="J5450" s="3">
        <v>26.793344000000001</v>
      </c>
      <c r="K5450" s="3">
        <v>26.200012000000001</v>
      </c>
      <c r="L5450" s="3">
        <v>633.08569502092496</v>
      </c>
    </row>
    <row r="5451" spans="1:12" ht="15" customHeight="1" x14ac:dyDescent="0.2">
      <c r="A5451" s="2">
        <v>38141</v>
      </c>
      <c r="B5451" s="3">
        <v>26.546679000000001</v>
      </c>
      <c r="C5451" s="1">
        <v>1870979.1</v>
      </c>
      <c r="D5451" s="3">
        <v>0.70999899999999905</v>
      </c>
      <c r="E5451" s="3">
        <v>2.7480272233119698</v>
      </c>
      <c r="F5451" s="3">
        <v>2.7480272233119698</v>
      </c>
      <c r="G5451" s="3">
        <v>26.546679000000001</v>
      </c>
      <c r="H5451" s="3">
        <v>639.77375195144896</v>
      </c>
      <c r="I5451" s="3">
        <v>25.566676999999999</v>
      </c>
      <c r="J5451" s="3">
        <v>26.726679000000001</v>
      </c>
      <c r="K5451" s="3">
        <v>25.500011000000001</v>
      </c>
      <c r="L5451" s="3">
        <v>639.77375195144896</v>
      </c>
    </row>
    <row r="5452" spans="1:12" ht="15" customHeight="1" x14ac:dyDescent="0.2">
      <c r="A5452" s="2">
        <v>38140</v>
      </c>
      <c r="B5452" s="3">
        <v>25.836680000000001</v>
      </c>
      <c r="C5452" s="1">
        <v>552290.80000000005</v>
      </c>
      <c r="D5452" s="3">
        <v>-0.33666599999999702</v>
      </c>
      <c r="E5452" s="3">
        <v>-1.2862933153445399</v>
      </c>
      <c r="F5452" s="3">
        <v>-1.2862933153445399</v>
      </c>
      <c r="G5452" s="3">
        <v>25.836680000000001</v>
      </c>
      <c r="H5452" s="3">
        <v>619.988278065553</v>
      </c>
      <c r="I5452" s="3">
        <v>26.333345000000001</v>
      </c>
      <c r="J5452" s="3">
        <v>26.380013000000002</v>
      </c>
      <c r="K5452" s="3">
        <v>25.82668</v>
      </c>
      <c r="L5452" s="3">
        <v>619.988278065553</v>
      </c>
    </row>
    <row r="5453" spans="1:12" ht="15" customHeight="1" x14ac:dyDescent="0.2">
      <c r="A5453" s="2">
        <v>38139</v>
      </c>
      <c r="B5453" s="3">
        <v>26.173345999999999</v>
      </c>
      <c r="C5453" s="1">
        <v>822383.6</v>
      </c>
      <c r="D5453" s="3">
        <v>0.16</v>
      </c>
      <c r="E5453" s="3">
        <v>0.61506889578910595</v>
      </c>
      <c r="F5453" s="3">
        <v>0.61506889578910595</v>
      </c>
      <c r="G5453" s="3">
        <v>26.173345999999999</v>
      </c>
      <c r="H5453" s="3">
        <v>629.37011712626804</v>
      </c>
      <c r="I5453" s="3">
        <v>25.800013</v>
      </c>
      <c r="J5453" s="3">
        <v>26.386679999999998</v>
      </c>
      <c r="K5453" s="3">
        <v>25.766680000000001</v>
      </c>
      <c r="L5453" s="3">
        <v>629.37011712626804</v>
      </c>
    </row>
    <row r="5454" spans="1:12" ht="15" customHeight="1" x14ac:dyDescent="0.2">
      <c r="A5454" s="2">
        <v>38135</v>
      </c>
      <c r="B5454" s="3">
        <v>26.013345999999999</v>
      </c>
      <c r="C5454" s="1">
        <v>1265535.8999999999</v>
      </c>
      <c r="D5454" s="3">
        <v>0.23333599999999699</v>
      </c>
      <c r="E5454" s="3">
        <v>0.90510438126283299</v>
      </c>
      <c r="F5454" s="3">
        <v>0.90510438126283299</v>
      </c>
      <c r="G5454" s="3">
        <v>26.013345999999999</v>
      </c>
      <c r="H5454" s="3">
        <v>624.91141250591897</v>
      </c>
      <c r="I5454" s="3">
        <v>25.833345000000001</v>
      </c>
      <c r="J5454" s="3">
        <v>26.306678999999999</v>
      </c>
      <c r="K5454" s="3">
        <v>25.726679000000001</v>
      </c>
      <c r="L5454" s="3">
        <v>624.91141250591897</v>
      </c>
    </row>
    <row r="5455" spans="1:12" ht="15" customHeight="1" x14ac:dyDescent="0.2">
      <c r="A5455" s="2">
        <v>38134</v>
      </c>
      <c r="B5455" s="3">
        <v>25.780010000000001</v>
      </c>
      <c r="C5455" s="1">
        <v>1105351</v>
      </c>
      <c r="D5455" s="3">
        <v>-0.28666899999999901</v>
      </c>
      <c r="E5455" s="3">
        <v>-1.0997526765876</v>
      </c>
      <c r="F5455" s="3">
        <v>-1.0997526765876</v>
      </c>
      <c r="G5455" s="3">
        <v>25.780010000000001</v>
      </c>
      <c r="H5455" s="3">
        <v>618.40906062283295</v>
      </c>
      <c r="I5455" s="3">
        <v>26.226679000000001</v>
      </c>
      <c r="J5455" s="3">
        <v>26.320012999999999</v>
      </c>
      <c r="K5455" s="3">
        <v>25.600014000000002</v>
      </c>
      <c r="L5455" s="3">
        <v>618.40906062283295</v>
      </c>
    </row>
    <row r="5456" spans="1:12" ht="15" customHeight="1" x14ac:dyDescent="0.2">
      <c r="A5456" s="2">
        <v>38133</v>
      </c>
      <c r="B5456" s="3">
        <v>26.066679000000001</v>
      </c>
      <c r="C5456" s="1">
        <v>919978.1</v>
      </c>
      <c r="D5456" s="3">
        <v>0.219999000000001</v>
      </c>
      <c r="E5456" s="3">
        <v>0.85116927976824897</v>
      </c>
      <c r="F5456" s="3">
        <v>0.85116927976824897</v>
      </c>
      <c r="G5456" s="3">
        <v>26.066679000000001</v>
      </c>
      <c r="H5456" s="3">
        <v>626.39763809040096</v>
      </c>
      <c r="I5456" s="3">
        <v>25.860012000000001</v>
      </c>
      <c r="J5456" s="3">
        <v>26.620011999999999</v>
      </c>
      <c r="K5456" s="3">
        <v>25.726679000000001</v>
      </c>
      <c r="L5456" s="3">
        <v>626.39763809040096</v>
      </c>
    </row>
    <row r="5457" spans="1:12" ht="15" customHeight="1" x14ac:dyDescent="0.2">
      <c r="A5457" s="2">
        <v>38132</v>
      </c>
      <c r="B5457" s="3">
        <v>25.846679999999999</v>
      </c>
      <c r="C5457" s="1">
        <v>1076336.5</v>
      </c>
      <c r="D5457" s="3">
        <v>0.19333499999999701</v>
      </c>
      <c r="E5457" s="3">
        <v>0.75364440777605501</v>
      </c>
      <c r="F5457" s="3">
        <v>0.75364440777605501</v>
      </c>
      <c r="G5457" s="3">
        <v>25.846679999999999</v>
      </c>
      <c r="H5457" s="3">
        <v>620.266947104324</v>
      </c>
      <c r="I5457" s="3">
        <v>25.686678000000001</v>
      </c>
      <c r="J5457" s="3">
        <v>25.853344</v>
      </c>
      <c r="K5457" s="3">
        <v>25.186678000000001</v>
      </c>
      <c r="L5457" s="3">
        <v>620.266947104324</v>
      </c>
    </row>
    <row r="5458" spans="1:12" ht="15" customHeight="1" x14ac:dyDescent="0.2">
      <c r="A5458" s="2">
        <v>38131</v>
      </c>
      <c r="B5458" s="3">
        <v>25.653345000000002</v>
      </c>
      <c r="C5458" s="1">
        <v>606884.69999999995</v>
      </c>
      <c r="D5458" s="3">
        <v>0.13333300000000001</v>
      </c>
      <c r="E5458" s="3">
        <v>0.52246448786936694</v>
      </c>
      <c r="F5458" s="3">
        <v>0.52246448786936694</v>
      </c>
      <c r="G5458" s="3">
        <v>25.653345000000002</v>
      </c>
      <c r="H5458" s="3">
        <v>614.87929924322896</v>
      </c>
      <c r="I5458" s="3">
        <v>25.606677999999999</v>
      </c>
      <c r="J5458" s="3">
        <v>25.926677999999999</v>
      </c>
      <c r="K5458" s="3">
        <v>25.606677999999999</v>
      </c>
      <c r="L5458" s="3">
        <v>614.87929924322896</v>
      </c>
    </row>
    <row r="5459" spans="1:12" ht="15" customHeight="1" x14ac:dyDescent="0.2">
      <c r="A5459" s="2">
        <v>38128</v>
      </c>
      <c r="B5459" s="3">
        <v>25.520012000000001</v>
      </c>
      <c r="C5459" s="1">
        <v>1559450.2</v>
      </c>
      <c r="D5459" s="3">
        <v>6.6666000000001405E-2</v>
      </c>
      <c r="E5459" s="3">
        <v>0.26191448464183398</v>
      </c>
      <c r="F5459" s="3">
        <v>0.26191448464183398</v>
      </c>
      <c r="G5459" s="3">
        <v>25.520012000000001</v>
      </c>
      <c r="H5459" s="3">
        <v>611.16372134857295</v>
      </c>
      <c r="I5459" s="3">
        <v>25.213345</v>
      </c>
      <c r="J5459" s="3">
        <v>25.613344000000001</v>
      </c>
      <c r="K5459" s="3">
        <v>25.013345999999999</v>
      </c>
      <c r="L5459" s="3">
        <v>611.16372134857295</v>
      </c>
    </row>
    <row r="5460" spans="1:12" ht="15" customHeight="1" x14ac:dyDescent="0.2">
      <c r="A5460" s="2">
        <v>38127</v>
      </c>
      <c r="B5460" s="3">
        <v>25.453346</v>
      </c>
      <c r="C5460" s="1">
        <v>1523405.29999999</v>
      </c>
      <c r="D5460" s="3">
        <v>-0.92000000000000104</v>
      </c>
      <c r="E5460" s="3">
        <v>-3.4883704176178498</v>
      </c>
      <c r="F5460" s="3">
        <v>-3.4883704176178498</v>
      </c>
      <c r="G5460" s="3">
        <v>25.453346</v>
      </c>
      <c r="H5460" s="3">
        <v>609.30594633469605</v>
      </c>
      <c r="I5460" s="3">
        <v>26.406680000000001</v>
      </c>
      <c r="J5460" s="3">
        <v>26.593346</v>
      </c>
      <c r="K5460" s="3">
        <v>25.440011999999999</v>
      </c>
      <c r="L5460" s="3">
        <v>609.30594633469605</v>
      </c>
    </row>
    <row r="5461" spans="1:12" ht="15" customHeight="1" x14ac:dyDescent="0.2">
      <c r="A5461" s="2">
        <v>38126</v>
      </c>
      <c r="B5461" s="3">
        <v>26.373346000000002</v>
      </c>
      <c r="C5461" s="1">
        <v>851911.13</v>
      </c>
      <c r="D5461" s="3">
        <v>-0.45999899999999899</v>
      </c>
      <c r="E5461" s="3">
        <v>-1.7142812422379601</v>
      </c>
      <c r="F5461" s="3">
        <v>-1.7142812422379601</v>
      </c>
      <c r="G5461" s="3">
        <v>26.373346000000002</v>
      </c>
      <c r="H5461" s="3">
        <v>634.94349790170497</v>
      </c>
      <c r="I5461" s="3">
        <v>26.846682000000001</v>
      </c>
      <c r="J5461" s="3">
        <v>27.040013999999999</v>
      </c>
      <c r="K5461" s="3">
        <v>26.333345000000001</v>
      </c>
      <c r="L5461" s="3">
        <v>634.94349790170497</v>
      </c>
    </row>
    <row r="5462" spans="1:12" ht="15" customHeight="1" x14ac:dyDescent="0.2">
      <c r="A5462" s="2">
        <v>38125</v>
      </c>
      <c r="B5462" s="3">
        <v>26.833345000000001</v>
      </c>
      <c r="C5462" s="1">
        <v>1035716.6</v>
      </c>
      <c r="D5462" s="3">
        <v>0.42000000000000098</v>
      </c>
      <c r="E5462" s="3">
        <v>1.5901053047238101</v>
      </c>
      <c r="F5462" s="3">
        <v>1.5901053047238101</v>
      </c>
      <c r="G5462" s="3">
        <v>26.833345000000001</v>
      </c>
      <c r="H5462" s="3">
        <v>647.76224581830604</v>
      </c>
      <c r="I5462" s="3">
        <v>26.593346</v>
      </c>
      <c r="J5462" s="3">
        <v>26.846679999999999</v>
      </c>
      <c r="K5462" s="3">
        <v>26.333345000000001</v>
      </c>
      <c r="L5462" s="3">
        <v>647.76224581830604</v>
      </c>
    </row>
    <row r="5463" spans="1:12" ht="15" customHeight="1" x14ac:dyDescent="0.2">
      <c r="A5463" s="2">
        <v>38124</v>
      </c>
      <c r="B5463" s="3">
        <v>26.413345</v>
      </c>
      <c r="C5463" s="1">
        <v>996647.5</v>
      </c>
      <c r="D5463" s="3">
        <v>-0.45333299999999999</v>
      </c>
      <c r="E5463" s="3">
        <v>-1.6873429606741801</v>
      </c>
      <c r="F5463" s="3">
        <v>-1.6873429606741801</v>
      </c>
      <c r="G5463" s="3">
        <v>26.413345</v>
      </c>
      <c r="H5463" s="3">
        <v>636.05814618988904</v>
      </c>
      <c r="I5463" s="3">
        <v>26.740013000000001</v>
      </c>
      <c r="J5463" s="3">
        <v>26.800013</v>
      </c>
      <c r="K5463" s="3">
        <v>26.093346</v>
      </c>
      <c r="L5463" s="3">
        <v>636.05814618988904</v>
      </c>
    </row>
    <row r="5464" spans="1:12" ht="15" customHeight="1" x14ac:dyDescent="0.2">
      <c r="A5464" s="2">
        <v>38121</v>
      </c>
      <c r="B5464" s="3">
        <v>26.866678</v>
      </c>
      <c r="C5464" s="1">
        <v>1442631.7</v>
      </c>
      <c r="D5464" s="3">
        <v>0.13999899999999901</v>
      </c>
      <c r="E5464" s="3">
        <v>0.52381741854272601</v>
      </c>
      <c r="F5464" s="3">
        <v>0.52381741854272601</v>
      </c>
      <c r="G5464" s="3">
        <v>26.866678</v>
      </c>
      <c r="H5464" s="3">
        <v>648.69113332524398</v>
      </c>
      <c r="I5464" s="3">
        <v>26.820012999999999</v>
      </c>
      <c r="J5464" s="3">
        <v>27.313347</v>
      </c>
      <c r="K5464" s="3">
        <v>26.700012000000001</v>
      </c>
      <c r="L5464" s="3">
        <v>648.69113332524398</v>
      </c>
    </row>
    <row r="5465" spans="1:12" ht="15" customHeight="1" x14ac:dyDescent="0.2">
      <c r="A5465" s="2">
        <v>38120</v>
      </c>
      <c r="B5465" s="3">
        <v>26.726679000000001</v>
      </c>
      <c r="C5465" s="1">
        <v>3267231</v>
      </c>
      <c r="D5465" s="3">
        <v>-1.54000299999999</v>
      </c>
      <c r="E5465" s="3">
        <v>-5.4481208654061204</v>
      </c>
      <c r="F5465" s="3">
        <v>-5.4481208654061204</v>
      </c>
      <c r="G5465" s="3">
        <v>26.726679000000001</v>
      </c>
      <c r="H5465" s="3">
        <v>644.78979464934196</v>
      </c>
      <c r="I5465" s="3">
        <v>27.820012999999999</v>
      </c>
      <c r="J5465" s="3">
        <v>27.833347</v>
      </c>
      <c r="K5465" s="3">
        <v>26.526679999999999</v>
      </c>
      <c r="L5465" s="3">
        <v>644.78979464934196</v>
      </c>
    </row>
    <row r="5466" spans="1:12" ht="15" customHeight="1" x14ac:dyDescent="0.2">
      <c r="A5466" s="2">
        <v>38119</v>
      </c>
      <c r="B5466" s="3">
        <v>28.266681999999999</v>
      </c>
      <c r="C5466" s="1">
        <v>1228896.8999999999</v>
      </c>
      <c r="D5466" s="3">
        <v>-0.5</v>
      </c>
      <c r="E5466" s="3">
        <v>-1.73812190088519</v>
      </c>
      <c r="F5466" s="3">
        <v>-1.73812190088519</v>
      </c>
      <c r="G5466" s="3">
        <v>28.266681999999999</v>
      </c>
      <c r="H5466" s="3">
        <v>687.70491022091699</v>
      </c>
      <c r="I5466" s="3">
        <v>28.733346999999998</v>
      </c>
      <c r="J5466" s="3">
        <v>28.733346999999998</v>
      </c>
      <c r="K5466" s="3">
        <v>27.78668</v>
      </c>
      <c r="L5466" s="3">
        <v>687.70491022091699</v>
      </c>
    </row>
    <row r="5467" spans="1:12" ht="15" customHeight="1" x14ac:dyDescent="0.2">
      <c r="A5467" s="2">
        <v>38118</v>
      </c>
      <c r="B5467" s="3">
        <v>28.766681999999999</v>
      </c>
      <c r="C5467" s="1">
        <v>1106080</v>
      </c>
      <c r="D5467" s="3">
        <v>0.63333499999999798</v>
      </c>
      <c r="E5467" s="3">
        <v>2.25118966470643</v>
      </c>
      <c r="F5467" s="3">
        <v>2.25118966470643</v>
      </c>
      <c r="G5467" s="3">
        <v>28.766681999999999</v>
      </c>
      <c r="H5467" s="3">
        <v>701.63836215950801</v>
      </c>
      <c r="I5467" s="3">
        <v>28.233345</v>
      </c>
      <c r="J5467" s="3">
        <v>28.866679999999999</v>
      </c>
      <c r="K5467" s="3">
        <v>27.866679999999999</v>
      </c>
      <c r="L5467" s="3">
        <v>701.63836215950801</v>
      </c>
    </row>
    <row r="5468" spans="1:12" ht="15" customHeight="1" x14ac:dyDescent="0.2">
      <c r="A5468" s="2">
        <v>38117</v>
      </c>
      <c r="B5468" s="3">
        <v>28.133347000000001</v>
      </c>
      <c r="C5468" s="1">
        <v>1363040.4</v>
      </c>
      <c r="D5468" s="3">
        <v>0.25999899999999998</v>
      </c>
      <c r="E5468" s="3">
        <v>0.93278711979629603</v>
      </c>
      <c r="F5468" s="3">
        <v>0.93278711979629603</v>
      </c>
      <c r="G5468" s="3">
        <v>28.133347000000001</v>
      </c>
      <c r="H5468" s="3">
        <v>683.98927659245203</v>
      </c>
      <c r="I5468" s="3">
        <v>27.880013000000002</v>
      </c>
      <c r="J5468" s="3">
        <v>28.293346</v>
      </c>
      <c r="K5468" s="3">
        <v>27.233345</v>
      </c>
      <c r="L5468" s="3">
        <v>683.98927659245203</v>
      </c>
    </row>
    <row r="5469" spans="1:12" ht="15" customHeight="1" x14ac:dyDescent="0.2">
      <c r="A5469" s="2">
        <v>38114</v>
      </c>
      <c r="B5469" s="3">
        <v>27.873348</v>
      </c>
      <c r="C5469" s="1">
        <v>1228253.3999999999</v>
      </c>
      <c r="D5469" s="3">
        <v>-1.093332</v>
      </c>
      <c r="E5469" s="3">
        <v>-3.7744470543396802</v>
      </c>
      <c r="F5469" s="3">
        <v>-3.7744470543396802</v>
      </c>
      <c r="G5469" s="3">
        <v>27.873348</v>
      </c>
      <c r="H5469" s="3">
        <v>676.74390945128903</v>
      </c>
      <c r="I5469" s="3">
        <v>28.673345999999999</v>
      </c>
      <c r="J5469" s="3">
        <v>28.840014</v>
      </c>
      <c r="K5469" s="3">
        <v>27.780011999999999</v>
      </c>
      <c r="L5469" s="3">
        <v>676.74390945128903</v>
      </c>
    </row>
    <row r="5470" spans="1:12" ht="15" customHeight="1" x14ac:dyDescent="0.2">
      <c r="A5470" s="2">
        <v>38113</v>
      </c>
      <c r="B5470" s="3">
        <v>28.96668</v>
      </c>
      <c r="C5470" s="1">
        <v>995998</v>
      </c>
      <c r="D5470" s="3">
        <v>-0.273334999999999</v>
      </c>
      <c r="E5470" s="3">
        <v>-0.93479774206681698</v>
      </c>
      <c r="F5470" s="3">
        <v>-0.93479774206681698</v>
      </c>
      <c r="G5470" s="3">
        <v>28.96668</v>
      </c>
      <c r="H5470" s="3">
        <v>707.21168720113701</v>
      </c>
      <c r="I5470" s="3">
        <v>29.200016000000002</v>
      </c>
      <c r="J5470" s="3">
        <v>29.226680000000002</v>
      </c>
      <c r="K5470" s="3">
        <v>28.560013000000001</v>
      </c>
      <c r="L5470" s="3">
        <v>707.21168720113701</v>
      </c>
    </row>
    <row r="5471" spans="1:12" ht="15" customHeight="1" x14ac:dyDescent="0.2">
      <c r="A5471" s="2">
        <v>38112</v>
      </c>
      <c r="B5471" s="3">
        <v>29.240015</v>
      </c>
      <c r="C5471" s="1">
        <v>766751.65</v>
      </c>
      <c r="D5471" s="3">
        <v>0.72666699999999895</v>
      </c>
      <c r="E5471" s="3">
        <v>2.5485151726131798</v>
      </c>
      <c r="F5471" s="3">
        <v>2.5485151726131798</v>
      </c>
      <c r="G5471" s="3">
        <v>29.240015</v>
      </c>
      <c r="H5471" s="3">
        <v>714.82868737240699</v>
      </c>
      <c r="I5471" s="3">
        <v>28.513348000000001</v>
      </c>
      <c r="J5471" s="3">
        <v>29.360014</v>
      </c>
      <c r="K5471" s="3">
        <v>28.506679999999999</v>
      </c>
      <c r="L5471" s="3">
        <v>714.82868737240699</v>
      </c>
    </row>
    <row r="5472" spans="1:12" ht="15" customHeight="1" x14ac:dyDescent="0.2">
      <c r="A5472" s="2">
        <v>38111</v>
      </c>
      <c r="B5472" s="3">
        <v>28.513348000000001</v>
      </c>
      <c r="C5472" s="1">
        <v>624247.19999999995</v>
      </c>
      <c r="D5472" s="3">
        <v>-6.6640000000006598E-3</v>
      </c>
      <c r="E5472" s="3">
        <v>-2.3366049074591201E-2</v>
      </c>
      <c r="F5472" s="3">
        <v>-2.3366049074591201E-2</v>
      </c>
      <c r="G5472" s="3">
        <v>28.513348000000001</v>
      </c>
      <c r="H5472" s="3">
        <v>694.57872793268598</v>
      </c>
      <c r="I5472" s="3">
        <v>28.686679999999999</v>
      </c>
      <c r="J5472" s="3">
        <v>28.733346999999998</v>
      </c>
      <c r="K5472" s="3">
        <v>28.293346</v>
      </c>
      <c r="L5472" s="3">
        <v>694.57872793268598</v>
      </c>
    </row>
    <row r="5473" spans="1:12" ht="15" customHeight="1" x14ac:dyDescent="0.2">
      <c r="A5473" s="2">
        <v>38110</v>
      </c>
      <c r="B5473" s="3">
        <v>28.520012000000001</v>
      </c>
      <c r="C5473" s="1">
        <v>627022.19999999995</v>
      </c>
      <c r="D5473" s="3">
        <v>0.313332000000002</v>
      </c>
      <c r="E5473" s="3">
        <v>1.11084324706063</v>
      </c>
      <c r="F5473" s="3">
        <v>1.11084324706063</v>
      </c>
      <c r="G5473" s="3">
        <v>28.520012000000001</v>
      </c>
      <c r="H5473" s="3">
        <v>694.76443298012396</v>
      </c>
      <c r="I5473" s="3">
        <v>28.326681000000001</v>
      </c>
      <c r="J5473" s="3">
        <v>28.773347999999999</v>
      </c>
      <c r="K5473" s="3">
        <v>28.153347</v>
      </c>
      <c r="L5473" s="3">
        <v>694.76443298012396</v>
      </c>
    </row>
    <row r="5474" spans="1:12" ht="15" customHeight="1" x14ac:dyDescent="0.2">
      <c r="A5474" s="2">
        <v>38107</v>
      </c>
      <c r="B5474" s="3">
        <v>28.206679999999999</v>
      </c>
      <c r="C5474" s="1">
        <v>800477.6</v>
      </c>
      <c r="D5474" s="3">
        <v>-0.17999999999999899</v>
      </c>
      <c r="E5474" s="3">
        <v>-0.63410021883503198</v>
      </c>
      <c r="F5474" s="3">
        <v>-0.63410021883503198</v>
      </c>
      <c r="G5474" s="3">
        <v>28.206679999999999</v>
      </c>
      <c r="H5474" s="3">
        <v>686.03284025447795</v>
      </c>
      <c r="I5474" s="3">
        <v>28.366679999999999</v>
      </c>
      <c r="J5474" s="3">
        <v>28.553349000000001</v>
      </c>
      <c r="K5474" s="3">
        <v>28.040013999999999</v>
      </c>
      <c r="L5474" s="3">
        <v>686.03284025447795</v>
      </c>
    </row>
    <row r="5475" spans="1:12" ht="15" customHeight="1" x14ac:dyDescent="0.2">
      <c r="A5475" s="2">
        <v>38106</v>
      </c>
      <c r="B5475" s="3">
        <v>28.386679999999998</v>
      </c>
      <c r="C5475" s="1">
        <v>760685.6</v>
      </c>
      <c r="D5475" s="3">
        <v>-0.193333000000002</v>
      </c>
      <c r="E5475" s="3">
        <v>-0.67646225353362699</v>
      </c>
      <c r="F5475" s="3">
        <v>-0.67646225353362699</v>
      </c>
      <c r="G5475" s="3">
        <v>28.386679999999998</v>
      </c>
      <c r="H5475" s="3">
        <v>691.04888295237095</v>
      </c>
      <c r="I5475" s="3">
        <v>28.496680000000001</v>
      </c>
      <c r="J5475" s="3">
        <v>28.720015</v>
      </c>
      <c r="K5475" s="3">
        <v>28.346679999999999</v>
      </c>
      <c r="L5475" s="3">
        <v>691.04888295237095</v>
      </c>
    </row>
    <row r="5476" spans="1:12" ht="15" customHeight="1" x14ac:dyDescent="0.2">
      <c r="A5476" s="2">
        <v>38105</v>
      </c>
      <c r="B5476" s="3">
        <v>28.580013000000001</v>
      </c>
      <c r="C5476" s="1">
        <v>1047533.4</v>
      </c>
      <c r="D5476" s="3">
        <v>-8.6666999999998495E-2</v>
      </c>
      <c r="E5476" s="3">
        <v>-0.30232660356901397</v>
      </c>
      <c r="F5476" s="3">
        <v>-0.30232660356901397</v>
      </c>
      <c r="G5476" s="3">
        <v>28.580013000000001</v>
      </c>
      <c r="H5476" s="3">
        <v>696.43647507965898</v>
      </c>
      <c r="I5476" s="3">
        <v>28.63335</v>
      </c>
      <c r="J5476" s="3">
        <v>28.846682000000001</v>
      </c>
      <c r="K5476" s="3">
        <v>28.426680000000001</v>
      </c>
      <c r="L5476" s="3">
        <v>696.43647507965898</v>
      </c>
    </row>
    <row r="5477" spans="1:12" ht="15" customHeight="1" x14ac:dyDescent="0.2">
      <c r="A5477" s="2">
        <v>38104</v>
      </c>
      <c r="B5477" s="3">
        <v>28.666679999999999</v>
      </c>
      <c r="C5477" s="1">
        <v>1000672</v>
      </c>
      <c r="D5477" s="3">
        <v>-4.6666000000001803E-2</v>
      </c>
      <c r="E5477" s="3">
        <v>-0.16252372677152399</v>
      </c>
      <c r="F5477" s="3">
        <v>-0.16252372677152399</v>
      </c>
      <c r="G5477" s="3">
        <v>28.666679999999999</v>
      </c>
      <c r="H5477" s="3">
        <v>698.85161603798201</v>
      </c>
      <c r="I5477" s="3">
        <v>28.760014000000002</v>
      </c>
      <c r="J5477" s="3">
        <v>28.973347</v>
      </c>
      <c r="K5477" s="3">
        <v>28.666679999999999</v>
      </c>
      <c r="L5477" s="3">
        <v>698.85161603798201</v>
      </c>
    </row>
    <row r="5478" spans="1:12" ht="15" customHeight="1" x14ac:dyDescent="0.2">
      <c r="A5478" s="2">
        <v>38103</v>
      </c>
      <c r="B5478" s="3">
        <v>28.713346000000001</v>
      </c>
      <c r="C5478" s="1">
        <v>1641062.3</v>
      </c>
      <c r="D5478" s="3">
        <v>-0.26000099999999898</v>
      </c>
      <c r="E5478" s="3">
        <v>-0.89737992645446596</v>
      </c>
      <c r="F5478" s="3">
        <v>-0.89737992645446596</v>
      </c>
      <c r="G5478" s="3">
        <v>28.713346000000001</v>
      </c>
      <c r="H5478" s="3">
        <v>700.15205297431498</v>
      </c>
      <c r="I5478" s="3">
        <v>29.086680999999999</v>
      </c>
      <c r="J5478" s="3">
        <v>29.086680999999999</v>
      </c>
      <c r="K5478" s="3">
        <v>28.566679000000001</v>
      </c>
      <c r="L5478" s="3">
        <v>700.15205297431498</v>
      </c>
    </row>
    <row r="5479" spans="1:12" ht="15" customHeight="1" x14ac:dyDescent="0.2">
      <c r="A5479" s="2">
        <v>38100</v>
      </c>
      <c r="B5479" s="3">
        <v>28.973347</v>
      </c>
      <c r="C5479" s="1">
        <v>762809.63</v>
      </c>
      <c r="D5479" s="3">
        <v>-0.213332999999998</v>
      </c>
      <c r="E5479" s="3">
        <v>-0.7309258881106</v>
      </c>
      <c r="F5479" s="3">
        <v>-0.7309258881106</v>
      </c>
      <c r="G5479" s="3">
        <v>28.973347</v>
      </c>
      <c r="H5479" s="3">
        <v>707.39747584928602</v>
      </c>
      <c r="I5479" s="3">
        <v>29.220015</v>
      </c>
      <c r="J5479" s="3">
        <v>29.28668</v>
      </c>
      <c r="K5479" s="3">
        <v>28.853345999999998</v>
      </c>
      <c r="L5479" s="3">
        <v>707.39747584928602</v>
      </c>
    </row>
    <row r="5480" spans="1:12" ht="15" customHeight="1" x14ac:dyDescent="0.2">
      <c r="A5480" s="2">
        <v>38099</v>
      </c>
      <c r="B5480" s="3">
        <v>29.186679999999999</v>
      </c>
      <c r="C5480" s="1">
        <v>1944549.7</v>
      </c>
      <c r="D5480" s="3">
        <v>0.62000099999999803</v>
      </c>
      <c r="E5480" s="3">
        <v>2.17036429050783</v>
      </c>
      <c r="F5480" s="3">
        <v>2.17036429050783</v>
      </c>
      <c r="G5480" s="3">
        <v>29.186679999999999</v>
      </c>
      <c r="H5480" s="3">
        <v>713.34240605411799</v>
      </c>
      <c r="I5480" s="3">
        <v>28.660015000000001</v>
      </c>
      <c r="J5480" s="3">
        <v>29.413347000000002</v>
      </c>
      <c r="K5480" s="3">
        <v>28.606680000000001</v>
      </c>
      <c r="L5480" s="3">
        <v>713.34240605411799</v>
      </c>
    </row>
    <row r="5481" spans="1:12" ht="15" customHeight="1" x14ac:dyDescent="0.2">
      <c r="A5481" s="2">
        <v>38098</v>
      </c>
      <c r="B5481" s="3">
        <v>28.566679000000001</v>
      </c>
      <c r="C5481" s="1">
        <v>3611227.3</v>
      </c>
      <c r="D5481" s="3">
        <v>-1.3866689999999899</v>
      </c>
      <c r="E5481" s="3">
        <v>-4.6294290708337398</v>
      </c>
      <c r="F5481" s="3">
        <v>-4.6294290708337398</v>
      </c>
      <c r="G5481" s="3">
        <v>28.566679000000001</v>
      </c>
      <c r="H5481" s="3">
        <v>696.06489778336004</v>
      </c>
      <c r="I5481" s="3">
        <v>29.260014000000002</v>
      </c>
      <c r="J5481" s="3">
        <v>29.333347</v>
      </c>
      <c r="K5481" s="3">
        <v>28.166679999999999</v>
      </c>
      <c r="L5481" s="3">
        <v>696.06489778336004</v>
      </c>
    </row>
    <row r="5482" spans="1:12" ht="15" customHeight="1" x14ac:dyDescent="0.2">
      <c r="A5482" s="2">
        <v>38097</v>
      </c>
      <c r="B5482" s="3">
        <v>29.953347999999998</v>
      </c>
      <c r="C5482" s="1">
        <v>730936.1</v>
      </c>
      <c r="D5482" s="3">
        <v>-1.06</v>
      </c>
      <c r="E5482" s="3">
        <v>-3.41788316437168</v>
      </c>
      <c r="F5482" s="3">
        <v>-3.41788316437168</v>
      </c>
      <c r="G5482" s="3">
        <v>29.953347999999998</v>
      </c>
      <c r="H5482" s="3">
        <v>734.70706951582997</v>
      </c>
      <c r="I5482" s="3">
        <v>31.000015000000001</v>
      </c>
      <c r="J5482" s="3">
        <v>31.133348000000002</v>
      </c>
      <c r="K5482" s="3">
        <v>29.780011999999999</v>
      </c>
      <c r="L5482" s="3">
        <v>734.70706951582997</v>
      </c>
    </row>
    <row r="5483" spans="1:12" ht="15" customHeight="1" x14ac:dyDescent="0.2">
      <c r="A5483" s="2">
        <v>38096</v>
      </c>
      <c r="B5483" s="3">
        <v>31.013348000000001</v>
      </c>
      <c r="C5483" s="1">
        <v>435598.27</v>
      </c>
      <c r="D5483" s="3">
        <v>6.0000000000002197E-2</v>
      </c>
      <c r="E5483" s="3">
        <v>0.19384009768508201</v>
      </c>
      <c r="F5483" s="3">
        <v>0.19384009768508201</v>
      </c>
      <c r="G5483" s="3">
        <v>31.013348000000001</v>
      </c>
      <c r="H5483" s="3">
        <v>764.24598762564494</v>
      </c>
      <c r="I5483" s="3">
        <v>30.993351000000001</v>
      </c>
      <c r="J5483" s="3">
        <v>31.400015</v>
      </c>
      <c r="K5483" s="3">
        <v>30.726680000000002</v>
      </c>
      <c r="L5483" s="3">
        <v>764.24598762564494</v>
      </c>
    </row>
    <row r="5484" spans="1:12" ht="15" customHeight="1" x14ac:dyDescent="0.2">
      <c r="A5484" s="2">
        <v>38093</v>
      </c>
      <c r="B5484" s="3">
        <v>30.953347999999998</v>
      </c>
      <c r="C5484" s="1">
        <v>403934.8</v>
      </c>
      <c r="D5484" s="3">
        <v>0.56666499999999598</v>
      </c>
      <c r="E5484" s="3">
        <v>1.86484651845677</v>
      </c>
      <c r="F5484" s="3">
        <v>1.86484651845677</v>
      </c>
      <c r="G5484" s="3">
        <v>30.953347999999998</v>
      </c>
      <c r="H5484" s="3">
        <v>762.57397339301394</v>
      </c>
      <c r="I5484" s="3">
        <v>30.540016000000001</v>
      </c>
      <c r="J5484" s="3">
        <v>31.346682000000001</v>
      </c>
      <c r="K5484" s="3">
        <v>30.253350000000001</v>
      </c>
      <c r="L5484" s="3">
        <v>762.57397339301394</v>
      </c>
    </row>
    <row r="5485" spans="1:12" ht="15" customHeight="1" x14ac:dyDescent="0.2">
      <c r="A5485" s="2">
        <v>38092</v>
      </c>
      <c r="B5485" s="3">
        <v>30.386683000000001</v>
      </c>
      <c r="C5485" s="1">
        <v>774106.14</v>
      </c>
      <c r="D5485" s="3">
        <v>-0.406662999999998</v>
      </c>
      <c r="E5485" s="3">
        <v>-1.32061972089684</v>
      </c>
      <c r="F5485" s="3">
        <v>-1.32061972089684</v>
      </c>
      <c r="G5485" s="3">
        <v>30.386683000000001</v>
      </c>
      <c r="H5485" s="3">
        <v>746.78277430745004</v>
      </c>
      <c r="I5485" s="3">
        <v>30.880013999999999</v>
      </c>
      <c r="J5485" s="3">
        <v>30.986681000000001</v>
      </c>
      <c r="K5485" s="3">
        <v>30.266681999999999</v>
      </c>
      <c r="L5485" s="3">
        <v>746.78277430745004</v>
      </c>
    </row>
    <row r="5486" spans="1:12" ht="15" customHeight="1" x14ac:dyDescent="0.2">
      <c r="A5486" s="2">
        <v>38091</v>
      </c>
      <c r="B5486" s="3">
        <v>30.793346</v>
      </c>
      <c r="C5486" s="1">
        <v>785324.65</v>
      </c>
      <c r="D5486" s="3">
        <v>-0.30000199999999899</v>
      </c>
      <c r="E5486" s="3">
        <v>-0.96484302687507295</v>
      </c>
      <c r="F5486" s="3">
        <v>-0.96484302687507295</v>
      </c>
      <c r="G5486" s="3">
        <v>30.793346</v>
      </c>
      <c r="H5486" s="3">
        <v>758.11521303885695</v>
      </c>
      <c r="I5486" s="3">
        <v>30.746680999999999</v>
      </c>
      <c r="J5486" s="3">
        <v>30.846682000000001</v>
      </c>
      <c r="K5486" s="3">
        <v>30.420014999999999</v>
      </c>
      <c r="L5486" s="3">
        <v>758.11521303885695</v>
      </c>
    </row>
    <row r="5487" spans="1:12" ht="15" customHeight="1" x14ac:dyDescent="0.2">
      <c r="A5487" s="2">
        <v>38090</v>
      </c>
      <c r="B5487" s="3">
        <v>31.093347999999999</v>
      </c>
      <c r="C5487" s="1">
        <v>465394.3</v>
      </c>
      <c r="D5487" s="3">
        <v>-0.66000200000000198</v>
      </c>
      <c r="E5487" s="3">
        <v>-2.0785271475293099</v>
      </c>
      <c r="F5487" s="3">
        <v>-2.0785271475293099</v>
      </c>
      <c r="G5487" s="3">
        <v>31.093347999999999</v>
      </c>
      <c r="H5487" s="3">
        <v>766.47533993581999</v>
      </c>
      <c r="I5487" s="3">
        <v>31.853348</v>
      </c>
      <c r="J5487" s="3">
        <v>31.866682000000001</v>
      </c>
      <c r="K5487" s="3">
        <v>31.000015000000001</v>
      </c>
      <c r="L5487" s="3">
        <v>766.47533993581999</v>
      </c>
    </row>
    <row r="5488" spans="1:12" ht="15" customHeight="1" x14ac:dyDescent="0.2">
      <c r="A5488" s="2">
        <v>38089</v>
      </c>
      <c r="B5488" s="3">
        <v>31.753350000000001</v>
      </c>
      <c r="C5488" s="1">
        <v>255932.88</v>
      </c>
      <c r="D5488" s="3">
        <v>0.313334000000001</v>
      </c>
      <c r="E5488" s="3">
        <v>0.99660890757817799</v>
      </c>
      <c r="F5488" s="3">
        <v>0.99660890757817799</v>
      </c>
      <c r="G5488" s="3">
        <v>31.753350000000001</v>
      </c>
      <c r="H5488" s="3">
        <v>784.86755222856902</v>
      </c>
      <c r="I5488" s="3">
        <v>31.400015</v>
      </c>
      <c r="J5488" s="3">
        <v>31.880013999999999</v>
      </c>
      <c r="K5488" s="3">
        <v>31.400015</v>
      </c>
      <c r="L5488" s="3">
        <v>784.86755222856902</v>
      </c>
    </row>
    <row r="5489" spans="1:12" ht="15" customHeight="1" x14ac:dyDescent="0.2">
      <c r="A5489" s="2">
        <v>38085</v>
      </c>
      <c r="B5489" s="3">
        <v>31.440016</v>
      </c>
      <c r="C5489" s="1">
        <v>344767.33</v>
      </c>
      <c r="D5489" s="3">
        <v>-0.53333299999999895</v>
      </c>
      <c r="E5489" s="3">
        <v>-1.6680548540598501</v>
      </c>
      <c r="F5489" s="3">
        <v>-1.6680548540598501</v>
      </c>
      <c r="G5489" s="3">
        <v>31.440016</v>
      </c>
      <c r="H5489" s="3">
        <v>776.13590376911498</v>
      </c>
      <c r="I5489" s="3">
        <v>32.093350000000001</v>
      </c>
      <c r="J5489" s="3">
        <v>32.253349999999998</v>
      </c>
      <c r="K5489" s="3">
        <v>31.286681999999999</v>
      </c>
      <c r="L5489" s="3">
        <v>776.13590376911498</v>
      </c>
    </row>
    <row r="5490" spans="1:12" ht="15" customHeight="1" x14ac:dyDescent="0.2">
      <c r="A5490" s="2">
        <v>38084</v>
      </c>
      <c r="B5490" s="3">
        <v>31.973348999999999</v>
      </c>
      <c r="C5490" s="1">
        <v>834187.13</v>
      </c>
      <c r="D5490" s="3">
        <v>0.13999899999999901</v>
      </c>
      <c r="E5490" s="3">
        <v>0.43978720429988999</v>
      </c>
      <c r="F5490" s="3">
        <v>0.43978720429988999</v>
      </c>
      <c r="G5490" s="3">
        <v>31.973348999999999</v>
      </c>
      <c r="H5490" s="3">
        <v>790.99824321464496</v>
      </c>
      <c r="I5490" s="3">
        <v>31.813348999999999</v>
      </c>
      <c r="J5490" s="3">
        <v>32.126682000000002</v>
      </c>
      <c r="K5490" s="3">
        <v>31.773347999999999</v>
      </c>
      <c r="L5490" s="3">
        <v>790.99824321464496</v>
      </c>
    </row>
    <row r="5491" spans="1:12" ht="15" customHeight="1" x14ac:dyDescent="0.2">
      <c r="A5491" s="2">
        <v>38083</v>
      </c>
      <c r="B5491" s="3">
        <v>31.833349999999999</v>
      </c>
      <c r="C5491" s="1">
        <v>1004164</v>
      </c>
      <c r="D5491" s="3">
        <v>0.32666899999999899</v>
      </c>
      <c r="E5491" s="3">
        <v>1.0368245388969901</v>
      </c>
      <c r="F5491" s="3">
        <v>1.0368245388969901</v>
      </c>
      <c r="G5491" s="3">
        <v>31.833349999999999</v>
      </c>
      <c r="H5491" s="3">
        <v>787.09690453874305</v>
      </c>
      <c r="I5491" s="3">
        <v>31.480017</v>
      </c>
      <c r="J5491" s="3">
        <v>31.946680000000001</v>
      </c>
      <c r="K5491" s="3">
        <v>31.436682000000001</v>
      </c>
      <c r="L5491" s="3">
        <v>787.09690453874305</v>
      </c>
    </row>
    <row r="5492" spans="1:12" ht="15" customHeight="1" x14ac:dyDescent="0.2">
      <c r="A5492" s="2">
        <v>38082</v>
      </c>
      <c r="B5492" s="3">
        <v>31.506681</v>
      </c>
      <c r="C5492" s="1">
        <v>675887.7</v>
      </c>
      <c r="D5492" s="3">
        <v>0.88000100000000003</v>
      </c>
      <c r="E5492" s="3">
        <v>2.8733150312080902</v>
      </c>
      <c r="F5492" s="3">
        <v>2.8733150312080902</v>
      </c>
      <c r="G5492" s="3">
        <v>31.506681</v>
      </c>
      <c r="H5492" s="3">
        <v>777.99365091608797</v>
      </c>
      <c r="I5492" s="3">
        <v>30.620014000000001</v>
      </c>
      <c r="J5492" s="3">
        <v>31.600016</v>
      </c>
      <c r="K5492" s="3">
        <v>30.573349</v>
      </c>
      <c r="L5492" s="3">
        <v>777.99365091608797</v>
      </c>
    </row>
    <row r="5493" spans="1:12" ht="15" customHeight="1" x14ac:dyDescent="0.2">
      <c r="A5493" s="2">
        <v>38079</v>
      </c>
      <c r="B5493" s="3">
        <v>30.62668</v>
      </c>
      <c r="C5493" s="1">
        <v>600283.19999999995</v>
      </c>
      <c r="D5493" s="3">
        <v>1.3334000000000399E-2</v>
      </c>
      <c r="E5493" s="3">
        <v>4.3556166647062897E-2</v>
      </c>
      <c r="F5493" s="3">
        <v>4.3556166647062897E-2</v>
      </c>
      <c r="G5493" s="3">
        <v>30.62668</v>
      </c>
      <c r="H5493" s="3">
        <v>753.47074763726198</v>
      </c>
      <c r="I5493" s="3">
        <v>30.866679999999999</v>
      </c>
      <c r="J5493" s="3">
        <v>30.986681000000001</v>
      </c>
      <c r="K5493" s="3">
        <v>30.573349</v>
      </c>
      <c r="L5493" s="3">
        <v>753.47074763726198</v>
      </c>
    </row>
    <row r="5494" spans="1:12" ht="15" customHeight="1" x14ac:dyDescent="0.2">
      <c r="A5494" s="2">
        <v>38078</v>
      </c>
      <c r="B5494" s="3">
        <v>30.613346</v>
      </c>
      <c r="C5494" s="1">
        <v>720779.66</v>
      </c>
      <c r="D5494" s="3">
        <v>-0.120000999999998</v>
      </c>
      <c r="E5494" s="3">
        <v>-0.39045861161818202</v>
      </c>
      <c r="F5494" s="3">
        <v>-0.39045861161818202</v>
      </c>
      <c r="G5494" s="3">
        <v>30.613346</v>
      </c>
      <c r="H5494" s="3">
        <v>753.09917034096395</v>
      </c>
      <c r="I5494" s="3">
        <v>30.886683000000001</v>
      </c>
      <c r="J5494" s="3">
        <v>31.086680999999999</v>
      </c>
      <c r="K5494" s="3">
        <v>30.426682</v>
      </c>
      <c r="L5494" s="3">
        <v>753.09917034096395</v>
      </c>
    </row>
    <row r="5495" spans="1:12" ht="15" customHeight="1" x14ac:dyDescent="0.2">
      <c r="A5495" s="2">
        <v>38077</v>
      </c>
      <c r="B5495" s="3">
        <v>30.733346999999998</v>
      </c>
      <c r="C5495" s="1">
        <v>530131.19999999995</v>
      </c>
      <c r="D5495" s="3">
        <v>-0.37333499999999997</v>
      </c>
      <c r="E5495" s="3">
        <v>-1.2001762193730601</v>
      </c>
      <c r="F5495" s="3">
        <v>-1.2001762193730601</v>
      </c>
      <c r="G5495" s="3">
        <v>30.733346999999998</v>
      </c>
      <c r="H5495" s="3">
        <v>756.44322667312997</v>
      </c>
      <c r="I5495" s="3">
        <v>31.186679999999999</v>
      </c>
      <c r="J5495" s="3">
        <v>31.200013999999999</v>
      </c>
      <c r="K5495" s="3">
        <v>30.473347</v>
      </c>
      <c r="L5495" s="3">
        <v>756.44322667312997</v>
      </c>
    </row>
    <row r="5496" spans="1:12" ht="15" customHeight="1" x14ac:dyDescent="0.2">
      <c r="A5496" s="2">
        <v>38076</v>
      </c>
      <c r="B5496" s="3">
        <v>31.106681999999999</v>
      </c>
      <c r="C5496" s="1">
        <v>785098.13999999897</v>
      </c>
      <c r="D5496" s="3">
        <v>0.493335999999999</v>
      </c>
      <c r="E5496" s="3">
        <v>1.6115063018593301</v>
      </c>
      <c r="F5496" s="3">
        <v>1.6115063018593301</v>
      </c>
      <c r="G5496" s="3">
        <v>31.106681999999999</v>
      </c>
      <c r="H5496" s="3">
        <v>766.84691723211802</v>
      </c>
      <c r="I5496" s="3">
        <v>30.600016</v>
      </c>
      <c r="J5496" s="3">
        <v>31.346682000000001</v>
      </c>
      <c r="K5496" s="3">
        <v>30.526682000000001</v>
      </c>
      <c r="L5496" s="3">
        <v>766.84691723211802</v>
      </c>
    </row>
    <row r="5497" spans="1:12" ht="15" customHeight="1" x14ac:dyDescent="0.2">
      <c r="A5497" s="2">
        <v>38075</v>
      </c>
      <c r="B5497" s="3">
        <v>30.613346</v>
      </c>
      <c r="C5497" s="1">
        <v>1025084.49999999</v>
      </c>
      <c r="D5497" s="3">
        <v>0.973333</v>
      </c>
      <c r="E5497" s="3">
        <v>3.28384808738106</v>
      </c>
      <c r="F5497" s="3">
        <v>3.28384808738106</v>
      </c>
      <c r="G5497" s="3">
        <v>30.613346</v>
      </c>
      <c r="H5497" s="3">
        <v>753.09917034096395</v>
      </c>
      <c r="I5497" s="3">
        <v>29.660015000000001</v>
      </c>
      <c r="J5497" s="3">
        <v>30.62668</v>
      </c>
      <c r="K5497" s="3">
        <v>29.566679000000001</v>
      </c>
      <c r="L5497" s="3">
        <v>753.09917034096395</v>
      </c>
    </row>
    <row r="5498" spans="1:12" ht="15" customHeight="1" x14ac:dyDescent="0.2">
      <c r="A5498" s="2">
        <v>38072</v>
      </c>
      <c r="B5498" s="3">
        <v>29.640013</v>
      </c>
      <c r="C5498" s="1">
        <v>556810.23999999999</v>
      </c>
      <c r="D5498" s="3">
        <v>-0.31333499999999798</v>
      </c>
      <c r="E5498" s="3">
        <v>-1.0460767190365401</v>
      </c>
      <c r="F5498" s="3">
        <v>-1.0460767190365401</v>
      </c>
      <c r="G5498" s="3">
        <v>29.640013</v>
      </c>
      <c r="H5498" s="3">
        <v>725.97539318947304</v>
      </c>
      <c r="I5498" s="3">
        <v>29.96668</v>
      </c>
      <c r="J5498" s="3">
        <v>30.053349000000001</v>
      </c>
      <c r="K5498" s="3">
        <v>29.566679000000001</v>
      </c>
      <c r="L5498" s="3">
        <v>725.97539318947304</v>
      </c>
    </row>
    <row r="5499" spans="1:12" ht="15" customHeight="1" x14ac:dyDescent="0.2">
      <c r="A5499" s="2">
        <v>38071</v>
      </c>
      <c r="B5499" s="3">
        <v>29.953347999999998</v>
      </c>
      <c r="C5499" s="1">
        <v>613231.19999999995</v>
      </c>
      <c r="D5499" s="3">
        <v>0.50666799999999701</v>
      </c>
      <c r="E5499" s="3">
        <v>1.72062860736761</v>
      </c>
      <c r="F5499" s="3">
        <v>1.72062860736761</v>
      </c>
      <c r="G5499" s="3">
        <v>29.953347999999998</v>
      </c>
      <c r="H5499" s="3">
        <v>734.70706951582997</v>
      </c>
      <c r="I5499" s="3">
        <v>29.460011999999999</v>
      </c>
      <c r="J5499" s="3">
        <v>30.000015000000001</v>
      </c>
      <c r="K5499" s="3">
        <v>29.400013000000001</v>
      </c>
      <c r="L5499" s="3">
        <v>734.70706951582997</v>
      </c>
    </row>
    <row r="5500" spans="1:12" ht="15" customHeight="1" x14ac:dyDescent="0.2">
      <c r="A5500" s="2">
        <v>38070</v>
      </c>
      <c r="B5500" s="3">
        <v>29.446680000000001</v>
      </c>
      <c r="C5500" s="1">
        <v>1022971</v>
      </c>
      <c r="D5500" s="3">
        <v>-0.20666699999999899</v>
      </c>
      <c r="E5500" s="3">
        <v>-0.69694324893577697</v>
      </c>
      <c r="F5500" s="3">
        <v>-0.69694324893577697</v>
      </c>
      <c r="G5500" s="3">
        <v>29.446680000000001</v>
      </c>
      <c r="H5500" s="3">
        <v>720.58780106218603</v>
      </c>
      <c r="I5500" s="3">
        <v>29.800014000000001</v>
      </c>
      <c r="J5500" s="3">
        <v>30.106681999999999</v>
      </c>
      <c r="K5500" s="3">
        <v>29.436014</v>
      </c>
      <c r="L5500" s="3">
        <v>720.58780106218603</v>
      </c>
    </row>
    <row r="5501" spans="1:12" ht="15" customHeight="1" x14ac:dyDescent="0.2">
      <c r="A5501" s="2">
        <v>38069</v>
      </c>
      <c r="B5501" s="3">
        <v>29.653347</v>
      </c>
      <c r="C5501" s="1">
        <v>1041071.5</v>
      </c>
      <c r="D5501" s="3">
        <v>0.39333299999999799</v>
      </c>
      <c r="E5501" s="3">
        <v>1.3442679829203099</v>
      </c>
      <c r="F5501" s="3">
        <v>1.3442679829203099</v>
      </c>
      <c r="G5501" s="3">
        <v>29.653347</v>
      </c>
      <c r="H5501" s="3">
        <v>726.34697048577095</v>
      </c>
      <c r="I5501" s="3">
        <v>29.226680000000002</v>
      </c>
      <c r="J5501" s="3">
        <v>29.733346999999998</v>
      </c>
      <c r="K5501" s="3">
        <v>29.086680999999999</v>
      </c>
      <c r="L5501" s="3">
        <v>726.34697048577095</v>
      </c>
    </row>
    <row r="5502" spans="1:12" ht="15" customHeight="1" x14ac:dyDescent="0.2">
      <c r="A5502" s="2">
        <v>38068</v>
      </c>
      <c r="B5502" s="3">
        <v>29.260014000000002</v>
      </c>
      <c r="C5502" s="1">
        <v>1576215.7</v>
      </c>
      <c r="D5502" s="3">
        <v>-0.63999899999999899</v>
      </c>
      <c r="E5502" s="3">
        <v>-2.14046395230663</v>
      </c>
      <c r="F5502" s="3">
        <v>-2.14046395230663</v>
      </c>
      <c r="G5502" s="3">
        <v>29.260014000000002</v>
      </c>
      <c r="H5502" s="3">
        <v>715.38599758304701</v>
      </c>
      <c r="I5502" s="3">
        <v>29.893346999999999</v>
      </c>
      <c r="J5502" s="3">
        <v>29.946680000000001</v>
      </c>
      <c r="K5502" s="3">
        <v>29.000012999999999</v>
      </c>
      <c r="L5502" s="3">
        <v>715.38599758304701</v>
      </c>
    </row>
    <row r="5503" spans="1:12" ht="15" customHeight="1" x14ac:dyDescent="0.2">
      <c r="A5503" s="2">
        <v>38065</v>
      </c>
      <c r="B5503" s="3">
        <v>29.900013000000001</v>
      </c>
      <c r="C5503" s="1">
        <v>1149362.5</v>
      </c>
      <c r="D5503" s="3">
        <v>-0.14000299999999999</v>
      </c>
      <c r="E5503" s="3">
        <v>-0.46605501142209499</v>
      </c>
      <c r="F5503" s="3">
        <v>-0.46605501142209499</v>
      </c>
      <c r="G5503" s="3">
        <v>29.900013000000001</v>
      </c>
      <c r="H5503" s="3">
        <v>733.22078819754097</v>
      </c>
      <c r="I5503" s="3">
        <v>30.160015000000001</v>
      </c>
      <c r="J5503" s="3">
        <v>30.393349000000001</v>
      </c>
      <c r="K5503" s="3">
        <v>29.640013</v>
      </c>
      <c r="L5503" s="3">
        <v>733.22078819754097</v>
      </c>
    </row>
    <row r="5504" spans="1:12" ht="15" customHeight="1" x14ac:dyDescent="0.2">
      <c r="A5504" s="2">
        <v>38064</v>
      </c>
      <c r="B5504" s="3">
        <v>30.040016000000001</v>
      </c>
      <c r="C5504" s="1">
        <v>3348955.5999999898</v>
      </c>
      <c r="D5504" s="3">
        <v>-1.31333199999999</v>
      </c>
      <c r="E5504" s="3">
        <v>-4.1888094375120604</v>
      </c>
      <c r="F5504" s="3">
        <v>-4.1888094375120604</v>
      </c>
      <c r="G5504" s="3">
        <v>30.040016000000001</v>
      </c>
      <c r="H5504" s="3">
        <v>737.12223834105805</v>
      </c>
      <c r="I5504" s="3">
        <v>30.300014000000001</v>
      </c>
      <c r="J5504" s="3">
        <v>30.680015999999998</v>
      </c>
      <c r="K5504" s="3">
        <v>30.026682000000001</v>
      </c>
      <c r="L5504" s="3">
        <v>737.12223834105805</v>
      </c>
    </row>
    <row r="5505" spans="1:12" ht="15" customHeight="1" x14ac:dyDescent="0.2">
      <c r="A5505" s="2">
        <v>38063</v>
      </c>
      <c r="B5505" s="3">
        <v>31.353348</v>
      </c>
      <c r="C5505" s="1">
        <v>499699.25</v>
      </c>
      <c r="D5505" s="3">
        <v>8.6666000000001006E-2</v>
      </c>
      <c r="E5505" s="3">
        <v>0.27718323293786001</v>
      </c>
      <c r="F5505" s="3">
        <v>0.27718323293786001</v>
      </c>
      <c r="G5505" s="3">
        <v>31.353348</v>
      </c>
      <c r="H5505" s="3">
        <v>773.72073494388701</v>
      </c>
      <c r="I5505" s="3">
        <v>31.266681999999999</v>
      </c>
      <c r="J5505" s="3">
        <v>31.700013999999999</v>
      </c>
      <c r="K5505" s="3">
        <v>31.266681999999999</v>
      </c>
      <c r="L5505" s="3">
        <v>773.72073494388701</v>
      </c>
    </row>
    <row r="5506" spans="1:12" ht="15" customHeight="1" x14ac:dyDescent="0.2">
      <c r="A5506" s="2">
        <v>38062</v>
      </c>
      <c r="B5506" s="3">
        <v>31.266681999999999</v>
      </c>
      <c r="C5506" s="1">
        <v>596809.19999999995</v>
      </c>
      <c r="D5506" s="3">
        <v>-0.27333400000000102</v>
      </c>
      <c r="E5506" s="3">
        <v>-0.86662606639135098</v>
      </c>
      <c r="F5506" s="3">
        <v>-0.86662606639135098</v>
      </c>
      <c r="G5506" s="3">
        <v>31.266681999999999</v>
      </c>
      <c r="H5506" s="3">
        <v>771.30562185246799</v>
      </c>
      <c r="I5506" s="3">
        <v>31.640015000000002</v>
      </c>
      <c r="J5506" s="3">
        <v>31.926682</v>
      </c>
      <c r="K5506" s="3">
        <v>31.206682000000001</v>
      </c>
      <c r="L5506" s="3">
        <v>771.30562185246799</v>
      </c>
    </row>
    <row r="5507" spans="1:12" ht="15" customHeight="1" x14ac:dyDescent="0.2">
      <c r="A5507" s="2">
        <v>38061</v>
      </c>
      <c r="B5507" s="3">
        <v>31.540016000000001</v>
      </c>
      <c r="C5507" s="1">
        <v>576653.75</v>
      </c>
      <c r="D5507" s="3">
        <v>-0.39333399999999902</v>
      </c>
      <c r="E5507" s="3">
        <v>-1.23173422143307</v>
      </c>
      <c r="F5507" s="3">
        <v>-1.23173422143307</v>
      </c>
      <c r="G5507" s="3">
        <v>31.540016000000001</v>
      </c>
      <c r="H5507" s="3">
        <v>778.92259415683395</v>
      </c>
      <c r="I5507" s="3">
        <v>31.926682</v>
      </c>
      <c r="J5507" s="3">
        <v>32.093350000000001</v>
      </c>
      <c r="K5507" s="3">
        <v>31.433350000000001</v>
      </c>
      <c r="L5507" s="3">
        <v>778.92259415683395</v>
      </c>
    </row>
    <row r="5508" spans="1:12" ht="15" customHeight="1" x14ac:dyDescent="0.2">
      <c r="A5508" s="2">
        <v>38058</v>
      </c>
      <c r="B5508" s="3">
        <v>31.933350000000001</v>
      </c>
      <c r="C5508" s="1">
        <v>767011.1</v>
      </c>
      <c r="D5508" s="3">
        <v>0.74667000000000106</v>
      </c>
      <c r="E5508" s="3">
        <v>2.39419521411063</v>
      </c>
      <c r="F5508" s="3">
        <v>2.39419521411063</v>
      </c>
      <c r="G5508" s="3">
        <v>31.933350000000001</v>
      </c>
      <c r="H5508" s="3">
        <v>789.88359492646202</v>
      </c>
      <c r="I5508" s="3">
        <v>31.326682999999999</v>
      </c>
      <c r="J5508" s="3">
        <v>31.933350000000001</v>
      </c>
      <c r="K5508" s="3">
        <v>31.326682999999999</v>
      </c>
      <c r="L5508" s="3">
        <v>789.88359492646202</v>
      </c>
    </row>
    <row r="5509" spans="1:12" ht="15" customHeight="1" x14ac:dyDescent="0.2">
      <c r="A5509" s="2">
        <v>38057</v>
      </c>
      <c r="B5509" s="3">
        <v>31.186679999999999</v>
      </c>
      <c r="C5509" s="1">
        <v>842900.63</v>
      </c>
      <c r="D5509" s="3">
        <v>-0.63333500000000198</v>
      </c>
      <c r="E5509" s="3">
        <v>-1.9903667550125399</v>
      </c>
      <c r="F5509" s="3">
        <v>-1.9903667550125399</v>
      </c>
      <c r="G5509" s="3">
        <v>31.186679999999999</v>
      </c>
      <c r="H5509" s="3">
        <v>769.07621380848502</v>
      </c>
      <c r="I5509" s="3">
        <v>31.706686000000001</v>
      </c>
      <c r="J5509" s="3">
        <v>32.13335</v>
      </c>
      <c r="K5509" s="3">
        <v>31.12668</v>
      </c>
      <c r="L5509" s="3">
        <v>769.07621380848502</v>
      </c>
    </row>
    <row r="5510" spans="1:12" ht="15" customHeight="1" x14ac:dyDescent="0.2">
      <c r="A5510" s="2">
        <v>38056</v>
      </c>
      <c r="B5510" s="3">
        <v>31.820015000000001</v>
      </c>
      <c r="C5510" s="1">
        <v>710519.7</v>
      </c>
      <c r="D5510" s="3">
        <v>-0.57333499999999604</v>
      </c>
      <c r="E5510" s="3">
        <v>-1.7699157388784901</v>
      </c>
      <c r="F5510" s="3">
        <v>-1.7699157388784901</v>
      </c>
      <c r="G5510" s="3">
        <v>31.820015000000001</v>
      </c>
      <c r="H5510" s="3">
        <v>786.725299375541</v>
      </c>
      <c r="I5510" s="3">
        <v>32.373351999999997</v>
      </c>
      <c r="J5510" s="3">
        <v>32.400013000000001</v>
      </c>
      <c r="K5510" s="3">
        <v>31.800015999999999</v>
      </c>
      <c r="L5510" s="3">
        <v>786.725299375541</v>
      </c>
    </row>
    <row r="5511" spans="1:12" ht="15" customHeight="1" x14ac:dyDescent="0.2">
      <c r="A5511" s="2">
        <v>38055</v>
      </c>
      <c r="B5511" s="3">
        <v>32.393349999999998</v>
      </c>
      <c r="C5511" s="1">
        <v>594812.69999999995</v>
      </c>
      <c r="D5511" s="3">
        <v>-0.17332999999999901</v>
      </c>
      <c r="E5511" s="3">
        <v>-0.532231102464231</v>
      </c>
      <c r="F5511" s="3">
        <v>-0.532231102464231</v>
      </c>
      <c r="G5511" s="3">
        <v>32.393349999999998</v>
      </c>
      <c r="H5511" s="3">
        <v>802.70237070996598</v>
      </c>
      <c r="I5511" s="3">
        <v>32.566679999999998</v>
      </c>
      <c r="J5511" s="3">
        <v>32.626682000000002</v>
      </c>
      <c r="K5511" s="3">
        <v>32.206684000000003</v>
      </c>
      <c r="L5511" s="3">
        <v>802.70237070996598</v>
      </c>
    </row>
    <row r="5512" spans="1:12" ht="15" customHeight="1" x14ac:dyDescent="0.2">
      <c r="A5512" s="2">
        <v>38054</v>
      </c>
      <c r="B5512" s="3">
        <v>32.566679999999998</v>
      </c>
      <c r="C5512" s="1">
        <v>451304.77999999898</v>
      </c>
      <c r="D5512" s="3">
        <v>6.6665000000000404E-2</v>
      </c>
      <c r="E5512" s="3">
        <v>0.20512298225092701</v>
      </c>
      <c r="F5512" s="3">
        <v>0.20512298225092701</v>
      </c>
      <c r="G5512" s="3">
        <v>32.566679999999998</v>
      </c>
      <c r="H5512" s="3">
        <v>807.53254115899801</v>
      </c>
      <c r="I5512" s="3">
        <v>32.500014999999998</v>
      </c>
      <c r="J5512" s="3">
        <v>32.733350000000002</v>
      </c>
      <c r="K5512" s="3">
        <v>32.466681999999999</v>
      </c>
      <c r="L5512" s="3">
        <v>807.53254115899801</v>
      </c>
    </row>
    <row r="5513" spans="1:12" ht="15" customHeight="1" x14ac:dyDescent="0.2">
      <c r="A5513" s="2">
        <v>38051</v>
      </c>
      <c r="B5513" s="3">
        <v>32.500014999999998</v>
      </c>
      <c r="C5513" s="1">
        <v>586468.26</v>
      </c>
      <c r="D5513" s="3">
        <v>-0.10000299999999999</v>
      </c>
      <c r="E5513" s="3">
        <v>-0.30675749933635199</v>
      </c>
      <c r="F5513" s="3">
        <v>-0.30675749933635199</v>
      </c>
      <c r="G5513" s="3">
        <v>32.500014999999998</v>
      </c>
      <c r="H5513" s="3">
        <v>805.67479401202604</v>
      </c>
      <c r="I5513" s="3">
        <v>32.340015000000001</v>
      </c>
      <c r="J5513" s="3">
        <v>32.746679999999998</v>
      </c>
      <c r="K5513" s="3">
        <v>32.186680000000003</v>
      </c>
      <c r="L5513" s="3">
        <v>805.67479401202604</v>
      </c>
    </row>
    <row r="5514" spans="1:12" ht="15" customHeight="1" x14ac:dyDescent="0.2">
      <c r="A5514" s="2">
        <v>38050</v>
      </c>
      <c r="B5514" s="3">
        <v>32.600017999999999</v>
      </c>
      <c r="C5514" s="1">
        <v>401497.3</v>
      </c>
      <c r="D5514" s="3">
        <v>0.41333799999999599</v>
      </c>
      <c r="E5514" s="3">
        <v>1.2841896088692399</v>
      </c>
      <c r="F5514" s="3">
        <v>1.2841896088692399</v>
      </c>
      <c r="G5514" s="3">
        <v>32.600017999999999</v>
      </c>
      <c r="H5514" s="3">
        <v>808.46156800045605</v>
      </c>
      <c r="I5514" s="3">
        <v>32.353347999999997</v>
      </c>
      <c r="J5514" s="3">
        <v>32.720016000000001</v>
      </c>
      <c r="K5514" s="3">
        <v>32.340015000000001</v>
      </c>
      <c r="L5514" s="3">
        <v>808.46156800045605</v>
      </c>
    </row>
    <row r="5515" spans="1:12" ht="15" customHeight="1" x14ac:dyDescent="0.2">
      <c r="A5515" s="2">
        <v>38049</v>
      </c>
      <c r="B5515" s="3">
        <v>32.186680000000003</v>
      </c>
      <c r="C5515" s="1">
        <v>753170.65</v>
      </c>
      <c r="D5515" s="3">
        <v>-5.3336999999999003E-2</v>
      </c>
      <c r="E5515" s="3">
        <v>-0.165437257678857</v>
      </c>
      <c r="F5515" s="3">
        <v>-0.165437257678857</v>
      </c>
      <c r="G5515" s="3">
        <v>32.186680000000003</v>
      </c>
      <c r="H5515" s="3">
        <v>796.94311768566899</v>
      </c>
      <c r="I5515" s="3">
        <v>32.420017000000001</v>
      </c>
      <c r="J5515" s="3">
        <v>32.550013999999997</v>
      </c>
      <c r="K5515" s="3">
        <v>31.833349999999999</v>
      </c>
      <c r="L5515" s="3">
        <v>796.94311768566899</v>
      </c>
    </row>
    <row r="5516" spans="1:12" ht="15" customHeight="1" x14ac:dyDescent="0.2">
      <c r="A5516" s="2">
        <v>38048</v>
      </c>
      <c r="B5516" s="3">
        <v>32.240017000000002</v>
      </c>
      <c r="C5516" s="1">
        <v>695203.2</v>
      </c>
      <c r="D5516" s="3">
        <v>-3.3332999999998898E-2</v>
      </c>
      <c r="E5516" s="3">
        <v>-0.10328335918025</v>
      </c>
      <c r="F5516" s="3">
        <v>-0.10328335918025</v>
      </c>
      <c r="G5516" s="3">
        <v>32.240017000000002</v>
      </c>
      <c r="H5516" s="3">
        <v>798.42945473776604</v>
      </c>
      <c r="I5516" s="3">
        <v>32.273350000000001</v>
      </c>
      <c r="J5516" s="3">
        <v>32.49335</v>
      </c>
      <c r="K5516" s="3">
        <v>32.080013000000001</v>
      </c>
      <c r="L5516" s="3">
        <v>798.42945473776604</v>
      </c>
    </row>
    <row r="5517" spans="1:12" ht="15" customHeight="1" x14ac:dyDescent="0.2">
      <c r="A5517" s="2">
        <v>38047</v>
      </c>
      <c r="B5517" s="3">
        <v>32.273350000000001</v>
      </c>
      <c r="C5517" s="1">
        <v>1266225.8</v>
      </c>
      <c r="D5517" s="3">
        <v>0.78666899999999895</v>
      </c>
      <c r="E5517" s="3">
        <v>2.49841829947081</v>
      </c>
      <c r="F5517" s="3">
        <v>2.49841829947081</v>
      </c>
      <c r="G5517" s="3">
        <v>32.273350000000001</v>
      </c>
      <c r="H5517" s="3">
        <v>799.35834224470398</v>
      </c>
      <c r="I5517" s="3">
        <v>31.423347</v>
      </c>
      <c r="J5517" s="3">
        <v>32.473346999999997</v>
      </c>
      <c r="K5517" s="3">
        <v>31.420014999999999</v>
      </c>
      <c r="L5517" s="3">
        <v>799.35834224470398</v>
      </c>
    </row>
    <row r="5518" spans="1:12" ht="15" customHeight="1" x14ac:dyDescent="0.2">
      <c r="A5518" s="2">
        <v>38044</v>
      </c>
      <c r="B5518" s="3">
        <v>31.486681000000001</v>
      </c>
      <c r="C5518" s="1">
        <v>964351.1</v>
      </c>
      <c r="D5518" s="3">
        <v>0.69333500000000103</v>
      </c>
      <c r="E5518" s="3">
        <v>2.2515740900647701</v>
      </c>
      <c r="F5518" s="3">
        <v>2.2515740900647701</v>
      </c>
      <c r="G5518" s="3">
        <v>31.486681000000001</v>
      </c>
      <c r="H5518" s="3">
        <v>777.43631283854404</v>
      </c>
      <c r="I5518" s="3">
        <v>31.066680000000002</v>
      </c>
      <c r="J5518" s="3">
        <v>31.820015000000001</v>
      </c>
      <c r="K5518" s="3">
        <v>30.973347</v>
      </c>
      <c r="L5518" s="3">
        <v>777.43631283854404</v>
      </c>
    </row>
    <row r="5519" spans="1:12" ht="15" customHeight="1" x14ac:dyDescent="0.2">
      <c r="A5519" s="2">
        <v>38043</v>
      </c>
      <c r="B5519" s="3">
        <v>30.793346</v>
      </c>
      <c r="C5519" s="1">
        <v>996968.5</v>
      </c>
      <c r="D5519" s="3">
        <v>0.48666599999999899</v>
      </c>
      <c r="E5519" s="3">
        <v>1.6058043969184399</v>
      </c>
      <c r="F5519" s="3">
        <v>1.6058043969184399</v>
      </c>
      <c r="G5519" s="3">
        <v>30.793346</v>
      </c>
      <c r="H5519" s="3">
        <v>758.11521303885695</v>
      </c>
      <c r="I5519" s="3">
        <v>30.346684</v>
      </c>
      <c r="J5519" s="3">
        <v>30.980015000000002</v>
      </c>
      <c r="K5519" s="3">
        <v>30.226680000000002</v>
      </c>
      <c r="L5519" s="3">
        <v>758.11521303885695</v>
      </c>
    </row>
    <row r="5520" spans="1:12" ht="15" customHeight="1" x14ac:dyDescent="0.2">
      <c r="A5520" s="2">
        <v>38042</v>
      </c>
      <c r="B5520" s="3">
        <v>30.30668</v>
      </c>
      <c r="C5520" s="1">
        <v>398056.3</v>
      </c>
      <c r="D5520" s="3">
        <v>0.23999999999999799</v>
      </c>
      <c r="E5520" s="3">
        <v>0.79822581009940596</v>
      </c>
      <c r="F5520" s="3">
        <v>0.79822581009940596</v>
      </c>
      <c r="G5520" s="3">
        <v>30.30668</v>
      </c>
      <c r="H5520" s="3">
        <v>744.55333839656396</v>
      </c>
      <c r="I5520" s="3">
        <v>30.046679999999999</v>
      </c>
      <c r="J5520" s="3">
        <v>30.353348</v>
      </c>
      <c r="K5520" s="3">
        <v>29.940014000000001</v>
      </c>
      <c r="L5520" s="3">
        <v>744.55333839656396</v>
      </c>
    </row>
    <row r="5521" spans="1:12" ht="15" customHeight="1" x14ac:dyDescent="0.2">
      <c r="A5521" s="2">
        <v>38041</v>
      </c>
      <c r="B5521" s="3">
        <v>30.066680000000002</v>
      </c>
      <c r="C5521" s="1">
        <v>698578.2</v>
      </c>
      <c r="D5521" s="3">
        <v>0.31333299999999997</v>
      </c>
      <c r="E5521" s="3">
        <v>1.05310168970234</v>
      </c>
      <c r="F5521" s="3">
        <v>1.05310168970234</v>
      </c>
      <c r="G5521" s="3">
        <v>30.066680000000002</v>
      </c>
      <c r="H5521" s="3">
        <v>737.86528146603905</v>
      </c>
      <c r="I5521" s="3">
        <v>29.753347000000002</v>
      </c>
      <c r="J5521" s="3">
        <v>30.333347</v>
      </c>
      <c r="K5521" s="3">
        <v>29.619349</v>
      </c>
      <c r="L5521" s="3">
        <v>737.86528146603905</v>
      </c>
    </row>
    <row r="5522" spans="1:12" ht="15" customHeight="1" x14ac:dyDescent="0.2">
      <c r="A5522" s="2">
        <v>38040</v>
      </c>
      <c r="B5522" s="3">
        <v>29.753347000000002</v>
      </c>
      <c r="C5522" s="1">
        <v>598612.19999999995</v>
      </c>
      <c r="D5522" s="3">
        <v>-0.47999999999999599</v>
      </c>
      <c r="E5522" s="3">
        <v>-1.5876508809957199</v>
      </c>
      <c r="F5522" s="3">
        <v>-1.5876508809957199</v>
      </c>
      <c r="G5522" s="3">
        <v>29.753347000000002</v>
      </c>
      <c r="H5522" s="3">
        <v>729.13366087349004</v>
      </c>
      <c r="I5522" s="3">
        <v>30.333347</v>
      </c>
      <c r="J5522" s="3">
        <v>30.370681999999999</v>
      </c>
      <c r="K5522" s="3">
        <v>29.653347</v>
      </c>
      <c r="L5522" s="3">
        <v>729.13366087349004</v>
      </c>
    </row>
    <row r="5523" spans="1:12" ht="15" customHeight="1" x14ac:dyDescent="0.2">
      <c r="A5523" s="2">
        <v>38037</v>
      </c>
      <c r="B5523" s="3">
        <v>30.233346999999998</v>
      </c>
      <c r="C5523" s="1">
        <v>543584.799999999</v>
      </c>
      <c r="D5523" s="3">
        <v>1.9998999999998501E-2</v>
      </c>
      <c r="E5523" s="3">
        <v>6.61925980530053E-2</v>
      </c>
      <c r="F5523" s="3">
        <v>6.61925980530053E-2</v>
      </c>
      <c r="G5523" s="3">
        <v>30.233346999999998</v>
      </c>
      <c r="H5523" s="3">
        <v>742.50977473453804</v>
      </c>
      <c r="I5523" s="3">
        <v>30.006679999999999</v>
      </c>
      <c r="J5523" s="3">
        <v>30.401948999999998</v>
      </c>
      <c r="K5523" s="3">
        <v>30.006679999999999</v>
      </c>
      <c r="L5523" s="3">
        <v>742.50977473453804</v>
      </c>
    </row>
    <row r="5524" spans="1:12" ht="15" customHeight="1" x14ac:dyDescent="0.2">
      <c r="A5524" s="2">
        <v>38036</v>
      </c>
      <c r="B5524" s="3">
        <v>30.213348</v>
      </c>
      <c r="C5524" s="1">
        <v>467246.8</v>
      </c>
      <c r="D5524" s="3">
        <v>-0.35333200000000098</v>
      </c>
      <c r="E5524" s="3">
        <v>-1.15593842707157</v>
      </c>
      <c r="F5524" s="3">
        <v>-1.15593842707157</v>
      </c>
      <c r="G5524" s="3">
        <v>30.213348</v>
      </c>
      <c r="H5524" s="3">
        <v>741.95246452389802</v>
      </c>
      <c r="I5524" s="3">
        <v>30.586680999999999</v>
      </c>
      <c r="J5524" s="3">
        <v>30.866679999999999</v>
      </c>
      <c r="K5524" s="3">
        <v>30.200013999999999</v>
      </c>
      <c r="L5524" s="3">
        <v>741.95246452389802</v>
      </c>
    </row>
    <row r="5525" spans="1:12" ht="15" customHeight="1" x14ac:dyDescent="0.2">
      <c r="A5525" s="2">
        <v>38035</v>
      </c>
      <c r="B5525" s="3">
        <v>30.566680000000002</v>
      </c>
      <c r="C5525" s="1">
        <v>426589.3</v>
      </c>
      <c r="D5525" s="3">
        <v>-5.33339999999995E-2</v>
      </c>
      <c r="E5525" s="3">
        <v>-0.17418019469226301</v>
      </c>
      <c r="F5525" s="3">
        <v>-0.17418019469226301</v>
      </c>
      <c r="G5525" s="3">
        <v>30.566680000000002</v>
      </c>
      <c r="H5525" s="3">
        <v>751.79873340463098</v>
      </c>
      <c r="I5525" s="3">
        <v>30.660015000000001</v>
      </c>
      <c r="J5525" s="3">
        <v>30.912682</v>
      </c>
      <c r="K5525" s="3">
        <v>30.480015000000002</v>
      </c>
      <c r="L5525" s="3">
        <v>751.79873340463098</v>
      </c>
    </row>
    <row r="5526" spans="1:12" ht="15" customHeight="1" x14ac:dyDescent="0.2">
      <c r="A5526" s="2">
        <v>38034</v>
      </c>
      <c r="B5526" s="3">
        <v>30.620014000000001</v>
      </c>
      <c r="C5526" s="1">
        <v>498209.75</v>
      </c>
      <c r="D5526" s="3">
        <v>0.53333300000000206</v>
      </c>
      <c r="E5526" s="3">
        <v>1.7726548169271401</v>
      </c>
      <c r="F5526" s="3">
        <v>1.7726548169271401</v>
      </c>
      <c r="G5526" s="3">
        <v>30.620014000000001</v>
      </c>
      <c r="H5526" s="3">
        <v>753.28498685601699</v>
      </c>
      <c r="I5526" s="3">
        <v>30.266681999999999</v>
      </c>
      <c r="J5526" s="3">
        <v>30.766681999999999</v>
      </c>
      <c r="K5526" s="3">
        <v>30.180015999999998</v>
      </c>
      <c r="L5526" s="3">
        <v>753.28498685601699</v>
      </c>
    </row>
    <row r="5527" spans="1:12" ht="15" customHeight="1" x14ac:dyDescent="0.2">
      <c r="A5527" s="2">
        <v>38030</v>
      </c>
      <c r="B5527" s="3">
        <v>30.086680999999999</v>
      </c>
      <c r="C5527" s="1">
        <v>443936.77</v>
      </c>
      <c r="D5527" s="3">
        <v>2.0000999999997E-2</v>
      </c>
      <c r="E5527" s="3">
        <v>6.6522143449154705E-2</v>
      </c>
      <c r="F5527" s="3">
        <v>6.6522143449154705E-2</v>
      </c>
      <c r="G5527" s="3">
        <v>30.086680999999999</v>
      </c>
      <c r="H5527" s="3">
        <v>738.422647410487</v>
      </c>
      <c r="I5527" s="3">
        <v>30.093347999999999</v>
      </c>
      <c r="J5527" s="3">
        <v>30.293346</v>
      </c>
      <c r="K5527" s="3">
        <v>29.900013000000001</v>
      </c>
      <c r="L5527" s="3">
        <v>738.422647410487</v>
      </c>
    </row>
    <row r="5528" spans="1:12" ht="15" customHeight="1" x14ac:dyDescent="0.2">
      <c r="A5528" s="2">
        <v>38029</v>
      </c>
      <c r="B5528" s="3">
        <v>30.066680000000002</v>
      </c>
      <c r="C5528" s="1">
        <v>857228.6</v>
      </c>
      <c r="D5528" s="3">
        <v>0.113332000000003</v>
      </c>
      <c r="E5528" s="3">
        <v>0.37836171101808203</v>
      </c>
      <c r="F5528" s="3">
        <v>0.37836171101808203</v>
      </c>
      <c r="G5528" s="3">
        <v>30.066680000000002</v>
      </c>
      <c r="H5528" s="3">
        <v>737.86528146603905</v>
      </c>
      <c r="I5528" s="3">
        <v>29.96668</v>
      </c>
      <c r="J5528" s="3">
        <v>30.420014999999999</v>
      </c>
      <c r="K5528" s="3">
        <v>29.780011999999999</v>
      </c>
      <c r="L5528" s="3">
        <v>737.86528146603905</v>
      </c>
    </row>
    <row r="5529" spans="1:12" ht="15" customHeight="1" x14ac:dyDescent="0.2">
      <c r="A5529" s="2">
        <v>38028</v>
      </c>
      <c r="B5529" s="3">
        <v>29.953347999999998</v>
      </c>
      <c r="C5529" s="1">
        <v>651815.69999999995</v>
      </c>
      <c r="D5529" s="3">
        <v>0.28666699999999701</v>
      </c>
      <c r="E5529" s="3">
        <v>0.96629279156639203</v>
      </c>
      <c r="F5529" s="3">
        <v>0.96629279156639203</v>
      </c>
      <c r="G5529" s="3">
        <v>29.953347999999998</v>
      </c>
      <c r="H5529" s="3">
        <v>734.70706951582997</v>
      </c>
      <c r="I5529" s="3">
        <v>29.686679999999999</v>
      </c>
      <c r="J5529" s="3">
        <v>30.013348000000001</v>
      </c>
      <c r="K5529" s="3">
        <v>29.420014999999999</v>
      </c>
      <c r="L5529" s="3">
        <v>734.70706951582997</v>
      </c>
    </row>
    <row r="5530" spans="1:12" ht="15" customHeight="1" x14ac:dyDescent="0.2">
      <c r="A5530" s="2">
        <v>38027</v>
      </c>
      <c r="B5530" s="3">
        <v>29.666681000000001</v>
      </c>
      <c r="C5530" s="1">
        <v>572420.799999999</v>
      </c>
      <c r="D5530" s="3">
        <v>-0.213332999999998</v>
      </c>
      <c r="E5530" s="3">
        <v>-0.71396552893181398</v>
      </c>
      <c r="F5530" s="3">
        <v>-0.71396552893181398</v>
      </c>
      <c r="G5530" s="3">
        <v>29.666681000000001</v>
      </c>
      <c r="H5530" s="3">
        <v>726.71854778207</v>
      </c>
      <c r="I5530" s="3">
        <v>29.863346</v>
      </c>
      <c r="J5530" s="3">
        <v>29.906680999999999</v>
      </c>
      <c r="K5530" s="3">
        <v>29.440014000000001</v>
      </c>
      <c r="L5530" s="3">
        <v>726.71854778207</v>
      </c>
    </row>
    <row r="5531" spans="1:12" ht="15" customHeight="1" x14ac:dyDescent="0.2">
      <c r="A5531" s="2">
        <v>38026</v>
      </c>
      <c r="B5531" s="3">
        <v>29.880013999999999</v>
      </c>
      <c r="C5531" s="1">
        <v>969539.549999999</v>
      </c>
      <c r="D5531" s="3">
        <v>-2.6666999999999701E-2</v>
      </c>
      <c r="E5531" s="3">
        <v>-8.9167366983988694E-2</v>
      </c>
      <c r="F5531" s="3">
        <v>-8.9167366983988694E-2</v>
      </c>
      <c r="G5531" s="3">
        <v>29.880013999999999</v>
      </c>
      <c r="H5531" s="3">
        <v>732.66347798690094</v>
      </c>
      <c r="I5531" s="3">
        <v>30.060016999999998</v>
      </c>
      <c r="J5531" s="3">
        <v>30.133348000000002</v>
      </c>
      <c r="K5531" s="3">
        <v>29.226680000000002</v>
      </c>
      <c r="L5531" s="3">
        <v>732.66347798690094</v>
      </c>
    </row>
    <row r="5532" spans="1:12" ht="15" customHeight="1" x14ac:dyDescent="0.2">
      <c r="A5532" s="2">
        <v>38023</v>
      </c>
      <c r="B5532" s="3">
        <v>29.906680999999999</v>
      </c>
      <c r="C5532" s="1">
        <v>772402.1</v>
      </c>
      <c r="D5532" s="3">
        <v>-7.3334000000002605E-2</v>
      </c>
      <c r="E5532" s="3">
        <v>-0.24460961744016099</v>
      </c>
      <c r="F5532" s="3">
        <v>-0.24460961744016099</v>
      </c>
      <c r="G5532" s="3">
        <v>29.906680999999999</v>
      </c>
      <c r="H5532" s="3">
        <v>733.406604712594</v>
      </c>
      <c r="I5532" s="3">
        <v>30.066680000000002</v>
      </c>
      <c r="J5532" s="3">
        <v>30.106681999999999</v>
      </c>
      <c r="K5532" s="3">
        <v>29.700013999999999</v>
      </c>
      <c r="L5532" s="3">
        <v>733.406604712594</v>
      </c>
    </row>
    <row r="5533" spans="1:12" ht="15" customHeight="1" x14ac:dyDescent="0.2">
      <c r="A5533" s="2">
        <v>38022</v>
      </c>
      <c r="B5533" s="3">
        <v>29.980015000000002</v>
      </c>
      <c r="C5533" s="1">
        <v>2966109</v>
      </c>
      <c r="D5533" s="3">
        <v>0.533335000000001</v>
      </c>
      <c r="E5533" s="3">
        <v>1.8111889014313201</v>
      </c>
      <c r="F5533" s="3">
        <v>1.8111889014313201</v>
      </c>
      <c r="G5533" s="3">
        <v>29.980015000000002</v>
      </c>
      <c r="H5533" s="3">
        <v>735.45019624152303</v>
      </c>
      <c r="I5533" s="3">
        <v>29.846684</v>
      </c>
      <c r="J5533" s="3">
        <v>30.893349000000001</v>
      </c>
      <c r="K5533" s="3">
        <v>29.826681000000001</v>
      </c>
      <c r="L5533" s="3">
        <v>735.45019624152303</v>
      </c>
    </row>
    <row r="5534" spans="1:12" ht="15" customHeight="1" x14ac:dyDescent="0.2">
      <c r="A5534" s="2">
        <v>38021</v>
      </c>
      <c r="B5534" s="3">
        <v>29.446680000000001</v>
      </c>
      <c r="C5534" s="1">
        <v>1026101.4</v>
      </c>
      <c r="D5534" s="3">
        <v>0.51333200000000101</v>
      </c>
      <c r="E5534" s="3">
        <v>1.7741880407341699</v>
      </c>
      <c r="F5534" s="3">
        <v>1.7741880407341699</v>
      </c>
      <c r="G5534" s="3">
        <v>29.446680000000001</v>
      </c>
      <c r="H5534" s="3">
        <v>720.58780106218603</v>
      </c>
      <c r="I5534" s="3">
        <v>28.853345999999998</v>
      </c>
      <c r="J5534" s="3">
        <v>29.580013000000001</v>
      </c>
      <c r="K5534" s="3">
        <v>28.733346999999998</v>
      </c>
      <c r="L5534" s="3">
        <v>720.58780106218603</v>
      </c>
    </row>
    <row r="5535" spans="1:12" ht="15" customHeight="1" x14ac:dyDescent="0.2">
      <c r="A5535" s="2">
        <v>38020</v>
      </c>
      <c r="B5535" s="3">
        <v>28.933347999999999</v>
      </c>
      <c r="C5535" s="1">
        <v>400828.3</v>
      </c>
      <c r="D5535" s="3">
        <v>0.119998999999999</v>
      </c>
      <c r="E5535" s="3">
        <v>0.41647015763421802</v>
      </c>
      <c r="F5535" s="3">
        <v>0.41647015763421802</v>
      </c>
      <c r="G5535" s="3">
        <v>28.933347999999999</v>
      </c>
      <c r="H5535" s="3">
        <v>706.28282756110298</v>
      </c>
      <c r="I5535" s="3">
        <v>28.733346999999998</v>
      </c>
      <c r="J5535" s="3">
        <v>28.986681000000001</v>
      </c>
      <c r="K5535" s="3">
        <v>28.586680999999999</v>
      </c>
      <c r="L5535" s="3">
        <v>706.28282756110298</v>
      </c>
    </row>
    <row r="5536" spans="1:12" ht="15" customHeight="1" x14ac:dyDescent="0.2">
      <c r="A5536" s="2">
        <v>38019</v>
      </c>
      <c r="B5536" s="3">
        <v>28.813348999999999</v>
      </c>
      <c r="C5536" s="1">
        <v>534527.799999999</v>
      </c>
      <c r="D5536" s="3">
        <v>0.273334999999999</v>
      </c>
      <c r="E5536" s="3">
        <v>0.95772552879616002</v>
      </c>
      <c r="F5536" s="3">
        <v>0.95772552879616002</v>
      </c>
      <c r="G5536" s="3">
        <v>28.813348999999999</v>
      </c>
      <c r="H5536" s="3">
        <v>702.938826962745</v>
      </c>
      <c r="I5536" s="3">
        <v>28.720015</v>
      </c>
      <c r="J5536" s="3">
        <v>28.933347999999999</v>
      </c>
      <c r="K5536" s="3">
        <v>28.546679999999999</v>
      </c>
      <c r="L5536" s="3">
        <v>702.938826962745</v>
      </c>
    </row>
    <row r="5537" spans="1:12" ht="15" customHeight="1" x14ac:dyDescent="0.2">
      <c r="A5537" s="2">
        <v>38016</v>
      </c>
      <c r="B5537" s="3">
        <v>28.540013999999999</v>
      </c>
      <c r="C5537" s="1">
        <v>621005.69999999995</v>
      </c>
      <c r="D5537" s="3">
        <v>0.53333399999999997</v>
      </c>
      <c r="E5537" s="3">
        <v>1.9043099717638701</v>
      </c>
      <c r="F5537" s="3">
        <v>1.9043099717638701</v>
      </c>
      <c r="G5537" s="3">
        <v>28.540013999999999</v>
      </c>
      <c r="H5537" s="3">
        <v>695.32182679147502</v>
      </c>
      <c r="I5537" s="3">
        <v>27.993351000000001</v>
      </c>
      <c r="J5537" s="3">
        <v>28.700013999999999</v>
      </c>
      <c r="K5537" s="3">
        <v>27.766681999999999</v>
      </c>
      <c r="L5537" s="3">
        <v>695.32182679147502</v>
      </c>
    </row>
    <row r="5538" spans="1:12" ht="15" customHeight="1" x14ac:dyDescent="0.2">
      <c r="A5538" s="2">
        <v>38015</v>
      </c>
      <c r="B5538" s="3">
        <v>28.006679999999999</v>
      </c>
      <c r="C5538" s="1">
        <v>476065.27999999898</v>
      </c>
      <c r="D5538" s="3">
        <v>0.313331999999999</v>
      </c>
      <c r="E5538" s="3">
        <v>1.13143416245662</v>
      </c>
      <c r="F5538" s="3">
        <v>1.13143416245662</v>
      </c>
      <c r="G5538" s="3">
        <v>28.006679999999999</v>
      </c>
      <c r="H5538" s="3">
        <v>680.45945947904102</v>
      </c>
      <c r="I5538" s="3">
        <v>27.566679000000001</v>
      </c>
      <c r="J5538" s="3">
        <v>28.133347000000001</v>
      </c>
      <c r="K5538" s="3">
        <v>27.480015000000002</v>
      </c>
      <c r="L5538" s="3">
        <v>680.45945947904102</v>
      </c>
    </row>
    <row r="5539" spans="1:12" ht="15" customHeight="1" x14ac:dyDescent="0.2">
      <c r="A5539" s="2">
        <v>38014</v>
      </c>
      <c r="B5539" s="3">
        <v>27.693348</v>
      </c>
      <c r="C5539" s="1">
        <v>461704.27999999898</v>
      </c>
      <c r="D5539" s="3">
        <v>-0.33999800000000102</v>
      </c>
      <c r="E5539" s="3">
        <v>-1.21283417256007</v>
      </c>
      <c r="F5539" s="3">
        <v>-1.21283417256007</v>
      </c>
      <c r="G5539" s="3">
        <v>27.693348</v>
      </c>
      <c r="H5539" s="3">
        <v>671.72786675339501</v>
      </c>
      <c r="I5539" s="3">
        <v>28.100014000000002</v>
      </c>
      <c r="J5539" s="3">
        <v>28.360014</v>
      </c>
      <c r="K5539" s="3">
        <v>27.373348</v>
      </c>
      <c r="L5539" s="3">
        <v>671.72786675339501</v>
      </c>
    </row>
    <row r="5540" spans="1:12" ht="15" customHeight="1" x14ac:dyDescent="0.2">
      <c r="A5540" s="2">
        <v>38013</v>
      </c>
      <c r="B5540" s="3">
        <v>28.033346000000002</v>
      </c>
      <c r="C5540" s="1">
        <v>503269.25999999902</v>
      </c>
      <c r="D5540" s="3">
        <v>-9.3331999999996598E-2</v>
      </c>
      <c r="E5540" s="3">
        <v>-0.33182731355617601</v>
      </c>
      <c r="F5540" s="3">
        <v>-0.33182731355617601</v>
      </c>
      <c r="G5540" s="3">
        <v>28.033346000000002</v>
      </c>
      <c r="H5540" s="3">
        <v>681.20255833783006</v>
      </c>
      <c r="I5540" s="3">
        <v>28.13335</v>
      </c>
      <c r="J5540" s="3">
        <v>28.506679999999999</v>
      </c>
      <c r="K5540" s="3">
        <v>27.960011999999999</v>
      </c>
      <c r="L5540" s="3">
        <v>681.20255833783006</v>
      </c>
    </row>
    <row r="5541" spans="1:12" ht="15" customHeight="1" x14ac:dyDescent="0.2">
      <c r="A5541" s="2">
        <v>38012</v>
      </c>
      <c r="B5541" s="3">
        <v>28.126677999999998</v>
      </c>
      <c r="C5541" s="1">
        <v>340448.85</v>
      </c>
      <c r="D5541" s="3">
        <v>-0.106667000000001</v>
      </c>
      <c r="E5541" s="3">
        <v>-0.37780503868741699</v>
      </c>
      <c r="F5541" s="3">
        <v>-0.37780503868741699</v>
      </c>
      <c r="G5541" s="3">
        <v>28.126677999999998</v>
      </c>
      <c r="H5541" s="3">
        <v>683.80343221049498</v>
      </c>
      <c r="I5541" s="3">
        <v>28.173345999999999</v>
      </c>
      <c r="J5541" s="3">
        <v>28.433347999999999</v>
      </c>
      <c r="K5541" s="3">
        <v>27.96668</v>
      </c>
      <c r="L5541" s="3">
        <v>683.80343221049498</v>
      </c>
    </row>
    <row r="5542" spans="1:12" ht="15" customHeight="1" x14ac:dyDescent="0.2">
      <c r="A5542" s="2">
        <v>38009</v>
      </c>
      <c r="B5542" s="3">
        <v>28.233345</v>
      </c>
      <c r="C5542" s="1">
        <v>394124.82</v>
      </c>
      <c r="D5542" s="3">
        <v>-9.3336000000000696E-2</v>
      </c>
      <c r="E5542" s="3">
        <v>-0.32949853885105801</v>
      </c>
      <c r="F5542" s="3">
        <v>-0.32949853885105801</v>
      </c>
      <c r="G5542" s="3">
        <v>28.233345</v>
      </c>
      <c r="H5542" s="3">
        <v>686.77591124636297</v>
      </c>
      <c r="I5542" s="3">
        <v>28.240013000000001</v>
      </c>
      <c r="J5542" s="3">
        <v>28.320012999999999</v>
      </c>
      <c r="K5542" s="3">
        <v>28.013348000000001</v>
      </c>
      <c r="L5542" s="3">
        <v>686.77591124636297</v>
      </c>
    </row>
    <row r="5543" spans="1:12" ht="15" customHeight="1" x14ac:dyDescent="0.2">
      <c r="A5543" s="2">
        <v>38008</v>
      </c>
      <c r="B5543" s="3">
        <v>28.326681000000001</v>
      </c>
      <c r="C5543" s="1">
        <v>477713.77999999898</v>
      </c>
      <c r="D5543" s="3">
        <v>-0.106666999999998</v>
      </c>
      <c r="E5543" s="3">
        <v>-0.37514752043972199</v>
      </c>
      <c r="F5543" s="3">
        <v>-0.37514752043972199</v>
      </c>
      <c r="G5543" s="3">
        <v>28.326681000000001</v>
      </c>
      <c r="H5543" s="3">
        <v>689.37689658664397</v>
      </c>
      <c r="I5543" s="3">
        <v>28.333347</v>
      </c>
      <c r="J5543" s="3">
        <v>28.566013000000002</v>
      </c>
      <c r="K5543" s="3">
        <v>28.233345</v>
      </c>
      <c r="L5543" s="3">
        <v>689.37689658664397</v>
      </c>
    </row>
    <row r="5544" spans="1:12" ht="15" customHeight="1" x14ac:dyDescent="0.2">
      <c r="A5544" s="2">
        <v>38007</v>
      </c>
      <c r="B5544" s="3">
        <v>28.433347999999999</v>
      </c>
      <c r="C5544" s="1">
        <v>449032.3</v>
      </c>
      <c r="D5544" s="3">
        <v>-0.12000100000000199</v>
      </c>
      <c r="E5544" s="3">
        <v>-0.420269440197718</v>
      </c>
      <c r="F5544" s="3">
        <v>-0.420269440197718</v>
      </c>
      <c r="G5544" s="3">
        <v>28.433347999999999</v>
      </c>
      <c r="H5544" s="3">
        <v>692.34937562251105</v>
      </c>
      <c r="I5544" s="3">
        <v>28.533346000000002</v>
      </c>
      <c r="J5544" s="3">
        <v>28.580013000000001</v>
      </c>
      <c r="K5544" s="3">
        <v>28.186679999999999</v>
      </c>
      <c r="L5544" s="3">
        <v>692.34937562251105</v>
      </c>
    </row>
    <row r="5545" spans="1:12" ht="15" customHeight="1" x14ac:dyDescent="0.2">
      <c r="A5545" s="2">
        <v>38006</v>
      </c>
      <c r="B5545" s="3">
        <v>28.553349000000001</v>
      </c>
      <c r="C5545" s="1">
        <v>517435.24</v>
      </c>
      <c r="D5545" s="3">
        <v>-0.13333099999999801</v>
      </c>
      <c r="E5545" s="3">
        <v>-0.464783655689671</v>
      </c>
      <c r="F5545" s="3">
        <v>-0.464783655689671</v>
      </c>
      <c r="G5545" s="3">
        <v>28.553349000000001</v>
      </c>
      <c r="H5545" s="3">
        <v>695.69343195467695</v>
      </c>
      <c r="I5545" s="3">
        <v>28.733346999999998</v>
      </c>
      <c r="J5545" s="3">
        <v>28.913347000000002</v>
      </c>
      <c r="K5545" s="3">
        <v>28.453346</v>
      </c>
      <c r="L5545" s="3">
        <v>695.69343195467695</v>
      </c>
    </row>
    <row r="5546" spans="1:12" ht="15" customHeight="1" x14ac:dyDescent="0.2">
      <c r="A5546" s="2">
        <v>38002</v>
      </c>
      <c r="B5546" s="3">
        <v>28.686679999999999</v>
      </c>
      <c r="C5546" s="1">
        <v>832864.14</v>
      </c>
      <c r="D5546" s="3">
        <v>0.253332</v>
      </c>
      <c r="E5546" s="3">
        <v>0.89096788742570798</v>
      </c>
      <c r="F5546" s="3">
        <v>0.89096788742570798</v>
      </c>
      <c r="G5546" s="3">
        <v>28.686679999999999</v>
      </c>
      <c r="H5546" s="3">
        <v>699.40895411552594</v>
      </c>
      <c r="I5546" s="3">
        <v>28.526679999999999</v>
      </c>
      <c r="J5546" s="3">
        <v>28.820012999999999</v>
      </c>
      <c r="K5546" s="3">
        <v>28.400013000000001</v>
      </c>
      <c r="L5546" s="3">
        <v>699.40895411552594</v>
      </c>
    </row>
    <row r="5547" spans="1:12" ht="15" customHeight="1" x14ac:dyDescent="0.2">
      <c r="A5547" s="2">
        <v>38001</v>
      </c>
      <c r="B5547" s="3">
        <v>28.433347999999999</v>
      </c>
      <c r="C5547" s="1">
        <v>840760.13</v>
      </c>
      <c r="D5547" s="3">
        <v>-0.41333400000000198</v>
      </c>
      <c r="E5547" s="3">
        <v>-1.4328649651977401</v>
      </c>
      <c r="F5547" s="3">
        <v>-1.4328649651977401</v>
      </c>
      <c r="G5547" s="3">
        <v>28.433347999999999</v>
      </c>
      <c r="H5547" s="3">
        <v>692.34937562251105</v>
      </c>
      <c r="I5547" s="3">
        <v>28.720015</v>
      </c>
      <c r="J5547" s="3">
        <v>28.933347999999999</v>
      </c>
      <c r="K5547" s="3">
        <v>28.386679999999998</v>
      </c>
      <c r="L5547" s="3">
        <v>692.34937562251105</v>
      </c>
    </row>
    <row r="5548" spans="1:12" ht="15" customHeight="1" x14ac:dyDescent="0.2">
      <c r="A5548" s="2">
        <v>38000</v>
      </c>
      <c r="B5548" s="3">
        <v>28.846682000000001</v>
      </c>
      <c r="C5548" s="1">
        <v>1350098.4</v>
      </c>
      <c r="D5548" s="3">
        <v>1.180002</v>
      </c>
      <c r="E5548" s="3">
        <v>4.2650654144263003</v>
      </c>
      <c r="F5548" s="3">
        <v>4.2650654144263003</v>
      </c>
      <c r="G5548" s="3">
        <v>28.846682000000001</v>
      </c>
      <c r="H5548" s="3">
        <v>703.86771446968305</v>
      </c>
      <c r="I5548" s="3">
        <v>27.800014000000001</v>
      </c>
      <c r="J5548" s="3">
        <v>28.846682000000001</v>
      </c>
      <c r="K5548" s="3">
        <v>27.760014000000002</v>
      </c>
      <c r="L5548" s="3">
        <v>703.86771446968305</v>
      </c>
    </row>
    <row r="5549" spans="1:12" ht="15" customHeight="1" x14ac:dyDescent="0.2">
      <c r="A5549" s="2">
        <v>37999</v>
      </c>
      <c r="B5549" s="3">
        <v>27.666679999999999</v>
      </c>
      <c r="C5549" s="1">
        <v>834133.1</v>
      </c>
      <c r="D5549" s="3">
        <v>0.33333299999999899</v>
      </c>
      <c r="E5549" s="3">
        <v>1.2195103658545701</v>
      </c>
      <c r="F5549" s="3">
        <v>1.2195103658545701</v>
      </c>
      <c r="G5549" s="3">
        <v>27.666679999999999</v>
      </c>
      <c r="H5549" s="3">
        <v>670.98471216079895</v>
      </c>
      <c r="I5549" s="3">
        <v>27.333347</v>
      </c>
      <c r="J5549" s="3">
        <v>27.886679999999998</v>
      </c>
      <c r="K5549" s="3">
        <v>27.173345999999999</v>
      </c>
      <c r="L5549" s="3">
        <v>670.98471216079895</v>
      </c>
    </row>
    <row r="5550" spans="1:12" ht="15" customHeight="1" x14ac:dyDescent="0.2">
      <c r="A5550" s="2">
        <v>37998</v>
      </c>
      <c r="B5550" s="3">
        <v>27.333347</v>
      </c>
      <c r="C5550" s="1">
        <v>984653.5</v>
      </c>
      <c r="D5550" s="3">
        <v>0.22000299999999801</v>
      </c>
      <c r="E5550" s="3">
        <v>0.81141964635567099</v>
      </c>
      <c r="F5550" s="3">
        <v>0.81141964635567099</v>
      </c>
      <c r="G5550" s="3">
        <v>27.333347</v>
      </c>
      <c r="H5550" s="3">
        <v>661.69575349070499</v>
      </c>
      <c r="I5550" s="3">
        <v>27.040013999999999</v>
      </c>
      <c r="J5550" s="3">
        <v>28.113346</v>
      </c>
      <c r="K5550" s="3">
        <v>27.040013999999999</v>
      </c>
      <c r="L5550" s="3">
        <v>661.69575349070499</v>
      </c>
    </row>
    <row r="5551" spans="1:12" ht="15" customHeight="1" x14ac:dyDescent="0.2">
      <c r="A5551" s="2">
        <v>37995</v>
      </c>
      <c r="B5551" s="3">
        <v>27.113344000000001</v>
      </c>
      <c r="C5551" s="1">
        <v>1744079.0999999901</v>
      </c>
      <c r="D5551" s="3">
        <v>-0.82000399999999696</v>
      </c>
      <c r="E5551" s="3">
        <v>-2.9355736376462902</v>
      </c>
      <c r="F5551" s="3">
        <v>-2.9355736376462902</v>
      </c>
      <c r="G5551" s="3">
        <v>27.113344000000001</v>
      </c>
      <c r="H5551" s="3">
        <v>655.56495103701297</v>
      </c>
      <c r="I5551" s="3">
        <v>27.920017000000001</v>
      </c>
      <c r="J5551" s="3">
        <v>27.926680000000001</v>
      </c>
      <c r="K5551" s="3">
        <v>27.026679999999999</v>
      </c>
      <c r="L5551" s="3">
        <v>655.56495103701297</v>
      </c>
    </row>
    <row r="5552" spans="1:12" ht="15" customHeight="1" x14ac:dyDescent="0.2">
      <c r="A5552" s="2">
        <v>37994</v>
      </c>
      <c r="B5552" s="3">
        <v>27.933347999999999</v>
      </c>
      <c r="C5552" s="1">
        <v>982663.1</v>
      </c>
      <c r="D5552" s="3">
        <v>-0.71333200000000097</v>
      </c>
      <c r="E5552" s="3">
        <v>-2.4901035652299002</v>
      </c>
      <c r="F5552" s="3">
        <v>-2.4901035652299002</v>
      </c>
      <c r="G5552" s="3">
        <v>27.933347999999999</v>
      </c>
      <c r="H5552" s="3">
        <v>678.415923683919</v>
      </c>
      <c r="I5552" s="3">
        <v>29.046679999999999</v>
      </c>
      <c r="J5552" s="3">
        <v>29.046679999999999</v>
      </c>
      <c r="K5552" s="3">
        <v>27.833347</v>
      </c>
      <c r="L5552" s="3">
        <v>678.415923683919</v>
      </c>
    </row>
    <row r="5553" spans="1:12" ht="15" customHeight="1" x14ac:dyDescent="0.2">
      <c r="A5553" s="2">
        <v>37993</v>
      </c>
      <c r="B5553" s="3">
        <v>28.64668</v>
      </c>
      <c r="C5553" s="1">
        <v>2227497.6</v>
      </c>
      <c r="D5553" s="3">
        <v>-1.1399999999999999</v>
      </c>
      <c r="E5553" s="3">
        <v>-3.82721404332406</v>
      </c>
      <c r="F5553" s="3">
        <v>-3.82721404332406</v>
      </c>
      <c r="G5553" s="3">
        <v>28.64668</v>
      </c>
      <c r="H5553" s="3">
        <v>698.29427796043899</v>
      </c>
      <c r="I5553" s="3">
        <v>29.000012999999999</v>
      </c>
      <c r="J5553" s="3">
        <v>29.066679000000001</v>
      </c>
      <c r="K5553" s="3">
        <v>28.300014000000001</v>
      </c>
      <c r="L5553" s="3">
        <v>698.29427796043899</v>
      </c>
    </row>
    <row r="5554" spans="1:12" ht="15" customHeight="1" x14ac:dyDescent="0.2">
      <c r="A5554" s="2">
        <v>37992</v>
      </c>
      <c r="B5554" s="3">
        <v>29.78668</v>
      </c>
      <c r="C5554" s="1">
        <v>903004.1</v>
      </c>
      <c r="D5554" s="3">
        <v>0.32</v>
      </c>
      <c r="E5554" s="3">
        <v>1.08597235928853</v>
      </c>
      <c r="F5554" s="3">
        <v>1.08597235928853</v>
      </c>
      <c r="G5554" s="3">
        <v>29.78668</v>
      </c>
      <c r="H5554" s="3">
        <v>730.06254838042798</v>
      </c>
      <c r="I5554" s="3">
        <v>29.833347</v>
      </c>
      <c r="J5554" s="3">
        <v>30.226680000000002</v>
      </c>
      <c r="K5554" s="3">
        <v>29.666681000000001</v>
      </c>
      <c r="L5554" s="3">
        <v>730.06254838042798</v>
      </c>
    </row>
    <row r="5555" spans="1:12" ht="15" customHeight="1" x14ac:dyDescent="0.2">
      <c r="A5555" s="2">
        <v>37991</v>
      </c>
      <c r="B5555" s="3">
        <v>29.46668</v>
      </c>
      <c r="C5555" s="1">
        <v>455549.77</v>
      </c>
      <c r="D5555" s="3">
        <v>0.33333199999999802</v>
      </c>
      <c r="E5555" s="3">
        <v>1.1441596070592199</v>
      </c>
      <c r="F5555" s="3">
        <v>1.1441596070592199</v>
      </c>
      <c r="G5555" s="3">
        <v>29.46668</v>
      </c>
      <c r="H5555" s="3">
        <v>721.14513913972905</v>
      </c>
      <c r="I5555" s="3">
        <v>29.240015</v>
      </c>
      <c r="J5555" s="3">
        <v>29.546679999999999</v>
      </c>
      <c r="K5555" s="3">
        <v>29.240015</v>
      </c>
      <c r="L5555" s="3">
        <v>721.14513913972905</v>
      </c>
    </row>
    <row r="5556" spans="1:12" ht="15" customHeight="1" x14ac:dyDescent="0.2">
      <c r="A5556" s="2">
        <v>37988</v>
      </c>
      <c r="B5556" s="3">
        <v>29.133348000000002</v>
      </c>
      <c r="C5556" s="1">
        <v>469574.77</v>
      </c>
      <c r="D5556" s="3">
        <v>-0.22666599999999801</v>
      </c>
      <c r="E5556" s="3">
        <v>-0.77202279263217599</v>
      </c>
      <c r="F5556" s="3">
        <v>-0.77202279263217599</v>
      </c>
      <c r="G5556" s="3">
        <v>29.133348000000002</v>
      </c>
      <c r="H5556" s="3">
        <v>711.85620833654002</v>
      </c>
      <c r="I5556" s="3">
        <v>29.446680000000001</v>
      </c>
      <c r="J5556" s="3">
        <v>29.472013</v>
      </c>
      <c r="K5556" s="3">
        <v>28.946680000000001</v>
      </c>
      <c r="L5556" s="3">
        <v>711.85620833654002</v>
      </c>
    </row>
    <row r="5557" spans="1:12" ht="15" customHeight="1" x14ac:dyDescent="0.2">
      <c r="A5557" s="2">
        <v>37986</v>
      </c>
      <c r="B5557" s="3">
        <v>29.360014</v>
      </c>
      <c r="C5557" s="1">
        <v>377237.82</v>
      </c>
      <c r="D5557" s="3">
        <v>-0.41999799999999898</v>
      </c>
      <c r="E5557" s="3">
        <v>-1.41033522753449</v>
      </c>
      <c r="F5557" s="3">
        <v>-1.41033522753449</v>
      </c>
      <c r="G5557" s="3">
        <v>29.360014</v>
      </c>
      <c r="H5557" s="3">
        <v>718.17268797076599</v>
      </c>
      <c r="I5557" s="3">
        <v>29.886683000000001</v>
      </c>
      <c r="J5557" s="3">
        <v>30.000015000000001</v>
      </c>
      <c r="K5557" s="3">
        <v>29.326681000000001</v>
      </c>
      <c r="L5557" s="3">
        <v>718.17268797076599</v>
      </c>
    </row>
    <row r="5558" spans="1:12" ht="15" customHeight="1" x14ac:dyDescent="0.2">
      <c r="A5558" s="2">
        <v>37985</v>
      </c>
      <c r="B5558" s="3">
        <v>29.780011999999999</v>
      </c>
      <c r="C5558" s="1">
        <v>413579.8</v>
      </c>
      <c r="D5558" s="3">
        <v>0.29999699999999702</v>
      </c>
      <c r="E5558" s="3">
        <v>1.0176283831605699</v>
      </c>
      <c r="F5558" s="3">
        <v>1.0176283831605699</v>
      </c>
      <c r="G5558" s="3">
        <v>29.780011999999999</v>
      </c>
      <c r="H5558" s="3">
        <v>729.87673186537495</v>
      </c>
      <c r="I5558" s="3">
        <v>29.553349000000001</v>
      </c>
      <c r="J5558" s="3">
        <v>29.960011999999999</v>
      </c>
      <c r="K5558" s="3">
        <v>29.480015000000002</v>
      </c>
      <c r="L5558" s="3">
        <v>729.87673186537495</v>
      </c>
    </row>
    <row r="5559" spans="1:12" ht="15" customHeight="1" x14ac:dyDescent="0.2">
      <c r="A5559" s="2">
        <v>37984</v>
      </c>
      <c r="B5559" s="3">
        <v>29.480015000000002</v>
      </c>
      <c r="C5559" s="1">
        <v>461087.76999999897</v>
      </c>
      <c r="D5559" s="3">
        <v>0.37999900000000097</v>
      </c>
      <c r="E5559" s="3">
        <v>1.3058377699861099</v>
      </c>
      <c r="F5559" s="3">
        <v>1.3058377699861099</v>
      </c>
      <c r="G5559" s="3">
        <v>29.480015000000002</v>
      </c>
      <c r="H5559" s="3">
        <v>721.51674430293201</v>
      </c>
      <c r="I5559" s="3">
        <v>29.13335</v>
      </c>
      <c r="J5559" s="3">
        <v>29.573346999999998</v>
      </c>
      <c r="K5559" s="3">
        <v>29.100016</v>
      </c>
      <c r="L5559" s="3">
        <v>721.51674430293201</v>
      </c>
    </row>
    <row r="5560" spans="1:12" ht="15" customHeight="1" x14ac:dyDescent="0.2">
      <c r="A5560" s="2">
        <v>37981</v>
      </c>
      <c r="B5560" s="3">
        <v>29.100016</v>
      </c>
      <c r="C5560" s="1">
        <v>340588.35</v>
      </c>
      <c r="D5560" s="3">
        <v>0.53333699999999895</v>
      </c>
      <c r="E5560" s="3">
        <v>1.86698985905922</v>
      </c>
      <c r="F5560" s="3">
        <v>1.86698985905922</v>
      </c>
      <c r="G5560" s="3">
        <v>29.100016</v>
      </c>
      <c r="H5560" s="3">
        <v>710.92734869650599</v>
      </c>
      <c r="I5560" s="3">
        <v>28.540013999999999</v>
      </c>
      <c r="J5560" s="3">
        <v>29.133348000000002</v>
      </c>
      <c r="K5560" s="3">
        <v>28.506679999999999</v>
      </c>
      <c r="L5560" s="3">
        <v>710.92734869650599</v>
      </c>
    </row>
    <row r="5561" spans="1:12" ht="15" customHeight="1" x14ac:dyDescent="0.2">
      <c r="A5561" s="2">
        <v>37979</v>
      </c>
      <c r="B5561" s="3">
        <v>28.566679000000001</v>
      </c>
      <c r="C5561" s="1">
        <v>305429.84000000003</v>
      </c>
      <c r="D5561" s="3">
        <v>-0.52666899999999806</v>
      </c>
      <c r="E5561" s="3">
        <v>-1.81027291874417</v>
      </c>
      <c r="F5561" s="3">
        <v>-1.81027291874417</v>
      </c>
      <c r="G5561" s="3">
        <v>28.566679000000001</v>
      </c>
      <c r="H5561" s="3">
        <v>696.06489778336004</v>
      </c>
      <c r="I5561" s="3">
        <v>28.733346999999998</v>
      </c>
      <c r="J5561" s="3">
        <v>28.886683000000001</v>
      </c>
      <c r="K5561" s="3">
        <v>28.426680000000001</v>
      </c>
      <c r="L5561" s="3">
        <v>696.06489778336004</v>
      </c>
    </row>
    <row r="5562" spans="1:12" ht="15" customHeight="1" x14ac:dyDescent="0.2">
      <c r="A5562" s="2">
        <v>37978</v>
      </c>
      <c r="B5562" s="3">
        <v>29.093347999999999</v>
      </c>
      <c r="C5562" s="1">
        <v>697862.7</v>
      </c>
      <c r="D5562" s="3">
        <v>0.60000099999999801</v>
      </c>
      <c r="E5562" s="3">
        <v>2.1057582319128798</v>
      </c>
      <c r="F5562" s="3">
        <v>2.1057582319128798</v>
      </c>
      <c r="G5562" s="3">
        <v>29.093347999999999</v>
      </c>
      <c r="H5562" s="3">
        <v>710.74153218145295</v>
      </c>
      <c r="I5562" s="3">
        <v>28.520012000000001</v>
      </c>
      <c r="J5562" s="3">
        <v>29.120014000000001</v>
      </c>
      <c r="K5562" s="3">
        <v>28.48668</v>
      </c>
      <c r="L5562" s="3">
        <v>710.74153218145295</v>
      </c>
    </row>
    <row r="5563" spans="1:12" ht="15" customHeight="1" x14ac:dyDescent="0.2">
      <c r="A5563" s="2">
        <v>37977</v>
      </c>
      <c r="B5563" s="3">
        <v>28.493347</v>
      </c>
      <c r="C5563" s="1">
        <v>462700.3</v>
      </c>
      <c r="D5563" s="3">
        <v>0.5</v>
      </c>
      <c r="E5563" s="3">
        <v>1.78613868502397</v>
      </c>
      <c r="F5563" s="3">
        <v>1.78613868502397</v>
      </c>
      <c r="G5563" s="3">
        <v>28.493347</v>
      </c>
      <c r="H5563" s="3">
        <v>694.02136198823803</v>
      </c>
      <c r="I5563" s="3">
        <v>27.860014</v>
      </c>
      <c r="J5563" s="3">
        <v>28.520012000000001</v>
      </c>
      <c r="K5563" s="3">
        <v>27.846679999999999</v>
      </c>
      <c r="L5563" s="3">
        <v>694.02136198823803</v>
      </c>
    </row>
    <row r="5564" spans="1:12" ht="15" customHeight="1" x14ac:dyDescent="0.2">
      <c r="A5564" s="2">
        <v>37974</v>
      </c>
      <c r="B5564" s="3">
        <v>27.993347</v>
      </c>
      <c r="C5564" s="1">
        <v>481600.27999999898</v>
      </c>
      <c r="D5564" s="3">
        <v>6.6670000000001997E-3</v>
      </c>
      <c r="E5564" s="3">
        <v>2.3822046773669302E-2</v>
      </c>
      <c r="F5564" s="3">
        <v>2.3822046773669302E-2</v>
      </c>
      <c r="G5564" s="3">
        <v>27.993347</v>
      </c>
      <c r="H5564" s="3">
        <v>680.08791004964701</v>
      </c>
      <c r="I5564" s="3">
        <v>27.906680999999999</v>
      </c>
      <c r="J5564" s="3">
        <v>28.453346</v>
      </c>
      <c r="K5564" s="3">
        <v>27.826681000000001</v>
      </c>
      <c r="L5564" s="3">
        <v>680.08791004964701</v>
      </c>
    </row>
    <row r="5565" spans="1:12" ht="15" customHeight="1" x14ac:dyDescent="0.2">
      <c r="A5565" s="2">
        <v>37973</v>
      </c>
      <c r="B5565" s="3">
        <v>27.98668</v>
      </c>
      <c r="C5565" s="1">
        <v>639746.69999999995</v>
      </c>
      <c r="D5565" s="3">
        <v>0.65333299999999905</v>
      </c>
      <c r="E5565" s="3">
        <v>2.39024148780608</v>
      </c>
      <c r="F5565" s="3">
        <v>2.39024148780608</v>
      </c>
      <c r="G5565" s="3">
        <v>27.98668</v>
      </c>
      <c r="H5565" s="3">
        <v>679.90212140149697</v>
      </c>
      <c r="I5565" s="3">
        <v>27.373348</v>
      </c>
      <c r="J5565" s="3">
        <v>28.000012999999999</v>
      </c>
      <c r="K5565" s="3">
        <v>27.300013</v>
      </c>
      <c r="L5565" s="3">
        <v>679.90212140149697</v>
      </c>
    </row>
    <row r="5566" spans="1:12" ht="15" customHeight="1" x14ac:dyDescent="0.2">
      <c r="A5566" s="2">
        <v>37972</v>
      </c>
      <c r="B5566" s="3">
        <v>27.333347</v>
      </c>
      <c r="C5566" s="1">
        <v>849005.6</v>
      </c>
      <c r="D5566" s="3">
        <v>-0.40666600000000103</v>
      </c>
      <c r="E5566" s="3">
        <v>-1.4659906612156299</v>
      </c>
      <c r="F5566" s="3">
        <v>-1.4659906612156299</v>
      </c>
      <c r="G5566" s="3">
        <v>27.333347</v>
      </c>
      <c r="H5566" s="3">
        <v>661.69575349070499</v>
      </c>
      <c r="I5566" s="3">
        <v>27.860014</v>
      </c>
      <c r="J5566" s="3">
        <v>27.886679999999998</v>
      </c>
      <c r="K5566" s="3">
        <v>27.260012</v>
      </c>
      <c r="L5566" s="3">
        <v>661.69575349070499</v>
      </c>
    </row>
    <row r="5567" spans="1:12" ht="15" customHeight="1" x14ac:dyDescent="0.2">
      <c r="A5567" s="2">
        <v>37971</v>
      </c>
      <c r="B5567" s="3">
        <v>27.740013000000001</v>
      </c>
      <c r="C5567" s="1">
        <v>799039.1</v>
      </c>
      <c r="D5567" s="3">
        <v>-0.45999899999999899</v>
      </c>
      <c r="E5567" s="3">
        <v>-1.6312014335313001</v>
      </c>
      <c r="F5567" s="3">
        <v>-1.6312014335313001</v>
      </c>
      <c r="G5567" s="3">
        <v>27.740013000000001</v>
      </c>
      <c r="H5567" s="3">
        <v>673.02827582282396</v>
      </c>
      <c r="I5567" s="3">
        <v>28.220015</v>
      </c>
      <c r="J5567" s="3">
        <v>28.253347000000002</v>
      </c>
      <c r="K5567" s="3">
        <v>27.340012000000002</v>
      </c>
      <c r="L5567" s="3">
        <v>673.02827582282396</v>
      </c>
    </row>
    <row r="5568" spans="1:12" ht="15" customHeight="1" x14ac:dyDescent="0.2">
      <c r="A5568" s="2">
        <v>37970</v>
      </c>
      <c r="B5568" s="3">
        <v>28.200012000000001</v>
      </c>
      <c r="C5568" s="1">
        <v>744994.14</v>
      </c>
      <c r="D5568" s="3">
        <v>-0.33333400000000002</v>
      </c>
      <c r="E5568" s="3">
        <v>-1.1682261169089601</v>
      </c>
      <c r="F5568" s="3">
        <v>-1.1682261169089601</v>
      </c>
      <c r="G5568" s="3">
        <v>28.200012000000001</v>
      </c>
      <c r="H5568" s="3">
        <v>685.84702373942503</v>
      </c>
      <c r="I5568" s="3">
        <v>28.573346999999998</v>
      </c>
      <c r="J5568" s="3">
        <v>29.113346</v>
      </c>
      <c r="K5568" s="3">
        <v>28.040013999999999</v>
      </c>
      <c r="L5568" s="3">
        <v>685.84702373942503</v>
      </c>
    </row>
    <row r="5569" spans="1:12" ht="15" customHeight="1" x14ac:dyDescent="0.2">
      <c r="A5569" s="2">
        <v>37967</v>
      </c>
      <c r="B5569" s="3">
        <v>28.533346000000002</v>
      </c>
      <c r="C5569" s="1">
        <v>1302102.8999999999</v>
      </c>
      <c r="D5569" s="3">
        <v>-1.0333329999999901</v>
      </c>
      <c r="E5569" s="3">
        <v>-3.4949241340226198</v>
      </c>
      <c r="F5569" s="3">
        <v>-3.4949241340226198</v>
      </c>
      <c r="G5569" s="3">
        <v>28.533346000000002</v>
      </c>
      <c r="H5569" s="3">
        <v>695.13601027642198</v>
      </c>
      <c r="I5569" s="3">
        <v>29.440014000000001</v>
      </c>
      <c r="J5569" s="3">
        <v>29.512682000000002</v>
      </c>
      <c r="K5569" s="3">
        <v>28.226680000000002</v>
      </c>
      <c r="L5569" s="3">
        <v>695.13601027642198</v>
      </c>
    </row>
    <row r="5570" spans="1:12" ht="15" customHeight="1" x14ac:dyDescent="0.2">
      <c r="A5570" s="2">
        <v>37966</v>
      </c>
      <c r="B5570" s="3">
        <v>29.566679000000001</v>
      </c>
      <c r="C5570" s="1">
        <v>690911.7</v>
      </c>
      <c r="D5570" s="3">
        <v>0.89999900000000099</v>
      </c>
      <c r="E5570" s="3">
        <v>3.1395299351023498</v>
      </c>
      <c r="F5570" s="3">
        <v>3.1395299351023498</v>
      </c>
      <c r="G5570" s="3">
        <v>29.566679000000001</v>
      </c>
      <c r="H5570" s="3">
        <v>723.93180166054401</v>
      </c>
      <c r="I5570" s="3">
        <v>28.553349000000001</v>
      </c>
      <c r="J5570" s="3">
        <v>29.620014000000001</v>
      </c>
      <c r="K5570" s="3">
        <v>28.553349000000001</v>
      </c>
      <c r="L5570" s="3">
        <v>723.93180166054401</v>
      </c>
    </row>
    <row r="5571" spans="1:12" ht="15" customHeight="1" x14ac:dyDescent="0.2">
      <c r="A5571" s="2">
        <v>37965</v>
      </c>
      <c r="B5571" s="3">
        <v>28.666679999999999</v>
      </c>
      <c r="C5571" s="1">
        <v>454958.77</v>
      </c>
      <c r="D5571" s="3">
        <v>0.14666799999999799</v>
      </c>
      <c r="E5571" s="3">
        <v>0.51426345823415398</v>
      </c>
      <c r="F5571" s="3">
        <v>0.51426345823415398</v>
      </c>
      <c r="G5571" s="3">
        <v>28.666679999999999</v>
      </c>
      <c r="H5571" s="3">
        <v>698.85161603798201</v>
      </c>
      <c r="I5571" s="3">
        <v>28.666679999999999</v>
      </c>
      <c r="J5571" s="3">
        <v>28.860014</v>
      </c>
      <c r="K5571" s="3">
        <v>28.506679999999999</v>
      </c>
      <c r="L5571" s="3">
        <v>698.85161603798201</v>
      </c>
    </row>
    <row r="5572" spans="1:12" ht="15" customHeight="1" x14ac:dyDescent="0.2">
      <c r="A5572" s="2">
        <v>37964</v>
      </c>
      <c r="B5572" s="3">
        <v>28.520012000000001</v>
      </c>
      <c r="C5572" s="1">
        <v>527845.299999999</v>
      </c>
      <c r="D5572" s="3">
        <v>0.26666499999999899</v>
      </c>
      <c r="E5572" s="3">
        <v>0.94383507907929098</v>
      </c>
      <c r="F5572" s="3">
        <v>0.94383507907929098</v>
      </c>
      <c r="G5572" s="3">
        <v>28.520012000000001</v>
      </c>
      <c r="H5572" s="3">
        <v>694.76443298012396</v>
      </c>
      <c r="I5572" s="3">
        <v>28.526679999999999</v>
      </c>
      <c r="J5572" s="3">
        <v>28.933347999999999</v>
      </c>
      <c r="K5572" s="3">
        <v>28.460011999999999</v>
      </c>
      <c r="L5572" s="3">
        <v>694.76443298012396</v>
      </c>
    </row>
    <row r="5573" spans="1:12" ht="15" customHeight="1" x14ac:dyDescent="0.2">
      <c r="A5573" s="2">
        <v>37963</v>
      </c>
      <c r="B5573" s="3">
        <v>28.253347000000002</v>
      </c>
      <c r="C5573" s="1">
        <v>508549.26</v>
      </c>
      <c r="D5573" s="3">
        <v>5.33350000000005E-2</v>
      </c>
      <c r="E5573" s="3">
        <v>0.189131125192432</v>
      </c>
      <c r="F5573" s="3">
        <v>0.189131125192432</v>
      </c>
      <c r="G5573" s="3">
        <v>28.253347000000002</v>
      </c>
      <c r="H5573" s="3">
        <v>687.33330505771403</v>
      </c>
      <c r="I5573" s="3">
        <v>28.213346000000001</v>
      </c>
      <c r="J5573" s="3">
        <v>28.78668</v>
      </c>
      <c r="K5573" s="3">
        <v>28.086680999999999</v>
      </c>
      <c r="L5573" s="3">
        <v>687.33330505771403</v>
      </c>
    </row>
    <row r="5574" spans="1:12" ht="15" customHeight="1" x14ac:dyDescent="0.2">
      <c r="A5574" s="2">
        <v>37960</v>
      </c>
      <c r="B5574" s="3">
        <v>28.200012000000001</v>
      </c>
      <c r="C5574" s="1">
        <v>675479.7</v>
      </c>
      <c r="D5574" s="3">
        <v>-0.70666899999999799</v>
      </c>
      <c r="E5574" s="3">
        <v>-2.4446563062704998</v>
      </c>
      <c r="F5574" s="3">
        <v>-2.4446563062704998</v>
      </c>
      <c r="G5574" s="3">
        <v>28.200012000000001</v>
      </c>
      <c r="H5574" s="3">
        <v>685.84702373942503</v>
      </c>
      <c r="I5574" s="3">
        <v>28.733346999999998</v>
      </c>
      <c r="J5574" s="3">
        <v>28.740015</v>
      </c>
      <c r="K5574" s="3">
        <v>28.14668</v>
      </c>
      <c r="L5574" s="3">
        <v>685.84702373942503</v>
      </c>
    </row>
    <row r="5575" spans="1:12" ht="15" customHeight="1" x14ac:dyDescent="0.2">
      <c r="A5575" s="2">
        <v>37959</v>
      </c>
      <c r="B5575" s="3">
        <v>28.906680999999999</v>
      </c>
      <c r="C5575" s="1">
        <v>444167.8</v>
      </c>
      <c r="D5575" s="3">
        <v>-0.30000100000000102</v>
      </c>
      <c r="E5575" s="3">
        <v>-1.0271656328507299</v>
      </c>
      <c r="F5575" s="3">
        <v>-1.0271656328507299</v>
      </c>
      <c r="G5575" s="3">
        <v>28.906680999999999</v>
      </c>
      <c r="H5575" s="3">
        <v>705.53970083541003</v>
      </c>
      <c r="I5575" s="3">
        <v>29.233346999999998</v>
      </c>
      <c r="J5575" s="3">
        <v>29.233346999999998</v>
      </c>
      <c r="K5575" s="3">
        <v>28.640013</v>
      </c>
      <c r="L5575" s="3">
        <v>705.53970083541003</v>
      </c>
    </row>
    <row r="5576" spans="1:12" ht="15" customHeight="1" x14ac:dyDescent="0.2">
      <c r="A5576" s="2">
        <v>37958</v>
      </c>
      <c r="B5576" s="3">
        <v>29.206682000000001</v>
      </c>
      <c r="C5576" s="1">
        <v>571342.19999999995</v>
      </c>
      <c r="D5576" s="3">
        <v>-0.126664999999999</v>
      </c>
      <c r="E5576" s="3">
        <v>-0.43181229881472599</v>
      </c>
      <c r="F5576" s="3">
        <v>-0.43181229881472599</v>
      </c>
      <c r="G5576" s="3">
        <v>29.206682000000001</v>
      </c>
      <c r="H5576" s="3">
        <v>713.89979986546905</v>
      </c>
      <c r="I5576" s="3">
        <v>29.386683000000001</v>
      </c>
      <c r="J5576" s="3">
        <v>29.693348</v>
      </c>
      <c r="K5576" s="3">
        <v>29.200013999999999</v>
      </c>
      <c r="L5576" s="3">
        <v>713.89979986546905</v>
      </c>
    </row>
    <row r="5577" spans="1:12" ht="15" customHeight="1" x14ac:dyDescent="0.2">
      <c r="A5577" s="2">
        <v>37957</v>
      </c>
      <c r="B5577" s="3">
        <v>29.333347</v>
      </c>
      <c r="C5577" s="1">
        <v>804761.59999999998</v>
      </c>
      <c r="D5577" s="3">
        <v>-0.45999899999999899</v>
      </c>
      <c r="E5577" s="3">
        <v>-1.5439655552619</v>
      </c>
      <c r="F5577" s="3">
        <v>-1.5439655552619</v>
      </c>
      <c r="G5577" s="3">
        <v>29.333347</v>
      </c>
      <c r="H5577" s="3">
        <v>717.42956124507305</v>
      </c>
      <c r="I5577" s="3">
        <v>29.766681999999999</v>
      </c>
      <c r="J5577" s="3">
        <v>29.860014</v>
      </c>
      <c r="K5577" s="3">
        <v>29.266681999999999</v>
      </c>
      <c r="L5577" s="3">
        <v>717.42956124507305</v>
      </c>
    </row>
    <row r="5578" spans="1:12" ht="15" customHeight="1" x14ac:dyDescent="0.2">
      <c r="A5578" s="2">
        <v>37956</v>
      </c>
      <c r="B5578" s="3">
        <v>29.793346</v>
      </c>
      <c r="C5578" s="1">
        <v>799102.1</v>
      </c>
      <c r="D5578" s="3">
        <v>0.88666500000000004</v>
      </c>
      <c r="E5578" s="3">
        <v>3.0673358868145302</v>
      </c>
      <c r="F5578" s="3">
        <v>3.0673358868145302</v>
      </c>
      <c r="G5578" s="3">
        <v>29.793346</v>
      </c>
      <c r="H5578" s="3">
        <v>730.24830916167298</v>
      </c>
      <c r="I5578" s="3">
        <v>29.200016000000002</v>
      </c>
      <c r="J5578" s="3">
        <v>29.793346</v>
      </c>
      <c r="K5578" s="3">
        <v>29.173345999999999</v>
      </c>
      <c r="L5578" s="3">
        <v>730.24830916167298</v>
      </c>
    </row>
    <row r="5579" spans="1:12" ht="15" customHeight="1" x14ac:dyDescent="0.2">
      <c r="A5579" s="2">
        <v>37953</v>
      </c>
      <c r="B5579" s="3">
        <v>28.906680999999999</v>
      </c>
      <c r="C5579" s="1">
        <v>166729.42000000001</v>
      </c>
      <c r="D5579" s="3">
        <v>0.312001999999999</v>
      </c>
      <c r="E5579" s="3">
        <v>1.09111908547741</v>
      </c>
      <c r="F5579" s="3">
        <v>1.09111908547741</v>
      </c>
      <c r="G5579" s="3">
        <v>28.906680999999999</v>
      </c>
      <c r="H5579" s="3">
        <v>705.53970083541003</v>
      </c>
      <c r="I5579" s="3">
        <v>28.606680000000001</v>
      </c>
      <c r="J5579" s="3">
        <v>28.926680000000001</v>
      </c>
      <c r="K5579" s="3">
        <v>28.586680999999999</v>
      </c>
      <c r="L5579" s="3">
        <v>705.53970083541003</v>
      </c>
    </row>
    <row r="5580" spans="1:12" ht="15" customHeight="1" x14ac:dyDescent="0.2">
      <c r="A5580" s="2">
        <v>37951</v>
      </c>
      <c r="B5580" s="3">
        <v>28.594678999999999</v>
      </c>
      <c r="C5580" s="1">
        <v>431864.77999999898</v>
      </c>
      <c r="D5580" s="3">
        <v>0.14133299999999899</v>
      </c>
      <c r="E5580" s="3">
        <v>0.49671838243559002</v>
      </c>
      <c r="F5580" s="3">
        <v>0.49671838243559002</v>
      </c>
      <c r="G5580" s="3">
        <v>28.594678999999999</v>
      </c>
      <c r="H5580" s="3">
        <v>696.84517109192097</v>
      </c>
      <c r="I5580" s="3">
        <v>28.526679999999999</v>
      </c>
      <c r="J5580" s="3">
        <v>28.666679999999999</v>
      </c>
      <c r="K5580" s="3">
        <v>28.033346000000002</v>
      </c>
      <c r="L5580" s="3">
        <v>696.84517109192097</v>
      </c>
    </row>
    <row r="5581" spans="1:12" ht="15" customHeight="1" x14ac:dyDescent="0.2">
      <c r="A5581" s="2">
        <v>37950</v>
      </c>
      <c r="B5581" s="3">
        <v>28.453346</v>
      </c>
      <c r="C5581" s="1">
        <v>852637.1</v>
      </c>
      <c r="D5581" s="3">
        <v>0.67333399999999999</v>
      </c>
      <c r="E5581" s="3">
        <v>2.4238074483193102</v>
      </c>
      <c r="F5581" s="3">
        <v>2.4238074483193102</v>
      </c>
      <c r="G5581" s="3">
        <v>28.453346</v>
      </c>
      <c r="H5581" s="3">
        <v>692.90665796624705</v>
      </c>
      <c r="I5581" s="3">
        <v>28.000012999999999</v>
      </c>
      <c r="J5581" s="3">
        <v>28.520012000000001</v>
      </c>
      <c r="K5581" s="3">
        <v>27.920013000000001</v>
      </c>
      <c r="L5581" s="3">
        <v>692.90665796624705</v>
      </c>
    </row>
    <row r="5582" spans="1:12" ht="15" customHeight="1" x14ac:dyDescent="0.2">
      <c r="A5582" s="2">
        <v>37949</v>
      </c>
      <c r="B5582" s="3">
        <v>27.780011999999999</v>
      </c>
      <c r="C5582" s="1">
        <v>644249.69999999995</v>
      </c>
      <c r="D5582" s="3">
        <v>0.873331999999997</v>
      </c>
      <c r="E5582" s="3">
        <v>3.2457813450042798</v>
      </c>
      <c r="F5582" s="3">
        <v>3.2457813450042798</v>
      </c>
      <c r="G5582" s="3">
        <v>27.780011999999999</v>
      </c>
      <c r="H5582" s="3">
        <v>674.14292411100803</v>
      </c>
      <c r="I5582" s="3">
        <v>27.086680000000001</v>
      </c>
      <c r="J5582" s="3">
        <v>27.913345</v>
      </c>
      <c r="K5582" s="3">
        <v>27.046679000000001</v>
      </c>
      <c r="L5582" s="3">
        <v>674.14292411100803</v>
      </c>
    </row>
    <row r="5583" spans="1:12" ht="15" customHeight="1" x14ac:dyDescent="0.2">
      <c r="A5583" s="2">
        <v>37946</v>
      </c>
      <c r="B5583" s="3">
        <v>26.906680000000001</v>
      </c>
      <c r="C5583" s="1">
        <v>321997.34000000003</v>
      </c>
      <c r="D5583" s="3">
        <v>0.22666600000000101</v>
      </c>
      <c r="E5583" s="3">
        <v>0.849572267840637</v>
      </c>
      <c r="F5583" s="3">
        <v>0.849572267840637</v>
      </c>
      <c r="G5583" s="3">
        <v>26.906680000000001</v>
      </c>
      <c r="H5583" s="3">
        <v>649.80586521413898</v>
      </c>
      <c r="I5583" s="3">
        <v>26.780011999999999</v>
      </c>
      <c r="J5583" s="3">
        <v>27.113344000000001</v>
      </c>
      <c r="K5583" s="3">
        <v>26.713346000000001</v>
      </c>
      <c r="L5583" s="3">
        <v>649.80586521413898</v>
      </c>
    </row>
    <row r="5584" spans="1:12" ht="15" customHeight="1" x14ac:dyDescent="0.2">
      <c r="A5584" s="2">
        <v>37945</v>
      </c>
      <c r="B5584" s="3">
        <v>26.680014</v>
      </c>
      <c r="C5584" s="1">
        <v>553105.19999999995</v>
      </c>
      <c r="D5584" s="3">
        <v>-0.38666499999999998</v>
      </c>
      <c r="E5584" s="3">
        <v>-1.4285646199890201</v>
      </c>
      <c r="F5584" s="3">
        <v>-1.4285646199890201</v>
      </c>
      <c r="G5584" s="3">
        <v>26.680014</v>
      </c>
      <c r="H5584" s="3">
        <v>643.48938557991301</v>
      </c>
      <c r="I5584" s="3">
        <v>27.080010999999999</v>
      </c>
      <c r="J5584" s="3">
        <v>27.166679999999999</v>
      </c>
      <c r="K5584" s="3">
        <v>26.666679999999999</v>
      </c>
      <c r="L5584" s="3">
        <v>643.48938557991301</v>
      </c>
    </row>
    <row r="5585" spans="1:12" ht="15" customHeight="1" x14ac:dyDescent="0.2">
      <c r="A5585" s="2">
        <v>37944</v>
      </c>
      <c r="B5585" s="3">
        <v>27.066679000000001</v>
      </c>
      <c r="C5585" s="1">
        <v>369230.8</v>
      </c>
      <c r="D5585" s="3">
        <v>0.133331000000001</v>
      </c>
      <c r="E5585" s="3">
        <v>0.49504057200762103</v>
      </c>
      <c r="F5585" s="3">
        <v>0.49504057200762103</v>
      </c>
      <c r="G5585" s="3">
        <v>27.066679000000001</v>
      </c>
      <c r="H5585" s="3">
        <v>654.26454196758505</v>
      </c>
      <c r="I5585" s="3">
        <v>26.873346000000002</v>
      </c>
      <c r="J5585" s="3">
        <v>27.273346</v>
      </c>
      <c r="K5585" s="3">
        <v>26.686678000000001</v>
      </c>
      <c r="L5585" s="3">
        <v>654.26454196758505</v>
      </c>
    </row>
    <row r="5586" spans="1:12" ht="15" customHeight="1" x14ac:dyDescent="0.2">
      <c r="A5586" s="2">
        <v>37943</v>
      </c>
      <c r="B5586" s="3">
        <v>26.933347999999999</v>
      </c>
      <c r="C5586" s="1">
        <v>318461.84999999998</v>
      </c>
      <c r="D5586" s="3">
        <v>-0.35333200000000098</v>
      </c>
      <c r="E5586" s="3">
        <v>-1.29488820186259</v>
      </c>
      <c r="F5586" s="3">
        <v>-1.29488820186259</v>
      </c>
      <c r="G5586" s="3">
        <v>26.933347999999999</v>
      </c>
      <c r="H5586" s="3">
        <v>650.54901980673606</v>
      </c>
      <c r="I5586" s="3">
        <v>27.346684</v>
      </c>
      <c r="J5586" s="3">
        <v>27.460011999999999</v>
      </c>
      <c r="K5586" s="3">
        <v>26.906680000000001</v>
      </c>
      <c r="L5586" s="3">
        <v>650.54901980673606</v>
      </c>
    </row>
    <row r="5587" spans="1:12" ht="15" customHeight="1" x14ac:dyDescent="0.2">
      <c r="A5587" s="2">
        <v>37942</v>
      </c>
      <c r="B5587" s="3">
        <v>27.28668</v>
      </c>
      <c r="C5587" s="1">
        <v>356647.33999999898</v>
      </c>
      <c r="D5587" s="3">
        <v>-0.17999999999999899</v>
      </c>
      <c r="E5587" s="3">
        <v>-0.65533948769927997</v>
      </c>
      <c r="F5587" s="3">
        <v>-0.65533948769927997</v>
      </c>
      <c r="G5587" s="3">
        <v>27.28668</v>
      </c>
      <c r="H5587" s="3">
        <v>660.39528868746902</v>
      </c>
      <c r="I5587" s="3">
        <v>27.460011999999999</v>
      </c>
      <c r="J5587" s="3">
        <v>27.460011999999999</v>
      </c>
      <c r="K5587" s="3">
        <v>27.066679000000001</v>
      </c>
      <c r="L5587" s="3">
        <v>660.39528868746902</v>
      </c>
    </row>
    <row r="5588" spans="1:12" ht="15" customHeight="1" x14ac:dyDescent="0.2">
      <c r="A5588" s="2">
        <v>37939</v>
      </c>
      <c r="B5588" s="3">
        <v>27.46668</v>
      </c>
      <c r="C5588" s="1">
        <v>459019.3</v>
      </c>
      <c r="D5588" s="3">
        <v>-0.373332000000001</v>
      </c>
      <c r="E5588" s="3">
        <v>-1.3409908012970699</v>
      </c>
      <c r="F5588" s="3">
        <v>-1.3409908012970699</v>
      </c>
      <c r="G5588" s="3">
        <v>27.46668</v>
      </c>
      <c r="H5588" s="3">
        <v>665.41133138536202</v>
      </c>
      <c r="I5588" s="3">
        <v>27.846684</v>
      </c>
      <c r="J5588" s="3">
        <v>27.873348</v>
      </c>
      <c r="K5588" s="3">
        <v>27.366679999999999</v>
      </c>
      <c r="L5588" s="3">
        <v>665.41133138536202</v>
      </c>
    </row>
    <row r="5589" spans="1:12" ht="15" customHeight="1" x14ac:dyDescent="0.2">
      <c r="A5589" s="2">
        <v>37938</v>
      </c>
      <c r="B5589" s="3">
        <v>27.840012000000002</v>
      </c>
      <c r="C5589" s="1">
        <v>765439.15</v>
      </c>
      <c r="D5589" s="3">
        <v>-0.34666799999999698</v>
      </c>
      <c r="E5589" s="3">
        <v>-1.2299000804635301</v>
      </c>
      <c r="F5589" s="3">
        <v>-1.2299000804635301</v>
      </c>
      <c r="G5589" s="3">
        <v>27.840012000000002</v>
      </c>
      <c r="H5589" s="3">
        <v>675.81493834363903</v>
      </c>
      <c r="I5589" s="3">
        <v>28.14668</v>
      </c>
      <c r="J5589" s="3">
        <v>28.186679999999999</v>
      </c>
      <c r="K5589" s="3">
        <v>27.726680000000002</v>
      </c>
      <c r="L5589" s="3">
        <v>675.81493834363903</v>
      </c>
    </row>
    <row r="5590" spans="1:12" ht="15" customHeight="1" x14ac:dyDescent="0.2">
      <c r="A5590" s="2">
        <v>37937</v>
      </c>
      <c r="B5590" s="3">
        <v>28.186679999999999</v>
      </c>
      <c r="C5590" s="1">
        <v>449306.8</v>
      </c>
      <c r="D5590" s="3">
        <v>0.61333300000000002</v>
      </c>
      <c r="E5590" s="3">
        <v>2.2243690619060601</v>
      </c>
      <c r="F5590" s="3">
        <v>2.2243690619060601</v>
      </c>
      <c r="G5590" s="3">
        <v>28.186679999999999</v>
      </c>
      <c r="H5590" s="3">
        <v>685.47550217693401</v>
      </c>
      <c r="I5590" s="3">
        <v>27.666679999999999</v>
      </c>
      <c r="J5590" s="3">
        <v>28.186679999999999</v>
      </c>
      <c r="K5590" s="3">
        <v>27.620014000000001</v>
      </c>
      <c r="L5590" s="3">
        <v>685.47550217693401</v>
      </c>
    </row>
    <row r="5591" spans="1:12" ht="15" customHeight="1" x14ac:dyDescent="0.2">
      <c r="A5591" s="2">
        <v>37936</v>
      </c>
      <c r="B5591" s="3">
        <v>27.573346999999998</v>
      </c>
      <c r="C5591" s="1">
        <v>541663.27</v>
      </c>
      <c r="D5591" s="3">
        <v>-0.186667000000003</v>
      </c>
      <c r="E5591" s="3">
        <v>-0.67243121707360998</v>
      </c>
      <c r="F5591" s="3">
        <v>-0.67243121707360998</v>
      </c>
      <c r="G5591" s="3">
        <v>27.573346999999998</v>
      </c>
      <c r="H5591" s="3">
        <v>668.38381042123001</v>
      </c>
      <c r="I5591" s="3">
        <v>27.673345999999999</v>
      </c>
      <c r="J5591" s="3">
        <v>27.846679999999999</v>
      </c>
      <c r="K5591" s="3">
        <v>27.440014000000001</v>
      </c>
      <c r="L5591" s="3">
        <v>668.38381042123001</v>
      </c>
    </row>
    <row r="5592" spans="1:12" ht="15" customHeight="1" x14ac:dyDescent="0.2">
      <c r="A5592" s="2">
        <v>37935</v>
      </c>
      <c r="B5592" s="3">
        <v>27.760014000000002</v>
      </c>
      <c r="C5592" s="1">
        <v>624356.69999999995</v>
      </c>
      <c r="D5592" s="3">
        <v>-0.31333299999999598</v>
      </c>
      <c r="E5592" s="3">
        <v>-1.1161227052834</v>
      </c>
      <c r="F5592" s="3">
        <v>-1.1161227052834</v>
      </c>
      <c r="G5592" s="3">
        <v>27.760014000000002</v>
      </c>
      <c r="H5592" s="3">
        <v>673.58564176727202</v>
      </c>
      <c r="I5592" s="3">
        <v>28.066679000000001</v>
      </c>
      <c r="J5592" s="3">
        <v>28.173345999999999</v>
      </c>
      <c r="K5592" s="3">
        <v>27.566679000000001</v>
      </c>
      <c r="L5592" s="3">
        <v>673.58564176727202</v>
      </c>
    </row>
    <row r="5593" spans="1:12" ht="15" customHeight="1" x14ac:dyDescent="0.2">
      <c r="A5593" s="2">
        <v>37932</v>
      </c>
      <c r="B5593" s="3">
        <v>28.073346999999998</v>
      </c>
      <c r="C5593" s="1">
        <v>901952.6</v>
      </c>
      <c r="D5593" s="3">
        <v>0.406666999999998</v>
      </c>
      <c r="E5593" s="3">
        <v>1.4698800145156401</v>
      </c>
      <c r="F5593" s="3">
        <v>1.4698800145156401</v>
      </c>
      <c r="G5593" s="3">
        <v>28.073346999999998</v>
      </c>
      <c r="H5593" s="3">
        <v>682.31726235982103</v>
      </c>
      <c r="I5593" s="3">
        <v>27.726680000000002</v>
      </c>
      <c r="J5593" s="3">
        <v>28.300014000000001</v>
      </c>
      <c r="K5593" s="3">
        <v>27.726680000000002</v>
      </c>
      <c r="L5593" s="3">
        <v>682.31726235982103</v>
      </c>
    </row>
    <row r="5594" spans="1:12" ht="15" customHeight="1" x14ac:dyDescent="0.2">
      <c r="A5594" s="2">
        <v>37931</v>
      </c>
      <c r="B5594" s="3">
        <v>27.666679999999999</v>
      </c>
      <c r="C5594" s="1">
        <v>737308.1</v>
      </c>
      <c r="D5594" s="3">
        <v>-1.9999999999999501E-2</v>
      </c>
      <c r="E5594" s="3">
        <v>-7.2236902366040703E-2</v>
      </c>
      <c r="F5594" s="3">
        <v>-7.2236902366040703E-2</v>
      </c>
      <c r="G5594" s="3">
        <v>27.666679999999999</v>
      </c>
      <c r="H5594" s="3">
        <v>670.98471216079895</v>
      </c>
      <c r="I5594" s="3">
        <v>27.686679999999999</v>
      </c>
      <c r="J5594" s="3">
        <v>27.726680000000002</v>
      </c>
      <c r="K5594" s="3">
        <v>27.340012000000002</v>
      </c>
      <c r="L5594" s="3">
        <v>670.98471216079895</v>
      </c>
    </row>
    <row r="5595" spans="1:12" ht="15" customHeight="1" x14ac:dyDescent="0.2">
      <c r="A5595" s="2">
        <v>37930</v>
      </c>
      <c r="B5595" s="3">
        <v>27.686679999999999</v>
      </c>
      <c r="C5595" s="1">
        <v>1081631.5</v>
      </c>
      <c r="D5595" s="3">
        <v>-0.186668</v>
      </c>
      <c r="E5595" s="3">
        <v>-0.66970067607235995</v>
      </c>
      <c r="F5595" s="3">
        <v>-0.66970067607235995</v>
      </c>
      <c r="G5595" s="3">
        <v>27.686679999999999</v>
      </c>
      <c r="H5595" s="3">
        <v>671.54205023834197</v>
      </c>
      <c r="I5595" s="3">
        <v>27.800014000000001</v>
      </c>
      <c r="J5595" s="3">
        <v>27.873348</v>
      </c>
      <c r="K5595" s="3">
        <v>27.480015000000002</v>
      </c>
      <c r="L5595" s="3">
        <v>671.54205023834197</v>
      </c>
    </row>
    <row r="5596" spans="1:12" ht="15" customHeight="1" x14ac:dyDescent="0.2">
      <c r="A5596" s="2">
        <v>37929</v>
      </c>
      <c r="B5596" s="3">
        <v>27.873348</v>
      </c>
      <c r="C5596" s="1">
        <v>923500.05999999901</v>
      </c>
      <c r="D5596" s="3">
        <v>1.3334000000000399E-2</v>
      </c>
      <c r="E5596" s="3">
        <v>4.7860708181990397E-2</v>
      </c>
      <c r="F5596" s="3">
        <v>4.7860708181990397E-2</v>
      </c>
      <c r="G5596" s="3">
        <v>27.873348</v>
      </c>
      <c r="H5596" s="3">
        <v>676.74390945128903</v>
      </c>
      <c r="I5596" s="3">
        <v>27.700016000000002</v>
      </c>
      <c r="J5596" s="3">
        <v>27.946677999999999</v>
      </c>
      <c r="K5596" s="3">
        <v>27.360014</v>
      </c>
      <c r="L5596" s="3">
        <v>676.74390945128903</v>
      </c>
    </row>
    <row r="5597" spans="1:12" ht="15" customHeight="1" x14ac:dyDescent="0.2">
      <c r="A5597" s="2">
        <v>37928</v>
      </c>
      <c r="B5597" s="3">
        <v>27.860014</v>
      </c>
      <c r="C5597" s="1">
        <v>2256602</v>
      </c>
      <c r="D5597" s="3">
        <v>1.22666699999999</v>
      </c>
      <c r="E5597" s="3">
        <v>4.6057560846558303</v>
      </c>
      <c r="F5597" s="3">
        <v>4.6057560846558303</v>
      </c>
      <c r="G5597" s="3">
        <v>27.860014</v>
      </c>
      <c r="H5597" s="3">
        <v>676.37233215498998</v>
      </c>
      <c r="I5597" s="3">
        <v>26.600014000000002</v>
      </c>
      <c r="J5597" s="3">
        <v>27.860014</v>
      </c>
      <c r="K5597" s="3">
        <v>26.546679000000001</v>
      </c>
      <c r="L5597" s="3">
        <v>676.37233215498998</v>
      </c>
    </row>
    <row r="5598" spans="1:12" ht="15" customHeight="1" x14ac:dyDescent="0.2">
      <c r="A5598" s="2">
        <v>37925</v>
      </c>
      <c r="B5598" s="3">
        <v>26.633347000000001</v>
      </c>
      <c r="C5598" s="1">
        <v>747659.6</v>
      </c>
      <c r="D5598" s="3">
        <v>-3.3332999999998898E-2</v>
      </c>
      <c r="E5598" s="3">
        <v>-0.124998687500654</v>
      </c>
      <c r="F5598" s="3">
        <v>-0.124998687500654</v>
      </c>
      <c r="G5598" s="3">
        <v>26.633347000000001</v>
      </c>
      <c r="H5598" s="3">
        <v>642.18892077667704</v>
      </c>
      <c r="I5598" s="3">
        <v>26.600014000000002</v>
      </c>
      <c r="J5598" s="3">
        <v>26.766680000000001</v>
      </c>
      <c r="K5598" s="3">
        <v>26.460011999999999</v>
      </c>
      <c r="L5598" s="3">
        <v>642.18892077667704</v>
      </c>
    </row>
    <row r="5599" spans="1:12" ht="15" customHeight="1" x14ac:dyDescent="0.2">
      <c r="A5599" s="2">
        <v>37924</v>
      </c>
      <c r="B5599" s="3">
        <v>26.666679999999999</v>
      </c>
      <c r="C5599" s="1">
        <v>1251864.8999999999</v>
      </c>
      <c r="D5599" s="3">
        <v>0.33333499999999799</v>
      </c>
      <c r="E5599" s="3">
        <v>1.26582855311392</v>
      </c>
      <c r="F5599" s="3">
        <v>1.26582855311392</v>
      </c>
      <c r="G5599" s="3">
        <v>26.666679999999999</v>
      </c>
      <c r="H5599" s="3">
        <v>643.11780828361498</v>
      </c>
      <c r="I5599" s="3">
        <v>26.46668</v>
      </c>
      <c r="J5599" s="3">
        <v>26.813347</v>
      </c>
      <c r="K5599" s="3">
        <v>26.246680000000001</v>
      </c>
      <c r="L5599" s="3">
        <v>643.11780828361498</v>
      </c>
    </row>
    <row r="5600" spans="1:12" ht="15" customHeight="1" x14ac:dyDescent="0.2">
      <c r="A5600" s="2">
        <v>37923</v>
      </c>
      <c r="B5600" s="3">
        <v>26.333345000000001</v>
      </c>
      <c r="C5600" s="1">
        <v>911974.06</v>
      </c>
      <c r="D5600" s="3">
        <v>0.29999899999999902</v>
      </c>
      <c r="E5600" s="3">
        <v>1.1523643560839201</v>
      </c>
      <c r="F5600" s="3">
        <v>1.1523643560839201</v>
      </c>
      <c r="G5600" s="3">
        <v>26.333345000000001</v>
      </c>
      <c r="H5600" s="3">
        <v>633.828793879714</v>
      </c>
      <c r="I5600" s="3">
        <v>25.946677999999999</v>
      </c>
      <c r="J5600" s="3">
        <v>26.440011999999999</v>
      </c>
      <c r="K5600" s="3">
        <v>25.880013000000002</v>
      </c>
      <c r="L5600" s="3">
        <v>633.828793879714</v>
      </c>
    </row>
    <row r="5601" spans="1:12" ht="15" customHeight="1" x14ac:dyDescent="0.2">
      <c r="A5601" s="2">
        <v>37922</v>
      </c>
      <c r="B5601" s="3">
        <v>26.033346000000002</v>
      </c>
      <c r="C5601" s="1">
        <v>943916.56</v>
      </c>
      <c r="D5601" s="3">
        <v>0.16666800000000101</v>
      </c>
      <c r="E5601" s="3">
        <v>0.64433476923477695</v>
      </c>
      <c r="F5601" s="3">
        <v>0.64433476923477695</v>
      </c>
      <c r="G5601" s="3">
        <v>26.033346000000002</v>
      </c>
      <c r="H5601" s="3">
        <v>625.46875058346302</v>
      </c>
      <c r="I5601" s="3">
        <v>25.866678</v>
      </c>
      <c r="J5601" s="3">
        <v>26.126677999999998</v>
      </c>
      <c r="K5601" s="3">
        <v>25.526679999999999</v>
      </c>
      <c r="L5601" s="3">
        <v>625.46875058346302</v>
      </c>
    </row>
    <row r="5602" spans="1:12" ht="15" customHeight="1" x14ac:dyDescent="0.2">
      <c r="A5602" s="2">
        <v>37921</v>
      </c>
      <c r="B5602" s="3">
        <v>25.866678</v>
      </c>
      <c r="C5602" s="1">
        <v>788473.13999999897</v>
      </c>
      <c r="D5602" s="3">
        <v>0.31999899999999898</v>
      </c>
      <c r="E5602" s="3">
        <v>1.2526050842068299</v>
      </c>
      <c r="F5602" s="3">
        <v>1.2526050842068299</v>
      </c>
      <c r="G5602" s="3">
        <v>25.866678</v>
      </c>
      <c r="H5602" s="3">
        <v>620.82422944806001</v>
      </c>
      <c r="I5602" s="3">
        <v>25.693345999999998</v>
      </c>
      <c r="J5602" s="3">
        <v>25.966678999999999</v>
      </c>
      <c r="K5602" s="3">
        <v>25.633347000000001</v>
      </c>
      <c r="L5602" s="3">
        <v>620.82422944806001</v>
      </c>
    </row>
    <row r="5603" spans="1:12" ht="15" customHeight="1" x14ac:dyDescent="0.2">
      <c r="A5603" s="2">
        <v>37918</v>
      </c>
      <c r="B5603" s="3">
        <v>25.546679000000001</v>
      </c>
      <c r="C5603" s="1">
        <v>1436943.8</v>
      </c>
      <c r="D5603" s="3">
        <v>-0.120000999999998</v>
      </c>
      <c r="E5603" s="3">
        <v>-0.46753612076044698</v>
      </c>
      <c r="F5603" s="3">
        <v>-0.46753612076044698</v>
      </c>
      <c r="G5603" s="3">
        <v>25.546679000000001</v>
      </c>
      <c r="H5603" s="3">
        <v>611.90684807426499</v>
      </c>
      <c r="I5603" s="3">
        <v>25.633348000000002</v>
      </c>
      <c r="J5603" s="3">
        <v>25.693345999999998</v>
      </c>
      <c r="K5603" s="3">
        <v>25.213345</v>
      </c>
      <c r="L5603" s="3">
        <v>611.90684807426499</v>
      </c>
    </row>
    <row r="5604" spans="1:12" ht="15" customHeight="1" x14ac:dyDescent="0.2">
      <c r="A5604" s="2">
        <v>37917</v>
      </c>
      <c r="B5604" s="3">
        <v>25.666679999999999</v>
      </c>
      <c r="C5604" s="1">
        <v>2025840.5</v>
      </c>
      <c r="D5604" s="3">
        <v>-0.466667000000001</v>
      </c>
      <c r="E5604" s="3">
        <v>-1.78571462736862</v>
      </c>
      <c r="F5604" s="3">
        <v>-1.78571462736862</v>
      </c>
      <c r="G5604" s="3">
        <v>25.666679999999999</v>
      </c>
      <c r="H5604" s="3">
        <v>615.250904406431</v>
      </c>
      <c r="I5604" s="3">
        <v>26.046679000000001</v>
      </c>
      <c r="J5604" s="3">
        <v>26.060013000000001</v>
      </c>
      <c r="K5604" s="3">
        <v>25.473344999999998</v>
      </c>
      <c r="L5604" s="3">
        <v>615.250904406431</v>
      </c>
    </row>
    <row r="5605" spans="1:12" ht="15" customHeight="1" x14ac:dyDescent="0.2">
      <c r="A5605" s="2">
        <v>37916</v>
      </c>
      <c r="B5605" s="3">
        <v>26.133347000000001</v>
      </c>
      <c r="C5605" s="1">
        <v>4987358</v>
      </c>
      <c r="D5605" s="3">
        <v>2.3666669999999899</v>
      </c>
      <c r="E5605" s="3">
        <v>9.9579200797082308</v>
      </c>
      <c r="F5605" s="3">
        <v>9.9579200797082308</v>
      </c>
      <c r="G5605" s="3">
        <v>26.133347000000001</v>
      </c>
      <c r="H5605" s="3">
        <v>628.25546883808499</v>
      </c>
      <c r="I5605" s="3">
        <v>23.666677</v>
      </c>
      <c r="J5605" s="3">
        <v>26.28668</v>
      </c>
      <c r="K5605" s="3">
        <v>23.500011000000001</v>
      </c>
      <c r="L5605" s="3">
        <v>628.25546883808499</v>
      </c>
    </row>
    <row r="5606" spans="1:12" ht="15" customHeight="1" x14ac:dyDescent="0.2">
      <c r="A5606" s="2">
        <v>37915</v>
      </c>
      <c r="B5606" s="3">
        <v>23.766680000000001</v>
      </c>
      <c r="C5606" s="1">
        <v>1535774.3</v>
      </c>
      <c r="D5606" s="3">
        <v>-0.75332999999999795</v>
      </c>
      <c r="E5606" s="3">
        <v>-3.0723070667589298</v>
      </c>
      <c r="F5606" s="3">
        <v>-3.0723070667589298</v>
      </c>
      <c r="G5606" s="3">
        <v>23.766680000000001</v>
      </c>
      <c r="H5606" s="3">
        <v>562.30378703978295</v>
      </c>
      <c r="I5606" s="3">
        <v>24.440011999999999</v>
      </c>
      <c r="J5606" s="3">
        <v>24.446676</v>
      </c>
      <c r="K5606" s="3">
        <v>23.580010999999999</v>
      </c>
      <c r="L5606" s="3">
        <v>562.30378703978295</v>
      </c>
    </row>
    <row r="5607" spans="1:12" ht="15" customHeight="1" x14ac:dyDescent="0.2">
      <c r="A5607" s="2">
        <v>37914</v>
      </c>
      <c r="B5607" s="3">
        <v>24.520009999999999</v>
      </c>
      <c r="C5607" s="1">
        <v>889582.1</v>
      </c>
      <c r="D5607" s="3">
        <v>-0.14666999999999999</v>
      </c>
      <c r="E5607" s="3">
        <v>-0.59460778669849701</v>
      </c>
      <c r="F5607" s="3">
        <v>-0.59460778669849701</v>
      </c>
      <c r="G5607" s="3">
        <v>24.520009999999999</v>
      </c>
      <c r="H5607" s="3">
        <v>583.29676173758105</v>
      </c>
      <c r="I5607" s="3">
        <v>24.83268</v>
      </c>
      <c r="J5607" s="3">
        <v>24.933346</v>
      </c>
      <c r="K5607" s="3">
        <v>24.146678999999999</v>
      </c>
      <c r="L5607" s="3">
        <v>583.29676173758105</v>
      </c>
    </row>
    <row r="5608" spans="1:12" ht="15" customHeight="1" x14ac:dyDescent="0.2">
      <c r="A5608" s="2">
        <v>37911</v>
      </c>
      <c r="B5608" s="3">
        <v>24.666679999999999</v>
      </c>
      <c r="C5608" s="1">
        <v>615376.16</v>
      </c>
      <c r="D5608" s="3">
        <v>-0.61333000000000104</v>
      </c>
      <c r="E5608" s="3">
        <v>-2.4261461921890102</v>
      </c>
      <c r="F5608" s="3">
        <v>-2.4261461921890102</v>
      </c>
      <c r="G5608" s="3">
        <v>24.666679999999999</v>
      </c>
      <c r="H5608" s="3">
        <v>587.38400052924806</v>
      </c>
      <c r="I5608" s="3">
        <v>25.306678999999999</v>
      </c>
      <c r="J5608" s="3">
        <v>25.306678999999999</v>
      </c>
      <c r="K5608" s="3">
        <v>24.666679999999999</v>
      </c>
      <c r="L5608" s="3">
        <v>587.38400052924806</v>
      </c>
    </row>
    <row r="5609" spans="1:12" ht="15" customHeight="1" x14ac:dyDescent="0.2">
      <c r="A5609" s="2">
        <v>37910</v>
      </c>
      <c r="B5609" s="3">
        <v>25.280010000000001</v>
      </c>
      <c r="C5609" s="1">
        <v>429253.3</v>
      </c>
      <c r="D5609" s="3">
        <v>0.42666599999999999</v>
      </c>
      <c r="E5609" s="3">
        <v>1.7167347782254201</v>
      </c>
      <c r="F5609" s="3">
        <v>1.7167347782254201</v>
      </c>
      <c r="G5609" s="3">
        <v>25.280010000000001</v>
      </c>
      <c r="H5609" s="3">
        <v>604.47560868424102</v>
      </c>
      <c r="I5609" s="3">
        <v>24.940011999999999</v>
      </c>
      <c r="J5609" s="3">
        <v>25.333345000000001</v>
      </c>
      <c r="K5609" s="3">
        <v>24.866678</v>
      </c>
      <c r="L5609" s="3">
        <v>604.47560868424102</v>
      </c>
    </row>
    <row r="5610" spans="1:12" ht="15" customHeight="1" x14ac:dyDescent="0.2">
      <c r="A5610" s="2">
        <v>37909</v>
      </c>
      <c r="B5610" s="3">
        <v>24.853344</v>
      </c>
      <c r="C5610" s="1">
        <v>524462.77</v>
      </c>
      <c r="D5610" s="3">
        <v>-0.35333599999999799</v>
      </c>
      <c r="E5610" s="3">
        <v>-1.4017554076935099</v>
      </c>
      <c r="F5610" s="3">
        <v>-1.4017554076935099</v>
      </c>
      <c r="G5610" s="3">
        <v>24.853344</v>
      </c>
      <c r="H5610" s="3">
        <v>592.58574827457801</v>
      </c>
      <c r="I5610" s="3">
        <v>25.146678999999999</v>
      </c>
      <c r="J5610" s="3">
        <v>25.313347</v>
      </c>
      <c r="K5610" s="3">
        <v>24.780010000000001</v>
      </c>
      <c r="L5610" s="3">
        <v>592.58574827457801</v>
      </c>
    </row>
    <row r="5611" spans="1:12" ht="15" customHeight="1" x14ac:dyDescent="0.2">
      <c r="A5611" s="2">
        <v>37908</v>
      </c>
      <c r="B5611" s="3">
        <v>25.206679999999999</v>
      </c>
      <c r="C5611" s="1">
        <v>580529.69999999995</v>
      </c>
      <c r="D5611" s="3">
        <v>3.9999999999999099E-2</v>
      </c>
      <c r="E5611" s="3">
        <v>0.15894031314420601</v>
      </c>
      <c r="F5611" s="3">
        <v>0.15894031314420601</v>
      </c>
      <c r="G5611" s="3">
        <v>25.206679999999999</v>
      </c>
      <c r="H5611" s="3">
        <v>602.43212862292705</v>
      </c>
      <c r="I5611" s="3">
        <v>25.166679999999999</v>
      </c>
      <c r="J5611" s="3">
        <v>25.300013</v>
      </c>
      <c r="K5611" s="3">
        <v>24.813347</v>
      </c>
      <c r="L5611" s="3">
        <v>602.43212862292705</v>
      </c>
    </row>
    <row r="5612" spans="1:12" ht="15" customHeight="1" x14ac:dyDescent="0.2">
      <c r="A5612" s="2">
        <v>37907</v>
      </c>
      <c r="B5612" s="3">
        <v>25.166679999999999</v>
      </c>
      <c r="C5612" s="1">
        <v>409207.3</v>
      </c>
      <c r="D5612" s="3">
        <v>0.38666999999999802</v>
      </c>
      <c r="E5612" s="3">
        <v>1.5604109925702001</v>
      </c>
      <c r="F5612" s="3">
        <v>1.5604109925702001</v>
      </c>
      <c r="G5612" s="3">
        <v>25.166679999999999</v>
      </c>
      <c r="H5612" s="3">
        <v>601.31745246783998</v>
      </c>
      <c r="I5612" s="3">
        <v>24.907344999999999</v>
      </c>
      <c r="J5612" s="3">
        <v>25.186678000000001</v>
      </c>
      <c r="K5612" s="3">
        <v>24.906680000000001</v>
      </c>
      <c r="L5612" s="3">
        <v>601.31745246783998</v>
      </c>
    </row>
    <row r="5613" spans="1:12" ht="15" customHeight="1" x14ac:dyDescent="0.2">
      <c r="A5613" s="2">
        <v>37904</v>
      </c>
      <c r="B5613" s="3">
        <v>24.780010000000001</v>
      </c>
      <c r="C5613" s="1">
        <v>375137.81999999902</v>
      </c>
      <c r="D5613" s="3">
        <v>-0.30000099999999802</v>
      </c>
      <c r="E5613" s="3">
        <v>-1.19617571140617</v>
      </c>
      <c r="F5613" s="3">
        <v>-1.19617571140617</v>
      </c>
      <c r="G5613" s="3">
        <v>24.780010000000001</v>
      </c>
      <c r="H5613" s="3">
        <v>590.54215674564898</v>
      </c>
      <c r="I5613" s="3">
        <v>25.120011999999999</v>
      </c>
      <c r="J5613" s="3">
        <v>25.233345</v>
      </c>
      <c r="K5613" s="3">
        <v>24.673344</v>
      </c>
      <c r="L5613" s="3">
        <v>590.54215674564898</v>
      </c>
    </row>
    <row r="5614" spans="1:12" ht="15" customHeight="1" x14ac:dyDescent="0.2">
      <c r="A5614" s="2">
        <v>37903</v>
      </c>
      <c r="B5614" s="3">
        <v>25.080010999999999</v>
      </c>
      <c r="C5614" s="1">
        <v>817826.6</v>
      </c>
      <c r="D5614" s="3">
        <v>0.246665999999997</v>
      </c>
      <c r="E5614" s="3">
        <v>0.99328543939609604</v>
      </c>
      <c r="F5614" s="3">
        <v>0.99328543939609604</v>
      </c>
      <c r="G5614" s="3">
        <v>25.080010999999999</v>
      </c>
      <c r="H5614" s="3">
        <v>598.902255775708</v>
      </c>
      <c r="I5614" s="3">
        <v>25.033344</v>
      </c>
      <c r="J5614" s="3">
        <v>25.333345000000001</v>
      </c>
      <c r="K5614" s="3">
        <v>24.866678</v>
      </c>
      <c r="L5614" s="3">
        <v>598.902255775708</v>
      </c>
    </row>
    <row r="5615" spans="1:12" ht="15" customHeight="1" x14ac:dyDescent="0.2">
      <c r="A5615" s="2">
        <v>37902</v>
      </c>
      <c r="B5615" s="3">
        <v>24.833345000000001</v>
      </c>
      <c r="C5615" s="1">
        <v>633184.19999999995</v>
      </c>
      <c r="D5615" s="3">
        <v>-9.3332999999997598E-2</v>
      </c>
      <c r="E5615" s="3">
        <v>-0.37443015872390401</v>
      </c>
      <c r="F5615" s="3">
        <v>-0.37443015872390401</v>
      </c>
      <c r="G5615" s="3">
        <v>24.833345000000001</v>
      </c>
      <c r="H5615" s="3">
        <v>592.02843806393901</v>
      </c>
      <c r="I5615" s="3">
        <v>25.000011000000001</v>
      </c>
      <c r="J5615" s="3">
        <v>25.066676999999999</v>
      </c>
      <c r="K5615" s="3">
        <v>24.500011000000001</v>
      </c>
      <c r="L5615" s="3">
        <v>592.02843806393901</v>
      </c>
    </row>
    <row r="5616" spans="1:12" ht="15" customHeight="1" x14ac:dyDescent="0.2">
      <c r="A5616" s="2">
        <v>37901</v>
      </c>
      <c r="B5616" s="3">
        <v>24.926677999999999</v>
      </c>
      <c r="C5616" s="1">
        <v>525124.27</v>
      </c>
      <c r="D5616" s="3">
        <v>0.19999899999999801</v>
      </c>
      <c r="E5616" s="3">
        <v>0.808838906348885</v>
      </c>
      <c r="F5616" s="3">
        <v>0.808838906348885</v>
      </c>
      <c r="G5616" s="3">
        <v>24.926677999999999</v>
      </c>
      <c r="H5616" s="3">
        <v>594.62933980350795</v>
      </c>
      <c r="I5616" s="3">
        <v>24.513345999999999</v>
      </c>
      <c r="J5616" s="3">
        <v>25.033344</v>
      </c>
      <c r="K5616" s="3">
        <v>24.513345999999999</v>
      </c>
      <c r="L5616" s="3">
        <v>594.62933980350795</v>
      </c>
    </row>
    <row r="5617" spans="1:12" ht="15" customHeight="1" x14ac:dyDescent="0.2">
      <c r="A5617" s="2">
        <v>37900</v>
      </c>
      <c r="B5617" s="3">
        <v>24.726679000000001</v>
      </c>
      <c r="C5617" s="1">
        <v>481553.76999999897</v>
      </c>
      <c r="D5617" s="3">
        <v>6.6666000000001405E-2</v>
      </c>
      <c r="E5617" s="3">
        <v>0.27034049008813898</v>
      </c>
      <c r="F5617" s="3">
        <v>0.27034049008813898</v>
      </c>
      <c r="G5617" s="3">
        <v>24.726679000000001</v>
      </c>
      <c r="H5617" s="3">
        <v>589.05598689497504</v>
      </c>
      <c r="I5617" s="3">
        <v>24.680012000000001</v>
      </c>
      <c r="J5617" s="3">
        <v>24.920013000000001</v>
      </c>
      <c r="K5617" s="3">
        <v>24.586680000000001</v>
      </c>
      <c r="L5617" s="3">
        <v>589.05598689497504</v>
      </c>
    </row>
    <row r="5618" spans="1:12" ht="15" customHeight="1" x14ac:dyDescent="0.2">
      <c r="A5618" s="2">
        <v>37897</v>
      </c>
      <c r="B5618" s="3">
        <v>24.660012999999999</v>
      </c>
      <c r="C5618" s="1">
        <v>700568.66</v>
      </c>
      <c r="D5618" s="3">
        <v>0.32666799999999702</v>
      </c>
      <c r="E5618" s="3">
        <v>1.3424705892264299</v>
      </c>
      <c r="F5618" s="3">
        <v>1.3424705892264299</v>
      </c>
      <c r="G5618" s="3">
        <v>24.660012999999999</v>
      </c>
      <c r="H5618" s="3">
        <v>587.19821188109904</v>
      </c>
      <c r="I5618" s="3">
        <v>24.633348000000002</v>
      </c>
      <c r="J5618" s="3">
        <v>24.940011999999999</v>
      </c>
      <c r="K5618" s="3">
        <v>24.506678000000001</v>
      </c>
      <c r="L5618" s="3">
        <v>587.19821188109904</v>
      </c>
    </row>
    <row r="5619" spans="1:12" ht="15" customHeight="1" x14ac:dyDescent="0.2">
      <c r="A5619" s="2">
        <v>37896</v>
      </c>
      <c r="B5619" s="3">
        <v>24.333345000000001</v>
      </c>
      <c r="C5619" s="1">
        <v>972973.1</v>
      </c>
      <c r="D5619" s="3">
        <v>-0.23333199999999699</v>
      </c>
      <c r="E5619" s="3">
        <v>-0.94979064527122004</v>
      </c>
      <c r="F5619" s="3">
        <v>-0.94979064527122004</v>
      </c>
      <c r="G5619" s="3">
        <v>24.333345000000001</v>
      </c>
      <c r="H5619" s="3">
        <v>578.09498612534696</v>
      </c>
      <c r="I5619" s="3">
        <v>24.373346000000002</v>
      </c>
      <c r="J5619" s="3">
        <v>24.533344</v>
      </c>
      <c r="K5619" s="3">
        <v>24.066676999999999</v>
      </c>
      <c r="L5619" s="3">
        <v>578.09498612534696</v>
      </c>
    </row>
    <row r="5620" spans="1:12" ht="15" customHeight="1" x14ac:dyDescent="0.2">
      <c r="A5620" s="2">
        <v>37895</v>
      </c>
      <c r="B5620" s="3">
        <v>24.566676999999999</v>
      </c>
      <c r="C5620" s="1">
        <v>911380.07</v>
      </c>
      <c r="D5620" s="3">
        <v>0.36666699999999902</v>
      </c>
      <c r="E5620" s="3">
        <v>1.51515226646601</v>
      </c>
      <c r="F5620" s="3">
        <v>1.51515226646601</v>
      </c>
      <c r="G5620" s="3">
        <v>24.566676999999999</v>
      </c>
      <c r="H5620" s="3">
        <v>584.59722654081804</v>
      </c>
      <c r="I5620" s="3">
        <v>24.293344000000001</v>
      </c>
      <c r="J5620" s="3">
        <v>24.766680000000001</v>
      </c>
      <c r="K5620" s="3">
        <v>24.126677000000001</v>
      </c>
      <c r="L5620" s="3">
        <v>584.59722654081804</v>
      </c>
    </row>
    <row r="5621" spans="1:12" ht="15" customHeight="1" x14ac:dyDescent="0.2">
      <c r="A5621" s="2">
        <v>37894</v>
      </c>
      <c r="B5621" s="3">
        <v>24.200009999999999</v>
      </c>
      <c r="C5621" s="1">
        <v>805892.64</v>
      </c>
      <c r="D5621" s="3">
        <v>0.30666499999999802</v>
      </c>
      <c r="E5621" s="3">
        <v>1.2834745407141499</v>
      </c>
      <c r="F5621" s="3">
        <v>1.2834745407141499</v>
      </c>
      <c r="G5621" s="3">
        <v>24.200009999999999</v>
      </c>
      <c r="H5621" s="3">
        <v>574.37935249688201</v>
      </c>
      <c r="I5621" s="3">
        <v>23.900010999999999</v>
      </c>
      <c r="J5621" s="3">
        <v>24.666679999999999</v>
      </c>
      <c r="K5621" s="3">
        <v>23.573345</v>
      </c>
      <c r="L5621" s="3">
        <v>574.37935249688201</v>
      </c>
    </row>
    <row r="5622" spans="1:12" ht="15" customHeight="1" x14ac:dyDescent="0.2">
      <c r="A5622" s="2">
        <v>37893</v>
      </c>
      <c r="B5622" s="3">
        <v>23.893345</v>
      </c>
      <c r="C5622" s="1">
        <v>826201.1</v>
      </c>
      <c r="D5622" s="3">
        <v>-4.6666999999999299E-2</v>
      </c>
      <c r="E5622" s="3">
        <v>-0.19493306853813799</v>
      </c>
      <c r="F5622" s="3">
        <v>-0.19493306853813799</v>
      </c>
      <c r="G5622" s="3">
        <v>23.893345</v>
      </c>
      <c r="H5622" s="3">
        <v>565.83354841938603</v>
      </c>
      <c r="I5622" s="3">
        <v>24.080010999999999</v>
      </c>
      <c r="J5622" s="3">
        <v>24.393345</v>
      </c>
      <c r="K5622" s="3">
        <v>23.620011999999999</v>
      </c>
      <c r="L5622" s="3">
        <v>565.83354841938603</v>
      </c>
    </row>
    <row r="5623" spans="1:12" ht="15" customHeight="1" x14ac:dyDescent="0.2">
      <c r="A5623" s="2">
        <v>37890</v>
      </c>
      <c r="B5623" s="3">
        <v>23.940011999999999</v>
      </c>
      <c r="C5623" s="1">
        <v>834887.62999999896</v>
      </c>
      <c r="D5623" s="3">
        <v>-0.5</v>
      </c>
      <c r="E5623" s="3">
        <v>-2.04582550941464</v>
      </c>
      <c r="F5623" s="3">
        <v>-2.04582550941464</v>
      </c>
      <c r="G5623" s="3">
        <v>23.940011999999999</v>
      </c>
      <c r="H5623" s="3">
        <v>567.134013222622</v>
      </c>
      <c r="I5623" s="3">
        <v>24.473344999999998</v>
      </c>
      <c r="J5623" s="3">
        <v>24.480013</v>
      </c>
      <c r="K5623" s="3">
        <v>23.733343000000001</v>
      </c>
      <c r="L5623" s="3">
        <v>567.134013222622</v>
      </c>
    </row>
    <row r="5624" spans="1:12" ht="15" customHeight="1" x14ac:dyDescent="0.2">
      <c r="A5624" s="2">
        <v>37889</v>
      </c>
      <c r="B5624" s="3">
        <v>24.440011999999999</v>
      </c>
      <c r="C5624" s="1">
        <v>1629771.7</v>
      </c>
      <c r="D5624" s="3">
        <v>-0.973333</v>
      </c>
      <c r="E5624" s="3">
        <v>-3.8300074232652102</v>
      </c>
      <c r="F5624" s="3">
        <v>-3.8300074232652102</v>
      </c>
      <c r="G5624" s="3">
        <v>24.440011999999999</v>
      </c>
      <c r="H5624" s="3">
        <v>581.06746516121405</v>
      </c>
      <c r="I5624" s="3">
        <v>24.673344</v>
      </c>
      <c r="J5624" s="3">
        <v>24.720013000000002</v>
      </c>
      <c r="K5624" s="3">
        <v>24.186678000000001</v>
      </c>
      <c r="L5624" s="3">
        <v>581.06746516121405</v>
      </c>
    </row>
    <row r="5625" spans="1:12" ht="15" customHeight="1" x14ac:dyDescent="0.2">
      <c r="A5625" s="2">
        <v>37888</v>
      </c>
      <c r="B5625" s="3">
        <v>25.413345</v>
      </c>
      <c r="C5625" s="1">
        <v>849997.13</v>
      </c>
      <c r="D5625" s="3">
        <v>-5.99999999999987E-2</v>
      </c>
      <c r="E5625" s="3">
        <v>-0.235540326564875</v>
      </c>
      <c r="F5625" s="3">
        <v>-0.235540326564875</v>
      </c>
      <c r="G5625" s="3">
        <v>25.413345</v>
      </c>
      <c r="H5625" s="3">
        <v>608.19124231270496</v>
      </c>
      <c r="I5625" s="3">
        <v>25.540012000000001</v>
      </c>
      <c r="J5625" s="3">
        <v>25.933346</v>
      </c>
      <c r="K5625" s="3">
        <v>25.333345000000001</v>
      </c>
      <c r="L5625" s="3">
        <v>608.19124231270496</v>
      </c>
    </row>
    <row r="5626" spans="1:12" ht="15" customHeight="1" x14ac:dyDescent="0.2">
      <c r="A5626" s="2">
        <v>37887</v>
      </c>
      <c r="B5626" s="3">
        <v>25.473344999999998</v>
      </c>
      <c r="C5626" s="1">
        <v>1629123.8</v>
      </c>
      <c r="D5626" s="3">
        <v>1.2799990000000001</v>
      </c>
      <c r="E5626" s="3">
        <v>5.2907067918592103</v>
      </c>
      <c r="F5626" s="3">
        <v>5.2907067918592103</v>
      </c>
      <c r="G5626" s="3">
        <v>25.473344999999998</v>
      </c>
      <c r="H5626" s="3">
        <v>609.86325654533596</v>
      </c>
      <c r="I5626" s="3">
        <v>24.866678</v>
      </c>
      <c r="J5626" s="3">
        <v>25.500011000000001</v>
      </c>
      <c r="K5626" s="3">
        <v>24.733345</v>
      </c>
      <c r="L5626" s="3">
        <v>609.86325654533596</v>
      </c>
    </row>
    <row r="5627" spans="1:12" ht="15" customHeight="1" x14ac:dyDescent="0.2">
      <c r="A5627" s="2">
        <v>37886</v>
      </c>
      <c r="B5627" s="3">
        <v>24.193345999999998</v>
      </c>
      <c r="C5627" s="1">
        <v>495182.74</v>
      </c>
      <c r="D5627" s="3">
        <v>-0.37333100000000002</v>
      </c>
      <c r="E5627" s="3">
        <v>-1.51966421832305</v>
      </c>
      <c r="F5627" s="3">
        <v>-1.51966421832305</v>
      </c>
      <c r="G5627" s="3">
        <v>24.193345999999998</v>
      </c>
      <c r="H5627" s="3">
        <v>574.19364744944505</v>
      </c>
      <c r="I5627" s="3">
        <v>24.386679000000001</v>
      </c>
      <c r="J5627" s="3">
        <v>24.406680000000001</v>
      </c>
      <c r="K5627" s="3">
        <v>24.093343999999998</v>
      </c>
      <c r="L5627" s="3">
        <v>574.19364744944505</v>
      </c>
    </row>
    <row r="5628" spans="1:12" ht="15" customHeight="1" x14ac:dyDescent="0.2">
      <c r="A5628" s="2">
        <v>37883</v>
      </c>
      <c r="B5628" s="3">
        <v>24.566676999999999</v>
      </c>
      <c r="C5628" s="1">
        <v>426662.77999999898</v>
      </c>
      <c r="D5628" s="3">
        <v>-4.6667000000002901E-2</v>
      </c>
      <c r="E5628" s="3">
        <v>-0.189600405373613</v>
      </c>
      <c r="F5628" s="3">
        <v>-0.189600405373613</v>
      </c>
      <c r="G5628" s="3">
        <v>24.566676999999999</v>
      </c>
      <c r="H5628" s="3">
        <v>584.59722654081804</v>
      </c>
      <c r="I5628" s="3">
        <v>24.606677999999999</v>
      </c>
      <c r="J5628" s="3">
        <v>24.726679000000001</v>
      </c>
      <c r="K5628" s="3">
        <v>24.413343000000001</v>
      </c>
      <c r="L5628" s="3">
        <v>584.59722654081804</v>
      </c>
    </row>
    <row r="5629" spans="1:12" ht="15" customHeight="1" x14ac:dyDescent="0.2">
      <c r="A5629" s="2">
        <v>37882</v>
      </c>
      <c r="B5629" s="3">
        <v>24.613344000000001</v>
      </c>
      <c r="C5629" s="1">
        <v>705178.16</v>
      </c>
      <c r="D5629" s="3">
        <v>-0.10000099999999799</v>
      </c>
      <c r="E5629" s="3">
        <v>-0.40464372588979702</v>
      </c>
      <c r="F5629" s="3">
        <v>-0.40464372588979702</v>
      </c>
      <c r="G5629" s="3">
        <v>24.613344000000001</v>
      </c>
      <c r="H5629" s="3">
        <v>585.89769134405401</v>
      </c>
      <c r="I5629" s="3">
        <v>24.673344</v>
      </c>
      <c r="J5629" s="3">
        <v>25.073345</v>
      </c>
      <c r="K5629" s="3">
        <v>24.606677999999999</v>
      </c>
      <c r="L5629" s="3">
        <v>585.89769134405401</v>
      </c>
    </row>
    <row r="5630" spans="1:12" ht="15" customHeight="1" x14ac:dyDescent="0.2">
      <c r="A5630" s="2">
        <v>37881</v>
      </c>
      <c r="B5630" s="3">
        <v>24.713345</v>
      </c>
      <c r="C5630" s="1">
        <v>469247.77</v>
      </c>
      <c r="D5630" s="3">
        <v>0.126664999999999</v>
      </c>
      <c r="E5630" s="3">
        <v>0.51517732365653401</v>
      </c>
      <c r="F5630" s="3">
        <v>0.51517732365653401</v>
      </c>
      <c r="G5630" s="3">
        <v>24.713345</v>
      </c>
      <c r="H5630" s="3">
        <v>588.68440959867598</v>
      </c>
      <c r="I5630" s="3">
        <v>24.566676999999999</v>
      </c>
      <c r="J5630" s="3">
        <v>24.713345</v>
      </c>
      <c r="K5630" s="3">
        <v>24.386679000000001</v>
      </c>
      <c r="L5630" s="3">
        <v>588.68440959867598</v>
      </c>
    </row>
    <row r="5631" spans="1:12" ht="15" customHeight="1" x14ac:dyDescent="0.2">
      <c r="A5631" s="2">
        <v>37880</v>
      </c>
      <c r="B5631" s="3">
        <v>24.586680000000001</v>
      </c>
      <c r="C5631" s="1">
        <v>547609.25</v>
      </c>
      <c r="D5631" s="3">
        <v>-0.193329999999999</v>
      </c>
      <c r="E5631" s="3">
        <v>-0.78018531873069696</v>
      </c>
      <c r="F5631" s="3">
        <v>-0.78018531873069696</v>
      </c>
      <c r="G5631" s="3">
        <v>24.586680000000001</v>
      </c>
      <c r="H5631" s="3">
        <v>585.15464821907301</v>
      </c>
      <c r="I5631" s="3">
        <v>24.807344000000001</v>
      </c>
      <c r="J5631" s="3">
        <v>25.000011000000001</v>
      </c>
      <c r="K5631" s="3">
        <v>24.553346999999999</v>
      </c>
      <c r="L5631" s="3">
        <v>585.15464821907301</v>
      </c>
    </row>
    <row r="5632" spans="1:12" ht="15" customHeight="1" x14ac:dyDescent="0.2">
      <c r="A5632" s="2">
        <v>37879</v>
      </c>
      <c r="B5632" s="3">
        <v>24.780010000000001</v>
      </c>
      <c r="C5632" s="1">
        <v>419287.32</v>
      </c>
      <c r="D5632" s="3">
        <v>0.44666499999999898</v>
      </c>
      <c r="E5632" s="3">
        <v>1.83560870895471</v>
      </c>
      <c r="F5632" s="3">
        <v>1.83560870895471</v>
      </c>
      <c r="G5632" s="3">
        <v>24.780010000000001</v>
      </c>
      <c r="H5632" s="3">
        <v>590.54215674564898</v>
      </c>
      <c r="I5632" s="3">
        <v>24.333345000000001</v>
      </c>
      <c r="J5632" s="3">
        <v>24.793344000000001</v>
      </c>
      <c r="K5632" s="3">
        <v>24.333345000000001</v>
      </c>
      <c r="L5632" s="3">
        <v>590.54215674564898</v>
      </c>
    </row>
    <row r="5633" spans="1:12" ht="15" customHeight="1" x14ac:dyDescent="0.2">
      <c r="A5633" s="2">
        <v>37876</v>
      </c>
      <c r="B5633" s="3">
        <v>24.333345000000001</v>
      </c>
      <c r="C5633" s="1">
        <v>801868.1</v>
      </c>
      <c r="D5633" s="3">
        <v>-0.36666699999999902</v>
      </c>
      <c r="E5633" s="3">
        <v>-1.48448106017113</v>
      </c>
      <c r="F5633" s="3">
        <v>-1.48448106017113</v>
      </c>
      <c r="G5633" s="3">
        <v>24.333345000000001</v>
      </c>
      <c r="H5633" s="3">
        <v>578.09498612534696</v>
      </c>
      <c r="I5633" s="3">
        <v>24.653345000000002</v>
      </c>
      <c r="J5633" s="3">
        <v>24.700012000000001</v>
      </c>
      <c r="K5633" s="3">
        <v>24.193345999999998</v>
      </c>
      <c r="L5633" s="3">
        <v>578.09498612534696</v>
      </c>
    </row>
    <row r="5634" spans="1:12" ht="15" customHeight="1" x14ac:dyDescent="0.2">
      <c r="A5634" s="2">
        <v>37875</v>
      </c>
      <c r="B5634" s="3">
        <v>24.700012000000001</v>
      </c>
      <c r="C5634" s="1">
        <v>752156.6</v>
      </c>
      <c r="D5634" s="3">
        <v>-0.28666799999999798</v>
      </c>
      <c r="E5634" s="3">
        <v>-1.1472832725275901</v>
      </c>
      <c r="F5634" s="3">
        <v>-1.1472832725275901</v>
      </c>
      <c r="G5634" s="3">
        <v>24.700012000000001</v>
      </c>
      <c r="H5634" s="3">
        <v>588.31286016928198</v>
      </c>
      <c r="I5634" s="3">
        <v>24.933346</v>
      </c>
      <c r="J5634" s="3">
        <v>25.066676999999999</v>
      </c>
      <c r="K5634" s="3">
        <v>24.520009999999999</v>
      </c>
      <c r="L5634" s="3">
        <v>588.31286016928198</v>
      </c>
    </row>
    <row r="5635" spans="1:12" ht="15" customHeight="1" x14ac:dyDescent="0.2">
      <c r="A5635" s="2">
        <v>37874</v>
      </c>
      <c r="B5635" s="3">
        <v>24.98668</v>
      </c>
      <c r="C5635" s="1">
        <v>848060.6</v>
      </c>
      <c r="D5635" s="3">
        <v>-0.23333300000000101</v>
      </c>
      <c r="E5635" s="3">
        <v>-0.92518984823680706</v>
      </c>
      <c r="F5635" s="3">
        <v>-0.92518984823680706</v>
      </c>
      <c r="G5635" s="3">
        <v>24.98668</v>
      </c>
      <c r="H5635" s="3">
        <v>596.30140976994699</v>
      </c>
      <c r="I5635" s="3">
        <v>25.153345000000002</v>
      </c>
      <c r="J5635" s="3">
        <v>25.153345000000002</v>
      </c>
      <c r="K5635" s="3">
        <v>24.853344</v>
      </c>
      <c r="L5635" s="3">
        <v>596.30140976994699</v>
      </c>
    </row>
    <row r="5636" spans="1:12" ht="15" customHeight="1" x14ac:dyDescent="0.2">
      <c r="A5636" s="2">
        <v>37873</v>
      </c>
      <c r="B5636" s="3">
        <v>25.220013000000002</v>
      </c>
      <c r="C5636" s="1">
        <v>471374.8</v>
      </c>
      <c r="D5636" s="3">
        <v>-0.106666999999998</v>
      </c>
      <c r="E5636" s="3">
        <v>-0.421164558481401</v>
      </c>
      <c r="F5636" s="3">
        <v>-0.421164558481401</v>
      </c>
      <c r="G5636" s="3">
        <v>25.220013000000002</v>
      </c>
      <c r="H5636" s="3">
        <v>602.80367805232095</v>
      </c>
      <c r="I5636" s="3">
        <v>25.32668</v>
      </c>
      <c r="J5636" s="3">
        <v>25.32668</v>
      </c>
      <c r="K5636" s="3">
        <v>25.000011000000001</v>
      </c>
      <c r="L5636" s="3">
        <v>602.80367805232095</v>
      </c>
    </row>
    <row r="5637" spans="1:12" ht="15" customHeight="1" x14ac:dyDescent="0.2">
      <c r="A5637" s="2">
        <v>37872</v>
      </c>
      <c r="B5637" s="3">
        <v>25.32668</v>
      </c>
      <c r="C5637" s="1">
        <v>417092.8</v>
      </c>
      <c r="D5637" s="3">
        <v>-6.6650000000016904E-3</v>
      </c>
      <c r="E5637" s="3">
        <v>-2.6309198410245899E-2</v>
      </c>
      <c r="F5637" s="3">
        <v>-2.6309198410245899E-2</v>
      </c>
      <c r="G5637" s="3">
        <v>25.32668</v>
      </c>
      <c r="H5637" s="3">
        <v>605.77615708818905</v>
      </c>
      <c r="I5637" s="3">
        <v>25.300013</v>
      </c>
      <c r="J5637" s="3">
        <v>25.46001</v>
      </c>
      <c r="K5637" s="3">
        <v>25.206679999999999</v>
      </c>
      <c r="L5637" s="3">
        <v>605.77615708818905</v>
      </c>
    </row>
    <row r="5638" spans="1:12" ht="15" customHeight="1" x14ac:dyDescent="0.2">
      <c r="A5638" s="2">
        <v>37869</v>
      </c>
      <c r="B5638" s="3">
        <v>25.333345000000001</v>
      </c>
      <c r="C5638" s="1">
        <v>582830.75</v>
      </c>
      <c r="D5638" s="3">
        <v>7.3333000000001605E-2</v>
      </c>
      <c r="E5638" s="3">
        <v>0.29031260951104498</v>
      </c>
      <c r="F5638" s="3">
        <v>0.29031260951104498</v>
      </c>
      <c r="G5638" s="3">
        <v>25.333345000000001</v>
      </c>
      <c r="H5638" s="3">
        <v>605.96189000253003</v>
      </c>
      <c r="I5638" s="3">
        <v>25.266680000000001</v>
      </c>
      <c r="J5638" s="3">
        <v>25.400010999999999</v>
      </c>
      <c r="K5638" s="3">
        <v>25.086680000000001</v>
      </c>
      <c r="L5638" s="3">
        <v>605.96189000253003</v>
      </c>
    </row>
    <row r="5639" spans="1:12" ht="15" customHeight="1" x14ac:dyDescent="0.2">
      <c r="A5639" s="2">
        <v>37868</v>
      </c>
      <c r="B5639" s="3">
        <v>25.260012</v>
      </c>
      <c r="C5639" s="1">
        <v>546214.23</v>
      </c>
      <c r="D5639" s="3">
        <v>-4.6666999999999299E-2</v>
      </c>
      <c r="E5639" s="3">
        <v>-0.18440586376425799</v>
      </c>
      <c r="F5639" s="3">
        <v>-0.18440586376425799</v>
      </c>
      <c r="G5639" s="3">
        <v>25.260012</v>
      </c>
      <c r="H5639" s="3">
        <v>603.91832634050502</v>
      </c>
      <c r="I5639" s="3">
        <v>25.32668</v>
      </c>
      <c r="J5639" s="3">
        <v>25.340012000000002</v>
      </c>
      <c r="K5639" s="3">
        <v>25.100014000000002</v>
      </c>
      <c r="L5639" s="3">
        <v>603.91832634050502</v>
      </c>
    </row>
    <row r="5640" spans="1:12" ht="15" customHeight="1" x14ac:dyDescent="0.2">
      <c r="A5640" s="2">
        <v>37867</v>
      </c>
      <c r="B5640" s="3">
        <v>25.306678999999999</v>
      </c>
      <c r="C5640" s="1">
        <v>1304262.8</v>
      </c>
      <c r="D5640" s="3">
        <v>0.51333499999999699</v>
      </c>
      <c r="E5640" s="3">
        <v>2.0704548769217901</v>
      </c>
      <c r="F5640" s="3">
        <v>2.0704548769217901</v>
      </c>
      <c r="G5640" s="3">
        <v>25.306678999999999</v>
      </c>
      <c r="H5640" s="3">
        <v>605.21879114374099</v>
      </c>
      <c r="I5640" s="3">
        <v>24.820011000000001</v>
      </c>
      <c r="J5640" s="3">
        <v>25.560013000000001</v>
      </c>
      <c r="K5640" s="3">
        <v>24.793344000000001</v>
      </c>
      <c r="L5640" s="3">
        <v>605.21879114374099</v>
      </c>
    </row>
    <row r="5641" spans="1:12" ht="15" customHeight="1" x14ac:dyDescent="0.2">
      <c r="A5641" s="2">
        <v>37866</v>
      </c>
      <c r="B5641" s="3">
        <v>24.793344000000001</v>
      </c>
      <c r="C5641" s="1">
        <v>1404924.9</v>
      </c>
      <c r="D5641" s="3">
        <v>0.5</v>
      </c>
      <c r="E5641" s="3">
        <v>2.0581769228641398</v>
      </c>
      <c r="F5641" s="3">
        <v>2.0581769228641398</v>
      </c>
      <c r="G5641" s="3">
        <v>24.793344000000001</v>
      </c>
      <c r="H5641" s="3">
        <v>590.91373404194701</v>
      </c>
      <c r="I5641" s="3">
        <v>24.246676999999998</v>
      </c>
      <c r="J5641" s="3">
        <v>24.906680000000001</v>
      </c>
      <c r="K5641" s="3">
        <v>24.246676999999998</v>
      </c>
      <c r="L5641" s="3">
        <v>590.91373404194701</v>
      </c>
    </row>
    <row r="5642" spans="1:12" ht="15" customHeight="1" x14ac:dyDescent="0.2">
      <c r="A5642" s="2">
        <v>37862</v>
      </c>
      <c r="B5642" s="3">
        <v>24.293344000000001</v>
      </c>
      <c r="C5642" s="1">
        <v>372961.3</v>
      </c>
      <c r="D5642" s="3">
        <v>0.31333100000000103</v>
      </c>
      <c r="E5642" s="3">
        <v>1.30663398722927</v>
      </c>
      <c r="F5642" s="3">
        <v>1.30663398722927</v>
      </c>
      <c r="G5642" s="3">
        <v>24.293344000000001</v>
      </c>
      <c r="H5642" s="3">
        <v>576.98028210335599</v>
      </c>
      <c r="I5642" s="3">
        <v>23.986681000000001</v>
      </c>
      <c r="J5642" s="3">
        <v>24.300013</v>
      </c>
      <c r="K5642" s="3">
        <v>23.926677999999999</v>
      </c>
      <c r="L5642" s="3">
        <v>576.98028210335599</v>
      </c>
    </row>
    <row r="5643" spans="1:12" ht="15" customHeight="1" x14ac:dyDescent="0.2">
      <c r="A5643" s="2">
        <v>37861</v>
      </c>
      <c r="B5643" s="3">
        <v>23.980013</v>
      </c>
      <c r="C5643" s="1">
        <v>750913.15</v>
      </c>
      <c r="D5643" s="3">
        <v>-3.9996999999999602E-2</v>
      </c>
      <c r="E5643" s="3">
        <v>-0.16651533450652201</v>
      </c>
      <c r="F5643" s="3">
        <v>-0.16651533450652201</v>
      </c>
      <c r="G5643" s="3">
        <v>23.980013</v>
      </c>
      <c r="H5643" s="3">
        <v>568.248717244614</v>
      </c>
      <c r="I5643" s="3">
        <v>24.000011000000001</v>
      </c>
      <c r="J5643" s="3">
        <v>24.280010000000001</v>
      </c>
      <c r="K5643" s="3">
        <v>23.866678</v>
      </c>
      <c r="L5643" s="3">
        <v>568.248717244614</v>
      </c>
    </row>
    <row r="5644" spans="1:12" ht="15" customHeight="1" x14ac:dyDescent="0.2">
      <c r="A5644" s="2">
        <v>37860</v>
      </c>
      <c r="B5644" s="3">
        <v>24.020009999999999</v>
      </c>
      <c r="C5644" s="1">
        <v>949259.6</v>
      </c>
      <c r="D5644" s="3">
        <v>0.55333100000000002</v>
      </c>
      <c r="E5644" s="3">
        <v>2.3579433630127098</v>
      </c>
      <c r="F5644" s="3">
        <v>2.3579433630127098</v>
      </c>
      <c r="G5644" s="3">
        <v>24.020009999999999</v>
      </c>
      <c r="H5644" s="3">
        <v>569.36330979898901</v>
      </c>
      <c r="I5644" s="3">
        <v>23.49335</v>
      </c>
      <c r="J5644" s="3">
        <v>24.226679000000001</v>
      </c>
      <c r="K5644" s="3">
        <v>23.366678</v>
      </c>
      <c r="L5644" s="3">
        <v>569.36330979898901</v>
      </c>
    </row>
    <row r="5645" spans="1:12" ht="15" customHeight="1" x14ac:dyDescent="0.2">
      <c r="A5645" s="2">
        <v>37859</v>
      </c>
      <c r="B5645" s="3">
        <v>23.466678999999999</v>
      </c>
      <c r="C5645" s="1">
        <v>494828.74</v>
      </c>
      <c r="D5645" s="3">
        <v>0.24000199999999999</v>
      </c>
      <c r="E5645" s="3">
        <v>1.0333032142307801</v>
      </c>
      <c r="F5645" s="3">
        <v>1.0333032142307801</v>
      </c>
      <c r="G5645" s="3">
        <v>23.466678999999999</v>
      </c>
      <c r="H5645" s="3">
        <v>553.94368800972404</v>
      </c>
      <c r="I5645" s="3">
        <v>23.200012000000001</v>
      </c>
      <c r="J5645" s="3">
        <v>23.500011000000001</v>
      </c>
      <c r="K5645" s="3">
        <v>23.066676999999999</v>
      </c>
      <c r="L5645" s="3">
        <v>553.94368800972404</v>
      </c>
    </row>
    <row r="5646" spans="1:12" ht="15" customHeight="1" x14ac:dyDescent="0.2">
      <c r="A5646" s="2">
        <v>37858</v>
      </c>
      <c r="B5646" s="3">
        <v>23.226676999999999</v>
      </c>
      <c r="C5646" s="1">
        <v>436217.76999999903</v>
      </c>
      <c r="D5646" s="3">
        <v>-0.31333500000000197</v>
      </c>
      <c r="E5646" s="3">
        <v>-1.3310740878127101</v>
      </c>
      <c r="F5646" s="3">
        <v>-1.3310740878127101</v>
      </c>
      <c r="G5646" s="3">
        <v>23.226676999999999</v>
      </c>
      <c r="H5646" s="3">
        <v>547.255575345392</v>
      </c>
      <c r="I5646" s="3">
        <v>23.486681000000001</v>
      </c>
      <c r="J5646" s="3">
        <v>23.600012</v>
      </c>
      <c r="K5646" s="3">
        <v>22.980011000000001</v>
      </c>
      <c r="L5646" s="3">
        <v>547.255575345392</v>
      </c>
    </row>
    <row r="5647" spans="1:12" ht="15" customHeight="1" x14ac:dyDescent="0.2">
      <c r="A5647" s="2">
        <v>37855</v>
      </c>
      <c r="B5647" s="3">
        <v>23.540012000000001</v>
      </c>
      <c r="C5647" s="1">
        <v>662008.19999999995</v>
      </c>
      <c r="D5647" s="3">
        <v>-0.186666999999999</v>
      </c>
      <c r="E5647" s="3">
        <v>-0.786738843645162</v>
      </c>
      <c r="F5647" s="3">
        <v>-0.786738843645162</v>
      </c>
      <c r="G5647" s="3">
        <v>23.540012000000001</v>
      </c>
      <c r="H5647" s="3">
        <v>555.98725167174905</v>
      </c>
      <c r="I5647" s="3">
        <v>23.813345000000002</v>
      </c>
      <c r="J5647" s="3">
        <v>23.866678</v>
      </c>
      <c r="K5647" s="3">
        <v>23.306677000000001</v>
      </c>
      <c r="L5647" s="3">
        <v>555.98725167174905</v>
      </c>
    </row>
    <row r="5648" spans="1:12" ht="15" customHeight="1" x14ac:dyDescent="0.2">
      <c r="A5648" s="2">
        <v>37854</v>
      </c>
      <c r="B5648" s="3">
        <v>23.726679000000001</v>
      </c>
      <c r="C5648" s="1">
        <v>1266195.8999999999</v>
      </c>
      <c r="D5648" s="3">
        <v>0.50000200000000194</v>
      </c>
      <c r="E5648" s="3">
        <v>2.1527057012933999</v>
      </c>
      <c r="F5648" s="3">
        <v>2.1527057012933999</v>
      </c>
      <c r="G5648" s="3">
        <v>23.726679000000001</v>
      </c>
      <c r="H5648" s="3">
        <v>561.18908301779095</v>
      </c>
      <c r="I5648" s="3">
        <v>23.333344</v>
      </c>
      <c r="J5648" s="3">
        <v>23.733343000000001</v>
      </c>
      <c r="K5648" s="3">
        <v>22.80001</v>
      </c>
      <c r="L5648" s="3">
        <v>561.18908301779095</v>
      </c>
    </row>
    <row r="5649" spans="1:12" ht="15" customHeight="1" x14ac:dyDescent="0.2">
      <c r="A5649" s="2">
        <v>37853</v>
      </c>
      <c r="B5649" s="3">
        <v>23.226676999999999</v>
      </c>
      <c r="C5649" s="1">
        <v>852550.05</v>
      </c>
      <c r="D5649" s="3">
        <v>0.29333099999999801</v>
      </c>
      <c r="E5649" s="3">
        <v>1.27905888656629</v>
      </c>
      <c r="F5649" s="3">
        <v>1.27905888656629</v>
      </c>
      <c r="G5649" s="3">
        <v>23.226676999999999</v>
      </c>
      <c r="H5649" s="3">
        <v>547.255575345392</v>
      </c>
      <c r="I5649" s="3">
        <v>22.766677999999999</v>
      </c>
      <c r="J5649" s="3">
        <v>23.380009999999999</v>
      </c>
      <c r="K5649" s="3">
        <v>22.760010000000001</v>
      </c>
      <c r="L5649" s="3">
        <v>547.255575345392</v>
      </c>
    </row>
    <row r="5650" spans="1:12" ht="15" customHeight="1" x14ac:dyDescent="0.2">
      <c r="A5650" s="2">
        <v>37852</v>
      </c>
      <c r="B5650" s="3">
        <v>22.933346</v>
      </c>
      <c r="C5650" s="1">
        <v>869054.57</v>
      </c>
      <c r="D5650" s="3">
        <v>0.36666900000000102</v>
      </c>
      <c r="E5650" s="3">
        <v>1.6248249576134</v>
      </c>
      <c r="F5650" s="3">
        <v>1.6248249576134</v>
      </c>
      <c r="G5650" s="3">
        <v>22.933346</v>
      </c>
      <c r="H5650" s="3">
        <v>539.08134856419395</v>
      </c>
      <c r="I5650" s="3">
        <v>22.513344</v>
      </c>
      <c r="J5650" s="3">
        <v>22.966678999999999</v>
      </c>
      <c r="K5650" s="3">
        <v>22.506675999999999</v>
      </c>
      <c r="L5650" s="3">
        <v>539.08134856419395</v>
      </c>
    </row>
    <row r="5651" spans="1:12" ht="15" customHeight="1" x14ac:dyDescent="0.2">
      <c r="A5651" s="2">
        <v>37851</v>
      </c>
      <c r="B5651" s="3">
        <v>22.566676999999999</v>
      </c>
      <c r="C5651" s="1">
        <v>656059.19999999995</v>
      </c>
      <c r="D5651" s="3">
        <v>0.16</v>
      </c>
      <c r="E5651" s="3">
        <v>0.71407286319162799</v>
      </c>
      <c r="F5651" s="3">
        <v>0.71407286319162799</v>
      </c>
      <c r="G5651" s="3">
        <v>22.566676999999999</v>
      </c>
      <c r="H5651" s="3">
        <v>528.86341878644998</v>
      </c>
      <c r="I5651" s="3">
        <v>22.433346</v>
      </c>
      <c r="J5651" s="3">
        <v>22.606677999999999</v>
      </c>
      <c r="K5651" s="3">
        <v>22.106677999999999</v>
      </c>
      <c r="L5651" s="3">
        <v>528.86341878644998</v>
      </c>
    </row>
    <row r="5652" spans="1:12" ht="15" customHeight="1" x14ac:dyDescent="0.2">
      <c r="A5652" s="2">
        <v>37848</v>
      </c>
      <c r="B5652" s="3">
        <v>22.406676999999998</v>
      </c>
      <c r="C5652" s="1">
        <v>210346.4</v>
      </c>
      <c r="D5652" s="3">
        <v>-2.6669000000001799E-2</v>
      </c>
      <c r="E5652" s="3">
        <v>-0.118881062147402</v>
      </c>
      <c r="F5652" s="3">
        <v>-0.118881062147402</v>
      </c>
      <c r="G5652" s="3">
        <v>22.406676999999998</v>
      </c>
      <c r="H5652" s="3">
        <v>524.40471416610103</v>
      </c>
      <c r="I5652" s="3">
        <v>22.466678999999999</v>
      </c>
      <c r="J5652" s="3">
        <v>22.653343</v>
      </c>
      <c r="K5652" s="3">
        <v>22.32668</v>
      </c>
      <c r="L5652" s="3">
        <v>524.40471416610103</v>
      </c>
    </row>
    <row r="5653" spans="1:12" ht="15" customHeight="1" x14ac:dyDescent="0.2">
      <c r="A5653" s="2">
        <v>37847</v>
      </c>
      <c r="B5653" s="3">
        <v>22.433346</v>
      </c>
      <c r="C5653" s="1">
        <v>706399.2</v>
      </c>
      <c r="D5653" s="3">
        <v>0.25333399999999801</v>
      </c>
      <c r="E5653" s="3">
        <v>1.1421725109977201</v>
      </c>
      <c r="F5653" s="3">
        <v>1.1421725109977201</v>
      </c>
      <c r="G5653" s="3">
        <v>22.433346</v>
      </c>
      <c r="H5653" s="3">
        <v>525.14789662560202</v>
      </c>
      <c r="I5653" s="3">
        <v>22.266677999999999</v>
      </c>
      <c r="J5653" s="3">
        <v>22.553345</v>
      </c>
      <c r="K5653" s="3">
        <v>22.100012</v>
      </c>
      <c r="L5653" s="3">
        <v>525.14789662560202</v>
      </c>
    </row>
    <row r="5654" spans="1:12" ht="15" customHeight="1" x14ac:dyDescent="0.2">
      <c r="A5654" s="2">
        <v>37846</v>
      </c>
      <c r="B5654" s="3">
        <v>22.180012000000001</v>
      </c>
      <c r="C5654" s="1">
        <v>724523.6</v>
      </c>
      <c r="D5654" s="3">
        <v>0.213335</v>
      </c>
      <c r="E5654" s="3">
        <v>0.97117556742880495</v>
      </c>
      <c r="F5654" s="3">
        <v>0.97117556742880495</v>
      </c>
      <c r="G5654" s="3">
        <v>22.180012000000001</v>
      </c>
      <c r="H5654" s="3">
        <v>518.08826239877897</v>
      </c>
      <c r="I5654" s="3">
        <v>21.893343000000002</v>
      </c>
      <c r="J5654" s="3">
        <v>22.380009999999999</v>
      </c>
      <c r="K5654" s="3">
        <v>21.740010999999999</v>
      </c>
      <c r="L5654" s="3">
        <v>518.08826239877897</v>
      </c>
    </row>
    <row r="5655" spans="1:12" ht="15" customHeight="1" x14ac:dyDescent="0.2">
      <c r="A5655" s="2">
        <v>37845</v>
      </c>
      <c r="B5655" s="3">
        <v>21.966677000000001</v>
      </c>
      <c r="C5655" s="1">
        <v>504689.75999999902</v>
      </c>
      <c r="D5655" s="3">
        <v>0.746667999999999</v>
      </c>
      <c r="E5655" s="3">
        <v>3.5186978478661302</v>
      </c>
      <c r="F5655" s="3">
        <v>3.5186978478661302</v>
      </c>
      <c r="G5655" s="3">
        <v>21.966677000000001</v>
      </c>
      <c r="H5655" s="3">
        <v>512.14327646013999</v>
      </c>
      <c r="I5655" s="3">
        <v>21.266676</v>
      </c>
      <c r="J5655" s="3">
        <v>21.980011000000001</v>
      </c>
      <c r="K5655" s="3">
        <v>21.240010999999999</v>
      </c>
      <c r="L5655" s="3">
        <v>512.14327646013999</v>
      </c>
    </row>
    <row r="5656" spans="1:12" ht="15" customHeight="1" x14ac:dyDescent="0.2">
      <c r="A5656" s="2">
        <v>37844</v>
      </c>
      <c r="B5656" s="3">
        <v>21.220009000000001</v>
      </c>
      <c r="C5656" s="1">
        <v>750938.6</v>
      </c>
      <c r="D5656" s="3">
        <v>-0.31333299999999997</v>
      </c>
      <c r="E5656" s="3">
        <v>-1.4551062254990399</v>
      </c>
      <c r="F5656" s="3">
        <v>-1.4551062254990399</v>
      </c>
      <c r="G5656" s="3">
        <v>21.220009000000001</v>
      </c>
      <c r="H5656" s="3">
        <v>491.33595107597102</v>
      </c>
      <c r="I5656" s="3">
        <v>21.420013000000001</v>
      </c>
      <c r="J5656" s="3">
        <v>21.633344999999998</v>
      </c>
      <c r="K5656" s="3">
        <v>21.213342999999998</v>
      </c>
      <c r="L5656" s="3">
        <v>491.33595107597102</v>
      </c>
    </row>
    <row r="5657" spans="1:12" ht="15" customHeight="1" x14ac:dyDescent="0.2">
      <c r="A5657" s="2">
        <v>37841</v>
      </c>
      <c r="B5657" s="3">
        <v>21.533342000000001</v>
      </c>
      <c r="C5657" s="1">
        <v>534088.26</v>
      </c>
      <c r="D5657" s="3">
        <v>0.106666</v>
      </c>
      <c r="E5657" s="3">
        <v>0.497818700390118</v>
      </c>
      <c r="F5657" s="3">
        <v>0.497818700390118</v>
      </c>
      <c r="G5657" s="3">
        <v>21.533342000000001</v>
      </c>
      <c r="H5657" s="3">
        <v>500.067571668521</v>
      </c>
      <c r="I5657" s="3">
        <v>21.426676</v>
      </c>
      <c r="J5657" s="3">
        <v>21.672675999999999</v>
      </c>
      <c r="K5657" s="3">
        <v>21.346678000000001</v>
      </c>
      <c r="L5657" s="3">
        <v>500.067571668521</v>
      </c>
    </row>
    <row r="5658" spans="1:12" ht="15" customHeight="1" x14ac:dyDescent="0.2">
      <c r="A5658" s="2">
        <v>37840</v>
      </c>
      <c r="B5658" s="3">
        <v>21.426676</v>
      </c>
      <c r="C5658" s="1">
        <v>761521.1</v>
      </c>
      <c r="D5658" s="3">
        <v>0.14666400000000099</v>
      </c>
      <c r="E5658" s="3">
        <v>0.68921013766345396</v>
      </c>
      <c r="F5658" s="3">
        <v>0.68921013766345396</v>
      </c>
      <c r="G5658" s="3">
        <v>21.426676</v>
      </c>
      <c r="H5658" s="3">
        <v>497.09512049955703</v>
      </c>
      <c r="I5658" s="3">
        <v>21.400010000000002</v>
      </c>
      <c r="J5658" s="3">
        <v>21.566675</v>
      </c>
      <c r="K5658" s="3">
        <v>21.106676</v>
      </c>
      <c r="L5658" s="3">
        <v>497.09512049955703</v>
      </c>
    </row>
    <row r="5659" spans="1:12" ht="15" customHeight="1" x14ac:dyDescent="0.2">
      <c r="A5659" s="2">
        <v>37839</v>
      </c>
      <c r="B5659" s="3">
        <v>21.280011999999999</v>
      </c>
      <c r="C5659" s="1">
        <v>1331955.8999999999</v>
      </c>
      <c r="D5659" s="3">
        <v>-0.82</v>
      </c>
      <c r="E5659" s="3">
        <v>-3.7104052251193398</v>
      </c>
      <c r="F5659" s="3">
        <v>-3.7104052251193398</v>
      </c>
      <c r="G5659" s="3">
        <v>21.280011999999999</v>
      </c>
      <c r="H5659" s="3">
        <v>493.00804890931403</v>
      </c>
      <c r="I5659" s="3">
        <v>21.933344000000002</v>
      </c>
      <c r="J5659" s="3">
        <v>21.933344000000002</v>
      </c>
      <c r="K5659" s="3">
        <v>21.173345999999999</v>
      </c>
      <c r="L5659" s="3">
        <v>493.00804890931403</v>
      </c>
    </row>
    <row r="5660" spans="1:12" ht="15" customHeight="1" x14ac:dyDescent="0.2">
      <c r="A5660" s="2">
        <v>37838</v>
      </c>
      <c r="B5660" s="3">
        <v>22.100012</v>
      </c>
      <c r="C5660" s="1">
        <v>489530.8</v>
      </c>
      <c r="D5660" s="3">
        <v>-0.17333200000000201</v>
      </c>
      <c r="E5660" s="3">
        <v>-0.77820375781921802</v>
      </c>
      <c r="F5660" s="3">
        <v>-0.77820375781921802</v>
      </c>
      <c r="G5660" s="3">
        <v>22.100012</v>
      </c>
      <c r="H5660" s="3">
        <v>515.85891008860494</v>
      </c>
      <c r="I5660" s="3">
        <v>22.380009999999999</v>
      </c>
      <c r="J5660" s="3">
        <v>22.453344000000001</v>
      </c>
      <c r="K5660" s="3">
        <v>22.000011000000001</v>
      </c>
      <c r="L5660" s="3">
        <v>515.85891008860494</v>
      </c>
    </row>
    <row r="5661" spans="1:12" ht="15" customHeight="1" x14ac:dyDescent="0.2">
      <c r="A5661" s="2">
        <v>37837</v>
      </c>
      <c r="B5661" s="3">
        <v>22.273344000000002</v>
      </c>
      <c r="C5661" s="1">
        <v>560278.26</v>
      </c>
      <c r="D5661" s="3">
        <v>-2.6665999999998701E-2</v>
      </c>
      <c r="E5661" s="3">
        <v>-0.119578421713706</v>
      </c>
      <c r="F5661" s="3">
        <v>-0.119578421713706</v>
      </c>
      <c r="G5661" s="3">
        <v>22.273344000000002</v>
      </c>
      <c r="H5661" s="3">
        <v>520.68913627144502</v>
      </c>
      <c r="I5661" s="3">
        <v>22.293343</v>
      </c>
      <c r="J5661" s="3">
        <v>22.46001</v>
      </c>
      <c r="K5661" s="3">
        <v>21.873343999999999</v>
      </c>
      <c r="L5661" s="3">
        <v>520.68913627144502</v>
      </c>
    </row>
    <row r="5662" spans="1:12" ht="15" customHeight="1" x14ac:dyDescent="0.2">
      <c r="A5662" s="2">
        <v>37834</v>
      </c>
      <c r="B5662" s="3">
        <v>22.30001</v>
      </c>
      <c r="C5662" s="1">
        <v>1196817.8999999999</v>
      </c>
      <c r="D5662" s="3">
        <v>0.33333299999999899</v>
      </c>
      <c r="E5662" s="3">
        <v>1.51744845157963</v>
      </c>
      <c r="F5662" s="3">
        <v>1.51744845157963</v>
      </c>
      <c r="G5662" s="3">
        <v>22.30001</v>
      </c>
      <c r="H5662" s="3">
        <v>521.43223513023395</v>
      </c>
      <c r="I5662" s="3">
        <v>22.000011000000001</v>
      </c>
      <c r="J5662" s="3">
        <v>22.540012000000001</v>
      </c>
      <c r="K5662" s="3">
        <v>21.926676</v>
      </c>
      <c r="L5662" s="3">
        <v>521.43223513023395</v>
      </c>
    </row>
    <row r="5663" spans="1:12" ht="15" customHeight="1" x14ac:dyDescent="0.2">
      <c r="A5663" s="2">
        <v>37833</v>
      </c>
      <c r="B5663" s="3">
        <v>21.966677000000001</v>
      </c>
      <c r="C5663" s="1">
        <v>1041221.6</v>
      </c>
      <c r="D5663" s="3">
        <v>0.17333399999999999</v>
      </c>
      <c r="E5663" s="3">
        <v>0.79535296627049001</v>
      </c>
      <c r="F5663" s="3">
        <v>0.79535296627049001</v>
      </c>
      <c r="G5663" s="3">
        <v>21.966677000000001</v>
      </c>
      <c r="H5663" s="3">
        <v>512.14327646013999</v>
      </c>
      <c r="I5663" s="3">
        <v>21.900010000000002</v>
      </c>
      <c r="J5663" s="3">
        <v>22.206678</v>
      </c>
      <c r="K5663" s="3">
        <v>21.620010000000001</v>
      </c>
      <c r="L5663" s="3">
        <v>512.14327646013999</v>
      </c>
    </row>
    <row r="5664" spans="1:12" ht="15" customHeight="1" x14ac:dyDescent="0.2">
      <c r="A5664" s="2">
        <v>37832</v>
      </c>
      <c r="B5664" s="3">
        <v>21.793343</v>
      </c>
      <c r="C5664" s="1">
        <v>858520.1</v>
      </c>
      <c r="D5664" s="3">
        <v>0.32</v>
      </c>
      <c r="E5664" s="3">
        <v>1.49021975758503</v>
      </c>
      <c r="F5664" s="3">
        <v>1.49021975758503</v>
      </c>
      <c r="G5664" s="3">
        <v>21.793343</v>
      </c>
      <c r="H5664" s="3">
        <v>507.31299454349301</v>
      </c>
      <c r="I5664" s="3">
        <v>21.813345000000002</v>
      </c>
      <c r="J5664" s="3">
        <v>21.840009999999999</v>
      </c>
      <c r="K5664" s="3">
        <v>21.513344</v>
      </c>
      <c r="L5664" s="3">
        <v>507.31299454349301</v>
      </c>
    </row>
    <row r="5665" spans="1:12" ht="15" customHeight="1" x14ac:dyDescent="0.2">
      <c r="A5665" s="2">
        <v>37831</v>
      </c>
      <c r="B5665" s="3">
        <v>21.473343</v>
      </c>
      <c r="C5665" s="1">
        <v>1190523.8999999999</v>
      </c>
      <c r="D5665" s="3">
        <v>-6.6680000000012198E-3</v>
      </c>
      <c r="E5665" s="3">
        <v>-3.1042814642889799E-2</v>
      </c>
      <c r="F5665" s="3">
        <v>-3.1042814642889799E-2</v>
      </c>
      <c r="G5665" s="3">
        <v>21.473343</v>
      </c>
      <c r="H5665" s="3">
        <v>498.39558530279402</v>
      </c>
      <c r="I5665" s="3">
        <v>21.493347</v>
      </c>
      <c r="J5665" s="3">
        <v>21.666677</v>
      </c>
      <c r="K5665" s="3">
        <v>21.100012</v>
      </c>
      <c r="L5665" s="3">
        <v>498.39558530279402</v>
      </c>
    </row>
    <row r="5666" spans="1:12" ht="15" customHeight="1" x14ac:dyDescent="0.2">
      <c r="A5666" s="2">
        <v>37830</v>
      </c>
      <c r="B5666" s="3">
        <v>21.480011000000001</v>
      </c>
      <c r="C5666" s="1">
        <v>844912.1</v>
      </c>
      <c r="D5666" s="3">
        <v>0.29333500000000201</v>
      </c>
      <c r="E5666" s="3">
        <v>1.3845258217948</v>
      </c>
      <c r="F5666" s="3">
        <v>1.3845258217948</v>
      </c>
      <c r="G5666" s="3">
        <v>21.480011000000001</v>
      </c>
      <c r="H5666" s="3">
        <v>498.581401817847</v>
      </c>
      <c r="I5666" s="3">
        <v>21.220009999999998</v>
      </c>
      <c r="J5666" s="3">
        <v>21.646677</v>
      </c>
      <c r="K5666" s="3">
        <v>21.053343000000002</v>
      </c>
      <c r="L5666" s="3">
        <v>498.581401817847</v>
      </c>
    </row>
    <row r="5667" spans="1:12" ht="15" customHeight="1" x14ac:dyDescent="0.2">
      <c r="A5667" s="2">
        <v>37827</v>
      </c>
      <c r="B5667" s="3">
        <v>21.186675999999999</v>
      </c>
      <c r="C5667" s="1">
        <v>1093208.5</v>
      </c>
      <c r="D5667" s="3">
        <v>-0.35333399999999998</v>
      </c>
      <c r="E5667" s="3">
        <v>-1.6403613554496901</v>
      </c>
      <c r="F5667" s="3">
        <v>-1.6403613554496901</v>
      </c>
      <c r="G5667" s="3">
        <v>21.186675999999999</v>
      </c>
      <c r="H5667" s="3">
        <v>490.40706356903303</v>
      </c>
      <c r="I5667" s="3">
        <v>21.533342000000001</v>
      </c>
      <c r="J5667" s="3">
        <v>21.826677</v>
      </c>
      <c r="K5667" s="3">
        <v>21.066679000000001</v>
      </c>
      <c r="L5667" s="3">
        <v>490.40706356903303</v>
      </c>
    </row>
    <row r="5668" spans="1:12" ht="15" customHeight="1" x14ac:dyDescent="0.2">
      <c r="A5668" s="2">
        <v>37826</v>
      </c>
      <c r="B5668" s="3">
        <v>21.540009999999999</v>
      </c>
      <c r="C5668" s="1">
        <v>1088948.5</v>
      </c>
      <c r="D5668" s="3">
        <v>-0.64000200000000196</v>
      </c>
      <c r="E5668" s="3">
        <v>-2.8854898725934</v>
      </c>
      <c r="F5668" s="3">
        <v>-2.8854898725934</v>
      </c>
      <c r="G5668" s="3">
        <v>21.540009999999999</v>
      </c>
      <c r="H5668" s="3">
        <v>500.25338818357397</v>
      </c>
      <c r="I5668" s="3">
        <v>22.266677999999999</v>
      </c>
      <c r="J5668" s="3">
        <v>22.30001</v>
      </c>
      <c r="K5668" s="3">
        <v>21.400010000000002</v>
      </c>
      <c r="L5668" s="3">
        <v>500.25338818357397</v>
      </c>
    </row>
    <row r="5669" spans="1:12" ht="15" customHeight="1" x14ac:dyDescent="0.2">
      <c r="A5669" s="2">
        <v>37825</v>
      </c>
      <c r="B5669" s="3">
        <v>22.180012000000001</v>
      </c>
      <c r="C5669" s="1">
        <v>1624007.2</v>
      </c>
      <c r="D5669" s="3">
        <v>0.246667999999999</v>
      </c>
      <c r="E5669" s="3">
        <v>1.12462559288724</v>
      </c>
      <c r="F5669" s="3">
        <v>1.12462559288724</v>
      </c>
      <c r="G5669" s="3">
        <v>22.180012000000001</v>
      </c>
      <c r="H5669" s="3">
        <v>518.08826239877897</v>
      </c>
      <c r="I5669" s="3">
        <v>22.240010999999999</v>
      </c>
      <c r="J5669" s="3">
        <v>22.493345000000001</v>
      </c>
      <c r="K5669" s="3">
        <v>21.520009999999999</v>
      </c>
      <c r="L5669" s="3">
        <v>518.08826239877897</v>
      </c>
    </row>
    <row r="5670" spans="1:12" ht="15" customHeight="1" x14ac:dyDescent="0.2">
      <c r="A5670" s="2">
        <v>37824</v>
      </c>
      <c r="B5670" s="3">
        <v>21.933344000000002</v>
      </c>
      <c r="C5670" s="1">
        <v>925568.54</v>
      </c>
      <c r="D5670" s="3">
        <v>0.253334000000002</v>
      </c>
      <c r="E5670" s="3">
        <v>1.1685142211650399</v>
      </c>
      <c r="F5670" s="3">
        <v>1.1685142211650399</v>
      </c>
      <c r="G5670" s="3">
        <v>21.933344000000002</v>
      </c>
      <c r="H5670" s="3">
        <v>511.21438895320199</v>
      </c>
      <c r="I5670" s="3">
        <v>21.566675</v>
      </c>
      <c r="J5670" s="3">
        <v>22.266677999999999</v>
      </c>
      <c r="K5670" s="3">
        <v>21.340009999999999</v>
      </c>
      <c r="L5670" s="3">
        <v>511.21438895320199</v>
      </c>
    </row>
    <row r="5671" spans="1:12" ht="15" customHeight="1" x14ac:dyDescent="0.2">
      <c r="A5671" s="2">
        <v>37823</v>
      </c>
      <c r="B5671" s="3">
        <v>21.680009999999999</v>
      </c>
      <c r="C5671" s="1">
        <v>863677.05999999901</v>
      </c>
      <c r="D5671" s="3">
        <v>-0.30666700000000002</v>
      </c>
      <c r="E5671" s="3">
        <v>-1.3947855785574199</v>
      </c>
      <c r="F5671" s="3">
        <v>-1.3947855785574199</v>
      </c>
      <c r="G5671" s="3">
        <v>21.680009999999999</v>
      </c>
      <c r="H5671" s="3">
        <v>504.15475472638002</v>
      </c>
      <c r="I5671" s="3">
        <v>22.000011000000001</v>
      </c>
      <c r="J5671" s="3">
        <v>22.126677000000001</v>
      </c>
      <c r="K5671" s="3">
        <v>21.366675999999998</v>
      </c>
      <c r="L5671" s="3">
        <v>504.15475472638002</v>
      </c>
    </row>
    <row r="5672" spans="1:12" ht="15" customHeight="1" x14ac:dyDescent="0.2">
      <c r="A5672" s="2">
        <v>37820</v>
      </c>
      <c r="B5672" s="3">
        <v>21.986677</v>
      </c>
      <c r="C5672" s="1">
        <v>478118.76999999897</v>
      </c>
      <c r="D5672" s="3">
        <v>0.16666700000000001</v>
      </c>
      <c r="E5672" s="3">
        <v>0.76382641437835397</v>
      </c>
      <c r="F5672" s="3">
        <v>0.76382641437835397</v>
      </c>
      <c r="G5672" s="3">
        <v>21.986677</v>
      </c>
      <c r="H5672" s="3">
        <v>512.70061453768403</v>
      </c>
      <c r="I5672" s="3">
        <v>21.906676999999998</v>
      </c>
      <c r="J5672" s="3">
        <v>22.193344</v>
      </c>
      <c r="K5672" s="3">
        <v>21.840009999999999</v>
      </c>
      <c r="L5672" s="3">
        <v>512.70061453768403</v>
      </c>
    </row>
    <row r="5673" spans="1:12" ht="15" customHeight="1" x14ac:dyDescent="0.2">
      <c r="A5673" s="2">
        <v>37819</v>
      </c>
      <c r="B5673" s="3">
        <v>21.82001</v>
      </c>
      <c r="C5673" s="1">
        <v>872884.03</v>
      </c>
      <c r="D5673" s="3">
        <v>-0.58000000000000096</v>
      </c>
      <c r="E5673" s="3">
        <v>-2.5892845583551201</v>
      </c>
      <c r="F5673" s="3">
        <v>-2.5892845583551201</v>
      </c>
      <c r="G5673" s="3">
        <v>21.82001</v>
      </c>
      <c r="H5673" s="3">
        <v>508.05612126918498</v>
      </c>
      <c r="I5673" s="3">
        <v>22.333344</v>
      </c>
      <c r="J5673" s="3">
        <v>22.553345</v>
      </c>
      <c r="K5673" s="3">
        <v>21.82001</v>
      </c>
      <c r="L5673" s="3">
        <v>508.05612126918498</v>
      </c>
    </row>
    <row r="5674" spans="1:12" ht="15" customHeight="1" x14ac:dyDescent="0.2">
      <c r="A5674" s="2">
        <v>37818</v>
      </c>
      <c r="B5674" s="3">
        <v>22.400010000000002</v>
      </c>
      <c r="C5674" s="1">
        <v>377770.32</v>
      </c>
      <c r="D5674" s="3">
        <v>-0.23333499999999599</v>
      </c>
      <c r="E5674" s="3">
        <v>-1.03093466741216</v>
      </c>
      <c r="F5674" s="3">
        <v>-1.03093466741216</v>
      </c>
      <c r="G5674" s="3">
        <v>22.400010000000002</v>
      </c>
      <c r="H5674" s="3">
        <v>524.21892551795202</v>
      </c>
      <c r="I5674" s="3">
        <v>22.680012000000001</v>
      </c>
      <c r="J5674" s="3">
        <v>22.700009999999999</v>
      </c>
      <c r="K5674" s="3">
        <v>22.353344</v>
      </c>
      <c r="L5674" s="3">
        <v>524.21892551795202</v>
      </c>
    </row>
    <row r="5675" spans="1:12" ht="15" customHeight="1" x14ac:dyDescent="0.2">
      <c r="A5675" s="2">
        <v>37817</v>
      </c>
      <c r="B5675" s="3">
        <v>22.633344999999998</v>
      </c>
      <c r="C5675" s="1">
        <v>581359.25</v>
      </c>
      <c r="D5675" s="3">
        <v>-0.59999800000000203</v>
      </c>
      <c r="E5675" s="3">
        <v>-2.58248673038573</v>
      </c>
      <c r="F5675" s="3">
        <v>-2.58248673038573</v>
      </c>
      <c r="G5675" s="3">
        <v>22.633344999999998</v>
      </c>
      <c r="H5675" s="3">
        <v>530.72124953413504</v>
      </c>
      <c r="I5675" s="3">
        <v>23.286677999999998</v>
      </c>
      <c r="J5675" s="3">
        <v>23.586680000000001</v>
      </c>
      <c r="K5675" s="3">
        <v>22.519344</v>
      </c>
      <c r="L5675" s="3">
        <v>530.72124953413504</v>
      </c>
    </row>
    <row r="5676" spans="1:12" ht="15" customHeight="1" x14ac:dyDescent="0.2">
      <c r="A5676" s="2">
        <v>37816</v>
      </c>
      <c r="B5676" s="3">
        <v>23.233343000000001</v>
      </c>
      <c r="C5676" s="1">
        <v>616066.15999999898</v>
      </c>
      <c r="D5676" s="3">
        <v>0.39999900000000099</v>
      </c>
      <c r="E5676" s="3">
        <v>1.7518196195879201</v>
      </c>
      <c r="F5676" s="3">
        <v>1.7518196195879201</v>
      </c>
      <c r="G5676" s="3">
        <v>23.233343000000001</v>
      </c>
      <c r="H5676" s="3">
        <v>547.441336126637</v>
      </c>
      <c r="I5676" s="3">
        <v>23.100012</v>
      </c>
      <c r="J5676" s="3">
        <v>23.400010999999999</v>
      </c>
      <c r="K5676" s="3">
        <v>23.033344</v>
      </c>
      <c r="L5676" s="3">
        <v>547.441336126637</v>
      </c>
    </row>
    <row r="5677" spans="1:12" ht="15" customHeight="1" x14ac:dyDescent="0.2">
      <c r="A5677" s="2">
        <v>37813</v>
      </c>
      <c r="B5677" s="3">
        <v>22.833344</v>
      </c>
      <c r="C5677" s="1">
        <v>443908.3</v>
      </c>
      <c r="D5677" s="3">
        <v>6.6666000000001405E-2</v>
      </c>
      <c r="E5677" s="3">
        <v>0.29282269464170302</v>
      </c>
      <c r="F5677" s="3">
        <v>0.29282269464170302</v>
      </c>
      <c r="G5677" s="3">
        <v>22.833344</v>
      </c>
      <c r="H5677" s="3">
        <v>536.29460244266704</v>
      </c>
      <c r="I5677" s="3">
        <v>22.586677999999999</v>
      </c>
      <c r="J5677" s="3">
        <v>23.200009999999999</v>
      </c>
      <c r="K5677" s="3">
        <v>22.533344</v>
      </c>
      <c r="L5677" s="3">
        <v>536.29460244266704</v>
      </c>
    </row>
    <row r="5678" spans="1:12" ht="15" customHeight="1" x14ac:dyDescent="0.2">
      <c r="A5678" s="2">
        <v>37812</v>
      </c>
      <c r="B5678" s="3">
        <v>22.766677999999999</v>
      </c>
      <c r="C5678" s="1">
        <v>849334.1</v>
      </c>
      <c r="D5678" s="3">
        <v>-0.16666800000000101</v>
      </c>
      <c r="E5678" s="3">
        <v>-0.72674959859760901</v>
      </c>
      <c r="F5678" s="3">
        <v>-0.72674959859760901</v>
      </c>
      <c r="G5678" s="3">
        <v>22.766677999999999</v>
      </c>
      <c r="H5678" s="3">
        <v>534.43682742879105</v>
      </c>
      <c r="I5678" s="3">
        <v>22.760010000000001</v>
      </c>
      <c r="J5678" s="3">
        <v>23.066676999999999</v>
      </c>
      <c r="K5678" s="3">
        <v>22.586677999999999</v>
      </c>
      <c r="L5678" s="3">
        <v>534.43682742879105</v>
      </c>
    </row>
    <row r="5679" spans="1:12" ht="15" customHeight="1" x14ac:dyDescent="0.2">
      <c r="A5679" s="2">
        <v>37811</v>
      </c>
      <c r="B5679" s="3">
        <v>22.933346</v>
      </c>
      <c r="C5679" s="1">
        <v>725392.15</v>
      </c>
      <c r="D5679" s="3">
        <v>0.20000299999999799</v>
      </c>
      <c r="E5679" s="3">
        <v>0.87977821827611702</v>
      </c>
      <c r="F5679" s="3">
        <v>0.87977821827611702</v>
      </c>
      <c r="G5679" s="3">
        <v>22.933346</v>
      </c>
      <c r="H5679" s="3">
        <v>539.08134856419395</v>
      </c>
      <c r="I5679" s="3">
        <v>22.733343000000001</v>
      </c>
      <c r="J5679" s="3">
        <v>23.020009999999999</v>
      </c>
      <c r="K5679" s="3">
        <v>22.726676999999999</v>
      </c>
      <c r="L5679" s="3">
        <v>539.08134856419395</v>
      </c>
    </row>
    <row r="5680" spans="1:12" ht="15" customHeight="1" x14ac:dyDescent="0.2">
      <c r="A5680" s="2">
        <v>37810</v>
      </c>
      <c r="B5680" s="3">
        <v>22.733343000000001</v>
      </c>
      <c r="C5680" s="1">
        <v>1141513</v>
      </c>
      <c r="D5680" s="3">
        <v>-0.106666999999998</v>
      </c>
      <c r="E5680" s="3">
        <v>-0.46701818431776898</v>
      </c>
      <c r="F5680" s="3">
        <v>-0.46701818431776898</v>
      </c>
      <c r="G5680" s="3">
        <v>22.733343000000001</v>
      </c>
      <c r="H5680" s="3">
        <v>533.50788418804495</v>
      </c>
      <c r="I5680" s="3">
        <v>22.893345</v>
      </c>
      <c r="J5680" s="3">
        <v>23.000011000000001</v>
      </c>
      <c r="K5680" s="3">
        <v>22.580010000000001</v>
      </c>
      <c r="L5680" s="3">
        <v>533.50788418804495</v>
      </c>
    </row>
    <row r="5681" spans="1:12" ht="15" customHeight="1" x14ac:dyDescent="0.2">
      <c r="A5681" s="2">
        <v>37809</v>
      </c>
      <c r="B5681" s="3">
        <v>22.840009999999999</v>
      </c>
      <c r="C5681" s="1">
        <v>731869.14</v>
      </c>
      <c r="D5681" s="3">
        <v>-6.6666999999998894E-2</v>
      </c>
      <c r="E5681" s="3">
        <v>-0.291037412366701</v>
      </c>
      <c r="F5681" s="3">
        <v>-0.291037412366701</v>
      </c>
      <c r="G5681" s="3">
        <v>22.840009999999999</v>
      </c>
      <c r="H5681" s="3">
        <v>536.48036322391295</v>
      </c>
      <c r="I5681" s="3">
        <v>23.046676999999999</v>
      </c>
      <c r="J5681" s="3">
        <v>23.160011000000001</v>
      </c>
      <c r="K5681" s="3">
        <v>22.720013000000002</v>
      </c>
      <c r="L5681" s="3">
        <v>536.48036322391295</v>
      </c>
    </row>
    <row r="5682" spans="1:12" ht="15" customHeight="1" x14ac:dyDescent="0.2">
      <c r="A5682" s="2">
        <v>37805</v>
      </c>
      <c r="B5682" s="3">
        <v>22.906676999999998</v>
      </c>
      <c r="C5682" s="1">
        <v>312854.86</v>
      </c>
      <c r="D5682" s="3">
        <v>-7.3334000000002605E-2</v>
      </c>
      <c r="E5682" s="3">
        <v>-0.31912082200483599</v>
      </c>
      <c r="F5682" s="3">
        <v>-0.31912082200483599</v>
      </c>
      <c r="G5682" s="3">
        <v>22.906676999999998</v>
      </c>
      <c r="H5682" s="3">
        <v>538.33816610469296</v>
      </c>
      <c r="I5682" s="3">
        <v>22.780010000000001</v>
      </c>
      <c r="J5682" s="3">
        <v>23.006675999999999</v>
      </c>
      <c r="K5682" s="3">
        <v>22.700009999999999</v>
      </c>
      <c r="L5682" s="3">
        <v>538.33816610469296</v>
      </c>
    </row>
    <row r="5683" spans="1:12" ht="15" customHeight="1" x14ac:dyDescent="0.2">
      <c r="A5683" s="2">
        <v>37804</v>
      </c>
      <c r="B5683" s="3">
        <v>22.980011000000001</v>
      </c>
      <c r="C5683" s="1">
        <v>1720643.1</v>
      </c>
      <c r="D5683" s="3">
        <v>0.313334000000001</v>
      </c>
      <c r="E5683" s="3">
        <v>1.3823552521615701</v>
      </c>
      <c r="F5683" s="3">
        <v>1.3823552521615701</v>
      </c>
      <c r="G5683" s="3">
        <v>22.980011000000001</v>
      </c>
      <c r="H5683" s="3">
        <v>540.38175763362199</v>
      </c>
      <c r="I5683" s="3">
        <v>22.666677</v>
      </c>
      <c r="J5683" s="3">
        <v>23.040012000000001</v>
      </c>
      <c r="K5683" s="3">
        <v>22.593343999999998</v>
      </c>
      <c r="L5683" s="3">
        <v>540.38175763362199</v>
      </c>
    </row>
    <row r="5684" spans="1:12" ht="15" customHeight="1" x14ac:dyDescent="0.2">
      <c r="A5684" s="2">
        <v>37803</v>
      </c>
      <c r="B5684" s="3">
        <v>22.666677</v>
      </c>
      <c r="C5684" s="1">
        <v>4423403.3</v>
      </c>
      <c r="D5684" s="3">
        <v>-1.2266680000000001</v>
      </c>
      <c r="E5684" s="3">
        <v>-5.13393164498315</v>
      </c>
      <c r="F5684" s="3">
        <v>-5.13393164498315</v>
      </c>
      <c r="G5684" s="3">
        <v>22.666677</v>
      </c>
      <c r="H5684" s="3">
        <v>531.65010917416896</v>
      </c>
      <c r="I5684" s="3">
        <v>23.013344</v>
      </c>
      <c r="J5684" s="3">
        <v>23.066676999999999</v>
      </c>
      <c r="K5684" s="3">
        <v>22.400010000000002</v>
      </c>
      <c r="L5684" s="3">
        <v>531.65010917416896</v>
      </c>
    </row>
    <row r="5685" spans="1:12" ht="15" customHeight="1" x14ac:dyDescent="0.2">
      <c r="A5685" s="2">
        <v>37802</v>
      </c>
      <c r="B5685" s="3">
        <v>23.893345</v>
      </c>
      <c r="C5685" s="1">
        <v>1030262.5</v>
      </c>
      <c r="D5685" s="3">
        <v>1.9998999999998501E-2</v>
      </c>
      <c r="E5685" s="3">
        <v>8.3771248487751707E-2</v>
      </c>
      <c r="F5685" s="3">
        <v>8.3771248487751707E-2</v>
      </c>
      <c r="G5685" s="3">
        <v>23.893345</v>
      </c>
      <c r="H5685" s="3">
        <v>565.83354841938603</v>
      </c>
      <c r="I5685" s="3">
        <v>23.940011999999999</v>
      </c>
      <c r="J5685" s="3">
        <v>24.333345000000001</v>
      </c>
      <c r="K5685" s="3">
        <v>23.877146</v>
      </c>
      <c r="L5685" s="3">
        <v>565.83354841938603</v>
      </c>
    </row>
    <row r="5686" spans="1:12" ht="15" customHeight="1" x14ac:dyDescent="0.2">
      <c r="A5686" s="2">
        <v>37799</v>
      </c>
      <c r="B5686" s="3">
        <v>23.873346000000002</v>
      </c>
      <c r="C5686" s="1">
        <v>985526.5</v>
      </c>
      <c r="D5686" s="3">
        <v>0.20666900000000099</v>
      </c>
      <c r="E5686" s="3">
        <v>0.87324891449695996</v>
      </c>
      <c r="F5686" s="3">
        <v>0.87324891449695996</v>
      </c>
      <c r="G5686" s="3">
        <v>23.873346000000002</v>
      </c>
      <c r="H5686" s="3">
        <v>565.27623820874601</v>
      </c>
      <c r="I5686" s="3">
        <v>23.619344999999999</v>
      </c>
      <c r="J5686" s="3">
        <v>24.386679000000001</v>
      </c>
      <c r="K5686" s="3">
        <v>23.566676999999999</v>
      </c>
      <c r="L5686" s="3">
        <v>565.27623820874601</v>
      </c>
    </row>
    <row r="5687" spans="1:12" ht="15" customHeight="1" x14ac:dyDescent="0.2">
      <c r="A5687" s="2">
        <v>37798</v>
      </c>
      <c r="B5687" s="3">
        <v>23.666677</v>
      </c>
      <c r="C5687" s="1">
        <v>622870.19999999995</v>
      </c>
      <c r="D5687" s="3">
        <v>0.31333299999999997</v>
      </c>
      <c r="E5687" s="3">
        <v>1.3417050680193801</v>
      </c>
      <c r="F5687" s="3">
        <v>1.3417050680193801</v>
      </c>
      <c r="G5687" s="3">
        <v>23.666677</v>
      </c>
      <c r="H5687" s="3">
        <v>559.51701305135305</v>
      </c>
      <c r="I5687" s="3">
        <v>23.380009999999999</v>
      </c>
      <c r="J5687" s="3">
        <v>23.766680000000001</v>
      </c>
      <c r="K5687" s="3">
        <v>23.193344</v>
      </c>
      <c r="L5687" s="3">
        <v>559.51701305135305</v>
      </c>
    </row>
    <row r="5688" spans="1:12" ht="15" customHeight="1" x14ac:dyDescent="0.2">
      <c r="A5688" s="2">
        <v>37797</v>
      </c>
      <c r="B5688" s="3">
        <v>23.353344</v>
      </c>
      <c r="C5688" s="1">
        <v>762127.14</v>
      </c>
      <c r="D5688" s="3">
        <v>0.35333299999999901</v>
      </c>
      <c r="E5688" s="3">
        <v>1.5362297000640599</v>
      </c>
      <c r="F5688" s="3">
        <v>1.5362297000640599</v>
      </c>
      <c r="G5688" s="3">
        <v>23.353344</v>
      </c>
      <c r="H5688" s="3">
        <v>550.78539245880302</v>
      </c>
      <c r="I5688" s="3">
        <v>23.000011000000001</v>
      </c>
      <c r="J5688" s="3">
        <v>23.560009999999998</v>
      </c>
      <c r="K5688" s="3">
        <v>22.980011000000001</v>
      </c>
      <c r="L5688" s="3">
        <v>550.78539245880302</v>
      </c>
    </row>
    <row r="5689" spans="1:12" ht="15" customHeight="1" x14ac:dyDescent="0.2">
      <c r="A5689" s="2">
        <v>37796</v>
      </c>
      <c r="B5689" s="3">
        <v>23.000011000000001</v>
      </c>
      <c r="C5689" s="1">
        <v>733024.1</v>
      </c>
      <c r="D5689" s="3">
        <v>-0.25333399999999801</v>
      </c>
      <c r="E5689" s="3">
        <v>-1.08945186165688</v>
      </c>
      <c r="F5689" s="3">
        <v>-1.08945186165688</v>
      </c>
      <c r="G5689" s="3">
        <v>23.000011000000001</v>
      </c>
      <c r="H5689" s="3">
        <v>540.93909571116603</v>
      </c>
      <c r="I5689" s="3">
        <v>23.180012000000001</v>
      </c>
      <c r="J5689" s="3">
        <v>23.320011000000001</v>
      </c>
      <c r="K5689" s="3">
        <v>22.80001</v>
      </c>
      <c r="L5689" s="3">
        <v>540.93909571116603</v>
      </c>
    </row>
    <row r="5690" spans="1:12" ht="15" customHeight="1" x14ac:dyDescent="0.2">
      <c r="A5690" s="2">
        <v>37795</v>
      </c>
      <c r="B5690" s="3">
        <v>23.253344999999999</v>
      </c>
      <c r="C5690" s="1">
        <v>1050770.5</v>
      </c>
      <c r="D5690" s="3">
        <v>0.16666700000000001</v>
      </c>
      <c r="E5690" s="3">
        <v>0.72191850209024599</v>
      </c>
      <c r="F5690" s="3">
        <v>0.72191850209024599</v>
      </c>
      <c r="G5690" s="3">
        <v>23.253344999999999</v>
      </c>
      <c r="H5690" s="3">
        <v>547.99872993798795</v>
      </c>
      <c r="I5690" s="3">
        <v>23.033344</v>
      </c>
      <c r="J5690" s="3">
        <v>23.253344999999999</v>
      </c>
      <c r="K5690" s="3">
        <v>22.633344999999998</v>
      </c>
      <c r="L5690" s="3">
        <v>547.99872993798795</v>
      </c>
    </row>
    <row r="5691" spans="1:12" ht="15" customHeight="1" x14ac:dyDescent="0.2">
      <c r="A5691" s="2">
        <v>37792</v>
      </c>
      <c r="B5691" s="3">
        <v>23.086677999999999</v>
      </c>
      <c r="C5691" s="1">
        <v>488851.3</v>
      </c>
      <c r="D5691" s="3">
        <v>-0.17266599999999899</v>
      </c>
      <c r="E5691" s="3">
        <v>-0.74235111703924095</v>
      </c>
      <c r="F5691" s="3">
        <v>-0.74235111703924095</v>
      </c>
      <c r="G5691" s="3">
        <v>23.086677999999999</v>
      </c>
      <c r="H5691" s="3">
        <v>543.35423666948998</v>
      </c>
      <c r="I5691" s="3">
        <v>23.30001</v>
      </c>
      <c r="J5691" s="3">
        <v>23.360012000000001</v>
      </c>
      <c r="K5691" s="3">
        <v>22.96001</v>
      </c>
      <c r="L5691" s="3">
        <v>543.35423666948998</v>
      </c>
    </row>
    <row r="5692" spans="1:12" ht="15" customHeight="1" x14ac:dyDescent="0.2">
      <c r="A5692" s="2">
        <v>37791</v>
      </c>
      <c r="B5692" s="3">
        <v>23.259343999999999</v>
      </c>
      <c r="C5692" s="1">
        <v>742597.1</v>
      </c>
      <c r="D5692" s="3">
        <v>-6.0667000000002198E-2</v>
      </c>
      <c r="E5692" s="3">
        <v>-0.26014996305105897</v>
      </c>
      <c r="F5692" s="3">
        <v>-0.26014996305105897</v>
      </c>
      <c r="G5692" s="3">
        <v>23.259343999999999</v>
      </c>
      <c r="H5692" s="3">
        <v>548.16590349434796</v>
      </c>
      <c r="I5692" s="3">
        <v>23.366678</v>
      </c>
      <c r="J5692" s="3">
        <v>23.953344000000001</v>
      </c>
      <c r="K5692" s="3">
        <v>23.166677</v>
      </c>
      <c r="L5692" s="3">
        <v>548.16590349434796</v>
      </c>
    </row>
    <row r="5693" spans="1:12" ht="15" customHeight="1" x14ac:dyDescent="0.2">
      <c r="A5693" s="2">
        <v>37790</v>
      </c>
      <c r="B5693" s="3">
        <v>23.320011000000001</v>
      </c>
      <c r="C5693" s="1">
        <v>408598.32999999903</v>
      </c>
      <c r="D5693" s="3">
        <v>-0.246665999999997</v>
      </c>
      <c r="E5693" s="3">
        <v>-1.04667280838955</v>
      </c>
      <c r="F5693" s="3">
        <v>-1.04667280838955</v>
      </c>
      <c r="G5693" s="3">
        <v>23.320011000000001</v>
      </c>
      <c r="H5693" s="3">
        <v>549.85650495186496</v>
      </c>
      <c r="I5693" s="3">
        <v>23.553346999999999</v>
      </c>
      <c r="J5693" s="3">
        <v>23.553346999999999</v>
      </c>
      <c r="K5693" s="3">
        <v>23.066544</v>
      </c>
      <c r="L5693" s="3">
        <v>549.85650495186496</v>
      </c>
    </row>
    <row r="5694" spans="1:12" ht="15" customHeight="1" x14ac:dyDescent="0.2">
      <c r="A5694" s="2">
        <v>37789</v>
      </c>
      <c r="B5694" s="3">
        <v>23.566676999999999</v>
      </c>
      <c r="C5694" s="1">
        <v>1873142.1</v>
      </c>
      <c r="D5694" s="3">
        <v>1.17333199999999</v>
      </c>
      <c r="E5694" s="3">
        <v>5.2396459751769804</v>
      </c>
      <c r="F5694" s="3">
        <v>5.2396459751769804</v>
      </c>
      <c r="G5694" s="3">
        <v>23.566676999999999</v>
      </c>
      <c r="H5694" s="3">
        <v>556.73032266363396</v>
      </c>
      <c r="I5694" s="3">
        <v>22.593343999999998</v>
      </c>
      <c r="J5694" s="3">
        <v>23.760012</v>
      </c>
      <c r="K5694" s="3">
        <v>22.433346</v>
      </c>
      <c r="L5694" s="3">
        <v>556.73032266363396</v>
      </c>
    </row>
    <row r="5695" spans="1:12" ht="15" customHeight="1" x14ac:dyDescent="0.2">
      <c r="A5695" s="2">
        <v>37788</v>
      </c>
      <c r="B5695" s="3">
        <v>22.393345</v>
      </c>
      <c r="C5695" s="1">
        <v>505631.74</v>
      </c>
      <c r="D5695" s="3">
        <v>0.480067999999999</v>
      </c>
      <c r="E5695" s="3">
        <v>2.1907631615298802</v>
      </c>
      <c r="F5695" s="3">
        <v>2.1907631615298802</v>
      </c>
      <c r="G5695" s="3">
        <v>22.393345</v>
      </c>
      <c r="H5695" s="3">
        <v>524.03319260361002</v>
      </c>
      <c r="I5695" s="3">
        <v>21.900010000000002</v>
      </c>
      <c r="J5695" s="3">
        <v>22.466678999999999</v>
      </c>
      <c r="K5695" s="3">
        <v>21.900010000000002</v>
      </c>
      <c r="L5695" s="3">
        <v>524.03319260361002</v>
      </c>
    </row>
    <row r="5696" spans="1:12" ht="15" customHeight="1" x14ac:dyDescent="0.2">
      <c r="A5696" s="2">
        <v>37785</v>
      </c>
      <c r="B5696" s="3">
        <v>21.913277000000001</v>
      </c>
      <c r="C5696" s="1">
        <v>424478.82</v>
      </c>
      <c r="D5696" s="3">
        <v>-0.15339999999999701</v>
      </c>
      <c r="E5696" s="3">
        <v>-0.69516583761115502</v>
      </c>
      <c r="F5696" s="3">
        <v>-0.69516583761115502</v>
      </c>
      <c r="G5696" s="3">
        <v>21.913277000000001</v>
      </c>
      <c r="H5696" s="3">
        <v>510.65518379309901</v>
      </c>
      <c r="I5696" s="3">
        <v>22.066676999999999</v>
      </c>
      <c r="J5696" s="3">
        <v>22.14001</v>
      </c>
      <c r="K5696" s="3">
        <v>21.706678</v>
      </c>
      <c r="L5696" s="3">
        <v>510.65518379309901</v>
      </c>
    </row>
    <row r="5697" spans="1:12" ht="15" customHeight="1" x14ac:dyDescent="0.2">
      <c r="A5697" s="2">
        <v>37784</v>
      </c>
      <c r="B5697" s="3">
        <v>22.066676999999999</v>
      </c>
      <c r="C5697" s="1">
        <v>857192.57</v>
      </c>
      <c r="D5697" s="3">
        <v>-6.6667999999999894E-2</v>
      </c>
      <c r="E5697" s="3">
        <v>-0.30121068460280398</v>
      </c>
      <c r="F5697" s="3">
        <v>-0.30121068460280398</v>
      </c>
      <c r="G5697" s="3">
        <v>22.066676999999999</v>
      </c>
      <c r="H5697" s="3">
        <v>514.92996684785896</v>
      </c>
      <c r="I5697" s="3">
        <v>22.166677</v>
      </c>
      <c r="J5697" s="3">
        <v>22.333344</v>
      </c>
      <c r="K5697" s="3">
        <v>21.773344000000002</v>
      </c>
      <c r="L5697" s="3">
        <v>514.92996684785896</v>
      </c>
    </row>
    <row r="5698" spans="1:12" ht="15" customHeight="1" x14ac:dyDescent="0.2">
      <c r="A5698" s="2">
        <v>37783</v>
      </c>
      <c r="B5698" s="3">
        <v>22.133344999999998</v>
      </c>
      <c r="C5698" s="1">
        <v>854246.6</v>
      </c>
      <c r="D5698" s="3">
        <v>5.3334999999997003E-2</v>
      </c>
      <c r="E5698" s="3">
        <v>0.24155333262980599</v>
      </c>
      <c r="F5698" s="3">
        <v>0.24155333262980599</v>
      </c>
      <c r="G5698" s="3">
        <v>22.133344999999998</v>
      </c>
      <c r="H5698" s="3">
        <v>516.787797595543</v>
      </c>
      <c r="I5698" s="3">
        <v>22.060013000000001</v>
      </c>
      <c r="J5698" s="3">
        <v>22.133344999999998</v>
      </c>
      <c r="K5698" s="3">
        <v>21.360009999999999</v>
      </c>
      <c r="L5698" s="3">
        <v>516.787797595543</v>
      </c>
    </row>
    <row r="5699" spans="1:12" ht="15" customHeight="1" x14ac:dyDescent="0.2">
      <c r="A5699" s="2">
        <v>37782</v>
      </c>
      <c r="B5699" s="3">
        <v>22.080010000000001</v>
      </c>
      <c r="C5699" s="1">
        <v>735592.1</v>
      </c>
      <c r="D5699" s="3">
        <v>0.20000000000000201</v>
      </c>
      <c r="E5699" s="3">
        <v>0.91407636468174802</v>
      </c>
      <c r="F5699" s="3">
        <v>0.91407636468174802</v>
      </c>
      <c r="G5699" s="3">
        <v>22.080010000000001</v>
      </c>
      <c r="H5699" s="3">
        <v>515.30151627725297</v>
      </c>
      <c r="I5699" s="3">
        <v>21.813345000000002</v>
      </c>
      <c r="J5699" s="3">
        <v>22.133278000000001</v>
      </c>
      <c r="K5699" s="3">
        <v>21.666677</v>
      </c>
      <c r="L5699" s="3">
        <v>515.30151627725297</v>
      </c>
    </row>
    <row r="5700" spans="1:12" ht="15" customHeight="1" x14ac:dyDescent="0.2">
      <c r="A5700" s="2">
        <v>37781</v>
      </c>
      <c r="B5700" s="3">
        <v>21.880009999999999</v>
      </c>
      <c r="C5700" s="1">
        <v>874828.06</v>
      </c>
      <c r="D5700" s="3">
        <v>-6.0000000000002197E-2</v>
      </c>
      <c r="E5700" s="3">
        <v>-0.27347298383183499</v>
      </c>
      <c r="F5700" s="3">
        <v>-0.27347298383183499</v>
      </c>
      <c r="G5700" s="3">
        <v>21.880009999999999</v>
      </c>
      <c r="H5700" s="3">
        <v>509.72813550181598</v>
      </c>
      <c r="I5700" s="3">
        <v>21.766677999999999</v>
      </c>
      <c r="J5700" s="3">
        <v>21.886679000000001</v>
      </c>
      <c r="K5700" s="3">
        <v>21.533342000000001</v>
      </c>
      <c r="L5700" s="3">
        <v>509.72813550181598</v>
      </c>
    </row>
    <row r="5701" spans="1:12" ht="15" customHeight="1" x14ac:dyDescent="0.2">
      <c r="A5701" s="2">
        <v>37778</v>
      </c>
      <c r="B5701" s="3">
        <v>21.940010000000001</v>
      </c>
      <c r="C5701" s="1">
        <v>887566.04</v>
      </c>
      <c r="D5701" s="3">
        <v>-0.30666699999999703</v>
      </c>
      <c r="E5701" s="3">
        <v>-1.3784845260260501</v>
      </c>
      <c r="F5701" s="3">
        <v>-1.3784845260260501</v>
      </c>
      <c r="G5701" s="3">
        <v>21.940010000000001</v>
      </c>
      <c r="H5701" s="3">
        <v>511.40014973444698</v>
      </c>
      <c r="I5701" s="3">
        <v>22.506675999999999</v>
      </c>
      <c r="J5701" s="3">
        <v>22.64001</v>
      </c>
      <c r="K5701" s="3">
        <v>21.780007999999999</v>
      </c>
      <c r="L5701" s="3">
        <v>511.40014973444698</v>
      </c>
    </row>
    <row r="5702" spans="1:12" ht="15" customHeight="1" x14ac:dyDescent="0.2">
      <c r="A5702" s="2">
        <v>37777</v>
      </c>
      <c r="B5702" s="3">
        <v>22.246676999999998</v>
      </c>
      <c r="C5702" s="1">
        <v>1049767</v>
      </c>
      <c r="D5702" s="3">
        <v>7.3332999999998094E-2</v>
      </c>
      <c r="E5702" s="3">
        <v>0.33072593831584501</v>
      </c>
      <c r="F5702" s="3">
        <v>0.33072593831584501</v>
      </c>
      <c r="G5702" s="3">
        <v>22.246676999999998</v>
      </c>
      <c r="H5702" s="3">
        <v>519.94600954575196</v>
      </c>
      <c r="I5702" s="3">
        <v>22.000011000000001</v>
      </c>
      <c r="J5702" s="3">
        <v>22.760010000000001</v>
      </c>
      <c r="K5702" s="3">
        <v>21.766677999999999</v>
      </c>
      <c r="L5702" s="3">
        <v>519.94600954575196</v>
      </c>
    </row>
    <row r="5703" spans="1:12" ht="15" customHeight="1" x14ac:dyDescent="0.2">
      <c r="A5703" s="2">
        <v>37776</v>
      </c>
      <c r="B5703" s="3">
        <v>22.173344</v>
      </c>
      <c r="C5703" s="1">
        <v>1255980.8</v>
      </c>
      <c r="D5703" s="3">
        <v>0.20000100000000001</v>
      </c>
      <c r="E5703" s="3">
        <v>0.91019832530716505</v>
      </c>
      <c r="F5703" s="3">
        <v>0.91019832530716505</v>
      </c>
      <c r="G5703" s="3">
        <v>22.173344</v>
      </c>
      <c r="H5703" s="3">
        <v>517.90244588372605</v>
      </c>
      <c r="I5703" s="3">
        <v>22.133347000000001</v>
      </c>
      <c r="J5703" s="3">
        <v>22.333344</v>
      </c>
      <c r="K5703" s="3">
        <v>21.80001</v>
      </c>
      <c r="L5703" s="3">
        <v>517.90244588372605</v>
      </c>
    </row>
    <row r="5704" spans="1:12" ht="15" customHeight="1" x14ac:dyDescent="0.2">
      <c r="A5704" s="2">
        <v>37775</v>
      </c>
      <c r="B5704" s="3">
        <v>21.973343</v>
      </c>
      <c r="C5704" s="1">
        <v>1431416.4</v>
      </c>
      <c r="D5704" s="3">
        <v>-0.473333</v>
      </c>
      <c r="E5704" s="3">
        <v>-2.1086997469023898</v>
      </c>
      <c r="F5704" s="3">
        <v>-2.1086997469023898</v>
      </c>
      <c r="G5704" s="3">
        <v>21.973343</v>
      </c>
      <c r="H5704" s="3">
        <v>512.329037241386</v>
      </c>
      <c r="I5704" s="3">
        <v>22.446676</v>
      </c>
      <c r="J5704" s="3">
        <v>22.493345000000001</v>
      </c>
      <c r="K5704" s="3">
        <v>21.513344</v>
      </c>
      <c r="L5704" s="3">
        <v>512.329037241386</v>
      </c>
    </row>
    <row r="5705" spans="1:12" ht="15" customHeight="1" x14ac:dyDescent="0.2">
      <c r="A5705" s="2">
        <v>37774</v>
      </c>
      <c r="B5705" s="3">
        <v>22.446676</v>
      </c>
      <c r="C5705" s="1">
        <v>751331.6</v>
      </c>
      <c r="D5705" s="3">
        <v>-0.17333399999999999</v>
      </c>
      <c r="E5705" s="3">
        <v>-0.76628613338367502</v>
      </c>
      <c r="F5705" s="3">
        <v>-0.76628613338367502</v>
      </c>
      <c r="G5705" s="3">
        <v>22.446676</v>
      </c>
      <c r="H5705" s="3">
        <v>525.51936245428499</v>
      </c>
      <c r="I5705" s="3">
        <v>22.606677999999999</v>
      </c>
      <c r="J5705" s="3">
        <v>23.000011000000001</v>
      </c>
      <c r="K5705" s="3">
        <v>22.393345</v>
      </c>
      <c r="L5705" s="3">
        <v>525.51936245428499</v>
      </c>
    </row>
    <row r="5706" spans="1:12" ht="15" customHeight="1" x14ac:dyDescent="0.2">
      <c r="A5706" s="2">
        <v>37771</v>
      </c>
      <c r="B5706" s="3">
        <v>22.620010000000001</v>
      </c>
      <c r="C5706" s="1">
        <v>553274.80000000005</v>
      </c>
      <c r="D5706" s="3">
        <v>0.67999999999999905</v>
      </c>
      <c r="E5706" s="3">
        <v>3.0993604834273101</v>
      </c>
      <c r="F5706" s="3">
        <v>3.0993604834273101</v>
      </c>
      <c r="G5706" s="3">
        <v>22.620010000000001</v>
      </c>
      <c r="H5706" s="3">
        <v>530.34964437093197</v>
      </c>
      <c r="I5706" s="3">
        <v>21.999344000000001</v>
      </c>
      <c r="J5706" s="3">
        <v>22.666677</v>
      </c>
      <c r="K5706" s="3">
        <v>21.900010000000002</v>
      </c>
      <c r="L5706" s="3">
        <v>530.34964437093197</v>
      </c>
    </row>
    <row r="5707" spans="1:12" ht="15" customHeight="1" x14ac:dyDescent="0.2">
      <c r="A5707" s="2">
        <v>37770</v>
      </c>
      <c r="B5707" s="3">
        <v>21.940010000000001</v>
      </c>
      <c r="C5707" s="1">
        <v>633565.19999999995</v>
      </c>
      <c r="D5707" s="3">
        <v>-0.23333399999999899</v>
      </c>
      <c r="E5707" s="3">
        <v>-1.0523175935934499</v>
      </c>
      <c r="F5707" s="3">
        <v>-1.0523175935934499</v>
      </c>
      <c r="G5707" s="3">
        <v>21.940010000000001</v>
      </c>
      <c r="H5707" s="3">
        <v>511.40014973444698</v>
      </c>
      <c r="I5707" s="3">
        <v>22.253344999999999</v>
      </c>
      <c r="J5707" s="3">
        <v>22.413343000000001</v>
      </c>
      <c r="K5707" s="3">
        <v>21.913343000000001</v>
      </c>
      <c r="L5707" s="3">
        <v>511.40014973444698</v>
      </c>
    </row>
    <row r="5708" spans="1:12" ht="15" customHeight="1" x14ac:dyDescent="0.2">
      <c r="A5708" s="2">
        <v>37769</v>
      </c>
      <c r="B5708" s="3">
        <v>22.173344</v>
      </c>
      <c r="C5708" s="1">
        <v>637664.69999999995</v>
      </c>
      <c r="D5708" s="3">
        <v>0.35333399999999998</v>
      </c>
      <c r="E5708" s="3">
        <v>1.6193118151641399</v>
      </c>
      <c r="F5708" s="3">
        <v>1.6193118151641399</v>
      </c>
      <c r="G5708" s="3">
        <v>22.173344</v>
      </c>
      <c r="H5708" s="3">
        <v>517.90244588372605</v>
      </c>
      <c r="I5708" s="3">
        <v>21.833344</v>
      </c>
      <c r="J5708" s="3">
        <v>22.253344999999999</v>
      </c>
      <c r="K5708" s="3">
        <v>21.786676</v>
      </c>
      <c r="L5708" s="3">
        <v>517.90244588372605</v>
      </c>
    </row>
    <row r="5709" spans="1:12" ht="15" customHeight="1" x14ac:dyDescent="0.2">
      <c r="A5709" s="2">
        <v>37768</v>
      </c>
      <c r="B5709" s="3">
        <v>21.82001</v>
      </c>
      <c r="C5709" s="1">
        <v>1454730.7</v>
      </c>
      <c r="D5709" s="3">
        <v>0.75333099999999897</v>
      </c>
      <c r="E5709" s="3">
        <v>3.5759361976322701</v>
      </c>
      <c r="F5709" s="3">
        <v>3.5759361976322701</v>
      </c>
      <c r="G5709" s="3">
        <v>21.82001</v>
      </c>
      <c r="H5709" s="3">
        <v>508.05612126918498</v>
      </c>
      <c r="I5709" s="3">
        <v>21.093343999999998</v>
      </c>
      <c r="J5709" s="3">
        <v>21.833344</v>
      </c>
      <c r="K5709" s="3">
        <v>20.893343000000002</v>
      </c>
      <c r="L5709" s="3">
        <v>508.05612126918498</v>
      </c>
    </row>
    <row r="5710" spans="1:12" ht="15" customHeight="1" x14ac:dyDescent="0.2">
      <c r="A5710" s="2">
        <v>37764</v>
      </c>
      <c r="B5710" s="3">
        <v>21.066679000000001</v>
      </c>
      <c r="C5710" s="1">
        <v>1171933</v>
      </c>
      <c r="D5710" s="3">
        <v>-5.9998000000000197E-2</v>
      </c>
      <c r="E5710" s="3">
        <v>-0.28399165661500098</v>
      </c>
      <c r="F5710" s="3">
        <v>-0.28399165661500098</v>
      </c>
      <c r="G5710" s="3">
        <v>21.066679000000001</v>
      </c>
      <c r="H5710" s="3">
        <v>487.06311870448297</v>
      </c>
      <c r="I5710" s="3">
        <v>21.260010000000001</v>
      </c>
      <c r="J5710" s="3">
        <v>21.366675999999998</v>
      </c>
      <c r="K5710" s="3">
        <v>20.946676</v>
      </c>
      <c r="L5710" s="3">
        <v>487.06311870448297</v>
      </c>
    </row>
    <row r="5711" spans="1:12" ht="15" customHeight="1" x14ac:dyDescent="0.2">
      <c r="A5711" s="2">
        <v>37763</v>
      </c>
      <c r="B5711" s="3">
        <v>21.126677000000001</v>
      </c>
      <c r="C5711" s="1">
        <v>1345820.4</v>
      </c>
      <c r="D5711" s="3">
        <v>-0.26666600000000001</v>
      </c>
      <c r="E5711" s="3">
        <v>-1.2464905554966299</v>
      </c>
      <c r="F5711" s="3">
        <v>-1.2464905554966299</v>
      </c>
      <c r="G5711" s="3">
        <v>21.126677000000001</v>
      </c>
      <c r="H5711" s="3">
        <v>488.73507720330599</v>
      </c>
      <c r="I5711" s="3">
        <v>21.333344</v>
      </c>
      <c r="J5711" s="3">
        <v>21.626677000000001</v>
      </c>
      <c r="K5711" s="3">
        <v>21.066679000000001</v>
      </c>
      <c r="L5711" s="3">
        <v>488.73507720330599</v>
      </c>
    </row>
    <row r="5712" spans="1:12" ht="15" customHeight="1" x14ac:dyDescent="0.2">
      <c r="A5712" s="2">
        <v>37762</v>
      </c>
      <c r="B5712" s="3">
        <v>21.393343000000002</v>
      </c>
      <c r="C5712" s="1">
        <v>824729.59999999998</v>
      </c>
      <c r="D5712" s="3">
        <v>0.126667000000001</v>
      </c>
      <c r="E5712" s="3">
        <v>0.595612591267213</v>
      </c>
      <c r="F5712" s="3">
        <v>0.595612591267213</v>
      </c>
      <c r="G5712" s="3">
        <v>21.393343000000002</v>
      </c>
      <c r="H5712" s="3">
        <v>496.16623299261897</v>
      </c>
      <c r="I5712" s="3">
        <v>21.16001</v>
      </c>
      <c r="J5712" s="3">
        <v>21.606676</v>
      </c>
      <c r="K5712" s="3">
        <v>21.093343999999998</v>
      </c>
      <c r="L5712" s="3">
        <v>496.16623299261897</v>
      </c>
    </row>
    <row r="5713" spans="1:12" ht="15" customHeight="1" x14ac:dyDescent="0.2">
      <c r="A5713" s="2">
        <v>37761</v>
      </c>
      <c r="B5713" s="3">
        <v>21.266676</v>
      </c>
      <c r="C5713" s="1">
        <v>814226.6</v>
      </c>
      <c r="D5713" s="3">
        <v>-0.51999999999999902</v>
      </c>
      <c r="E5713" s="3">
        <v>-2.3867798832644298</v>
      </c>
      <c r="F5713" s="3">
        <v>-2.3867798832644298</v>
      </c>
      <c r="G5713" s="3">
        <v>21.266676</v>
      </c>
      <c r="H5713" s="3">
        <v>492.63641587920802</v>
      </c>
      <c r="I5713" s="3">
        <v>21.760010000000001</v>
      </c>
      <c r="J5713" s="3">
        <v>21.980011000000001</v>
      </c>
      <c r="K5713" s="3">
        <v>21.046676999999999</v>
      </c>
      <c r="L5713" s="3">
        <v>492.63641587920802</v>
      </c>
    </row>
    <row r="5714" spans="1:12" ht="15" customHeight="1" x14ac:dyDescent="0.2">
      <c r="A5714" s="2">
        <v>37760</v>
      </c>
      <c r="B5714" s="3">
        <v>21.786676</v>
      </c>
      <c r="C5714" s="1">
        <v>545720.76</v>
      </c>
      <c r="D5714" s="3">
        <v>-0.56666799999999995</v>
      </c>
      <c r="E5714" s="3">
        <v>-2.5350479999770901</v>
      </c>
      <c r="F5714" s="3">
        <v>-2.5350479999770901</v>
      </c>
      <c r="G5714" s="3">
        <v>21.786676</v>
      </c>
      <c r="H5714" s="3">
        <v>507.12720589534302</v>
      </c>
      <c r="I5714" s="3">
        <v>22.033344</v>
      </c>
      <c r="J5714" s="3">
        <v>22.093343999999998</v>
      </c>
      <c r="K5714" s="3">
        <v>21.640008999999999</v>
      </c>
      <c r="L5714" s="3">
        <v>507.12720589534302</v>
      </c>
    </row>
    <row r="5715" spans="1:12" ht="15" customHeight="1" x14ac:dyDescent="0.2">
      <c r="A5715" s="2">
        <v>37757</v>
      </c>
      <c r="B5715" s="3">
        <v>22.353344</v>
      </c>
      <c r="C5715" s="1">
        <v>528467.80000000005</v>
      </c>
      <c r="D5715" s="3">
        <v>-2.6665999999998701E-2</v>
      </c>
      <c r="E5715" s="3">
        <v>-0.11915097446336601</v>
      </c>
      <c r="F5715" s="3">
        <v>-0.11915097446336601</v>
      </c>
      <c r="G5715" s="3">
        <v>22.353344</v>
      </c>
      <c r="H5715" s="3">
        <v>522.91848858161904</v>
      </c>
      <c r="I5715" s="3">
        <v>22.233343000000001</v>
      </c>
      <c r="J5715" s="3">
        <v>22.500011000000001</v>
      </c>
      <c r="K5715" s="3">
        <v>22.180012000000001</v>
      </c>
      <c r="L5715" s="3">
        <v>522.91848858161904</v>
      </c>
    </row>
    <row r="5716" spans="1:12" ht="15" customHeight="1" x14ac:dyDescent="0.2">
      <c r="A5716" s="2">
        <v>37756</v>
      </c>
      <c r="B5716" s="3">
        <v>22.380009999999999</v>
      </c>
      <c r="C5716" s="1">
        <v>985042</v>
      </c>
      <c r="D5716" s="3">
        <v>9.9999999999997799E-2</v>
      </c>
      <c r="E5716" s="3">
        <v>0.44883283266030599</v>
      </c>
      <c r="F5716" s="3">
        <v>0.44883283266030599</v>
      </c>
      <c r="G5716" s="3">
        <v>22.380009999999999</v>
      </c>
      <c r="H5716" s="3">
        <v>523.66158744040797</v>
      </c>
      <c r="I5716" s="3">
        <v>22.433346</v>
      </c>
      <c r="J5716" s="3">
        <v>22.440010000000001</v>
      </c>
      <c r="K5716" s="3">
        <v>22.060009999999998</v>
      </c>
      <c r="L5716" s="3">
        <v>523.66158744040797</v>
      </c>
    </row>
    <row r="5717" spans="1:12" ht="15" customHeight="1" x14ac:dyDescent="0.2">
      <c r="A5717" s="2">
        <v>37755</v>
      </c>
      <c r="B5717" s="3">
        <v>22.280010000000001</v>
      </c>
      <c r="C5717" s="1">
        <v>1260008.3999999999</v>
      </c>
      <c r="D5717" s="3">
        <v>-0.106669</v>
      </c>
      <c r="E5717" s="3">
        <v>-0.47648425208580703</v>
      </c>
      <c r="F5717" s="3">
        <v>-0.47648425208580703</v>
      </c>
      <c r="G5717" s="3">
        <v>22.280010000000001</v>
      </c>
      <c r="H5717" s="3">
        <v>520.87489705269002</v>
      </c>
      <c r="I5717" s="3">
        <v>22.333344</v>
      </c>
      <c r="J5717" s="3">
        <v>22.506675999999999</v>
      </c>
      <c r="K5717" s="3">
        <v>21.906676999999998</v>
      </c>
      <c r="L5717" s="3">
        <v>520.87489705269002</v>
      </c>
    </row>
    <row r="5718" spans="1:12" ht="15" customHeight="1" x14ac:dyDescent="0.2">
      <c r="A5718" s="2">
        <v>37754</v>
      </c>
      <c r="B5718" s="3">
        <v>22.386679000000001</v>
      </c>
      <c r="C5718" s="1">
        <v>598337.69999999995</v>
      </c>
      <c r="D5718" s="3">
        <v>-1.99979999999975E-2</v>
      </c>
      <c r="E5718" s="3">
        <v>-8.9250181988154098E-2</v>
      </c>
      <c r="F5718" s="3">
        <v>-8.9250181988154098E-2</v>
      </c>
      <c r="G5718" s="3">
        <v>22.386679000000001</v>
      </c>
      <c r="H5718" s="3">
        <v>523.84743182236502</v>
      </c>
      <c r="I5718" s="3">
        <v>22.286677999999998</v>
      </c>
      <c r="J5718" s="3">
        <v>22.480011000000001</v>
      </c>
      <c r="K5718" s="3">
        <v>22.066676999999999</v>
      </c>
      <c r="L5718" s="3">
        <v>523.84743182236502</v>
      </c>
    </row>
    <row r="5719" spans="1:12" ht="15" customHeight="1" x14ac:dyDescent="0.2">
      <c r="A5719" s="2">
        <v>37753</v>
      </c>
      <c r="B5719" s="3">
        <v>22.406676999999998</v>
      </c>
      <c r="C5719" s="1">
        <v>640042.19999999995</v>
      </c>
      <c r="D5719" s="3">
        <v>7.3332999999998094E-2</v>
      </c>
      <c r="E5719" s="3">
        <v>0.32835655959089199</v>
      </c>
      <c r="F5719" s="3">
        <v>0.32835655959089199</v>
      </c>
      <c r="G5719" s="3">
        <v>22.406676999999998</v>
      </c>
      <c r="H5719" s="3">
        <v>524.40471416610103</v>
      </c>
      <c r="I5719" s="3">
        <v>22.000011000000001</v>
      </c>
      <c r="J5719" s="3">
        <v>22.500011000000001</v>
      </c>
      <c r="K5719" s="3">
        <v>21.866675999999998</v>
      </c>
      <c r="L5719" s="3">
        <v>524.40471416610103</v>
      </c>
    </row>
    <row r="5720" spans="1:12" ht="15" customHeight="1" x14ac:dyDescent="0.2">
      <c r="A5720" s="2">
        <v>37750</v>
      </c>
      <c r="B5720" s="3">
        <v>22.333344</v>
      </c>
      <c r="C5720" s="1">
        <v>799826.6</v>
      </c>
      <c r="D5720" s="3">
        <v>0.55333600000000105</v>
      </c>
      <c r="E5720" s="3">
        <v>2.54056839648544</v>
      </c>
      <c r="F5720" s="3">
        <v>2.54056839648544</v>
      </c>
      <c r="G5720" s="3">
        <v>22.333344</v>
      </c>
      <c r="H5720" s="3">
        <v>522.36115050407602</v>
      </c>
      <c r="I5720" s="3">
        <v>21.866675999999998</v>
      </c>
      <c r="J5720" s="3">
        <v>22.406676999999998</v>
      </c>
      <c r="K5720" s="3">
        <v>21.626677000000001</v>
      </c>
      <c r="L5720" s="3">
        <v>522.36115050407602</v>
      </c>
    </row>
    <row r="5721" spans="1:12" ht="15" customHeight="1" x14ac:dyDescent="0.2">
      <c r="A5721" s="2">
        <v>37749</v>
      </c>
      <c r="B5721" s="3">
        <v>21.780007999999999</v>
      </c>
      <c r="C5721" s="1">
        <v>1003583.5</v>
      </c>
      <c r="D5721" s="3">
        <v>-0.58000400000000196</v>
      </c>
      <c r="E5721" s="3">
        <v>-2.5939342071909501</v>
      </c>
      <c r="F5721" s="3">
        <v>-2.5939342071909501</v>
      </c>
      <c r="G5721" s="3">
        <v>21.780007999999999</v>
      </c>
      <c r="H5721" s="3">
        <v>506.94138938028999</v>
      </c>
      <c r="I5721" s="3">
        <v>22.32668</v>
      </c>
      <c r="J5721" s="3">
        <v>22.32668</v>
      </c>
      <c r="K5721" s="3">
        <v>21.613341999999999</v>
      </c>
      <c r="L5721" s="3">
        <v>506.94138938028999</v>
      </c>
    </row>
    <row r="5722" spans="1:12" ht="15" customHeight="1" x14ac:dyDescent="0.2">
      <c r="A5722" s="2">
        <v>37748</v>
      </c>
      <c r="B5722" s="3">
        <v>22.360012000000001</v>
      </c>
      <c r="C5722" s="1">
        <v>1072786</v>
      </c>
      <c r="D5722" s="3">
        <v>-0.186664999999997</v>
      </c>
      <c r="E5722" s="3">
        <v>-0.82790470631214297</v>
      </c>
      <c r="F5722" s="3">
        <v>-0.82790470631214297</v>
      </c>
      <c r="G5722" s="3">
        <v>22.360012000000001</v>
      </c>
      <c r="H5722" s="3">
        <v>523.10430509667196</v>
      </c>
      <c r="I5722" s="3">
        <v>22.32668</v>
      </c>
      <c r="J5722" s="3">
        <v>22.526678</v>
      </c>
      <c r="K5722" s="3">
        <v>22.093343999999998</v>
      </c>
      <c r="L5722" s="3">
        <v>523.10430509667196</v>
      </c>
    </row>
    <row r="5723" spans="1:12" ht="15" customHeight="1" x14ac:dyDescent="0.2">
      <c r="A5723" s="2">
        <v>37747</v>
      </c>
      <c r="B5723" s="3">
        <v>22.546676999999999</v>
      </c>
      <c r="C5723" s="1">
        <v>1816274.2</v>
      </c>
      <c r="D5723" s="3">
        <v>0.64</v>
      </c>
      <c r="E5723" s="3">
        <v>2.9214837101948499</v>
      </c>
      <c r="F5723" s="3">
        <v>2.9214837101948499</v>
      </c>
      <c r="G5723" s="3">
        <v>22.546676999999999</v>
      </c>
      <c r="H5723" s="3">
        <v>528.30608070890696</v>
      </c>
      <c r="I5723" s="3">
        <v>21.98668</v>
      </c>
      <c r="J5723" s="3">
        <v>22.726676999999999</v>
      </c>
      <c r="K5723" s="3">
        <v>21.920012</v>
      </c>
      <c r="L5723" s="3">
        <v>528.30608070890696</v>
      </c>
    </row>
    <row r="5724" spans="1:12" ht="15" customHeight="1" x14ac:dyDescent="0.2">
      <c r="A5724" s="2">
        <v>37746</v>
      </c>
      <c r="B5724" s="3">
        <v>21.906676999999998</v>
      </c>
      <c r="C5724" s="1">
        <v>1331753.3999999999</v>
      </c>
      <c r="D5724" s="3">
        <v>0.19333400000000001</v>
      </c>
      <c r="E5724" s="3">
        <v>0.89039260329466496</v>
      </c>
      <c r="F5724" s="3">
        <v>0.89039260329466496</v>
      </c>
      <c r="G5724" s="3">
        <v>21.906676999999998</v>
      </c>
      <c r="H5724" s="3">
        <v>510.47126222750899</v>
      </c>
      <c r="I5724" s="3">
        <v>21.700012000000001</v>
      </c>
      <c r="J5724" s="3">
        <v>22.100012</v>
      </c>
      <c r="K5724" s="3">
        <v>21.433344000000002</v>
      </c>
      <c r="L5724" s="3">
        <v>510.47126222750899</v>
      </c>
    </row>
    <row r="5725" spans="1:12" ht="15" customHeight="1" x14ac:dyDescent="0.2">
      <c r="A5725" s="2">
        <v>37743</v>
      </c>
      <c r="B5725" s="3">
        <v>21.713342999999998</v>
      </c>
      <c r="C5725" s="1">
        <v>1993655</v>
      </c>
      <c r="D5725" s="3">
        <v>0.78666699999999701</v>
      </c>
      <c r="E5725" s="3">
        <v>3.7591588840960499</v>
      </c>
      <c r="F5725" s="3">
        <v>3.7591588840960499</v>
      </c>
      <c r="G5725" s="3">
        <v>21.713342999999998</v>
      </c>
      <c r="H5725" s="3">
        <v>505.08364223331802</v>
      </c>
      <c r="I5725" s="3">
        <v>20.80001</v>
      </c>
      <c r="J5725" s="3">
        <v>21.726676999999999</v>
      </c>
      <c r="K5725" s="3">
        <v>20.80001</v>
      </c>
      <c r="L5725" s="3">
        <v>505.08364223331802</v>
      </c>
    </row>
    <row r="5726" spans="1:12" ht="15" customHeight="1" x14ac:dyDescent="0.2">
      <c r="A5726" s="2">
        <v>37742</v>
      </c>
      <c r="B5726" s="3">
        <v>20.926676</v>
      </c>
      <c r="C5726" s="1">
        <v>1520195.2</v>
      </c>
      <c r="D5726" s="3">
        <v>-0.13333399999999701</v>
      </c>
      <c r="E5726" s="3">
        <v>-0.63311460915734796</v>
      </c>
      <c r="F5726" s="3">
        <v>-0.63311460915734796</v>
      </c>
      <c r="G5726" s="3">
        <v>20.926676</v>
      </c>
      <c r="H5726" s="3">
        <v>483.16166856096498</v>
      </c>
      <c r="I5726" s="3">
        <v>21.200009999999999</v>
      </c>
      <c r="J5726" s="3">
        <v>21.200009999999999</v>
      </c>
      <c r="K5726" s="3">
        <v>20.48001</v>
      </c>
      <c r="L5726" s="3">
        <v>483.16166856096498</v>
      </c>
    </row>
    <row r="5727" spans="1:12" ht="15" customHeight="1" x14ac:dyDescent="0.2">
      <c r="A5727" s="2">
        <v>37741</v>
      </c>
      <c r="B5727" s="3">
        <v>21.060009999999998</v>
      </c>
      <c r="C5727" s="1">
        <v>1268589.8</v>
      </c>
      <c r="D5727" s="3">
        <v>-0.246667000000002</v>
      </c>
      <c r="E5727" s="3">
        <v>-1.15769812439547</v>
      </c>
      <c r="F5727" s="3">
        <v>-1.15769812439547</v>
      </c>
      <c r="G5727" s="3">
        <v>21.060009999999998</v>
      </c>
      <c r="H5727" s="3">
        <v>486.87727432252598</v>
      </c>
      <c r="I5727" s="3">
        <v>21.066679000000001</v>
      </c>
      <c r="J5727" s="3">
        <v>21.333344</v>
      </c>
      <c r="K5727" s="3">
        <v>20.866675999999998</v>
      </c>
      <c r="L5727" s="3">
        <v>486.87727432252598</v>
      </c>
    </row>
    <row r="5728" spans="1:12" ht="15" customHeight="1" x14ac:dyDescent="0.2">
      <c r="A5728" s="2">
        <v>37740</v>
      </c>
      <c r="B5728" s="3">
        <v>21.306677000000001</v>
      </c>
      <c r="C5728" s="1">
        <v>1391828.4</v>
      </c>
      <c r="D5728" s="3">
        <v>3.2667000000000002E-2</v>
      </c>
      <c r="E5728" s="3">
        <v>0.15355356136430501</v>
      </c>
      <c r="F5728" s="3">
        <v>0.15355356136430501</v>
      </c>
      <c r="G5728" s="3">
        <v>21.306677000000001</v>
      </c>
      <c r="H5728" s="3">
        <v>493.75111990119899</v>
      </c>
      <c r="I5728" s="3">
        <v>21.32001</v>
      </c>
      <c r="J5728" s="3">
        <v>21.446676</v>
      </c>
      <c r="K5728" s="3">
        <v>21.026678</v>
      </c>
      <c r="L5728" s="3">
        <v>493.75111990119899</v>
      </c>
    </row>
    <row r="5729" spans="1:12" ht="15" customHeight="1" x14ac:dyDescent="0.2">
      <c r="A5729" s="2">
        <v>37739</v>
      </c>
      <c r="B5729" s="3">
        <v>21.274010000000001</v>
      </c>
      <c r="C5729" s="1">
        <v>1414058.29999999</v>
      </c>
      <c r="D5729" s="3">
        <v>0.50066599999999895</v>
      </c>
      <c r="E5729" s="3">
        <v>2.4101367598784198</v>
      </c>
      <c r="F5729" s="3">
        <v>2.4101367598784198</v>
      </c>
      <c r="G5729" s="3">
        <v>21.274010000000001</v>
      </c>
      <c r="H5729" s="3">
        <v>492.84079175224298</v>
      </c>
      <c r="I5729" s="3">
        <v>20.866675999999998</v>
      </c>
      <c r="J5729" s="3">
        <v>21.333344</v>
      </c>
      <c r="K5729" s="3">
        <v>20.760010000000001</v>
      </c>
      <c r="L5729" s="3">
        <v>492.84079175224298</v>
      </c>
    </row>
    <row r="5730" spans="1:12" ht="15" customHeight="1" x14ac:dyDescent="0.2">
      <c r="A5730" s="2">
        <v>37736</v>
      </c>
      <c r="B5730" s="3">
        <v>20.773344000000002</v>
      </c>
      <c r="C5730" s="1">
        <v>2598775.6</v>
      </c>
      <c r="D5730" s="3">
        <v>-0.5</v>
      </c>
      <c r="E5730" s="3">
        <v>-2.35035921009879</v>
      </c>
      <c r="F5730" s="3">
        <v>-2.35035921009879</v>
      </c>
      <c r="G5730" s="3">
        <v>20.773344000000002</v>
      </c>
      <c r="H5730" s="3">
        <v>478.88878045566901</v>
      </c>
      <c r="I5730" s="3">
        <v>21.366675999999998</v>
      </c>
      <c r="J5730" s="3">
        <v>21.433344000000002</v>
      </c>
      <c r="K5730" s="3">
        <v>20.686675999999999</v>
      </c>
      <c r="L5730" s="3">
        <v>478.88878045566901</v>
      </c>
    </row>
    <row r="5731" spans="1:12" ht="15" customHeight="1" x14ac:dyDescent="0.2">
      <c r="A5731" s="2">
        <v>37735</v>
      </c>
      <c r="B5731" s="3">
        <v>21.273344000000002</v>
      </c>
      <c r="C5731" s="1">
        <v>2676868.7000000002</v>
      </c>
      <c r="D5731" s="3">
        <v>0.440000000000001</v>
      </c>
      <c r="E5731" s="3">
        <v>2.11199891865656</v>
      </c>
      <c r="F5731" s="3">
        <v>2.11199891865656</v>
      </c>
      <c r="G5731" s="3">
        <v>21.273344000000002</v>
      </c>
      <c r="H5731" s="3">
        <v>492.82223239426099</v>
      </c>
      <c r="I5731" s="3">
        <v>20.840009999999999</v>
      </c>
      <c r="J5731" s="3">
        <v>21.333344</v>
      </c>
      <c r="K5731" s="3">
        <v>20.80001</v>
      </c>
      <c r="L5731" s="3">
        <v>492.82223239426099</v>
      </c>
    </row>
    <row r="5732" spans="1:12" ht="15" customHeight="1" x14ac:dyDescent="0.2">
      <c r="A5732" s="2">
        <v>37734</v>
      </c>
      <c r="B5732" s="3">
        <v>20.833344</v>
      </c>
      <c r="C5732" s="1">
        <v>4177404.9999999902</v>
      </c>
      <c r="D5732" s="3">
        <v>-0.5</v>
      </c>
      <c r="E5732" s="3">
        <v>-2.34374882812559</v>
      </c>
      <c r="F5732" s="3">
        <v>-2.34374882812559</v>
      </c>
      <c r="G5732" s="3">
        <v>20.833344</v>
      </c>
      <c r="H5732" s="3">
        <v>480.56079468830001</v>
      </c>
      <c r="I5732" s="3">
        <v>21.200009999999999</v>
      </c>
      <c r="J5732" s="3">
        <v>21.200009999999999</v>
      </c>
      <c r="K5732" s="3">
        <v>20.706678</v>
      </c>
      <c r="L5732" s="3">
        <v>480.56079468830001</v>
      </c>
    </row>
    <row r="5733" spans="1:12" ht="15" customHeight="1" x14ac:dyDescent="0.2">
      <c r="A5733" s="2">
        <v>37733</v>
      </c>
      <c r="B5733" s="3">
        <v>21.333344</v>
      </c>
      <c r="C5733" s="1">
        <v>9769873</v>
      </c>
      <c r="D5733" s="3">
        <v>-1.3733339999999901</v>
      </c>
      <c r="E5733" s="3">
        <v>-6.0481502402068603</v>
      </c>
      <c r="F5733" s="3">
        <v>-6.0481502402068603</v>
      </c>
      <c r="G5733" s="3">
        <v>21.333344</v>
      </c>
      <c r="H5733" s="3">
        <v>494.49424662689199</v>
      </c>
      <c r="I5733" s="3">
        <v>21.32001</v>
      </c>
      <c r="J5733" s="3">
        <v>21.926676</v>
      </c>
      <c r="K5733" s="3">
        <v>20.286676</v>
      </c>
      <c r="L5733" s="3">
        <v>494.49424662689199</v>
      </c>
    </row>
    <row r="5734" spans="1:12" ht="15" customHeight="1" x14ac:dyDescent="0.2">
      <c r="A5734" s="2">
        <v>37732</v>
      </c>
      <c r="B5734" s="3">
        <v>22.706678</v>
      </c>
      <c r="C5734" s="1">
        <v>860929.1</v>
      </c>
      <c r="D5734" s="3">
        <v>-0.32</v>
      </c>
      <c r="E5734" s="3">
        <v>-1.38969242545538</v>
      </c>
      <c r="F5734" s="3">
        <v>-1.38969242545538</v>
      </c>
      <c r="G5734" s="3">
        <v>22.706678</v>
      </c>
      <c r="H5734" s="3">
        <v>532.76481319616005</v>
      </c>
      <c r="I5734" s="3">
        <v>23.026678</v>
      </c>
      <c r="J5734" s="3">
        <v>23.026678</v>
      </c>
      <c r="K5734" s="3">
        <v>22.566676999999999</v>
      </c>
      <c r="L5734" s="3">
        <v>532.76481319616005</v>
      </c>
    </row>
    <row r="5735" spans="1:12" ht="15" customHeight="1" x14ac:dyDescent="0.2">
      <c r="A5735" s="2">
        <v>37728</v>
      </c>
      <c r="B5735" s="3">
        <v>23.026678</v>
      </c>
      <c r="C5735" s="1">
        <v>806230.1</v>
      </c>
      <c r="D5735" s="3">
        <v>0.35333399999999998</v>
      </c>
      <c r="E5735" s="3">
        <v>1.5583673938877201</v>
      </c>
      <c r="F5735" s="3">
        <v>1.5583673938877201</v>
      </c>
      <c r="G5735" s="3">
        <v>23.026678</v>
      </c>
      <c r="H5735" s="3">
        <v>541.68222243685898</v>
      </c>
      <c r="I5735" s="3">
        <v>22.540012000000001</v>
      </c>
      <c r="J5735" s="3">
        <v>23.30001</v>
      </c>
      <c r="K5735" s="3">
        <v>22.480011000000001</v>
      </c>
      <c r="L5735" s="3">
        <v>541.68222243685898</v>
      </c>
    </row>
    <row r="5736" spans="1:12" ht="15" customHeight="1" x14ac:dyDescent="0.2">
      <c r="A5736" s="2">
        <v>37727</v>
      </c>
      <c r="B5736" s="3">
        <v>22.673344</v>
      </c>
      <c r="C5736" s="1">
        <v>698222.7</v>
      </c>
      <c r="D5736" s="3">
        <v>-0.59333399999999803</v>
      </c>
      <c r="E5736" s="3">
        <v>-2.5501448896142298</v>
      </c>
      <c r="F5736" s="3">
        <v>-2.5501448896142298</v>
      </c>
      <c r="G5736" s="3">
        <v>22.673344</v>
      </c>
      <c r="H5736" s="3">
        <v>531.83589782231797</v>
      </c>
      <c r="I5736" s="3">
        <v>23.313345000000002</v>
      </c>
      <c r="J5736" s="3">
        <v>23.546679000000001</v>
      </c>
      <c r="K5736" s="3">
        <v>22.393345</v>
      </c>
      <c r="L5736" s="3">
        <v>531.83589782231797</v>
      </c>
    </row>
    <row r="5737" spans="1:12" ht="15" customHeight="1" x14ac:dyDescent="0.2">
      <c r="A5737" s="2">
        <v>37726</v>
      </c>
      <c r="B5737" s="3">
        <v>23.266677999999999</v>
      </c>
      <c r="C5737" s="1">
        <v>646114.19999999995</v>
      </c>
      <c r="D5737" s="3">
        <v>0.60666699999999796</v>
      </c>
      <c r="E5737" s="3">
        <v>2.6772581884448199</v>
      </c>
      <c r="F5737" s="3">
        <v>2.6772581884448199</v>
      </c>
      <c r="G5737" s="3">
        <v>23.266677999999999</v>
      </c>
      <c r="H5737" s="3">
        <v>548.37027936738298</v>
      </c>
      <c r="I5737" s="3">
        <v>22.533344</v>
      </c>
      <c r="J5737" s="3">
        <v>23.280010000000001</v>
      </c>
      <c r="K5737" s="3">
        <v>22.526678</v>
      </c>
      <c r="L5737" s="3">
        <v>548.37027936738298</v>
      </c>
    </row>
    <row r="5738" spans="1:12" ht="15" customHeight="1" x14ac:dyDescent="0.2">
      <c r="A5738" s="2">
        <v>37725</v>
      </c>
      <c r="B5738" s="3">
        <v>22.660011000000001</v>
      </c>
      <c r="C5738" s="1">
        <v>460567.3</v>
      </c>
      <c r="D5738" s="3">
        <v>0.41333400000000198</v>
      </c>
      <c r="E5738" s="3">
        <v>1.8579583818293599</v>
      </c>
      <c r="F5738" s="3">
        <v>1.8579583818293599</v>
      </c>
      <c r="G5738" s="3">
        <v>22.660011000000001</v>
      </c>
      <c r="H5738" s="3">
        <v>531.46434839292397</v>
      </c>
      <c r="I5738" s="3">
        <v>22.240010999999999</v>
      </c>
      <c r="J5738" s="3">
        <v>22.696676</v>
      </c>
      <c r="K5738" s="3">
        <v>21.986677</v>
      </c>
      <c r="L5738" s="3">
        <v>531.46434839292397</v>
      </c>
    </row>
    <row r="5739" spans="1:12" ht="15" customHeight="1" x14ac:dyDescent="0.2">
      <c r="A5739" s="2">
        <v>37722</v>
      </c>
      <c r="B5739" s="3">
        <v>22.246676999999998</v>
      </c>
      <c r="C5739" s="1">
        <v>475952.8</v>
      </c>
      <c r="D5739" s="3">
        <v>0.106666999999998</v>
      </c>
      <c r="E5739" s="3">
        <v>0.48178388356643298</v>
      </c>
      <c r="F5739" s="3">
        <v>0.48178388356643298</v>
      </c>
      <c r="G5739" s="3">
        <v>22.246676999999998</v>
      </c>
      <c r="H5739" s="3">
        <v>519.94600954575196</v>
      </c>
      <c r="I5739" s="3">
        <v>22.233343000000001</v>
      </c>
      <c r="J5739" s="3">
        <v>22.893345</v>
      </c>
      <c r="K5739" s="3">
        <v>22.14001</v>
      </c>
      <c r="L5739" s="3">
        <v>519.94600954575196</v>
      </c>
    </row>
    <row r="5740" spans="1:12" ht="15" customHeight="1" x14ac:dyDescent="0.2">
      <c r="A5740" s="2">
        <v>37721</v>
      </c>
      <c r="B5740" s="3">
        <v>22.14001</v>
      </c>
      <c r="C5740" s="1">
        <v>703121.7</v>
      </c>
      <c r="D5740" s="3">
        <v>-2.0001000000000602E-2</v>
      </c>
      <c r="E5740" s="3">
        <v>-9.0257175413854807E-2</v>
      </c>
      <c r="F5740" s="3">
        <v>-9.0257175413854807E-2</v>
      </c>
      <c r="G5740" s="3">
        <v>22.14001</v>
      </c>
      <c r="H5740" s="3">
        <v>516.97353050988397</v>
      </c>
      <c r="I5740" s="3">
        <v>22.100012</v>
      </c>
      <c r="J5740" s="3">
        <v>22.266677999999999</v>
      </c>
      <c r="K5740" s="3">
        <v>21.80001</v>
      </c>
      <c r="L5740" s="3">
        <v>516.97353050988397</v>
      </c>
    </row>
    <row r="5741" spans="1:12" ht="15" customHeight="1" x14ac:dyDescent="0.2">
      <c r="A5741" s="2">
        <v>37720</v>
      </c>
      <c r="B5741" s="3">
        <v>22.160011000000001</v>
      </c>
      <c r="C5741" s="1">
        <v>602465.69999999995</v>
      </c>
      <c r="D5741" s="3">
        <v>-0.246665999999997</v>
      </c>
      <c r="E5741" s="3">
        <v>-1.10085935545015</v>
      </c>
      <c r="F5741" s="3">
        <v>-1.10085935545015</v>
      </c>
      <c r="G5741" s="3">
        <v>22.160011000000001</v>
      </c>
      <c r="H5741" s="3">
        <v>517.53089645433204</v>
      </c>
      <c r="I5741" s="3">
        <v>22.406676999999998</v>
      </c>
      <c r="J5741" s="3">
        <v>22.82668</v>
      </c>
      <c r="K5741" s="3">
        <v>22.146678999999999</v>
      </c>
      <c r="L5741" s="3">
        <v>517.53089645433204</v>
      </c>
    </row>
    <row r="5742" spans="1:12" ht="15" customHeight="1" x14ac:dyDescent="0.2">
      <c r="A5742" s="2">
        <v>37719</v>
      </c>
      <c r="B5742" s="3">
        <v>22.406676999999998</v>
      </c>
      <c r="C5742" s="1">
        <v>939665.6</v>
      </c>
      <c r="D5742" s="3">
        <v>-9.3334000000002207E-2</v>
      </c>
      <c r="E5742" s="3">
        <v>-0.41481757497808802</v>
      </c>
      <c r="F5742" s="3">
        <v>-0.41481757497808802</v>
      </c>
      <c r="G5742" s="3">
        <v>22.406676999999998</v>
      </c>
      <c r="H5742" s="3">
        <v>524.40471416610103</v>
      </c>
      <c r="I5742" s="3">
        <v>22.506675999999999</v>
      </c>
      <c r="J5742" s="3">
        <v>22.833344</v>
      </c>
      <c r="K5742" s="3">
        <v>22.346678000000001</v>
      </c>
      <c r="L5742" s="3">
        <v>524.40471416610103</v>
      </c>
    </row>
    <row r="5743" spans="1:12" ht="15" customHeight="1" x14ac:dyDescent="0.2">
      <c r="A5743" s="2">
        <v>37718</v>
      </c>
      <c r="B5743" s="3">
        <v>22.500011000000001</v>
      </c>
      <c r="C5743" s="1">
        <v>699568.2</v>
      </c>
      <c r="D5743" s="3">
        <v>0.57400099999999898</v>
      </c>
      <c r="E5743" s="3">
        <v>2.6178999279850599</v>
      </c>
      <c r="F5743" s="3">
        <v>2.6178999279850599</v>
      </c>
      <c r="G5743" s="3">
        <v>22.500011000000001</v>
      </c>
      <c r="H5743" s="3">
        <v>527.00564377257399</v>
      </c>
      <c r="I5743" s="3">
        <v>22.400010000000002</v>
      </c>
      <c r="J5743" s="3">
        <v>22.80001</v>
      </c>
      <c r="K5743" s="3">
        <v>22.373343999999999</v>
      </c>
      <c r="L5743" s="3">
        <v>527.00564377257399</v>
      </c>
    </row>
    <row r="5744" spans="1:12" ht="15" customHeight="1" x14ac:dyDescent="0.2">
      <c r="A5744" s="2">
        <v>37715</v>
      </c>
      <c r="B5744" s="3">
        <v>21.926010000000002</v>
      </c>
      <c r="C5744" s="1">
        <v>448861.27</v>
      </c>
      <c r="D5744" s="3">
        <v>-0.29466799999999699</v>
      </c>
      <c r="E5744" s="3">
        <v>-1.3260981505604701</v>
      </c>
      <c r="F5744" s="3">
        <v>-1.3260981505604701</v>
      </c>
      <c r="G5744" s="3">
        <v>21.926010000000002</v>
      </c>
      <c r="H5744" s="3">
        <v>511.01001308016703</v>
      </c>
      <c r="I5744" s="3">
        <v>22.180012000000001</v>
      </c>
      <c r="J5744" s="3">
        <v>22.186675999999999</v>
      </c>
      <c r="K5744" s="3">
        <v>21.760010000000001</v>
      </c>
      <c r="L5744" s="3">
        <v>511.01001308016703</v>
      </c>
    </row>
    <row r="5745" spans="1:12" ht="15" customHeight="1" x14ac:dyDescent="0.2">
      <c r="A5745" s="2">
        <v>37714</v>
      </c>
      <c r="B5745" s="3">
        <v>22.220677999999999</v>
      </c>
      <c r="C5745" s="1">
        <v>645458.69999999995</v>
      </c>
      <c r="D5745" s="3">
        <v>-0.23266600000000101</v>
      </c>
      <c r="E5745" s="3">
        <v>-1.0362198165226599</v>
      </c>
      <c r="F5745" s="3">
        <v>-1.0362198165226599</v>
      </c>
      <c r="G5745" s="3">
        <v>22.220677999999999</v>
      </c>
      <c r="H5745" s="3">
        <v>519.22149791184904</v>
      </c>
      <c r="I5745" s="3">
        <v>22.666677</v>
      </c>
      <c r="J5745" s="3">
        <v>22.693344</v>
      </c>
      <c r="K5745" s="3">
        <v>22.060009999999998</v>
      </c>
      <c r="L5745" s="3">
        <v>519.22149791184904</v>
      </c>
    </row>
    <row r="5746" spans="1:12" ht="15" customHeight="1" x14ac:dyDescent="0.2">
      <c r="A5746" s="2">
        <v>37713</v>
      </c>
      <c r="B5746" s="3">
        <v>22.453344000000001</v>
      </c>
      <c r="C5746" s="1">
        <v>1454936.3</v>
      </c>
      <c r="D5746" s="3">
        <v>1.5266679999999999</v>
      </c>
      <c r="E5746" s="3">
        <v>7.29532009765909</v>
      </c>
      <c r="F5746" s="3">
        <v>7.29532009765909</v>
      </c>
      <c r="G5746" s="3">
        <v>22.453344000000001</v>
      </c>
      <c r="H5746" s="3">
        <v>525.70517896933802</v>
      </c>
      <c r="I5746" s="3">
        <v>21.50001</v>
      </c>
      <c r="J5746" s="3">
        <v>22.686675999999999</v>
      </c>
      <c r="K5746" s="3">
        <v>21.466677000000001</v>
      </c>
      <c r="L5746" s="3">
        <v>525.70517896933802</v>
      </c>
    </row>
    <row r="5747" spans="1:12" ht="15" customHeight="1" x14ac:dyDescent="0.2">
      <c r="A5747" s="2">
        <v>37712</v>
      </c>
      <c r="B5747" s="3">
        <v>20.926676</v>
      </c>
      <c r="C5747" s="1">
        <v>1363946.4</v>
      </c>
      <c r="D5747" s="3">
        <v>-0.58666799999999897</v>
      </c>
      <c r="E5747" s="3">
        <v>-2.7269958589422298</v>
      </c>
      <c r="F5747" s="3">
        <v>-2.7269958589422298</v>
      </c>
      <c r="G5747" s="3">
        <v>20.926676</v>
      </c>
      <c r="H5747" s="3">
        <v>483.16166856096498</v>
      </c>
      <c r="I5747" s="3">
        <v>21.420013000000001</v>
      </c>
      <c r="J5747" s="3">
        <v>21.580010000000001</v>
      </c>
      <c r="K5747" s="3">
        <v>20.82001</v>
      </c>
      <c r="L5747" s="3">
        <v>483.16166856096498</v>
      </c>
    </row>
    <row r="5748" spans="1:12" ht="15" customHeight="1" x14ac:dyDescent="0.2">
      <c r="A5748" s="2">
        <v>37711</v>
      </c>
      <c r="B5748" s="3">
        <v>21.513344</v>
      </c>
      <c r="C5748" s="1">
        <v>959353.1</v>
      </c>
      <c r="D5748" s="3">
        <v>-0.31333299999999997</v>
      </c>
      <c r="E5748" s="3">
        <v>-1.4355506337496999</v>
      </c>
      <c r="F5748" s="3">
        <v>-1.4355506337496999</v>
      </c>
      <c r="G5748" s="3">
        <v>21.513344</v>
      </c>
      <c r="H5748" s="3">
        <v>499.51028932478499</v>
      </c>
      <c r="I5748" s="3">
        <v>21.653343</v>
      </c>
      <c r="J5748" s="3">
        <v>21.773344000000002</v>
      </c>
      <c r="K5748" s="3">
        <v>20.940010000000001</v>
      </c>
      <c r="L5748" s="3">
        <v>499.51028932478499</v>
      </c>
    </row>
    <row r="5749" spans="1:12" ht="15" customHeight="1" x14ac:dyDescent="0.2">
      <c r="A5749" s="2">
        <v>37708</v>
      </c>
      <c r="B5749" s="3">
        <v>21.826677</v>
      </c>
      <c r="C5749" s="1">
        <v>769531.1</v>
      </c>
      <c r="D5749" s="3">
        <v>-3.3332999999998898E-2</v>
      </c>
      <c r="E5749" s="3">
        <v>-0.152483919266266</v>
      </c>
      <c r="F5749" s="3">
        <v>-0.152483919266266</v>
      </c>
      <c r="G5749" s="3">
        <v>21.826677</v>
      </c>
      <c r="H5749" s="3">
        <v>508.241909917334</v>
      </c>
      <c r="I5749" s="3">
        <v>21.740010999999999</v>
      </c>
      <c r="J5749" s="3">
        <v>21.966677000000001</v>
      </c>
      <c r="K5749" s="3">
        <v>21.50001</v>
      </c>
      <c r="L5749" s="3">
        <v>508.241909917334</v>
      </c>
    </row>
    <row r="5750" spans="1:12" ht="15" customHeight="1" x14ac:dyDescent="0.2">
      <c r="A5750" s="2">
        <v>37707</v>
      </c>
      <c r="B5750" s="3">
        <v>21.860009999999999</v>
      </c>
      <c r="C5750" s="1">
        <v>725876.65</v>
      </c>
      <c r="D5750" s="3">
        <v>-0.14666599999999899</v>
      </c>
      <c r="E5750" s="3">
        <v>-0.66646139562376305</v>
      </c>
      <c r="F5750" s="3">
        <v>-0.66646139562376305</v>
      </c>
      <c r="G5750" s="3">
        <v>21.860009999999999</v>
      </c>
      <c r="H5750" s="3">
        <v>509.17079742427302</v>
      </c>
      <c r="I5750" s="3">
        <v>21.993347</v>
      </c>
      <c r="J5750" s="3">
        <v>22.306677000000001</v>
      </c>
      <c r="K5750" s="3">
        <v>21.50001</v>
      </c>
      <c r="L5750" s="3">
        <v>509.17079742427302</v>
      </c>
    </row>
    <row r="5751" spans="1:12" ht="15" customHeight="1" x14ac:dyDescent="0.2">
      <c r="A5751" s="2">
        <v>37706</v>
      </c>
      <c r="B5751" s="3">
        <v>22.006675999999999</v>
      </c>
      <c r="C5751" s="1">
        <v>1219247.3</v>
      </c>
      <c r="D5751" s="3">
        <v>6.6649999999981403E-3</v>
      </c>
      <c r="E5751" s="3">
        <v>3.02954393977206E-2</v>
      </c>
      <c r="F5751" s="3">
        <v>3.02954393977206E-2</v>
      </c>
      <c r="G5751" s="3">
        <v>22.006675999999999</v>
      </c>
      <c r="H5751" s="3">
        <v>513.25792474832394</v>
      </c>
      <c r="I5751" s="3">
        <v>22.060013000000001</v>
      </c>
      <c r="J5751" s="3">
        <v>22.593343999999998</v>
      </c>
      <c r="K5751" s="3">
        <v>21.880009999999999</v>
      </c>
      <c r="L5751" s="3">
        <v>513.25792474832394</v>
      </c>
    </row>
    <row r="5752" spans="1:12" ht="15" customHeight="1" x14ac:dyDescent="0.2">
      <c r="A5752" s="2">
        <v>37705</v>
      </c>
      <c r="B5752" s="3">
        <v>22.000011000000001</v>
      </c>
      <c r="C5752" s="1">
        <v>1446410.3</v>
      </c>
      <c r="D5752" s="3">
        <v>-0.29333199999999898</v>
      </c>
      <c r="E5752" s="3">
        <v>-1.3157829222831099</v>
      </c>
      <c r="F5752" s="3">
        <v>-1.3157829222831099</v>
      </c>
      <c r="G5752" s="3">
        <v>22.000011000000001</v>
      </c>
      <c r="H5752" s="3">
        <v>513.07219183398195</v>
      </c>
      <c r="I5752" s="3">
        <v>22.180012000000001</v>
      </c>
      <c r="J5752" s="3">
        <v>22.233343000000001</v>
      </c>
      <c r="K5752" s="3">
        <v>21.16001</v>
      </c>
      <c r="L5752" s="3">
        <v>513.07219183398195</v>
      </c>
    </row>
    <row r="5753" spans="1:12" ht="15" customHeight="1" x14ac:dyDescent="0.2">
      <c r="A5753" s="2">
        <v>37704</v>
      </c>
      <c r="B5753" s="3">
        <v>22.293343</v>
      </c>
      <c r="C5753" s="1">
        <v>1044703</v>
      </c>
      <c r="D5753" s="3">
        <v>-0.82666700000000004</v>
      </c>
      <c r="E5753" s="3">
        <v>-3.5755477614412698</v>
      </c>
      <c r="F5753" s="3">
        <v>-3.5755477614412698</v>
      </c>
      <c r="G5753" s="3">
        <v>22.293343</v>
      </c>
      <c r="H5753" s="3">
        <v>521.24644648208402</v>
      </c>
      <c r="I5753" s="3">
        <v>22.686675999999999</v>
      </c>
      <c r="J5753" s="3">
        <v>22.720013000000002</v>
      </c>
      <c r="K5753" s="3">
        <v>22.164010000000001</v>
      </c>
      <c r="L5753" s="3">
        <v>521.24644648208402</v>
      </c>
    </row>
    <row r="5754" spans="1:12" ht="15" customHeight="1" x14ac:dyDescent="0.2">
      <c r="A5754" s="2">
        <v>37701</v>
      </c>
      <c r="B5754" s="3">
        <v>23.120010000000001</v>
      </c>
      <c r="C5754" s="1">
        <v>828188.6</v>
      </c>
      <c r="D5754" s="3">
        <v>1.0533330000000001</v>
      </c>
      <c r="E5754" s="3">
        <v>4.7734101514242502</v>
      </c>
      <c r="F5754" s="3">
        <v>4.7734101514242502</v>
      </c>
      <c r="G5754" s="3">
        <v>23.120010000000001</v>
      </c>
      <c r="H5754" s="3">
        <v>544.28309630952401</v>
      </c>
      <c r="I5754" s="3">
        <v>22.220013000000002</v>
      </c>
      <c r="J5754" s="3">
        <v>23.120010000000001</v>
      </c>
      <c r="K5754" s="3">
        <v>21.933344000000002</v>
      </c>
      <c r="L5754" s="3">
        <v>544.28309630952401</v>
      </c>
    </row>
    <row r="5755" spans="1:12" ht="15" customHeight="1" x14ac:dyDescent="0.2">
      <c r="A5755" s="2">
        <v>37700</v>
      </c>
      <c r="B5755" s="3">
        <v>22.066676999999999</v>
      </c>
      <c r="C5755" s="1">
        <v>715490.66</v>
      </c>
      <c r="D5755" s="3">
        <v>-1.33330000000029E-2</v>
      </c>
      <c r="E5755" s="3">
        <v>-6.0384936419877099E-2</v>
      </c>
      <c r="F5755" s="3">
        <v>-6.0384936419877099E-2</v>
      </c>
      <c r="G5755" s="3">
        <v>22.066676999999999</v>
      </c>
      <c r="H5755" s="3">
        <v>514.92996684785896</v>
      </c>
      <c r="I5755" s="3">
        <v>21.893343000000002</v>
      </c>
      <c r="J5755" s="3">
        <v>22.293343</v>
      </c>
      <c r="K5755" s="3">
        <v>21.533342000000001</v>
      </c>
      <c r="L5755" s="3">
        <v>514.92996684785896</v>
      </c>
    </row>
    <row r="5756" spans="1:12" ht="15" customHeight="1" x14ac:dyDescent="0.2">
      <c r="A5756" s="2">
        <v>37699</v>
      </c>
      <c r="B5756" s="3">
        <v>22.080010000000001</v>
      </c>
      <c r="C5756" s="1">
        <v>715397.7</v>
      </c>
      <c r="D5756" s="3">
        <v>5.26660000000021E-2</v>
      </c>
      <c r="E5756" s="3">
        <v>0.23909373731123501</v>
      </c>
      <c r="F5756" s="3">
        <v>0.23909373731123501</v>
      </c>
      <c r="G5756" s="3">
        <v>22.080010000000001</v>
      </c>
      <c r="H5756" s="3">
        <v>515.30151627725297</v>
      </c>
      <c r="I5756" s="3">
        <v>21.900010000000002</v>
      </c>
      <c r="J5756" s="3">
        <v>22.273344000000002</v>
      </c>
      <c r="K5756" s="3">
        <v>21.833344</v>
      </c>
      <c r="L5756" s="3">
        <v>515.30151627725297</v>
      </c>
    </row>
    <row r="5757" spans="1:12" ht="15" customHeight="1" x14ac:dyDescent="0.2">
      <c r="A5757" s="2">
        <v>37698</v>
      </c>
      <c r="B5757" s="3">
        <v>22.027343999999999</v>
      </c>
      <c r="C5757" s="1">
        <v>743321.65999999898</v>
      </c>
      <c r="D5757" s="3">
        <v>0.153999999999999</v>
      </c>
      <c r="E5757" s="3">
        <v>0.70405329884630696</v>
      </c>
      <c r="F5757" s="3">
        <v>0.70405329884630696</v>
      </c>
      <c r="G5757" s="3">
        <v>22.027343999999999</v>
      </c>
      <c r="H5757" s="3">
        <v>513.83387791765699</v>
      </c>
      <c r="I5757" s="3">
        <v>21.880009999999999</v>
      </c>
      <c r="J5757" s="3">
        <v>22.160011000000001</v>
      </c>
      <c r="K5757" s="3">
        <v>21.566675</v>
      </c>
      <c r="L5757" s="3">
        <v>513.83387791765699</v>
      </c>
    </row>
    <row r="5758" spans="1:12" ht="15" customHeight="1" x14ac:dyDescent="0.2">
      <c r="A5758" s="2">
        <v>37697</v>
      </c>
      <c r="B5758" s="3">
        <v>21.873343999999999</v>
      </c>
      <c r="C5758" s="1">
        <v>1470942.7</v>
      </c>
      <c r="D5758" s="3">
        <v>1.2866679999999899</v>
      </c>
      <c r="E5758" s="3">
        <v>6.2500036431330601</v>
      </c>
      <c r="F5758" s="3">
        <v>6.2500036431330601</v>
      </c>
      <c r="G5758" s="3">
        <v>21.873343999999999</v>
      </c>
      <c r="H5758" s="3">
        <v>509.54237472057099</v>
      </c>
      <c r="I5758" s="3">
        <v>20.506678000000001</v>
      </c>
      <c r="J5758" s="3">
        <v>21.886679000000001</v>
      </c>
      <c r="K5758" s="3">
        <v>20.200008</v>
      </c>
      <c r="L5758" s="3">
        <v>509.54237472057099</v>
      </c>
    </row>
    <row r="5759" spans="1:12" ht="15" customHeight="1" x14ac:dyDescent="0.2">
      <c r="A5759" s="2">
        <v>37694</v>
      </c>
      <c r="B5759" s="3">
        <v>20.586676000000001</v>
      </c>
      <c r="C5759" s="1">
        <v>828287.6</v>
      </c>
      <c r="D5759" s="3">
        <v>8.0000000000001806E-2</v>
      </c>
      <c r="E5759" s="3">
        <v>0.39011685755410103</v>
      </c>
      <c r="F5759" s="3">
        <v>0.39011685755410103</v>
      </c>
      <c r="G5759" s="3">
        <v>20.586676000000001</v>
      </c>
      <c r="H5759" s="3">
        <v>473.68692124272297</v>
      </c>
      <c r="I5759" s="3">
        <v>20.546676999999999</v>
      </c>
      <c r="J5759" s="3">
        <v>20.733343000000001</v>
      </c>
      <c r="K5759" s="3">
        <v>20.120010000000001</v>
      </c>
      <c r="L5759" s="3">
        <v>473.68692124272297</v>
      </c>
    </row>
    <row r="5760" spans="1:12" ht="15" customHeight="1" x14ac:dyDescent="0.2">
      <c r="A5760" s="2">
        <v>37693</v>
      </c>
      <c r="B5760" s="3">
        <v>20.506675999999999</v>
      </c>
      <c r="C5760" s="1">
        <v>1698356.2</v>
      </c>
      <c r="D5760" s="3">
        <v>1.5333349999999899</v>
      </c>
      <c r="E5760" s="3">
        <v>8.0815234385973298</v>
      </c>
      <c r="F5760" s="3">
        <v>8.0815234385973298</v>
      </c>
      <c r="G5760" s="3">
        <v>20.506675999999999</v>
      </c>
      <c r="H5760" s="3">
        <v>471.45756893254799</v>
      </c>
      <c r="I5760" s="3">
        <v>19.140008999999999</v>
      </c>
      <c r="J5760" s="3">
        <v>20.526675999999998</v>
      </c>
      <c r="K5760" s="3">
        <v>19.140008999999999</v>
      </c>
      <c r="L5760" s="3">
        <v>471.45756893254799</v>
      </c>
    </row>
    <row r="5761" spans="1:12" ht="15" customHeight="1" x14ac:dyDescent="0.2">
      <c r="A5761" s="2">
        <v>37692</v>
      </c>
      <c r="B5761" s="3">
        <v>18.973341000000001</v>
      </c>
      <c r="C5761" s="1">
        <v>828085.14</v>
      </c>
      <c r="D5761" s="3">
        <v>0.10599700000000201</v>
      </c>
      <c r="E5761" s="3">
        <v>0.561801385505034</v>
      </c>
      <c r="F5761" s="3">
        <v>0.561801385505034</v>
      </c>
      <c r="G5761" s="3">
        <v>18.973341000000001</v>
      </c>
      <c r="H5761" s="3">
        <v>428.72826987602701</v>
      </c>
      <c r="I5761" s="3">
        <v>18.900010999999999</v>
      </c>
      <c r="J5761" s="3">
        <v>19.006674</v>
      </c>
      <c r="K5761" s="3">
        <v>18.813343</v>
      </c>
      <c r="L5761" s="3">
        <v>428.72826987602701</v>
      </c>
    </row>
    <row r="5762" spans="1:12" ht="15" customHeight="1" x14ac:dyDescent="0.2">
      <c r="A5762" s="2">
        <v>37691</v>
      </c>
      <c r="B5762" s="3">
        <v>18.867343999999999</v>
      </c>
      <c r="C5762" s="1">
        <v>574639.19999999995</v>
      </c>
      <c r="D5762" s="3">
        <v>-3.9331000000000602E-2</v>
      </c>
      <c r="E5762" s="3">
        <v>-0.20802705922644499</v>
      </c>
      <c r="F5762" s="3">
        <v>-0.20802705922644499</v>
      </c>
      <c r="G5762" s="3">
        <v>18.867343999999999</v>
      </c>
      <c r="H5762" s="3">
        <v>425.77446166575697</v>
      </c>
      <c r="I5762" s="3">
        <v>18.906675</v>
      </c>
      <c r="J5762" s="3">
        <v>19.293340000000001</v>
      </c>
      <c r="K5762" s="3">
        <v>18.846675999999999</v>
      </c>
      <c r="L5762" s="3">
        <v>425.77446166575697</v>
      </c>
    </row>
    <row r="5763" spans="1:12" ht="15" customHeight="1" x14ac:dyDescent="0.2">
      <c r="A5763" s="2">
        <v>37690</v>
      </c>
      <c r="B5763" s="3">
        <v>18.906675</v>
      </c>
      <c r="C5763" s="1">
        <v>608006.69999999995</v>
      </c>
      <c r="D5763" s="3">
        <v>-0.35333299999999901</v>
      </c>
      <c r="E5763" s="3">
        <v>-1.8345423324850101</v>
      </c>
      <c r="F5763" s="3">
        <v>-1.8345423324850101</v>
      </c>
      <c r="G5763" s="3">
        <v>18.906675</v>
      </c>
      <c r="H5763" s="3">
        <v>426.87049486215102</v>
      </c>
      <c r="I5763" s="3">
        <v>19.293344000000001</v>
      </c>
      <c r="J5763" s="3">
        <v>19.293340000000001</v>
      </c>
      <c r="K5763" s="3">
        <v>18.880009000000001</v>
      </c>
      <c r="L5763" s="3">
        <v>426.87049486215102</v>
      </c>
    </row>
    <row r="5764" spans="1:12" ht="15" customHeight="1" x14ac:dyDescent="0.2">
      <c r="A5764" s="2">
        <v>37687</v>
      </c>
      <c r="B5764" s="3">
        <v>19.260007999999999</v>
      </c>
      <c r="C5764" s="1">
        <v>688577.7</v>
      </c>
      <c r="D5764" s="3">
        <v>0.41333199999999998</v>
      </c>
      <c r="E5764" s="3">
        <v>2.19312944096878</v>
      </c>
      <c r="F5764" s="3">
        <v>2.19312944096878</v>
      </c>
      <c r="G5764" s="3">
        <v>19.260007999999999</v>
      </c>
      <c r="H5764" s="3">
        <v>436.71679160978698</v>
      </c>
      <c r="I5764" s="3">
        <v>18.733343000000001</v>
      </c>
      <c r="J5764" s="3">
        <v>19.353344</v>
      </c>
      <c r="K5764" s="3">
        <v>18.66001</v>
      </c>
      <c r="L5764" s="3">
        <v>436.71679160978698</v>
      </c>
    </row>
    <row r="5765" spans="1:12" ht="15" customHeight="1" x14ac:dyDescent="0.2">
      <c r="A5765" s="2">
        <v>37686</v>
      </c>
      <c r="B5765" s="3">
        <v>18.846675999999999</v>
      </c>
      <c r="C5765" s="1">
        <v>641723.69999999995</v>
      </c>
      <c r="D5765" s="3">
        <v>-0.33999800000000102</v>
      </c>
      <c r="E5765" s="3">
        <v>-1.7720528320854401</v>
      </c>
      <c r="F5765" s="3">
        <v>-1.7720528320854401</v>
      </c>
      <c r="G5765" s="3">
        <v>18.846675999999999</v>
      </c>
      <c r="H5765" s="3">
        <v>425.19850849642302</v>
      </c>
      <c r="I5765" s="3">
        <v>19.126677000000001</v>
      </c>
      <c r="J5765" s="3">
        <v>19.193342000000001</v>
      </c>
      <c r="K5765" s="3">
        <v>18.786676</v>
      </c>
      <c r="L5765" s="3">
        <v>425.19850849642302</v>
      </c>
    </row>
    <row r="5766" spans="1:12" ht="15" customHeight="1" x14ac:dyDescent="0.2">
      <c r="A5766" s="2">
        <v>37685</v>
      </c>
      <c r="B5766" s="3">
        <v>19.186674</v>
      </c>
      <c r="C5766" s="1">
        <v>551389.19999999995</v>
      </c>
      <c r="D5766" s="3">
        <v>-8.6667999999999495E-2</v>
      </c>
      <c r="E5766" s="3">
        <v>-0.44967810979538098</v>
      </c>
      <c r="F5766" s="3">
        <v>-0.44967810979538098</v>
      </c>
      <c r="G5766" s="3">
        <v>19.186674</v>
      </c>
      <c r="H5766" s="3">
        <v>434.67320008085801</v>
      </c>
      <c r="I5766" s="3">
        <v>19.280010000000001</v>
      </c>
      <c r="J5766" s="3">
        <v>19.406676999999998</v>
      </c>
      <c r="K5766" s="3">
        <v>18.973341000000001</v>
      </c>
      <c r="L5766" s="3">
        <v>434.67320008085801</v>
      </c>
    </row>
    <row r="5767" spans="1:12" ht="15" customHeight="1" x14ac:dyDescent="0.2">
      <c r="A5767" s="2">
        <v>37684</v>
      </c>
      <c r="B5767" s="3">
        <v>19.273342</v>
      </c>
      <c r="C5767" s="1">
        <v>598082.69999999995</v>
      </c>
      <c r="D5767" s="3">
        <v>-0.286667000000001</v>
      </c>
      <c r="E5767" s="3">
        <v>-1.4655770352661901</v>
      </c>
      <c r="F5767" s="3">
        <v>-1.4655770352661901</v>
      </c>
      <c r="G5767" s="3">
        <v>19.273342</v>
      </c>
      <c r="H5767" s="3">
        <v>437.08836890608598</v>
      </c>
      <c r="I5767" s="3">
        <v>19.540009999999999</v>
      </c>
      <c r="J5767" s="3">
        <v>19.606676</v>
      </c>
      <c r="K5767" s="3">
        <v>19.166675999999999</v>
      </c>
      <c r="L5767" s="3">
        <v>437.08836890608598</v>
      </c>
    </row>
    <row r="5768" spans="1:12" ht="15" customHeight="1" x14ac:dyDescent="0.2">
      <c r="A5768" s="2">
        <v>37683</v>
      </c>
      <c r="B5768" s="3">
        <v>19.560009000000001</v>
      </c>
      <c r="C5768" s="1">
        <v>1197987.8999999999</v>
      </c>
      <c r="D5768" s="3">
        <v>-0.16666799999999701</v>
      </c>
      <c r="E5768" s="3">
        <v>-0.84488634350325897</v>
      </c>
      <c r="F5768" s="3">
        <v>-0.84488634350325897</v>
      </c>
      <c r="G5768" s="3">
        <v>19.560009000000001</v>
      </c>
      <c r="H5768" s="3">
        <v>445.076890639846</v>
      </c>
      <c r="I5768" s="3">
        <v>19.900010999999999</v>
      </c>
      <c r="J5768" s="3">
        <v>20.166675999999999</v>
      </c>
      <c r="K5768" s="3">
        <v>19.546676999999999</v>
      </c>
      <c r="L5768" s="3">
        <v>445.076890639846</v>
      </c>
    </row>
    <row r="5769" spans="1:12" ht="15" customHeight="1" x14ac:dyDescent="0.2">
      <c r="A5769" s="2">
        <v>37680</v>
      </c>
      <c r="B5769" s="3">
        <v>19.726676999999999</v>
      </c>
      <c r="C5769" s="1">
        <v>938726.55999999901</v>
      </c>
      <c r="D5769" s="3">
        <v>9.3333999999998696E-2</v>
      </c>
      <c r="E5769" s="3">
        <v>0.47538516492071597</v>
      </c>
      <c r="F5769" s="3">
        <v>0.47538516492071597</v>
      </c>
      <c r="G5769" s="3">
        <v>19.726676999999999</v>
      </c>
      <c r="H5769" s="3">
        <v>449.72141177524901</v>
      </c>
      <c r="I5769" s="3">
        <v>19.793344000000001</v>
      </c>
      <c r="J5769" s="3">
        <v>19.966677000000001</v>
      </c>
      <c r="K5769" s="3">
        <v>19.666675999999999</v>
      </c>
      <c r="L5769" s="3">
        <v>449.72141177524901</v>
      </c>
    </row>
    <row r="5770" spans="1:12" ht="15" customHeight="1" x14ac:dyDescent="0.2">
      <c r="A5770" s="2">
        <v>37679</v>
      </c>
      <c r="B5770" s="3">
        <v>19.633343</v>
      </c>
      <c r="C5770" s="1">
        <v>1643784.79999999</v>
      </c>
      <c r="D5770" s="3">
        <v>0.88000299999999798</v>
      </c>
      <c r="E5770" s="3">
        <v>4.6925134402725002</v>
      </c>
      <c r="F5770" s="3">
        <v>4.6925134402725002</v>
      </c>
      <c r="G5770" s="3">
        <v>19.633343</v>
      </c>
      <c r="H5770" s="3">
        <v>447.12048216877599</v>
      </c>
      <c r="I5770" s="3">
        <v>18.880009999999999</v>
      </c>
      <c r="J5770" s="3">
        <v>19.753342</v>
      </c>
      <c r="K5770" s="3">
        <v>18.800008999999999</v>
      </c>
      <c r="L5770" s="3">
        <v>447.12048216877599</v>
      </c>
    </row>
    <row r="5771" spans="1:12" ht="15" customHeight="1" x14ac:dyDescent="0.2">
      <c r="A5771" s="2">
        <v>37678</v>
      </c>
      <c r="B5771" s="3">
        <v>18.753340000000001</v>
      </c>
      <c r="C5771" s="1">
        <v>749872.13</v>
      </c>
      <c r="D5771" s="3">
        <v>-8.0001999999996798E-2</v>
      </c>
      <c r="E5771" s="3">
        <v>-0.42478918505274299</v>
      </c>
      <c r="F5771" s="3">
        <v>-0.42478918505274299</v>
      </c>
      <c r="G5771" s="3">
        <v>18.753340000000001</v>
      </c>
      <c r="H5771" s="3">
        <v>422.59752315614298</v>
      </c>
      <c r="I5771" s="3">
        <v>18.740010999999999</v>
      </c>
      <c r="J5771" s="3">
        <v>18.860009999999999</v>
      </c>
      <c r="K5771" s="3">
        <v>18.540006999999999</v>
      </c>
      <c r="L5771" s="3">
        <v>422.59752315614298</v>
      </c>
    </row>
    <row r="5772" spans="1:12" ht="15" customHeight="1" x14ac:dyDescent="0.2">
      <c r="A5772" s="2">
        <v>37677</v>
      </c>
      <c r="B5772" s="3">
        <v>18.833341999999998</v>
      </c>
      <c r="C5772" s="1">
        <v>522595.299999999</v>
      </c>
      <c r="D5772" s="3">
        <v>0.22000199999999701</v>
      </c>
      <c r="E5772" s="3">
        <v>1.18195874571676</v>
      </c>
      <c r="F5772" s="3">
        <v>1.18195874571676</v>
      </c>
      <c r="G5772" s="3">
        <v>18.833341999999998</v>
      </c>
      <c r="H5772" s="3">
        <v>424.82693120012499</v>
      </c>
      <c r="I5772" s="3">
        <v>18.566676999999999</v>
      </c>
      <c r="J5772" s="3">
        <v>18.840009999999999</v>
      </c>
      <c r="K5772" s="3">
        <v>18.180009999999999</v>
      </c>
      <c r="L5772" s="3">
        <v>424.82693120012499</v>
      </c>
    </row>
    <row r="5773" spans="1:12" ht="15" customHeight="1" x14ac:dyDescent="0.2">
      <c r="A5773" s="2">
        <v>37676</v>
      </c>
      <c r="B5773" s="3">
        <v>18.613340000000001</v>
      </c>
      <c r="C5773" s="1">
        <v>344201.84</v>
      </c>
      <c r="D5773" s="3">
        <v>-0.39333399999999902</v>
      </c>
      <c r="E5773" s="3">
        <v>-2.0694520251149502</v>
      </c>
      <c r="F5773" s="3">
        <v>-2.0694520251149502</v>
      </c>
      <c r="G5773" s="3">
        <v>18.613340000000001</v>
      </c>
      <c r="H5773" s="3">
        <v>418.696156613337</v>
      </c>
      <c r="I5773" s="3">
        <v>19.053343000000002</v>
      </c>
      <c r="J5773" s="3">
        <v>19.053343000000002</v>
      </c>
      <c r="K5773" s="3">
        <v>18.593342</v>
      </c>
      <c r="L5773" s="3">
        <v>418.696156613337</v>
      </c>
    </row>
    <row r="5774" spans="1:12" ht="15" customHeight="1" x14ac:dyDescent="0.2">
      <c r="A5774" s="2">
        <v>37673</v>
      </c>
      <c r="B5774" s="3">
        <v>19.006674</v>
      </c>
      <c r="C5774" s="1">
        <v>562355.80000000005</v>
      </c>
      <c r="D5774" s="3">
        <v>0.17333200000000201</v>
      </c>
      <c r="E5774" s="3">
        <v>0.92034647913259404</v>
      </c>
      <c r="F5774" s="3">
        <v>0.92034647913259404</v>
      </c>
      <c r="G5774" s="3">
        <v>19.006674</v>
      </c>
      <c r="H5774" s="3">
        <v>429.65715738296501</v>
      </c>
      <c r="I5774" s="3">
        <v>18.833341999999998</v>
      </c>
      <c r="J5774" s="3">
        <v>19.106676</v>
      </c>
      <c r="K5774" s="3">
        <v>18.600010000000001</v>
      </c>
      <c r="L5774" s="3">
        <v>429.65715738296501</v>
      </c>
    </row>
    <row r="5775" spans="1:12" ht="15" customHeight="1" x14ac:dyDescent="0.2">
      <c r="A5775" s="2">
        <v>37672</v>
      </c>
      <c r="B5775" s="3">
        <v>18.833341999999998</v>
      </c>
      <c r="C5775" s="1">
        <v>617776.19999999995</v>
      </c>
      <c r="D5775" s="3">
        <v>3.3332999999998898E-2</v>
      </c>
      <c r="E5775" s="3">
        <v>0.17730310661021501</v>
      </c>
      <c r="F5775" s="3">
        <v>0.17730310661021501</v>
      </c>
      <c r="G5775" s="3">
        <v>18.833341999999998</v>
      </c>
      <c r="H5775" s="3">
        <v>424.82693120012499</v>
      </c>
      <c r="I5775" s="3">
        <v>18.766676</v>
      </c>
      <c r="J5775" s="3">
        <v>18.920010000000001</v>
      </c>
      <c r="K5775" s="3">
        <v>18.600010000000001</v>
      </c>
      <c r="L5775" s="3">
        <v>424.82693120012499</v>
      </c>
    </row>
    <row r="5776" spans="1:12" ht="15" customHeight="1" x14ac:dyDescent="0.2">
      <c r="A5776" s="2">
        <v>37671</v>
      </c>
      <c r="B5776" s="3">
        <v>18.800008999999999</v>
      </c>
      <c r="C5776" s="1">
        <v>973163.6</v>
      </c>
      <c r="D5776" s="3">
        <v>-0.26666799999999902</v>
      </c>
      <c r="E5776" s="3">
        <v>-1.3986076336217199</v>
      </c>
      <c r="F5776" s="3">
        <v>-1.3986076336217199</v>
      </c>
      <c r="G5776" s="3">
        <v>18.800008999999999</v>
      </c>
      <c r="H5776" s="3">
        <v>423.89804369318699</v>
      </c>
      <c r="I5776" s="3">
        <v>19.100010000000001</v>
      </c>
      <c r="J5776" s="3">
        <v>19.120007999999999</v>
      </c>
      <c r="K5776" s="3">
        <v>18.533342000000001</v>
      </c>
      <c r="L5776" s="3">
        <v>423.89804369318699</v>
      </c>
    </row>
    <row r="5777" spans="1:12" ht="15" customHeight="1" x14ac:dyDescent="0.2">
      <c r="A5777" s="2">
        <v>37670</v>
      </c>
      <c r="B5777" s="3">
        <v>19.066676999999999</v>
      </c>
      <c r="C5777" s="1">
        <v>1057400.5</v>
      </c>
      <c r="D5777" s="3">
        <v>-0.36666500000000102</v>
      </c>
      <c r="E5777" s="3">
        <v>-1.8867830350538799</v>
      </c>
      <c r="F5777" s="3">
        <v>-1.8867830350538799</v>
      </c>
      <c r="G5777" s="3">
        <v>19.066676999999999</v>
      </c>
      <c r="H5777" s="3">
        <v>431.32925521630801</v>
      </c>
      <c r="I5777" s="3">
        <v>19.393343000000002</v>
      </c>
      <c r="J5777" s="3">
        <v>19.501342999999999</v>
      </c>
      <c r="K5777" s="3">
        <v>18.900006999999999</v>
      </c>
      <c r="L5777" s="3">
        <v>431.32925521630801</v>
      </c>
    </row>
    <row r="5778" spans="1:12" ht="15" customHeight="1" x14ac:dyDescent="0.2">
      <c r="A5778" s="2">
        <v>37666</v>
      </c>
      <c r="B5778" s="3">
        <v>19.433342</v>
      </c>
      <c r="C5778" s="1">
        <v>1779938.1</v>
      </c>
      <c r="D5778" s="3">
        <v>0.87999899999999798</v>
      </c>
      <c r="E5778" s="3">
        <v>4.7430751428462203</v>
      </c>
      <c r="F5778" s="3">
        <v>4.7430751428462203</v>
      </c>
      <c r="G5778" s="3">
        <v>19.433342</v>
      </c>
      <c r="H5778" s="3">
        <v>441.54707352643499</v>
      </c>
      <c r="I5778" s="3">
        <v>18.573343000000001</v>
      </c>
      <c r="J5778" s="3">
        <v>19.713342999999998</v>
      </c>
      <c r="K5778" s="3">
        <v>18.533342000000001</v>
      </c>
      <c r="L5778" s="3">
        <v>441.54707352643499</v>
      </c>
    </row>
    <row r="5779" spans="1:12" ht="15" customHeight="1" x14ac:dyDescent="0.2">
      <c r="A5779" s="2">
        <v>37665</v>
      </c>
      <c r="B5779" s="3">
        <v>18.553343000000002</v>
      </c>
      <c r="C5779" s="1">
        <v>1253277.8</v>
      </c>
      <c r="D5779" s="3">
        <v>-0.61333299999999702</v>
      </c>
      <c r="E5779" s="3">
        <v>-3.1999967026102798</v>
      </c>
      <c r="F5779" s="3">
        <v>-3.1999967026102798</v>
      </c>
      <c r="G5779" s="3">
        <v>18.553343000000002</v>
      </c>
      <c r="H5779" s="3">
        <v>417.024225981418</v>
      </c>
      <c r="I5779" s="3">
        <v>19.173344</v>
      </c>
      <c r="J5779" s="3">
        <v>19.233343000000001</v>
      </c>
      <c r="K5779" s="3">
        <v>18.260007999999999</v>
      </c>
      <c r="L5779" s="3">
        <v>417.024225981418</v>
      </c>
    </row>
    <row r="5780" spans="1:12" ht="15" customHeight="1" x14ac:dyDescent="0.2">
      <c r="A5780" s="2">
        <v>37664</v>
      </c>
      <c r="B5780" s="3">
        <v>19.166675999999999</v>
      </c>
      <c r="C5780" s="1">
        <v>791650.15</v>
      </c>
      <c r="D5780" s="3">
        <v>-0.22666700000000201</v>
      </c>
      <c r="E5780" s="3">
        <v>-1.16878766079681</v>
      </c>
      <c r="F5780" s="3">
        <v>-1.16878766079681</v>
      </c>
      <c r="G5780" s="3">
        <v>19.166675999999999</v>
      </c>
      <c r="H5780" s="3">
        <v>434.115917737122</v>
      </c>
      <c r="I5780" s="3">
        <v>19.333344</v>
      </c>
      <c r="J5780" s="3">
        <v>19.426676</v>
      </c>
      <c r="K5780" s="3">
        <v>19.060009000000001</v>
      </c>
      <c r="L5780" s="3">
        <v>434.115917737122</v>
      </c>
    </row>
    <row r="5781" spans="1:12" ht="15" customHeight="1" x14ac:dyDescent="0.2">
      <c r="A5781" s="2">
        <v>37663</v>
      </c>
      <c r="B5781" s="3">
        <v>19.393343000000002</v>
      </c>
      <c r="C5781" s="1">
        <v>995783.5</v>
      </c>
      <c r="D5781" s="3">
        <v>5.9999000000001197E-2</v>
      </c>
      <c r="E5781" s="3">
        <v>0.31033948395062699</v>
      </c>
      <c r="F5781" s="3">
        <v>0.31033948395062699</v>
      </c>
      <c r="G5781" s="3">
        <v>19.393343000000002</v>
      </c>
      <c r="H5781" s="3">
        <v>440.43242523825199</v>
      </c>
      <c r="I5781" s="3">
        <v>19.413343000000001</v>
      </c>
      <c r="J5781" s="3">
        <v>19.760010000000001</v>
      </c>
      <c r="K5781" s="3">
        <v>19.353344</v>
      </c>
      <c r="L5781" s="3">
        <v>440.43242523825199</v>
      </c>
    </row>
    <row r="5782" spans="1:12" ht="15" customHeight="1" x14ac:dyDescent="0.2">
      <c r="A5782" s="2">
        <v>37662</v>
      </c>
      <c r="B5782" s="3">
        <v>19.333344</v>
      </c>
      <c r="C5782" s="1">
        <v>1227501.8</v>
      </c>
      <c r="D5782" s="3">
        <v>-6.6666000000001405E-2</v>
      </c>
      <c r="E5782" s="3">
        <v>-0.34363899812423998</v>
      </c>
      <c r="F5782" s="3">
        <v>-0.34363899812423998</v>
      </c>
      <c r="G5782" s="3">
        <v>19.333344</v>
      </c>
      <c r="H5782" s="3">
        <v>438.76043887252501</v>
      </c>
      <c r="I5782" s="3">
        <v>19.333344</v>
      </c>
      <c r="J5782" s="3">
        <v>19.453341999999999</v>
      </c>
      <c r="K5782" s="3">
        <v>19.046675</v>
      </c>
      <c r="L5782" s="3">
        <v>438.76043887252501</v>
      </c>
    </row>
    <row r="5783" spans="1:12" ht="15" customHeight="1" x14ac:dyDescent="0.2">
      <c r="A5783" s="2">
        <v>37659</v>
      </c>
      <c r="B5783" s="3">
        <v>19.400010000000002</v>
      </c>
      <c r="C5783" s="1">
        <v>1459053.7</v>
      </c>
      <c r="D5783" s="3">
        <v>-0.59999999999999698</v>
      </c>
      <c r="E5783" s="3">
        <v>-2.9999985000007401</v>
      </c>
      <c r="F5783" s="3">
        <v>-2.9999985000007401</v>
      </c>
      <c r="G5783" s="3">
        <v>19.400010000000002</v>
      </c>
      <c r="H5783" s="3">
        <v>440.61821388640101</v>
      </c>
      <c r="I5783" s="3">
        <v>20.106676</v>
      </c>
      <c r="J5783" s="3">
        <v>20.200008</v>
      </c>
      <c r="K5783" s="3">
        <v>19.166675999999999</v>
      </c>
      <c r="L5783" s="3">
        <v>440.61821388640101</v>
      </c>
    </row>
    <row r="5784" spans="1:12" ht="15" customHeight="1" x14ac:dyDescent="0.2">
      <c r="A5784" s="2">
        <v>37658</v>
      </c>
      <c r="B5784" s="3">
        <v>20.00001</v>
      </c>
      <c r="C5784" s="1">
        <v>1488027.7</v>
      </c>
      <c r="D5784" s="3">
        <v>-0.28000000000000103</v>
      </c>
      <c r="E5784" s="3">
        <v>-1.3806699306361301</v>
      </c>
      <c r="F5784" s="3">
        <v>-1.3806699306361301</v>
      </c>
      <c r="G5784" s="3">
        <v>20.00001</v>
      </c>
      <c r="H5784" s="3">
        <v>457.33835621271101</v>
      </c>
      <c r="I5784" s="3">
        <v>20.254010999999998</v>
      </c>
      <c r="J5784" s="3">
        <v>20.460675999999999</v>
      </c>
      <c r="K5784" s="3">
        <v>19.833344</v>
      </c>
      <c r="L5784" s="3">
        <v>457.33835621271101</v>
      </c>
    </row>
    <row r="5785" spans="1:12" ht="15" customHeight="1" x14ac:dyDescent="0.2">
      <c r="A5785" s="2">
        <v>37657</v>
      </c>
      <c r="B5785" s="3">
        <v>20.280010000000001</v>
      </c>
      <c r="C5785" s="1">
        <v>3478039.3</v>
      </c>
      <c r="D5785" s="3">
        <v>-0.78666899999999895</v>
      </c>
      <c r="E5785" s="3">
        <v>-3.7341861049859801</v>
      </c>
      <c r="F5785" s="3">
        <v>-3.7341861049859801</v>
      </c>
      <c r="G5785" s="3">
        <v>20.280010000000001</v>
      </c>
      <c r="H5785" s="3">
        <v>465.14108929832298</v>
      </c>
      <c r="I5785" s="3">
        <v>20.80001</v>
      </c>
      <c r="J5785" s="3">
        <v>21.333344</v>
      </c>
      <c r="K5785" s="3">
        <v>20.266676</v>
      </c>
      <c r="L5785" s="3">
        <v>465.14108929832298</v>
      </c>
    </row>
    <row r="5786" spans="1:12" ht="15" customHeight="1" x14ac:dyDescent="0.2">
      <c r="A5786" s="2">
        <v>37656</v>
      </c>
      <c r="B5786" s="3">
        <v>21.066679000000001</v>
      </c>
      <c r="C5786" s="1">
        <v>1875575.1</v>
      </c>
      <c r="D5786" s="3">
        <v>-0.33333100000000099</v>
      </c>
      <c r="E5786" s="3">
        <v>-1.55762076746693</v>
      </c>
      <c r="F5786" s="3">
        <v>-1.55762076746693</v>
      </c>
      <c r="G5786" s="3">
        <v>21.066679000000001</v>
      </c>
      <c r="H5786" s="3">
        <v>487.06311870448297</v>
      </c>
      <c r="I5786" s="3">
        <v>21.266676</v>
      </c>
      <c r="J5786" s="3">
        <v>21.373343999999999</v>
      </c>
      <c r="K5786" s="3">
        <v>21.066679000000001</v>
      </c>
      <c r="L5786" s="3">
        <v>487.06311870448297</v>
      </c>
    </row>
    <row r="5787" spans="1:12" ht="15" customHeight="1" x14ac:dyDescent="0.2">
      <c r="A5787" s="2">
        <v>37655</v>
      </c>
      <c r="B5787" s="3">
        <v>21.400010000000002</v>
      </c>
      <c r="C5787" s="1">
        <v>1351475.3</v>
      </c>
      <c r="D5787" s="3">
        <v>0.20000000000000201</v>
      </c>
      <c r="E5787" s="3">
        <v>0.94339578141708902</v>
      </c>
      <c r="F5787" s="3">
        <v>0.94339578141708902</v>
      </c>
      <c r="G5787" s="3">
        <v>21.400010000000002</v>
      </c>
      <c r="H5787" s="3">
        <v>496.35202164076799</v>
      </c>
      <c r="I5787" s="3">
        <v>21.200009999999999</v>
      </c>
      <c r="J5787" s="3">
        <v>21.460008999999999</v>
      </c>
      <c r="K5787" s="3">
        <v>20.920012</v>
      </c>
      <c r="L5787" s="3">
        <v>496.35202164076799</v>
      </c>
    </row>
    <row r="5788" spans="1:12" ht="15" customHeight="1" x14ac:dyDescent="0.2">
      <c r="A5788" s="2">
        <v>37652</v>
      </c>
      <c r="B5788" s="3">
        <v>21.200009999999999</v>
      </c>
      <c r="C5788" s="1">
        <v>1036613.49999999</v>
      </c>
      <c r="D5788" s="3">
        <v>0.37333499999999697</v>
      </c>
      <c r="E5788" s="3">
        <v>1.7925809088584499</v>
      </c>
      <c r="F5788" s="3">
        <v>1.7925809088584499</v>
      </c>
      <c r="G5788" s="3">
        <v>21.200009999999999</v>
      </c>
      <c r="H5788" s="3">
        <v>490.778640865331</v>
      </c>
      <c r="I5788" s="3">
        <v>20.766676</v>
      </c>
      <c r="J5788" s="3">
        <v>21.280011999999999</v>
      </c>
      <c r="K5788" s="3">
        <v>20.713342999999998</v>
      </c>
      <c r="L5788" s="3">
        <v>490.778640865331</v>
      </c>
    </row>
    <row r="5789" spans="1:12" ht="15" customHeight="1" x14ac:dyDescent="0.2">
      <c r="A5789" s="2">
        <v>37651</v>
      </c>
      <c r="B5789" s="3">
        <v>20.826675000000002</v>
      </c>
      <c r="C5789" s="1">
        <v>582941.799999999</v>
      </c>
      <c r="D5789" s="3">
        <v>-0.14666799999999799</v>
      </c>
      <c r="E5789" s="3">
        <v>-0.69930673426738998</v>
      </c>
      <c r="F5789" s="3">
        <v>-0.69930673426738998</v>
      </c>
      <c r="G5789" s="3">
        <v>20.826675000000002</v>
      </c>
      <c r="H5789" s="3">
        <v>480.37495030634301</v>
      </c>
      <c r="I5789" s="3">
        <v>21.066679000000001</v>
      </c>
      <c r="J5789" s="3">
        <v>21.30001</v>
      </c>
      <c r="K5789" s="3">
        <v>20.740010999999999</v>
      </c>
      <c r="L5789" s="3">
        <v>480.37495030634301</v>
      </c>
    </row>
    <row r="5790" spans="1:12" ht="15" customHeight="1" x14ac:dyDescent="0.2">
      <c r="A5790" s="2">
        <v>37650</v>
      </c>
      <c r="B5790" s="3">
        <v>20.973343</v>
      </c>
      <c r="C5790" s="1">
        <v>1142758</v>
      </c>
      <c r="D5790" s="3">
        <v>0.31333299999999997</v>
      </c>
      <c r="E5790" s="3">
        <v>1.5166159164492199</v>
      </c>
      <c r="F5790" s="3">
        <v>1.5166159164492199</v>
      </c>
      <c r="G5790" s="3">
        <v>20.973343</v>
      </c>
      <c r="H5790" s="3">
        <v>484.46213336420197</v>
      </c>
      <c r="I5790" s="3">
        <v>20.646677</v>
      </c>
      <c r="J5790" s="3">
        <v>21.446676</v>
      </c>
      <c r="K5790" s="3">
        <v>20.326675000000002</v>
      </c>
      <c r="L5790" s="3">
        <v>484.46213336420197</v>
      </c>
    </row>
    <row r="5791" spans="1:12" ht="15" customHeight="1" x14ac:dyDescent="0.2">
      <c r="A5791" s="2">
        <v>37649</v>
      </c>
      <c r="B5791" s="3">
        <v>20.66001</v>
      </c>
      <c r="C5791" s="1">
        <v>935179.1</v>
      </c>
      <c r="D5791" s="3">
        <v>0.246666999999998</v>
      </c>
      <c r="E5791" s="3">
        <v>1.20836160936501</v>
      </c>
      <c r="F5791" s="3">
        <v>1.20836160936501</v>
      </c>
      <c r="G5791" s="3">
        <v>20.66001</v>
      </c>
      <c r="H5791" s="3">
        <v>475.730512771652</v>
      </c>
      <c r="I5791" s="3">
        <v>20.453344000000001</v>
      </c>
      <c r="J5791" s="3">
        <v>20.680009999999999</v>
      </c>
      <c r="K5791" s="3">
        <v>20.32001</v>
      </c>
      <c r="L5791" s="3">
        <v>475.730512771652</v>
      </c>
    </row>
    <row r="5792" spans="1:12" ht="15" customHeight="1" x14ac:dyDescent="0.2">
      <c r="A5792" s="2">
        <v>37648</v>
      </c>
      <c r="B5792" s="3">
        <v>20.413343000000001</v>
      </c>
      <c r="C5792" s="1">
        <v>930029.54</v>
      </c>
      <c r="D5792" s="3">
        <v>-0.186666999999999</v>
      </c>
      <c r="E5792" s="3">
        <v>-0.90615004555822898</v>
      </c>
      <c r="F5792" s="3">
        <v>-0.90615004555822898</v>
      </c>
      <c r="G5792" s="3">
        <v>20.413343000000001</v>
      </c>
      <c r="H5792" s="3">
        <v>468.85666719297899</v>
      </c>
      <c r="I5792" s="3">
        <v>20.453344000000001</v>
      </c>
      <c r="J5792" s="3">
        <v>20.633343</v>
      </c>
      <c r="K5792" s="3">
        <v>20.133343</v>
      </c>
      <c r="L5792" s="3">
        <v>468.85666719297899</v>
      </c>
    </row>
    <row r="5793" spans="1:12" ht="15" customHeight="1" x14ac:dyDescent="0.2">
      <c r="A5793" s="2">
        <v>37645</v>
      </c>
      <c r="B5793" s="3">
        <v>20.600010000000001</v>
      </c>
      <c r="C5793" s="1">
        <v>1487789.29999999</v>
      </c>
      <c r="D5793" s="3">
        <v>-0.75266599999999695</v>
      </c>
      <c r="E5793" s="3">
        <v>-3.5249258687763398</v>
      </c>
      <c r="F5793" s="3">
        <v>-3.5249258687763398</v>
      </c>
      <c r="G5793" s="3">
        <v>20.600010000000001</v>
      </c>
      <c r="H5793" s="3">
        <v>474.058498539021</v>
      </c>
      <c r="I5793" s="3">
        <v>21.333344</v>
      </c>
      <c r="J5793" s="3">
        <v>21.333344</v>
      </c>
      <c r="K5793" s="3">
        <v>20.353344</v>
      </c>
      <c r="L5793" s="3">
        <v>474.058498539021</v>
      </c>
    </row>
    <row r="5794" spans="1:12" ht="15" customHeight="1" x14ac:dyDescent="0.2">
      <c r="A5794" s="2">
        <v>37644</v>
      </c>
      <c r="B5794" s="3">
        <v>21.352675999999999</v>
      </c>
      <c r="C5794" s="1">
        <v>1064413</v>
      </c>
      <c r="D5794" s="3">
        <v>5.9998999999997603E-2</v>
      </c>
      <c r="E5794" s="3">
        <v>0.28178232356597099</v>
      </c>
      <c r="F5794" s="3">
        <v>0.28178232356597099</v>
      </c>
      <c r="G5794" s="3">
        <v>21.352675999999999</v>
      </c>
      <c r="H5794" s="3">
        <v>495.03296961264601</v>
      </c>
      <c r="I5794" s="3">
        <v>21.293344000000001</v>
      </c>
      <c r="J5794" s="3">
        <v>21.50001</v>
      </c>
      <c r="K5794" s="3">
        <v>20.966677000000001</v>
      </c>
      <c r="L5794" s="3">
        <v>495.03296961264601</v>
      </c>
    </row>
    <row r="5795" spans="1:12" ht="15" customHeight="1" x14ac:dyDescent="0.2">
      <c r="A5795" s="2">
        <v>37643</v>
      </c>
      <c r="B5795" s="3">
        <v>21.292677000000001</v>
      </c>
      <c r="C5795" s="1">
        <v>1788855.6</v>
      </c>
      <c r="D5795" s="3">
        <v>0.412667000000002</v>
      </c>
      <c r="E5795" s="3">
        <v>1.9763735745337501</v>
      </c>
      <c r="F5795" s="3">
        <v>1.9763735745337501</v>
      </c>
      <c r="G5795" s="3">
        <v>21.292677000000001</v>
      </c>
      <c r="H5795" s="3">
        <v>493.36098324691801</v>
      </c>
      <c r="I5795" s="3">
        <v>21.00001</v>
      </c>
      <c r="J5795" s="3">
        <v>21.306677000000001</v>
      </c>
      <c r="K5795" s="3">
        <v>20.913343000000001</v>
      </c>
      <c r="L5795" s="3">
        <v>493.36098324691801</v>
      </c>
    </row>
    <row r="5796" spans="1:12" ht="15" customHeight="1" x14ac:dyDescent="0.2">
      <c r="A5796" s="2">
        <v>37642</v>
      </c>
      <c r="B5796" s="3">
        <v>20.880009999999999</v>
      </c>
      <c r="C5796" s="1">
        <v>1443278.2</v>
      </c>
      <c r="D5796" s="3">
        <v>-0.286667000000001</v>
      </c>
      <c r="E5796" s="3">
        <v>-1.3543316222948001</v>
      </c>
      <c r="F5796" s="3">
        <v>-1.3543316222948001</v>
      </c>
      <c r="G5796" s="3">
        <v>20.880009999999999</v>
      </c>
      <c r="H5796" s="3">
        <v>481.86123162463298</v>
      </c>
      <c r="I5796" s="3">
        <v>21.30001</v>
      </c>
      <c r="J5796" s="3">
        <v>21.32001</v>
      </c>
      <c r="K5796" s="3">
        <v>20.880009999999999</v>
      </c>
      <c r="L5796" s="3">
        <v>481.86123162463298</v>
      </c>
    </row>
    <row r="5797" spans="1:12" ht="15" customHeight="1" x14ac:dyDescent="0.2">
      <c r="A5797" s="2">
        <v>37638</v>
      </c>
      <c r="B5797" s="3">
        <v>21.166677</v>
      </c>
      <c r="C5797" s="1">
        <v>1884887.0999999901</v>
      </c>
      <c r="D5797" s="3">
        <v>-0.5</v>
      </c>
      <c r="E5797" s="3">
        <v>-2.3076912071011102</v>
      </c>
      <c r="F5797" s="3">
        <v>-2.3076912071011102</v>
      </c>
      <c r="G5797" s="3">
        <v>21.166677</v>
      </c>
      <c r="H5797" s="3">
        <v>489.849753358393</v>
      </c>
      <c r="I5797" s="3">
        <v>21.633347000000001</v>
      </c>
      <c r="J5797" s="3">
        <v>21.646677</v>
      </c>
      <c r="K5797" s="3">
        <v>20.933342</v>
      </c>
      <c r="L5797" s="3">
        <v>489.849753358393</v>
      </c>
    </row>
    <row r="5798" spans="1:12" ht="15" customHeight="1" x14ac:dyDescent="0.2">
      <c r="A5798" s="2">
        <v>37637</v>
      </c>
      <c r="B5798" s="3">
        <v>21.666677</v>
      </c>
      <c r="C5798" s="1">
        <v>1078724.5</v>
      </c>
      <c r="D5798" s="3">
        <v>-0.10000099999999799</v>
      </c>
      <c r="E5798" s="3">
        <v>-0.45942242541557798</v>
      </c>
      <c r="F5798" s="3">
        <v>-0.45942242541557798</v>
      </c>
      <c r="G5798" s="3">
        <v>21.666677</v>
      </c>
      <c r="H5798" s="3">
        <v>503.78320529698499</v>
      </c>
      <c r="I5798" s="3">
        <v>21.673342000000002</v>
      </c>
      <c r="J5798" s="3">
        <v>21.986677</v>
      </c>
      <c r="K5798" s="3">
        <v>21.340009999999999</v>
      </c>
      <c r="L5798" s="3">
        <v>503.78320529698499</v>
      </c>
    </row>
    <row r="5799" spans="1:12" ht="15" customHeight="1" x14ac:dyDescent="0.2">
      <c r="A5799" s="2">
        <v>37636</v>
      </c>
      <c r="B5799" s="3">
        <v>21.766677999999999</v>
      </c>
      <c r="C5799" s="1">
        <v>1550210.2</v>
      </c>
      <c r="D5799" s="3">
        <v>-0.20666500000000099</v>
      </c>
      <c r="E5799" s="3">
        <v>-0.94052598186812297</v>
      </c>
      <c r="F5799" s="3">
        <v>-0.94052598186812297</v>
      </c>
      <c r="G5799" s="3">
        <v>21.766677999999999</v>
      </c>
      <c r="H5799" s="3">
        <v>506.56992355160702</v>
      </c>
      <c r="I5799" s="3">
        <v>21.826677</v>
      </c>
      <c r="J5799" s="3">
        <v>21.833344</v>
      </c>
      <c r="K5799" s="3">
        <v>21.166677</v>
      </c>
      <c r="L5799" s="3">
        <v>506.56992355160702</v>
      </c>
    </row>
    <row r="5800" spans="1:12" ht="15" customHeight="1" x14ac:dyDescent="0.2">
      <c r="A5800" s="2">
        <v>37635</v>
      </c>
      <c r="B5800" s="3">
        <v>21.973343</v>
      </c>
      <c r="C5800" s="1">
        <v>1510623.8</v>
      </c>
      <c r="D5800" s="3">
        <v>0.37999900000000097</v>
      </c>
      <c r="E5800" s="3">
        <v>1.7597969077878901</v>
      </c>
      <c r="F5800" s="3">
        <v>1.7597969077878901</v>
      </c>
      <c r="G5800" s="3">
        <v>21.973343</v>
      </c>
      <c r="H5800" s="3">
        <v>512.329037241386</v>
      </c>
      <c r="I5800" s="3">
        <v>21.586677999999999</v>
      </c>
      <c r="J5800" s="3">
        <v>21.973343</v>
      </c>
      <c r="K5800" s="3">
        <v>21.420012</v>
      </c>
      <c r="L5800" s="3">
        <v>512.329037241386</v>
      </c>
    </row>
    <row r="5801" spans="1:12" ht="15" customHeight="1" x14ac:dyDescent="0.2">
      <c r="A5801" s="2">
        <v>37634</v>
      </c>
      <c r="B5801" s="3">
        <v>21.593343999999998</v>
      </c>
      <c r="C5801" s="1">
        <v>2378977.7999999998</v>
      </c>
      <c r="D5801" s="3">
        <v>-0.98000100000000101</v>
      </c>
      <c r="E5801" s="3">
        <v>-4.3414079747596102</v>
      </c>
      <c r="F5801" s="3">
        <v>-4.3414079747596102</v>
      </c>
      <c r="G5801" s="3">
        <v>21.593343999999998</v>
      </c>
      <c r="H5801" s="3">
        <v>501.73964163495998</v>
      </c>
      <c r="I5801" s="3">
        <v>22.46001</v>
      </c>
      <c r="J5801" s="3">
        <v>22.620010000000001</v>
      </c>
      <c r="K5801" s="3">
        <v>21.526678</v>
      </c>
      <c r="L5801" s="3">
        <v>501.73964163495998</v>
      </c>
    </row>
    <row r="5802" spans="1:12" ht="15" customHeight="1" x14ac:dyDescent="0.2">
      <c r="A5802" s="2">
        <v>37631</v>
      </c>
      <c r="B5802" s="3">
        <v>22.573345</v>
      </c>
      <c r="C5802" s="1">
        <v>5803288.5999999996</v>
      </c>
      <c r="D5802" s="3">
        <v>-1.693335</v>
      </c>
      <c r="E5802" s="3">
        <v>-6.9780250120741698</v>
      </c>
      <c r="F5802" s="3">
        <v>-6.9780250120741698</v>
      </c>
      <c r="G5802" s="3">
        <v>22.573345</v>
      </c>
      <c r="H5802" s="3">
        <v>529.04923530150302</v>
      </c>
      <c r="I5802" s="3">
        <v>22.473343</v>
      </c>
      <c r="J5802" s="3">
        <v>23.100012</v>
      </c>
      <c r="K5802" s="3">
        <v>22.333344</v>
      </c>
      <c r="L5802" s="3">
        <v>529.04923530150302</v>
      </c>
    </row>
    <row r="5803" spans="1:12" ht="15" customHeight="1" x14ac:dyDescent="0.2">
      <c r="A5803" s="2">
        <v>37630</v>
      </c>
      <c r="B5803" s="3">
        <v>24.266680000000001</v>
      </c>
      <c r="C5803" s="1">
        <v>1524981.7</v>
      </c>
      <c r="D5803" s="3">
        <v>0.23333600000000099</v>
      </c>
      <c r="E5803" s="3">
        <v>0.97088445120245803</v>
      </c>
      <c r="F5803" s="3">
        <v>0.97088445120245803</v>
      </c>
      <c r="G5803" s="3">
        <v>24.266680000000001</v>
      </c>
      <c r="H5803" s="3">
        <v>576.23723897837397</v>
      </c>
      <c r="I5803" s="3">
        <v>24.046679000000001</v>
      </c>
      <c r="J5803" s="3">
        <v>24.346678000000001</v>
      </c>
      <c r="K5803" s="3">
        <v>23.833345000000001</v>
      </c>
      <c r="L5803" s="3">
        <v>576.23723897837397</v>
      </c>
    </row>
    <row r="5804" spans="1:12" ht="15" customHeight="1" x14ac:dyDescent="0.2">
      <c r="A5804" s="2">
        <v>37629</v>
      </c>
      <c r="B5804" s="3">
        <v>24.033344</v>
      </c>
      <c r="C5804" s="1">
        <v>1195491.8</v>
      </c>
      <c r="D5804" s="3">
        <v>-0.52000299999999899</v>
      </c>
      <c r="E5804" s="3">
        <v>-2.1178497579169102</v>
      </c>
      <c r="F5804" s="3">
        <v>-2.1178497579169102</v>
      </c>
      <c r="G5804" s="3">
        <v>24.033344</v>
      </c>
      <c r="H5804" s="3">
        <v>569.73488709528795</v>
      </c>
      <c r="I5804" s="3">
        <v>24.466678999999999</v>
      </c>
      <c r="J5804" s="3">
        <v>24.513345999999999</v>
      </c>
      <c r="K5804" s="3">
        <v>24.020009999999999</v>
      </c>
      <c r="L5804" s="3">
        <v>569.73488709528795</v>
      </c>
    </row>
    <row r="5805" spans="1:12" ht="15" customHeight="1" x14ac:dyDescent="0.2">
      <c r="A5805" s="2">
        <v>37628</v>
      </c>
      <c r="B5805" s="3">
        <v>24.553346999999999</v>
      </c>
      <c r="C5805" s="1">
        <v>1162763.5</v>
      </c>
      <c r="D5805" s="3">
        <v>-0.473333</v>
      </c>
      <c r="E5805" s="3">
        <v>-1.89131359013661</v>
      </c>
      <c r="F5805" s="3">
        <v>-1.89131359013661</v>
      </c>
      <c r="G5805" s="3">
        <v>24.553346999999999</v>
      </c>
      <c r="H5805" s="3">
        <v>584.22576071213496</v>
      </c>
      <c r="I5805" s="3">
        <v>24.920014999999999</v>
      </c>
      <c r="J5805" s="3">
        <v>24.97268</v>
      </c>
      <c r="K5805" s="3">
        <v>24.173344</v>
      </c>
      <c r="L5805" s="3">
        <v>584.22576071213496</v>
      </c>
    </row>
    <row r="5806" spans="1:12" ht="15" customHeight="1" x14ac:dyDescent="0.2">
      <c r="A5806" s="2">
        <v>37627</v>
      </c>
      <c r="B5806" s="3">
        <v>25.026679999999999</v>
      </c>
      <c r="C5806" s="1">
        <v>1095547</v>
      </c>
      <c r="D5806" s="3">
        <v>0.67333599999999905</v>
      </c>
      <c r="E5806" s="3">
        <v>2.7648605464612999</v>
      </c>
      <c r="F5806" s="3">
        <v>2.7648605464612999</v>
      </c>
      <c r="G5806" s="3">
        <v>25.026679999999999</v>
      </c>
      <c r="H5806" s="3">
        <v>597.41608592503405</v>
      </c>
      <c r="I5806" s="3">
        <v>24.433346</v>
      </c>
      <c r="J5806" s="3">
        <v>25.053346999999999</v>
      </c>
      <c r="K5806" s="3">
        <v>24.366678</v>
      </c>
      <c r="L5806" s="3">
        <v>597.41608592503405</v>
      </c>
    </row>
    <row r="5807" spans="1:12" ht="15" customHeight="1" x14ac:dyDescent="0.2">
      <c r="A5807" s="2">
        <v>37624</v>
      </c>
      <c r="B5807" s="3">
        <v>24.353344</v>
      </c>
      <c r="C5807" s="1">
        <v>811070.6</v>
      </c>
      <c r="D5807" s="3">
        <v>-0.30666899999999903</v>
      </c>
      <c r="E5807" s="3">
        <v>-1.2435881522041301</v>
      </c>
      <c r="F5807" s="3">
        <v>-1.2435881522041301</v>
      </c>
      <c r="G5807" s="3">
        <v>24.353344</v>
      </c>
      <c r="H5807" s="3">
        <v>578.65229633598699</v>
      </c>
      <c r="I5807" s="3">
        <v>24.600012</v>
      </c>
      <c r="J5807" s="3">
        <v>24.966678999999999</v>
      </c>
      <c r="K5807" s="3">
        <v>24.313345000000002</v>
      </c>
      <c r="L5807" s="3">
        <v>578.65229633598699</v>
      </c>
    </row>
    <row r="5808" spans="1:12" ht="15" customHeight="1" x14ac:dyDescent="0.2">
      <c r="A5808" s="2">
        <v>37623</v>
      </c>
      <c r="B5808" s="3">
        <v>24.660012999999999</v>
      </c>
      <c r="C5808" s="1">
        <v>577925.69999999995</v>
      </c>
      <c r="D5808" s="3">
        <v>0.56000099999999897</v>
      </c>
      <c r="E5808" s="3">
        <v>2.3236544446533798</v>
      </c>
      <c r="F5808" s="3">
        <v>2.3236544446533798</v>
      </c>
      <c r="G5808" s="3">
        <v>24.660012999999999</v>
      </c>
      <c r="H5808" s="3">
        <v>587.19821188109904</v>
      </c>
      <c r="I5808" s="3">
        <v>24.133348000000002</v>
      </c>
      <c r="J5808" s="3">
        <v>24.680012000000001</v>
      </c>
      <c r="K5808" s="3">
        <v>24.073345</v>
      </c>
      <c r="L5808" s="3">
        <v>587.19821188109904</v>
      </c>
    </row>
    <row r="5809" spans="1:12" ht="15" customHeight="1" x14ac:dyDescent="0.2">
      <c r="A5809" s="2">
        <v>37621</v>
      </c>
      <c r="B5809" s="3">
        <v>24.100012</v>
      </c>
      <c r="C5809" s="1">
        <v>590446.17000000004</v>
      </c>
      <c r="D5809" s="3">
        <v>-3.3332999999998898E-2</v>
      </c>
      <c r="E5809" s="3">
        <v>-0.13812009897508001</v>
      </c>
      <c r="F5809" s="3">
        <v>-0.13812009897508001</v>
      </c>
      <c r="G5809" s="3">
        <v>24.100012</v>
      </c>
      <c r="H5809" s="3">
        <v>571.59271784297198</v>
      </c>
      <c r="I5809" s="3">
        <v>24.14001</v>
      </c>
      <c r="J5809" s="3">
        <v>24.173344</v>
      </c>
      <c r="K5809" s="3">
        <v>23.873346000000002</v>
      </c>
      <c r="L5809" s="3">
        <v>571.59271784297198</v>
      </c>
    </row>
    <row r="5810" spans="1:12" ht="15" customHeight="1" x14ac:dyDescent="0.2">
      <c r="A5810" s="2">
        <v>37620</v>
      </c>
      <c r="B5810" s="3">
        <v>24.133344999999998</v>
      </c>
      <c r="C5810" s="1">
        <v>482344.27</v>
      </c>
      <c r="D5810" s="3">
        <v>0.126666999999997</v>
      </c>
      <c r="E5810" s="3">
        <v>0.52763235296444599</v>
      </c>
      <c r="F5810" s="3">
        <v>0.52763235296444599</v>
      </c>
      <c r="G5810" s="3">
        <v>24.133344999999998</v>
      </c>
      <c r="H5810" s="3">
        <v>572.52160534991003</v>
      </c>
      <c r="I5810" s="3">
        <v>23.913347000000002</v>
      </c>
      <c r="J5810" s="3">
        <v>24.266010000000001</v>
      </c>
      <c r="K5810" s="3">
        <v>23.800013</v>
      </c>
      <c r="L5810" s="3">
        <v>572.52160534991003</v>
      </c>
    </row>
    <row r="5811" spans="1:12" ht="15" customHeight="1" x14ac:dyDescent="0.2">
      <c r="A5811" s="2">
        <v>37617</v>
      </c>
      <c r="B5811" s="3">
        <v>24.006678000000001</v>
      </c>
      <c r="C5811" s="1">
        <v>672155.7</v>
      </c>
      <c r="D5811" s="3">
        <v>-0.76000199999999996</v>
      </c>
      <c r="E5811" s="3">
        <v>-3.06864706936901</v>
      </c>
      <c r="F5811" s="3">
        <v>-3.06864706936901</v>
      </c>
      <c r="G5811" s="3">
        <v>24.006678000000001</v>
      </c>
      <c r="H5811" s="3">
        <v>568.99178823649902</v>
      </c>
      <c r="I5811" s="3">
        <v>24.733345</v>
      </c>
      <c r="J5811" s="3">
        <v>24.780010000000001</v>
      </c>
      <c r="K5811" s="3">
        <v>23.766680000000001</v>
      </c>
      <c r="L5811" s="3">
        <v>568.99178823649902</v>
      </c>
    </row>
    <row r="5812" spans="1:12" ht="15" customHeight="1" x14ac:dyDescent="0.2">
      <c r="A5812" s="2">
        <v>37616</v>
      </c>
      <c r="B5812" s="3">
        <v>24.766680000000001</v>
      </c>
      <c r="C5812" s="1">
        <v>463412.77999999898</v>
      </c>
      <c r="D5812" s="3">
        <v>7.3334000000002605E-2</v>
      </c>
      <c r="E5812" s="3">
        <v>0.29697878934673499</v>
      </c>
      <c r="F5812" s="3">
        <v>0.29697878934673499</v>
      </c>
      <c r="G5812" s="3">
        <v>24.766680000000001</v>
      </c>
      <c r="H5812" s="3">
        <v>590.17069091696601</v>
      </c>
      <c r="I5812" s="3">
        <v>24.773347999999999</v>
      </c>
      <c r="J5812" s="3">
        <v>25.113344000000001</v>
      </c>
      <c r="K5812" s="3">
        <v>24.666679999999999</v>
      </c>
      <c r="L5812" s="3">
        <v>590.17069091696601</v>
      </c>
    </row>
    <row r="5813" spans="1:12" ht="15" customHeight="1" x14ac:dyDescent="0.2">
      <c r="A5813" s="2">
        <v>37614</v>
      </c>
      <c r="B5813" s="3">
        <v>24.693345999999998</v>
      </c>
      <c r="C5813" s="1">
        <v>737849.6</v>
      </c>
      <c r="D5813" s="3">
        <v>0.17333599999999899</v>
      </c>
      <c r="E5813" s="3">
        <v>0.70691651430809799</v>
      </c>
      <c r="F5813" s="3">
        <v>0.70691651430809799</v>
      </c>
      <c r="G5813" s="3">
        <v>24.693345999999998</v>
      </c>
      <c r="H5813" s="3">
        <v>588.12709938803698</v>
      </c>
      <c r="I5813" s="3">
        <v>24.586680000000001</v>
      </c>
      <c r="J5813" s="3">
        <v>25.133347000000001</v>
      </c>
      <c r="K5813" s="3">
        <v>24.520009999999999</v>
      </c>
      <c r="L5813" s="3">
        <v>588.12709938803698</v>
      </c>
    </row>
    <row r="5814" spans="1:12" ht="15" customHeight="1" x14ac:dyDescent="0.2">
      <c r="A5814" s="2">
        <v>37613</v>
      </c>
      <c r="B5814" s="3">
        <v>24.520009999999999</v>
      </c>
      <c r="C5814" s="1">
        <v>770452.14999999898</v>
      </c>
      <c r="D5814" s="3">
        <v>0.193329999999999</v>
      </c>
      <c r="E5814" s="3">
        <v>0.79472414649266399</v>
      </c>
      <c r="F5814" s="3">
        <v>0.79472414649266399</v>
      </c>
      <c r="G5814" s="3">
        <v>24.520009999999999</v>
      </c>
      <c r="H5814" s="3">
        <v>583.29676173758105</v>
      </c>
      <c r="I5814" s="3">
        <v>24.266680000000001</v>
      </c>
      <c r="J5814" s="3">
        <v>24.773346</v>
      </c>
      <c r="K5814" s="3">
        <v>24.180012000000001</v>
      </c>
      <c r="L5814" s="3">
        <v>583.29676173758105</v>
      </c>
    </row>
    <row r="5815" spans="1:12" ht="15" customHeight="1" x14ac:dyDescent="0.2">
      <c r="A5815" s="2">
        <v>37610</v>
      </c>
      <c r="B5815" s="3">
        <v>24.32668</v>
      </c>
      <c r="C5815" s="1">
        <v>777781.1</v>
      </c>
      <c r="D5815" s="3">
        <v>0.213335999999998</v>
      </c>
      <c r="E5815" s="3">
        <v>0.88472175406279996</v>
      </c>
      <c r="F5815" s="3">
        <v>0.88472175406279996</v>
      </c>
      <c r="G5815" s="3">
        <v>24.32668</v>
      </c>
      <c r="H5815" s="3">
        <v>577.90925321100497</v>
      </c>
      <c r="I5815" s="3">
        <v>24.253344999999999</v>
      </c>
      <c r="J5815" s="3">
        <v>24.580010999999999</v>
      </c>
      <c r="K5815" s="3">
        <v>24.113344000000001</v>
      </c>
      <c r="L5815" s="3">
        <v>577.90925321100497</v>
      </c>
    </row>
    <row r="5816" spans="1:12" ht="15" customHeight="1" x14ac:dyDescent="0.2">
      <c r="A5816" s="2">
        <v>37609</v>
      </c>
      <c r="B5816" s="3">
        <v>24.113344000000001</v>
      </c>
      <c r="C5816" s="1">
        <v>1858587.6</v>
      </c>
      <c r="D5816" s="3">
        <v>-0.53333499999999701</v>
      </c>
      <c r="E5816" s="3">
        <v>-2.1639223686079498</v>
      </c>
      <c r="F5816" s="3">
        <v>-2.1639223686079498</v>
      </c>
      <c r="G5816" s="3">
        <v>24.113344000000001</v>
      </c>
      <c r="H5816" s="3">
        <v>571.96423940546197</v>
      </c>
      <c r="I5816" s="3">
        <v>24.586680000000001</v>
      </c>
      <c r="J5816" s="3">
        <v>24.586680000000001</v>
      </c>
      <c r="K5816" s="3">
        <v>23.886679000000001</v>
      </c>
      <c r="L5816" s="3">
        <v>571.96423940546197</v>
      </c>
    </row>
    <row r="5817" spans="1:12" ht="15" customHeight="1" x14ac:dyDescent="0.2">
      <c r="A5817" s="2">
        <v>37608</v>
      </c>
      <c r="B5817" s="3">
        <v>24.646678999999999</v>
      </c>
      <c r="C5817" s="1">
        <v>2426548.7999999998</v>
      </c>
      <c r="D5817" s="3">
        <v>1.360001</v>
      </c>
      <c r="E5817" s="3">
        <v>5.8402533843599302</v>
      </c>
      <c r="F5817" s="3">
        <v>5.8402533843599302</v>
      </c>
      <c r="G5817" s="3">
        <v>24.646678999999999</v>
      </c>
      <c r="H5817" s="3">
        <v>586.82663458479999</v>
      </c>
      <c r="I5817" s="3">
        <v>23.260010000000001</v>
      </c>
      <c r="J5817" s="3">
        <v>24.646678999999999</v>
      </c>
      <c r="K5817" s="3">
        <v>22.973343</v>
      </c>
      <c r="L5817" s="3">
        <v>586.82663458479999</v>
      </c>
    </row>
    <row r="5818" spans="1:12" ht="15" customHeight="1" x14ac:dyDescent="0.2">
      <c r="A5818" s="2">
        <v>37607</v>
      </c>
      <c r="B5818" s="3">
        <v>23.286677999999998</v>
      </c>
      <c r="C5818" s="1">
        <v>945364.1</v>
      </c>
      <c r="D5818" s="3">
        <v>-0.72000000000000197</v>
      </c>
      <c r="E5818" s="3">
        <v>-2.9991654822045901</v>
      </c>
      <c r="F5818" s="3">
        <v>-2.9991654822045901</v>
      </c>
      <c r="G5818" s="3">
        <v>23.286677999999998</v>
      </c>
      <c r="H5818" s="3">
        <v>548.927617444926</v>
      </c>
      <c r="I5818" s="3">
        <v>23.926677999999999</v>
      </c>
      <c r="J5818" s="3">
        <v>23.993345000000001</v>
      </c>
      <c r="K5818" s="3">
        <v>22.973343</v>
      </c>
      <c r="L5818" s="3">
        <v>548.927617444926</v>
      </c>
    </row>
    <row r="5819" spans="1:12" ht="15" customHeight="1" x14ac:dyDescent="0.2">
      <c r="A5819" s="2">
        <v>37606</v>
      </c>
      <c r="B5819" s="3">
        <v>24.006678000000001</v>
      </c>
      <c r="C5819" s="1">
        <v>1112872</v>
      </c>
      <c r="D5819" s="3">
        <v>1.0000020000000001</v>
      </c>
      <c r="E5819" s="3">
        <v>4.3465731425087197</v>
      </c>
      <c r="F5819" s="3">
        <v>4.3465731425087197</v>
      </c>
      <c r="G5819" s="3">
        <v>24.006678000000001</v>
      </c>
      <c r="H5819" s="3">
        <v>568.99178823649902</v>
      </c>
      <c r="I5819" s="3">
        <v>23.100012</v>
      </c>
      <c r="J5819" s="3">
        <v>24.066676999999999</v>
      </c>
      <c r="K5819" s="3">
        <v>22.933346</v>
      </c>
      <c r="L5819" s="3">
        <v>568.99178823649902</v>
      </c>
    </row>
    <row r="5820" spans="1:12" ht="15" customHeight="1" x14ac:dyDescent="0.2">
      <c r="A5820" s="2">
        <v>37603</v>
      </c>
      <c r="B5820" s="3">
        <v>23.006675999999999</v>
      </c>
      <c r="C5820" s="1">
        <v>476212.28</v>
      </c>
      <c r="D5820" s="3">
        <v>-0.16666800000000101</v>
      </c>
      <c r="E5820" s="3">
        <v>-0.71922291405159799</v>
      </c>
      <c r="F5820" s="3">
        <v>-0.71922291405159799</v>
      </c>
      <c r="G5820" s="3">
        <v>23.006675999999999</v>
      </c>
      <c r="H5820" s="3">
        <v>541.12482862550701</v>
      </c>
      <c r="I5820" s="3">
        <v>23.226676999999999</v>
      </c>
      <c r="J5820" s="3">
        <v>23.240010999999999</v>
      </c>
      <c r="K5820" s="3">
        <v>22.973343</v>
      </c>
      <c r="L5820" s="3">
        <v>541.12482862550701</v>
      </c>
    </row>
    <row r="5821" spans="1:12" ht="15" customHeight="1" x14ac:dyDescent="0.2">
      <c r="A5821" s="2">
        <v>37602</v>
      </c>
      <c r="B5821" s="3">
        <v>23.173344</v>
      </c>
      <c r="C5821" s="1">
        <v>967753.05</v>
      </c>
      <c r="D5821" s="3">
        <v>0.186666999999999</v>
      </c>
      <c r="E5821" s="3">
        <v>0.81206605026033996</v>
      </c>
      <c r="F5821" s="3">
        <v>0.81206605026033996</v>
      </c>
      <c r="G5821" s="3">
        <v>23.173344</v>
      </c>
      <c r="H5821" s="3">
        <v>545.76934976091002</v>
      </c>
      <c r="I5821" s="3">
        <v>23.060013000000001</v>
      </c>
      <c r="J5821" s="3">
        <v>23.866678</v>
      </c>
      <c r="K5821" s="3">
        <v>23.033344</v>
      </c>
      <c r="L5821" s="3">
        <v>545.76934976091002</v>
      </c>
    </row>
    <row r="5822" spans="1:12" ht="15" customHeight="1" x14ac:dyDescent="0.2">
      <c r="A5822" s="2">
        <v>37601</v>
      </c>
      <c r="B5822" s="3">
        <v>22.986677</v>
      </c>
      <c r="C5822" s="1">
        <v>888464.54</v>
      </c>
      <c r="D5822" s="3">
        <v>0.32666599999999901</v>
      </c>
      <c r="E5822" s="3">
        <v>1.4415968288806</v>
      </c>
      <c r="F5822" s="3">
        <v>1.4415968288806</v>
      </c>
      <c r="G5822" s="3">
        <v>22.986677</v>
      </c>
      <c r="H5822" s="3">
        <v>540.567518414868</v>
      </c>
      <c r="I5822" s="3">
        <v>22.620010000000001</v>
      </c>
      <c r="J5822" s="3">
        <v>23.066676999999999</v>
      </c>
      <c r="K5822" s="3">
        <v>22.480011000000001</v>
      </c>
      <c r="L5822" s="3">
        <v>540.567518414868</v>
      </c>
    </row>
    <row r="5823" spans="1:12" ht="15" customHeight="1" x14ac:dyDescent="0.2">
      <c r="A5823" s="2">
        <v>37600</v>
      </c>
      <c r="B5823" s="3">
        <v>22.660011000000001</v>
      </c>
      <c r="C5823" s="1">
        <v>1026362.5</v>
      </c>
      <c r="D5823" s="3">
        <v>0.43933300000000097</v>
      </c>
      <c r="E5823" s="3">
        <v>1.9771358911730701</v>
      </c>
      <c r="F5823" s="3">
        <v>1.9771358911730701</v>
      </c>
      <c r="G5823" s="3">
        <v>22.660011000000001</v>
      </c>
      <c r="H5823" s="3">
        <v>531.46434839292397</v>
      </c>
      <c r="I5823" s="3">
        <v>22.286677999999998</v>
      </c>
      <c r="J5823" s="3">
        <v>22.706678</v>
      </c>
      <c r="K5823" s="3">
        <v>22.273344000000002</v>
      </c>
      <c r="L5823" s="3">
        <v>531.46434839292397</v>
      </c>
    </row>
    <row r="5824" spans="1:12" ht="15" customHeight="1" x14ac:dyDescent="0.2">
      <c r="A5824" s="2">
        <v>37599</v>
      </c>
      <c r="B5824" s="3">
        <v>22.220677999999999</v>
      </c>
      <c r="C5824" s="1">
        <v>456031.27999999898</v>
      </c>
      <c r="D5824" s="3">
        <v>-0.50599899999999898</v>
      </c>
      <c r="E5824" s="3">
        <v>-2.2264539598111899</v>
      </c>
      <c r="F5824" s="3">
        <v>-2.2264539598111899</v>
      </c>
      <c r="G5824" s="3">
        <v>22.220677999999999</v>
      </c>
      <c r="H5824" s="3">
        <v>519.22149791184904</v>
      </c>
      <c r="I5824" s="3">
        <v>22.653343</v>
      </c>
      <c r="J5824" s="3">
        <v>22.653343</v>
      </c>
      <c r="K5824" s="3">
        <v>22.213345</v>
      </c>
      <c r="L5824" s="3">
        <v>519.22149791184904</v>
      </c>
    </row>
    <row r="5825" spans="1:12" ht="15" customHeight="1" x14ac:dyDescent="0.2">
      <c r="A5825" s="2">
        <v>37596</v>
      </c>
      <c r="B5825" s="3">
        <v>22.726676999999999</v>
      </c>
      <c r="C5825" s="1">
        <v>575368.19999999995</v>
      </c>
      <c r="D5825" s="3">
        <v>0.25333399999999801</v>
      </c>
      <c r="E5825" s="3">
        <v>1.12726442167503</v>
      </c>
      <c r="F5825" s="3">
        <v>1.12726442167503</v>
      </c>
      <c r="G5825" s="3">
        <v>22.726676999999999</v>
      </c>
      <c r="H5825" s="3">
        <v>533.32212340679996</v>
      </c>
      <c r="I5825" s="3">
        <v>22.186675999999999</v>
      </c>
      <c r="J5825" s="3">
        <v>22.900010000000002</v>
      </c>
      <c r="K5825" s="3">
        <v>22.173344</v>
      </c>
      <c r="L5825" s="3">
        <v>533.32212340679996</v>
      </c>
    </row>
    <row r="5826" spans="1:12" ht="15" customHeight="1" x14ac:dyDescent="0.2">
      <c r="A5826" s="2">
        <v>37595</v>
      </c>
      <c r="B5826" s="3">
        <v>22.473343</v>
      </c>
      <c r="C5826" s="1">
        <v>1500659.3</v>
      </c>
      <c r="D5826" s="3">
        <v>-0.34666800000000098</v>
      </c>
      <c r="E5826" s="3">
        <v>-1.5191403720182299</v>
      </c>
      <c r="F5826" s="3">
        <v>-1.5191403720182299</v>
      </c>
      <c r="G5826" s="3">
        <v>22.473343</v>
      </c>
      <c r="H5826" s="3">
        <v>526.26248917997702</v>
      </c>
      <c r="I5826" s="3">
        <v>22.660011000000001</v>
      </c>
      <c r="J5826" s="3">
        <v>22.673344</v>
      </c>
      <c r="K5826" s="3">
        <v>22.133344999999998</v>
      </c>
      <c r="L5826" s="3">
        <v>526.26248917997702</v>
      </c>
    </row>
    <row r="5827" spans="1:12" ht="15" customHeight="1" x14ac:dyDescent="0.2">
      <c r="A5827" s="2">
        <v>37594</v>
      </c>
      <c r="B5827" s="3">
        <v>22.820011000000001</v>
      </c>
      <c r="C5827" s="1">
        <v>899152.04</v>
      </c>
      <c r="D5827" s="3">
        <v>-5.9998999999997603E-2</v>
      </c>
      <c r="E5827" s="3">
        <v>-0.26223327699593701</v>
      </c>
      <c r="F5827" s="3">
        <v>-0.26223327699593701</v>
      </c>
      <c r="G5827" s="3">
        <v>22.820011000000001</v>
      </c>
      <c r="H5827" s="3">
        <v>535.92305301327303</v>
      </c>
      <c r="I5827" s="3">
        <v>22.740010999999999</v>
      </c>
      <c r="J5827" s="3">
        <v>22.986677</v>
      </c>
      <c r="K5827" s="3">
        <v>22.353344</v>
      </c>
      <c r="L5827" s="3">
        <v>535.92305301327303</v>
      </c>
    </row>
    <row r="5828" spans="1:12" ht="15" customHeight="1" x14ac:dyDescent="0.2">
      <c r="A5828" s="2">
        <v>37593</v>
      </c>
      <c r="B5828" s="3">
        <v>22.880009999999999</v>
      </c>
      <c r="C5828" s="1">
        <v>1140443.5</v>
      </c>
      <c r="D5828" s="3">
        <v>-1.2066699999999999</v>
      </c>
      <c r="E5828" s="3">
        <v>-5.0096983062838101</v>
      </c>
      <c r="F5828" s="3">
        <v>-5.0096983062838101</v>
      </c>
      <c r="G5828" s="3">
        <v>22.880009999999999</v>
      </c>
      <c r="H5828" s="3">
        <v>537.59503937900001</v>
      </c>
      <c r="I5828" s="3">
        <v>24.006678000000001</v>
      </c>
      <c r="J5828" s="3">
        <v>24.020009999999999</v>
      </c>
      <c r="K5828" s="3">
        <v>22.82668</v>
      </c>
      <c r="L5828" s="3">
        <v>537.59503937900001</v>
      </c>
    </row>
    <row r="5829" spans="1:12" ht="15" customHeight="1" x14ac:dyDescent="0.2">
      <c r="A5829" s="2">
        <v>37592</v>
      </c>
      <c r="B5829" s="3">
        <v>24.086680000000001</v>
      </c>
      <c r="C5829" s="1">
        <v>812017.15</v>
      </c>
      <c r="D5829" s="3">
        <v>0.313335999999999</v>
      </c>
      <c r="E5829" s="3">
        <v>1.31801399079574</v>
      </c>
      <c r="F5829" s="3">
        <v>1.31801399079574</v>
      </c>
      <c r="G5829" s="3">
        <v>24.086680000000001</v>
      </c>
      <c r="H5829" s="3">
        <v>571.22119628048097</v>
      </c>
      <c r="I5829" s="3">
        <v>24.100012</v>
      </c>
      <c r="J5829" s="3">
        <v>24.300013</v>
      </c>
      <c r="K5829" s="3">
        <v>23.626677000000001</v>
      </c>
      <c r="L5829" s="3">
        <v>571.22119628048097</v>
      </c>
    </row>
    <row r="5830" spans="1:12" ht="15" customHeight="1" x14ac:dyDescent="0.2">
      <c r="A5830" s="2">
        <v>37589</v>
      </c>
      <c r="B5830" s="3">
        <v>23.773344000000002</v>
      </c>
      <c r="C5830" s="1">
        <v>179929.43</v>
      </c>
      <c r="D5830" s="3">
        <v>-0.34666799999999698</v>
      </c>
      <c r="E5830" s="3">
        <v>-1.4372629665358201</v>
      </c>
      <c r="F5830" s="3">
        <v>-1.4372629665358201</v>
      </c>
      <c r="G5830" s="3">
        <v>23.773344000000002</v>
      </c>
      <c r="H5830" s="3">
        <v>562.48949208722001</v>
      </c>
      <c r="I5830" s="3">
        <v>24.200013999999999</v>
      </c>
      <c r="J5830" s="3">
        <v>24.265345</v>
      </c>
      <c r="K5830" s="3">
        <v>23.686678000000001</v>
      </c>
      <c r="L5830" s="3">
        <v>562.48949208722001</v>
      </c>
    </row>
    <row r="5831" spans="1:12" ht="15" customHeight="1" x14ac:dyDescent="0.2">
      <c r="A5831" s="2">
        <v>37587</v>
      </c>
      <c r="B5831" s="3">
        <v>24.120011999999999</v>
      </c>
      <c r="C5831" s="1">
        <v>637043.69999999995</v>
      </c>
      <c r="D5831" s="3">
        <v>0.84000199999999803</v>
      </c>
      <c r="E5831" s="3">
        <v>3.6082544638082101</v>
      </c>
      <c r="F5831" s="3">
        <v>3.6082544638082101</v>
      </c>
      <c r="G5831" s="3">
        <v>24.120011999999999</v>
      </c>
      <c r="H5831" s="3">
        <v>572.150055920515</v>
      </c>
      <c r="I5831" s="3">
        <v>23.433346</v>
      </c>
      <c r="J5831" s="3">
        <v>24.32668</v>
      </c>
      <c r="K5831" s="3">
        <v>23.400010999999999</v>
      </c>
      <c r="L5831" s="3">
        <v>572.150055920515</v>
      </c>
    </row>
    <row r="5832" spans="1:12" ht="15" customHeight="1" x14ac:dyDescent="0.2">
      <c r="A5832" s="2">
        <v>37586</v>
      </c>
      <c r="B5832" s="3">
        <v>23.280010000000001</v>
      </c>
      <c r="C5832" s="1">
        <v>1163999.5</v>
      </c>
      <c r="D5832" s="3">
        <v>-0.59999999999999698</v>
      </c>
      <c r="E5832" s="3">
        <v>-2.5125617619087999</v>
      </c>
      <c r="F5832" s="3">
        <v>-2.5125617619087999</v>
      </c>
      <c r="G5832" s="3">
        <v>23.280010000000001</v>
      </c>
      <c r="H5832" s="3">
        <v>548.74180092987399</v>
      </c>
      <c r="I5832" s="3">
        <v>23.873346000000002</v>
      </c>
      <c r="J5832" s="3">
        <v>23.880009999999999</v>
      </c>
      <c r="K5832" s="3">
        <v>23.213345</v>
      </c>
      <c r="L5832" s="3">
        <v>548.74180092987399</v>
      </c>
    </row>
    <row r="5833" spans="1:12" ht="15" customHeight="1" x14ac:dyDescent="0.2">
      <c r="A5833" s="2">
        <v>37585</v>
      </c>
      <c r="B5833" s="3">
        <v>23.880009999999999</v>
      </c>
      <c r="C5833" s="1">
        <v>659186.69999999995</v>
      </c>
      <c r="D5833" s="3">
        <v>-0.16600100000000101</v>
      </c>
      <c r="E5833" s="3">
        <v>-0.69034735116773005</v>
      </c>
      <c r="F5833" s="3">
        <v>-0.69034735116773005</v>
      </c>
      <c r="G5833" s="3">
        <v>23.880009999999999</v>
      </c>
      <c r="H5833" s="3">
        <v>565.46194325618399</v>
      </c>
      <c r="I5833" s="3">
        <v>24.000011000000001</v>
      </c>
      <c r="J5833" s="3">
        <v>24.253344999999999</v>
      </c>
      <c r="K5833" s="3">
        <v>23.760012</v>
      </c>
      <c r="L5833" s="3">
        <v>565.46194325618399</v>
      </c>
    </row>
    <row r="5834" spans="1:12" ht="15" customHeight="1" x14ac:dyDescent="0.2">
      <c r="A5834" s="2">
        <v>37582</v>
      </c>
      <c r="B5834" s="3">
        <v>24.046011</v>
      </c>
      <c r="C5834" s="1">
        <v>822779.6</v>
      </c>
      <c r="D5834" s="3">
        <v>-0.220669</v>
      </c>
      <c r="E5834" s="3">
        <v>-0.909349775082546</v>
      </c>
      <c r="F5834" s="3">
        <v>-0.909349775082546</v>
      </c>
      <c r="G5834" s="3">
        <v>24.046011</v>
      </c>
      <c r="H5834" s="3">
        <v>570.08787716669997</v>
      </c>
      <c r="I5834" s="3">
        <v>23.973344999999998</v>
      </c>
      <c r="J5834" s="3">
        <v>24.620011999999999</v>
      </c>
      <c r="K5834" s="3">
        <v>23.833345000000001</v>
      </c>
      <c r="L5834" s="3">
        <v>570.08787716669997</v>
      </c>
    </row>
    <row r="5835" spans="1:12" ht="15" customHeight="1" x14ac:dyDescent="0.2">
      <c r="A5835" s="2">
        <v>37581</v>
      </c>
      <c r="B5835" s="3">
        <v>24.266680000000001</v>
      </c>
      <c r="C5835" s="1">
        <v>1506387.7</v>
      </c>
      <c r="D5835" s="3">
        <v>1.2066699999999999</v>
      </c>
      <c r="E5835" s="3">
        <v>5.23273840731206</v>
      </c>
      <c r="F5835" s="3">
        <v>5.23273840731206</v>
      </c>
      <c r="G5835" s="3">
        <v>24.266680000000001</v>
      </c>
      <c r="H5835" s="3">
        <v>576.23723897837397</v>
      </c>
      <c r="I5835" s="3">
        <v>23.100012</v>
      </c>
      <c r="J5835" s="3">
        <v>24.666679999999999</v>
      </c>
      <c r="K5835" s="3">
        <v>23.066676999999999</v>
      </c>
      <c r="L5835" s="3">
        <v>576.23723897837397</v>
      </c>
    </row>
    <row r="5836" spans="1:12" ht="15" customHeight="1" x14ac:dyDescent="0.2">
      <c r="A5836" s="2">
        <v>37580</v>
      </c>
      <c r="B5836" s="3">
        <v>23.060009999999998</v>
      </c>
      <c r="C5836" s="1">
        <v>756599.6</v>
      </c>
      <c r="D5836" s="3">
        <v>0.64666699999999699</v>
      </c>
      <c r="E5836" s="3">
        <v>2.8851876313140599</v>
      </c>
      <c r="F5836" s="3">
        <v>2.8851876313140599</v>
      </c>
      <c r="G5836" s="3">
        <v>23.060009999999998</v>
      </c>
      <c r="H5836" s="3">
        <v>542.61108207689301</v>
      </c>
      <c r="I5836" s="3">
        <v>22.426677999999999</v>
      </c>
      <c r="J5836" s="3">
        <v>23.166677</v>
      </c>
      <c r="K5836" s="3">
        <v>22.180012000000001</v>
      </c>
      <c r="L5836" s="3">
        <v>542.61108207689301</v>
      </c>
    </row>
    <row r="5837" spans="1:12" ht="15" customHeight="1" x14ac:dyDescent="0.2">
      <c r="A5837" s="2">
        <v>37579</v>
      </c>
      <c r="B5837" s="3">
        <v>22.413343000000001</v>
      </c>
      <c r="C5837" s="1">
        <v>503980.26</v>
      </c>
      <c r="D5837" s="3">
        <v>6.6665000000000404E-2</v>
      </c>
      <c r="E5837" s="3">
        <v>0.29832174607786699</v>
      </c>
      <c r="F5837" s="3">
        <v>0.29832174607786699</v>
      </c>
      <c r="G5837" s="3">
        <v>22.413343000000001</v>
      </c>
      <c r="H5837" s="3">
        <v>524.59047494734602</v>
      </c>
      <c r="I5837" s="3">
        <v>22.240010999999999</v>
      </c>
      <c r="J5837" s="3">
        <v>22.493345000000001</v>
      </c>
      <c r="K5837" s="3">
        <v>21.860009999999999</v>
      </c>
      <c r="L5837" s="3">
        <v>524.59047494734602</v>
      </c>
    </row>
    <row r="5838" spans="1:12" ht="15" customHeight="1" x14ac:dyDescent="0.2">
      <c r="A5838" s="2">
        <v>37578</v>
      </c>
      <c r="B5838" s="3">
        <v>22.346678000000001</v>
      </c>
      <c r="C5838" s="1">
        <v>729065.6</v>
      </c>
      <c r="D5838" s="3">
        <v>-0.279999</v>
      </c>
      <c r="E5838" s="3">
        <v>-1.23747291747701</v>
      </c>
      <c r="F5838" s="3">
        <v>-1.23747291747701</v>
      </c>
      <c r="G5838" s="3">
        <v>22.346678000000001</v>
      </c>
      <c r="H5838" s="3">
        <v>522.73272780037405</v>
      </c>
      <c r="I5838" s="3">
        <v>22.766677999999999</v>
      </c>
      <c r="J5838" s="3">
        <v>22.966678999999999</v>
      </c>
      <c r="K5838" s="3">
        <v>22.200009999999999</v>
      </c>
      <c r="L5838" s="3">
        <v>522.73272780037405</v>
      </c>
    </row>
    <row r="5839" spans="1:12" ht="15" customHeight="1" x14ac:dyDescent="0.2">
      <c r="A5839" s="2">
        <v>37575</v>
      </c>
      <c r="B5839" s="3">
        <v>22.626677000000001</v>
      </c>
      <c r="C5839" s="1">
        <v>785416.14</v>
      </c>
      <c r="D5839" s="3">
        <v>0.20666500000000099</v>
      </c>
      <c r="E5839" s="3">
        <v>0.92178808824903102</v>
      </c>
      <c r="F5839" s="3">
        <v>0.92178808824903102</v>
      </c>
      <c r="G5839" s="3">
        <v>22.626677000000001</v>
      </c>
      <c r="H5839" s="3">
        <v>530.53543301908201</v>
      </c>
      <c r="I5839" s="3">
        <v>22.393345</v>
      </c>
      <c r="J5839" s="3">
        <v>22.833344</v>
      </c>
      <c r="K5839" s="3">
        <v>22.366675999999998</v>
      </c>
      <c r="L5839" s="3">
        <v>530.53543301908201</v>
      </c>
    </row>
    <row r="5840" spans="1:12" ht="15" customHeight="1" x14ac:dyDescent="0.2">
      <c r="A5840" s="2">
        <v>37574</v>
      </c>
      <c r="B5840" s="3">
        <v>22.420012</v>
      </c>
      <c r="C5840" s="1">
        <v>1109776</v>
      </c>
      <c r="D5840" s="3">
        <v>0.67933499999999802</v>
      </c>
      <c r="E5840" s="3">
        <v>3.12471870126214</v>
      </c>
      <c r="F5840" s="3">
        <v>3.12471870126214</v>
      </c>
      <c r="G5840" s="3">
        <v>22.420012</v>
      </c>
      <c r="H5840" s="3">
        <v>524.77631932930296</v>
      </c>
      <c r="I5840" s="3">
        <v>21.720009999999998</v>
      </c>
      <c r="J5840" s="3">
        <v>22.452679</v>
      </c>
      <c r="K5840" s="3">
        <v>21.713342999999998</v>
      </c>
      <c r="L5840" s="3">
        <v>524.77631932930296</v>
      </c>
    </row>
    <row r="5841" spans="1:12" ht="15" customHeight="1" x14ac:dyDescent="0.2">
      <c r="A5841" s="2">
        <v>37573</v>
      </c>
      <c r="B5841" s="3">
        <v>21.740677000000002</v>
      </c>
      <c r="C5841" s="1">
        <v>1234856.29999999</v>
      </c>
      <c r="D5841" s="3">
        <v>7.4000000000001606E-2</v>
      </c>
      <c r="E5841" s="3">
        <v>0.34153829865097801</v>
      </c>
      <c r="F5841" s="3">
        <v>0.34153829865097801</v>
      </c>
      <c r="G5841" s="3">
        <v>21.740677000000002</v>
      </c>
      <c r="H5841" s="3">
        <v>505.84535618389702</v>
      </c>
      <c r="I5841" s="3">
        <v>21.660011000000001</v>
      </c>
      <c r="J5841" s="3">
        <v>21.860009999999999</v>
      </c>
      <c r="K5841" s="3">
        <v>21.174009999999999</v>
      </c>
      <c r="L5841" s="3">
        <v>505.84535618389702</v>
      </c>
    </row>
    <row r="5842" spans="1:12" ht="15" customHeight="1" x14ac:dyDescent="0.2">
      <c r="A5842" s="2">
        <v>37572</v>
      </c>
      <c r="B5842" s="3">
        <v>21.666677</v>
      </c>
      <c r="C5842" s="1">
        <v>1199711.3999999999</v>
      </c>
      <c r="D5842" s="3">
        <v>0.213332999999998</v>
      </c>
      <c r="E5842" s="3">
        <v>0.99440441546081404</v>
      </c>
      <c r="F5842" s="3">
        <v>0.99440441546081404</v>
      </c>
      <c r="G5842" s="3">
        <v>21.666677</v>
      </c>
      <c r="H5842" s="3">
        <v>503.78320529698499</v>
      </c>
      <c r="I5842" s="3">
        <v>21.50001</v>
      </c>
      <c r="J5842" s="3">
        <v>22.026678</v>
      </c>
      <c r="K5842" s="3">
        <v>21.153343</v>
      </c>
      <c r="L5842" s="3">
        <v>503.78320529698499</v>
      </c>
    </row>
    <row r="5843" spans="1:12" ht="15" customHeight="1" x14ac:dyDescent="0.2">
      <c r="A5843" s="2">
        <v>37571</v>
      </c>
      <c r="B5843" s="3">
        <v>21.453344000000001</v>
      </c>
      <c r="C5843" s="1">
        <v>787175.6</v>
      </c>
      <c r="D5843" s="3">
        <v>-0.54000099999999995</v>
      </c>
      <c r="E5843" s="3">
        <v>-2.45529272604962</v>
      </c>
      <c r="F5843" s="3">
        <v>-2.45529272604962</v>
      </c>
      <c r="G5843" s="3">
        <v>21.453344000000001</v>
      </c>
      <c r="H5843" s="3">
        <v>497.83827509215399</v>
      </c>
      <c r="I5843" s="3">
        <v>21.973343</v>
      </c>
      <c r="J5843" s="3">
        <v>21.980011000000001</v>
      </c>
      <c r="K5843" s="3">
        <v>21.366675999999998</v>
      </c>
      <c r="L5843" s="3">
        <v>497.83827509215399</v>
      </c>
    </row>
    <row r="5844" spans="1:12" ht="15" customHeight="1" x14ac:dyDescent="0.2">
      <c r="A5844" s="2">
        <v>37568</v>
      </c>
      <c r="B5844" s="3">
        <v>21.993345000000001</v>
      </c>
      <c r="C5844" s="1">
        <v>748673.64999999898</v>
      </c>
      <c r="D5844" s="3">
        <v>-0.126664999999999</v>
      </c>
      <c r="E5844" s="3">
        <v>-0.57262632340582198</v>
      </c>
      <c r="F5844" s="3">
        <v>-0.57262632340582198</v>
      </c>
      <c r="G5844" s="3">
        <v>21.993345000000001</v>
      </c>
      <c r="H5844" s="3">
        <v>512.88643105273695</v>
      </c>
      <c r="I5844" s="3">
        <v>22.073345</v>
      </c>
      <c r="J5844" s="3">
        <v>22.113341999999999</v>
      </c>
      <c r="K5844" s="3">
        <v>21.453344000000001</v>
      </c>
      <c r="L5844" s="3">
        <v>512.88643105273695</v>
      </c>
    </row>
    <row r="5845" spans="1:12" ht="15" customHeight="1" x14ac:dyDescent="0.2">
      <c r="A5845" s="2">
        <v>37567</v>
      </c>
      <c r="B5845" s="3">
        <v>22.120010000000001</v>
      </c>
      <c r="C5845" s="1">
        <v>1196562.8999999999</v>
      </c>
      <c r="D5845" s="3">
        <v>-0.5</v>
      </c>
      <c r="E5845" s="3">
        <v>-2.2104322677134101</v>
      </c>
      <c r="F5845" s="3">
        <v>-2.2104322677134101</v>
      </c>
      <c r="G5845" s="3">
        <v>22.120010000000001</v>
      </c>
      <c r="H5845" s="3">
        <v>516.41619243234095</v>
      </c>
      <c r="I5845" s="3">
        <v>22.560013000000001</v>
      </c>
      <c r="J5845" s="3">
        <v>22.560009999999998</v>
      </c>
      <c r="K5845" s="3">
        <v>22.080010000000001</v>
      </c>
      <c r="L5845" s="3">
        <v>516.41619243234095</v>
      </c>
    </row>
    <row r="5846" spans="1:12" ht="15" customHeight="1" x14ac:dyDescent="0.2">
      <c r="A5846" s="2">
        <v>37566</v>
      </c>
      <c r="B5846" s="3">
        <v>22.620010000000001</v>
      </c>
      <c r="C5846" s="1">
        <v>828515.6</v>
      </c>
      <c r="D5846" s="3">
        <v>6.6665000000000404E-2</v>
      </c>
      <c r="E5846" s="3">
        <v>0.29558808238867501</v>
      </c>
      <c r="F5846" s="3">
        <v>0.29558808238867501</v>
      </c>
      <c r="G5846" s="3">
        <v>22.620010000000001</v>
      </c>
      <c r="H5846" s="3">
        <v>530.34964437093197</v>
      </c>
      <c r="I5846" s="3">
        <v>22.64001</v>
      </c>
      <c r="J5846" s="3">
        <v>22.926677999999999</v>
      </c>
      <c r="K5846" s="3">
        <v>22.340009999999999</v>
      </c>
      <c r="L5846" s="3">
        <v>530.34964437093197</v>
      </c>
    </row>
    <row r="5847" spans="1:12" ht="15" customHeight="1" x14ac:dyDescent="0.2">
      <c r="A5847" s="2">
        <v>37565</v>
      </c>
      <c r="B5847" s="3">
        <v>22.553345</v>
      </c>
      <c r="C5847" s="1">
        <v>528665.80000000005</v>
      </c>
      <c r="D5847" s="3">
        <v>4.0001000000000099E-2</v>
      </c>
      <c r="E5847" s="3">
        <v>0.17767684800622499</v>
      </c>
      <c r="F5847" s="3">
        <v>0.17767684800622499</v>
      </c>
      <c r="G5847" s="3">
        <v>22.553345</v>
      </c>
      <c r="H5847" s="3">
        <v>528.49189722396</v>
      </c>
      <c r="I5847" s="3">
        <v>22.406676999999998</v>
      </c>
      <c r="J5847" s="3">
        <v>22.80001</v>
      </c>
      <c r="K5847" s="3">
        <v>22.293343</v>
      </c>
      <c r="L5847" s="3">
        <v>528.49189722396</v>
      </c>
    </row>
    <row r="5848" spans="1:12" ht="15" customHeight="1" x14ac:dyDescent="0.2">
      <c r="A5848" s="2">
        <v>37564</v>
      </c>
      <c r="B5848" s="3">
        <v>22.513344</v>
      </c>
      <c r="C5848" s="1">
        <v>1072378</v>
      </c>
      <c r="D5848" s="3">
        <v>-0.153332999999999</v>
      </c>
      <c r="E5848" s="3">
        <v>-0.67646880925686903</v>
      </c>
      <c r="F5848" s="3">
        <v>-0.67646880925686903</v>
      </c>
      <c r="G5848" s="3">
        <v>22.513344</v>
      </c>
      <c r="H5848" s="3">
        <v>527.37719320196902</v>
      </c>
      <c r="I5848" s="3">
        <v>22.766677999999999</v>
      </c>
      <c r="J5848" s="3">
        <v>23.280010000000001</v>
      </c>
      <c r="K5848" s="3">
        <v>22.506675999999999</v>
      </c>
      <c r="L5848" s="3">
        <v>527.37719320196902</v>
      </c>
    </row>
    <row r="5849" spans="1:12" ht="15" customHeight="1" x14ac:dyDescent="0.2">
      <c r="A5849" s="2">
        <v>37561</v>
      </c>
      <c r="B5849" s="3">
        <v>22.666677</v>
      </c>
      <c r="C5849" s="1">
        <v>855553.04</v>
      </c>
      <c r="D5849" s="3">
        <v>6.6665000000000404E-2</v>
      </c>
      <c r="E5849" s="3">
        <v>0.29497771948085999</v>
      </c>
      <c r="F5849" s="3">
        <v>0.29497771948085999</v>
      </c>
      <c r="G5849" s="3">
        <v>22.666677</v>
      </c>
      <c r="H5849" s="3">
        <v>531.65010917416896</v>
      </c>
      <c r="I5849" s="3">
        <v>22.633347000000001</v>
      </c>
      <c r="J5849" s="3">
        <v>22.700009999999999</v>
      </c>
      <c r="K5849" s="3">
        <v>22.380009999999999</v>
      </c>
      <c r="L5849" s="3">
        <v>531.65010917416896</v>
      </c>
    </row>
    <row r="5850" spans="1:12" ht="15" customHeight="1" x14ac:dyDescent="0.2">
      <c r="A5850" s="2">
        <v>37560</v>
      </c>
      <c r="B5850" s="3">
        <v>22.600012</v>
      </c>
      <c r="C5850" s="1">
        <v>802144.1</v>
      </c>
      <c r="D5850" s="3">
        <v>-0.14666499999999799</v>
      </c>
      <c r="E5850" s="3">
        <v>-0.64477549841674897</v>
      </c>
      <c r="F5850" s="3">
        <v>-0.64477549841674897</v>
      </c>
      <c r="G5850" s="3">
        <v>22.600012</v>
      </c>
      <c r="H5850" s="3">
        <v>529.79236202719596</v>
      </c>
      <c r="I5850" s="3">
        <v>22.820011000000001</v>
      </c>
      <c r="J5850" s="3">
        <v>23.186744999999998</v>
      </c>
      <c r="K5850" s="3">
        <v>22.546676999999999</v>
      </c>
      <c r="L5850" s="3">
        <v>529.79236202719596</v>
      </c>
    </row>
    <row r="5851" spans="1:12" ht="15" customHeight="1" x14ac:dyDescent="0.2">
      <c r="A5851" s="2">
        <v>37559</v>
      </c>
      <c r="B5851" s="3">
        <v>22.746676999999998</v>
      </c>
      <c r="C5851" s="1">
        <v>1345893.9</v>
      </c>
      <c r="D5851" s="3">
        <v>-0.44733500000000198</v>
      </c>
      <c r="E5851" s="3">
        <v>-1.92866589876733</v>
      </c>
      <c r="F5851" s="3">
        <v>-1.92866589876733</v>
      </c>
      <c r="G5851" s="3">
        <v>22.746676999999998</v>
      </c>
      <c r="H5851" s="3">
        <v>533.87946148434401</v>
      </c>
      <c r="I5851" s="3">
        <v>22.926677999999999</v>
      </c>
      <c r="J5851" s="3">
        <v>22.933346</v>
      </c>
      <c r="K5851" s="3">
        <v>22.033344</v>
      </c>
      <c r="L5851" s="3">
        <v>533.87946148434401</v>
      </c>
    </row>
    <row r="5852" spans="1:12" ht="15" customHeight="1" x14ac:dyDescent="0.2">
      <c r="A5852" s="2">
        <v>37558</v>
      </c>
      <c r="B5852" s="3">
        <v>23.194012000000001</v>
      </c>
      <c r="C5852" s="1">
        <v>980038.1</v>
      </c>
      <c r="D5852" s="3">
        <v>0.180668</v>
      </c>
      <c r="E5852" s="3">
        <v>0.78505757355384898</v>
      </c>
      <c r="F5852" s="3">
        <v>0.78505757355384898</v>
      </c>
      <c r="G5852" s="3">
        <v>23.194012000000001</v>
      </c>
      <c r="H5852" s="3">
        <v>546.34530293024397</v>
      </c>
      <c r="I5852" s="3">
        <v>23.013344</v>
      </c>
      <c r="J5852" s="3">
        <v>23.313345000000002</v>
      </c>
      <c r="K5852" s="3">
        <v>22.573345</v>
      </c>
      <c r="L5852" s="3">
        <v>546.34530293024397</v>
      </c>
    </row>
    <row r="5853" spans="1:12" ht="15" customHeight="1" x14ac:dyDescent="0.2">
      <c r="A5853" s="2">
        <v>37557</v>
      </c>
      <c r="B5853" s="3">
        <v>23.013344</v>
      </c>
      <c r="C5853" s="1">
        <v>978692.57</v>
      </c>
      <c r="D5853" s="3">
        <v>-1.9999999999999501E-2</v>
      </c>
      <c r="E5853" s="3">
        <v>-8.6830639962653902E-2</v>
      </c>
      <c r="F5853" s="3">
        <v>-8.6830639962653902E-2</v>
      </c>
      <c r="G5853" s="3">
        <v>23.013344</v>
      </c>
      <c r="H5853" s="3">
        <v>541.31064514056004</v>
      </c>
      <c r="I5853" s="3">
        <v>23.333344</v>
      </c>
      <c r="J5853" s="3">
        <v>23.546679000000001</v>
      </c>
      <c r="K5853" s="3">
        <v>22.780010000000001</v>
      </c>
      <c r="L5853" s="3">
        <v>541.31064514056004</v>
      </c>
    </row>
    <row r="5854" spans="1:12" ht="15" customHeight="1" x14ac:dyDescent="0.2">
      <c r="A5854" s="2">
        <v>37554</v>
      </c>
      <c r="B5854" s="3">
        <v>23.033344</v>
      </c>
      <c r="C5854" s="1">
        <v>482930.8</v>
      </c>
      <c r="D5854" s="3">
        <v>0.53999899999999801</v>
      </c>
      <c r="E5854" s="3">
        <v>2.4007056309321499</v>
      </c>
      <c r="F5854" s="3">
        <v>2.4007056309321499</v>
      </c>
      <c r="G5854" s="3">
        <v>23.033344</v>
      </c>
      <c r="H5854" s="3">
        <v>541.86798321810397</v>
      </c>
      <c r="I5854" s="3">
        <v>22.533344</v>
      </c>
      <c r="J5854" s="3">
        <v>23.200009999999999</v>
      </c>
      <c r="K5854" s="3">
        <v>22.400010000000002</v>
      </c>
      <c r="L5854" s="3">
        <v>541.86798321810397</v>
      </c>
    </row>
    <row r="5855" spans="1:12" ht="15" customHeight="1" x14ac:dyDescent="0.2">
      <c r="A5855" s="2">
        <v>37553</v>
      </c>
      <c r="B5855" s="3">
        <v>22.493345000000001</v>
      </c>
      <c r="C5855" s="1">
        <v>1114789</v>
      </c>
      <c r="D5855" s="3">
        <v>-0.16666599999999901</v>
      </c>
      <c r="E5855" s="3">
        <v>-0.73550714516422699</v>
      </c>
      <c r="F5855" s="3">
        <v>-0.73550714516422699</v>
      </c>
      <c r="G5855" s="3">
        <v>22.493345000000001</v>
      </c>
      <c r="H5855" s="3">
        <v>526.819882991329</v>
      </c>
      <c r="I5855" s="3">
        <v>22.666677</v>
      </c>
      <c r="J5855" s="3">
        <v>23.166677</v>
      </c>
      <c r="K5855" s="3">
        <v>22.433346</v>
      </c>
      <c r="L5855" s="3">
        <v>526.819882991329</v>
      </c>
    </row>
    <row r="5856" spans="1:12" ht="15" customHeight="1" x14ac:dyDescent="0.2">
      <c r="A5856" s="2">
        <v>37552</v>
      </c>
      <c r="B5856" s="3">
        <v>22.660011000000001</v>
      </c>
      <c r="C5856" s="1">
        <v>1138057</v>
      </c>
      <c r="D5856" s="3">
        <v>-4.6666999999999299E-2</v>
      </c>
      <c r="E5856" s="3">
        <v>-0.205521036586675</v>
      </c>
      <c r="F5856" s="3">
        <v>-0.205521036586675</v>
      </c>
      <c r="G5856" s="3">
        <v>22.660011000000001</v>
      </c>
      <c r="H5856" s="3">
        <v>531.46434839292397</v>
      </c>
      <c r="I5856" s="3">
        <v>22.600012</v>
      </c>
      <c r="J5856" s="3">
        <v>23.000011000000001</v>
      </c>
      <c r="K5856" s="3">
        <v>22.373343999999999</v>
      </c>
      <c r="L5856" s="3">
        <v>531.46434839292397</v>
      </c>
    </row>
    <row r="5857" spans="1:12" ht="15" customHeight="1" x14ac:dyDescent="0.2">
      <c r="A5857" s="2">
        <v>37551</v>
      </c>
      <c r="B5857" s="3">
        <v>22.706678</v>
      </c>
      <c r="C5857" s="1">
        <v>2072663</v>
      </c>
      <c r="D5857" s="3">
        <v>-0.46666600000000003</v>
      </c>
      <c r="E5857" s="3">
        <v>-2.0138051720114198</v>
      </c>
      <c r="F5857" s="3">
        <v>-2.0138051720114198</v>
      </c>
      <c r="G5857" s="3">
        <v>22.706678</v>
      </c>
      <c r="H5857" s="3">
        <v>532.76481319616005</v>
      </c>
      <c r="I5857" s="3">
        <v>22.966678999999999</v>
      </c>
      <c r="J5857" s="3">
        <v>23.686678000000001</v>
      </c>
      <c r="K5857" s="3">
        <v>22.580010000000001</v>
      </c>
      <c r="L5857" s="3">
        <v>532.76481319616005</v>
      </c>
    </row>
    <row r="5858" spans="1:12" ht="15" customHeight="1" x14ac:dyDescent="0.2">
      <c r="A5858" s="2">
        <v>37550</v>
      </c>
      <c r="B5858" s="3">
        <v>23.173344</v>
      </c>
      <c r="C5858" s="1">
        <v>1791344.1</v>
      </c>
      <c r="D5858" s="3">
        <v>0.566666000000001</v>
      </c>
      <c r="E5858" s="3">
        <v>2.5066310052277401</v>
      </c>
      <c r="F5858" s="3">
        <v>2.5066310052277401</v>
      </c>
      <c r="G5858" s="3">
        <v>23.173344</v>
      </c>
      <c r="H5858" s="3">
        <v>545.76934976091002</v>
      </c>
      <c r="I5858" s="3">
        <v>22.600012</v>
      </c>
      <c r="J5858" s="3">
        <v>23.273344000000002</v>
      </c>
      <c r="K5858" s="3">
        <v>22.333344</v>
      </c>
      <c r="L5858" s="3">
        <v>545.76934976091002</v>
      </c>
    </row>
    <row r="5859" spans="1:12" ht="15" customHeight="1" x14ac:dyDescent="0.2">
      <c r="A5859" s="2">
        <v>37547</v>
      </c>
      <c r="B5859" s="3">
        <v>22.606677999999999</v>
      </c>
      <c r="C5859" s="1">
        <v>4573214.3999999901</v>
      </c>
      <c r="D5859" s="3">
        <v>0.60666699999999796</v>
      </c>
      <c r="E5859" s="3">
        <v>2.75757589393932</v>
      </c>
      <c r="F5859" s="3">
        <v>2.75757589393932</v>
      </c>
      <c r="G5859" s="3">
        <v>22.606677999999999</v>
      </c>
      <c r="H5859" s="3">
        <v>529.97812280844198</v>
      </c>
      <c r="I5859" s="3">
        <v>20.933344000000002</v>
      </c>
      <c r="J5859" s="3">
        <v>23.400010999999999</v>
      </c>
      <c r="K5859" s="3">
        <v>20.540009000000001</v>
      </c>
      <c r="L5859" s="3">
        <v>529.97812280844198</v>
      </c>
    </row>
    <row r="5860" spans="1:12" ht="15" customHeight="1" x14ac:dyDescent="0.2">
      <c r="A5860" s="2">
        <v>37546</v>
      </c>
      <c r="B5860" s="3">
        <v>22.000011000000001</v>
      </c>
      <c r="C5860" s="1">
        <v>1972239.5</v>
      </c>
      <c r="D5860" s="3">
        <v>-0.26666699999999799</v>
      </c>
      <c r="E5860" s="3">
        <v>-1.1976056778653601</v>
      </c>
      <c r="F5860" s="3">
        <v>-1.1976056778653601</v>
      </c>
      <c r="G5860" s="3">
        <v>22.000011000000001</v>
      </c>
      <c r="H5860" s="3">
        <v>513.07219183398195</v>
      </c>
      <c r="I5860" s="3">
        <v>22.346679999999999</v>
      </c>
      <c r="J5860" s="3">
        <v>23.053345</v>
      </c>
      <c r="K5860" s="3">
        <v>21.900010000000002</v>
      </c>
      <c r="L5860" s="3">
        <v>513.07219183398195</v>
      </c>
    </row>
    <row r="5861" spans="1:12" ht="15" customHeight="1" x14ac:dyDescent="0.2">
      <c r="A5861" s="2">
        <v>37545</v>
      </c>
      <c r="B5861" s="3">
        <v>22.266677999999999</v>
      </c>
      <c r="C5861" s="1">
        <v>1832484.6</v>
      </c>
      <c r="D5861" s="3">
        <v>0.46000099999999799</v>
      </c>
      <c r="E5861" s="3">
        <v>2.1094502385668301</v>
      </c>
      <c r="F5861" s="3">
        <v>2.1094502385668301</v>
      </c>
      <c r="G5861" s="3">
        <v>22.266677999999999</v>
      </c>
      <c r="H5861" s="3">
        <v>520.50337549019901</v>
      </c>
      <c r="I5861" s="3">
        <v>21.740010999999999</v>
      </c>
      <c r="J5861" s="3">
        <v>22.320011000000001</v>
      </c>
      <c r="K5861" s="3">
        <v>21.166677</v>
      </c>
      <c r="L5861" s="3">
        <v>520.50337549019901</v>
      </c>
    </row>
    <row r="5862" spans="1:12" ht="15" customHeight="1" x14ac:dyDescent="0.2">
      <c r="A5862" s="2">
        <v>37544</v>
      </c>
      <c r="B5862" s="3">
        <v>21.806677000000001</v>
      </c>
      <c r="C5862" s="1">
        <v>1729457.2</v>
      </c>
      <c r="D5862" s="3">
        <v>1.006667</v>
      </c>
      <c r="E5862" s="3">
        <v>4.8397428655082297</v>
      </c>
      <c r="F5862" s="3">
        <v>4.8397428655082297</v>
      </c>
      <c r="G5862" s="3">
        <v>21.806677000000001</v>
      </c>
      <c r="H5862" s="3">
        <v>507.68457183979098</v>
      </c>
      <c r="I5862" s="3">
        <v>21.200009999999999</v>
      </c>
      <c r="J5862" s="3">
        <v>22.260010000000001</v>
      </c>
      <c r="K5862" s="3">
        <v>21.146674999999998</v>
      </c>
      <c r="L5862" s="3">
        <v>507.68457183979098</v>
      </c>
    </row>
    <row r="5863" spans="1:12" ht="15" customHeight="1" x14ac:dyDescent="0.2">
      <c r="A5863" s="2">
        <v>37543</v>
      </c>
      <c r="B5863" s="3">
        <v>20.80001</v>
      </c>
      <c r="C5863" s="1">
        <v>1081258</v>
      </c>
      <c r="D5863" s="3">
        <v>0.84666800000000098</v>
      </c>
      <c r="E5863" s="3">
        <v>4.2432390523852996</v>
      </c>
      <c r="F5863" s="3">
        <v>4.2432390523852996</v>
      </c>
      <c r="G5863" s="3">
        <v>20.80001</v>
      </c>
      <c r="H5863" s="3">
        <v>479.63187931445799</v>
      </c>
      <c r="I5863" s="3">
        <v>19.906676999999998</v>
      </c>
      <c r="J5863" s="3">
        <v>20.926676</v>
      </c>
      <c r="K5863" s="3">
        <v>19.600010000000001</v>
      </c>
      <c r="L5863" s="3">
        <v>479.63187931445799</v>
      </c>
    </row>
    <row r="5864" spans="1:12" ht="15" customHeight="1" x14ac:dyDescent="0.2">
      <c r="A5864" s="2">
        <v>37540</v>
      </c>
      <c r="B5864" s="3">
        <v>19.953341999999999</v>
      </c>
      <c r="C5864" s="1">
        <v>1332329.3</v>
      </c>
      <c r="D5864" s="3">
        <v>0.27999799999999903</v>
      </c>
      <c r="E5864" s="3">
        <v>1.4232354194589201</v>
      </c>
      <c r="F5864" s="3">
        <v>1.4232354194589201</v>
      </c>
      <c r="G5864" s="3">
        <v>19.953341999999999</v>
      </c>
      <c r="H5864" s="3">
        <v>456.03786354257102</v>
      </c>
      <c r="I5864" s="3">
        <v>19.886676999999999</v>
      </c>
      <c r="J5864" s="3">
        <v>20.613341999999999</v>
      </c>
      <c r="K5864" s="3">
        <v>19.80001</v>
      </c>
      <c r="L5864" s="3">
        <v>456.03786354257102</v>
      </c>
    </row>
    <row r="5865" spans="1:12" ht="15" customHeight="1" x14ac:dyDescent="0.2">
      <c r="A5865" s="2">
        <v>37539</v>
      </c>
      <c r="B5865" s="3">
        <v>19.673344</v>
      </c>
      <c r="C5865" s="1">
        <v>1975505</v>
      </c>
      <c r="D5865" s="3">
        <v>-0.35999799999999998</v>
      </c>
      <c r="E5865" s="3">
        <v>-1.7969942309176301</v>
      </c>
      <c r="F5865" s="3">
        <v>-1.7969942309176301</v>
      </c>
      <c r="G5865" s="3">
        <v>19.673344</v>
      </c>
      <c r="H5865" s="3">
        <v>448.23518619076702</v>
      </c>
      <c r="I5865" s="3">
        <v>19.833344</v>
      </c>
      <c r="J5865" s="3">
        <v>20.033342000000001</v>
      </c>
      <c r="K5865" s="3">
        <v>18.633343</v>
      </c>
      <c r="L5865" s="3">
        <v>448.23518619076702</v>
      </c>
    </row>
    <row r="5866" spans="1:12" ht="15" customHeight="1" x14ac:dyDescent="0.2">
      <c r="A5866" s="2">
        <v>37538</v>
      </c>
      <c r="B5866" s="3">
        <v>20.033342000000001</v>
      </c>
      <c r="C5866" s="1">
        <v>2242563.5</v>
      </c>
      <c r="D5866" s="3">
        <v>-1.02533399999999</v>
      </c>
      <c r="E5866" s="3">
        <v>-4.8689385790445501</v>
      </c>
      <c r="F5866" s="3">
        <v>-4.8689385790445501</v>
      </c>
      <c r="G5866" s="3">
        <v>20.033342000000001</v>
      </c>
      <c r="H5866" s="3">
        <v>458.26721585274498</v>
      </c>
      <c r="I5866" s="3">
        <v>20.793344000000001</v>
      </c>
      <c r="J5866" s="3">
        <v>20.813345000000002</v>
      </c>
      <c r="K5866" s="3">
        <v>19.466677000000001</v>
      </c>
      <c r="L5866" s="3">
        <v>458.26721585274498</v>
      </c>
    </row>
    <row r="5867" spans="1:12" ht="15" customHeight="1" x14ac:dyDescent="0.2">
      <c r="A5867" s="2">
        <v>37537</v>
      </c>
      <c r="B5867" s="3">
        <v>21.058675999999998</v>
      </c>
      <c r="C5867" s="1">
        <v>1062674.6000000001</v>
      </c>
      <c r="D5867" s="3">
        <v>1.0586659999999899</v>
      </c>
      <c r="E5867" s="3">
        <v>5.2933273533363101</v>
      </c>
      <c r="F5867" s="3">
        <v>5.2933273533363101</v>
      </c>
      <c r="G5867" s="3">
        <v>21.058675999999998</v>
      </c>
      <c r="H5867" s="3">
        <v>486.84009987275402</v>
      </c>
      <c r="I5867" s="3">
        <v>20.026678</v>
      </c>
      <c r="J5867" s="3">
        <v>21.133344999999998</v>
      </c>
      <c r="K5867" s="3">
        <v>19.946676</v>
      </c>
      <c r="L5867" s="3">
        <v>486.84009987275402</v>
      </c>
    </row>
    <row r="5868" spans="1:12" ht="15" customHeight="1" x14ac:dyDescent="0.2">
      <c r="A5868" s="2">
        <v>37536</v>
      </c>
      <c r="B5868" s="3">
        <v>20.00001</v>
      </c>
      <c r="C5868" s="1">
        <v>1190015.3999999999</v>
      </c>
      <c r="D5868" s="3">
        <v>-0.28666599999999998</v>
      </c>
      <c r="E5868" s="3">
        <v>-1.41307526181223</v>
      </c>
      <c r="F5868" s="3">
        <v>-1.41307526181223</v>
      </c>
      <c r="G5868" s="3">
        <v>20.00001</v>
      </c>
      <c r="H5868" s="3">
        <v>457.33835621271101</v>
      </c>
      <c r="I5868" s="3">
        <v>20.246676999999998</v>
      </c>
      <c r="J5868" s="3">
        <v>20.600010000000001</v>
      </c>
      <c r="K5868" s="3">
        <v>19.833344</v>
      </c>
      <c r="L5868" s="3">
        <v>457.33835621271101</v>
      </c>
    </row>
    <row r="5869" spans="1:12" ht="15" customHeight="1" x14ac:dyDescent="0.2">
      <c r="A5869" s="2">
        <v>37533</v>
      </c>
      <c r="B5869" s="3">
        <v>20.286676</v>
      </c>
      <c r="C5869" s="1">
        <v>1932266.1</v>
      </c>
      <c r="D5869" s="3">
        <v>-0.94666700000000104</v>
      </c>
      <c r="E5869" s="3">
        <v>-4.45839828424569</v>
      </c>
      <c r="F5869" s="3">
        <v>-4.45839828424569</v>
      </c>
      <c r="G5869" s="3">
        <v>20.286676</v>
      </c>
      <c r="H5869" s="3">
        <v>465.32685007956798</v>
      </c>
      <c r="I5869" s="3">
        <v>21.260010000000001</v>
      </c>
      <c r="J5869" s="3">
        <v>21.353342000000001</v>
      </c>
      <c r="K5869" s="3">
        <v>20.060009000000001</v>
      </c>
      <c r="L5869" s="3">
        <v>465.32685007956798</v>
      </c>
    </row>
    <row r="5870" spans="1:12" ht="15" customHeight="1" x14ac:dyDescent="0.2">
      <c r="A5870" s="2">
        <v>37532</v>
      </c>
      <c r="B5870" s="3">
        <v>21.233343000000001</v>
      </c>
      <c r="C5870" s="1">
        <v>1224138.8999999999</v>
      </c>
      <c r="D5870" s="3">
        <v>0.67453300000000005</v>
      </c>
      <c r="E5870" s="3">
        <v>3.2809924309821401</v>
      </c>
      <c r="F5870" s="3">
        <v>3.2809924309821401</v>
      </c>
      <c r="G5870" s="3">
        <v>21.233343000000001</v>
      </c>
      <c r="H5870" s="3">
        <v>491.70752837227002</v>
      </c>
      <c r="I5870" s="3">
        <v>20.433344000000002</v>
      </c>
      <c r="J5870" s="3">
        <v>21.30001</v>
      </c>
      <c r="K5870" s="3">
        <v>20.326675000000002</v>
      </c>
      <c r="L5870" s="3">
        <v>491.70752837227002</v>
      </c>
    </row>
    <row r="5871" spans="1:12" ht="15" customHeight="1" x14ac:dyDescent="0.2">
      <c r="A5871" s="2">
        <v>37531</v>
      </c>
      <c r="B5871" s="3">
        <v>20.558810000000001</v>
      </c>
      <c r="C5871" s="1">
        <v>1118128</v>
      </c>
      <c r="D5871" s="3">
        <v>0.31213300000000199</v>
      </c>
      <c r="E5871" s="3">
        <v>1.5416505138102501</v>
      </c>
      <c r="F5871" s="3">
        <v>1.5416505138102501</v>
      </c>
      <c r="G5871" s="3">
        <v>20.558810000000001</v>
      </c>
      <c r="H5871" s="3">
        <v>472.91038209928098</v>
      </c>
      <c r="I5871" s="3">
        <v>20.200009999999999</v>
      </c>
      <c r="J5871" s="3">
        <v>21.146674999999998</v>
      </c>
      <c r="K5871" s="3">
        <v>20.086676000000001</v>
      </c>
      <c r="L5871" s="3">
        <v>472.91038209928098</v>
      </c>
    </row>
    <row r="5872" spans="1:12" ht="15" customHeight="1" x14ac:dyDescent="0.2">
      <c r="A5872" s="2">
        <v>37530</v>
      </c>
      <c r="B5872" s="3">
        <v>20.246676999999998</v>
      </c>
      <c r="C5872" s="1">
        <v>1420410.9</v>
      </c>
      <c r="D5872" s="3">
        <v>0.35999999999999899</v>
      </c>
      <c r="E5872" s="3">
        <v>1.81025718877014</v>
      </c>
      <c r="F5872" s="3">
        <v>1.81025718877014</v>
      </c>
      <c r="G5872" s="3">
        <v>20.246676999999998</v>
      </c>
      <c r="H5872" s="3">
        <v>464.21220179138402</v>
      </c>
      <c r="I5872" s="3">
        <v>19.940010000000001</v>
      </c>
      <c r="J5872" s="3">
        <v>20.453341999999999</v>
      </c>
      <c r="K5872" s="3">
        <v>19.766676</v>
      </c>
      <c r="L5872" s="3">
        <v>464.21220179138402</v>
      </c>
    </row>
    <row r="5873" spans="1:12" ht="15" customHeight="1" x14ac:dyDescent="0.2">
      <c r="A5873" s="2">
        <v>37529</v>
      </c>
      <c r="B5873" s="3">
        <v>19.886676999999999</v>
      </c>
      <c r="C5873" s="1">
        <v>1451366.2</v>
      </c>
      <c r="D5873" s="3">
        <v>-0.66</v>
      </c>
      <c r="E5873" s="3">
        <v>-3.2121982547348198</v>
      </c>
      <c r="F5873" s="3">
        <v>-3.2121982547348198</v>
      </c>
      <c r="G5873" s="3">
        <v>19.886676999999999</v>
      </c>
      <c r="H5873" s="3">
        <v>454.18011639559802</v>
      </c>
      <c r="I5873" s="3">
        <v>20.486677</v>
      </c>
      <c r="J5873" s="3">
        <v>20.486675000000002</v>
      </c>
      <c r="K5873" s="3">
        <v>19.466677000000001</v>
      </c>
      <c r="L5873" s="3">
        <v>454.18011639559802</v>
      </c>
    </row>
    <row r="5874" spans="1:12" ht="15" customHeight="1" x14ac:dyDescent="0.2">
      <c r="A5874" s="2">
        <v>37526</v>
      </c>
      <c r="B5874" s="3">
        <v>20.546676999999999</v>
      </c>
      <c r="C5874" s="1">
        <v>1056259</v>
      </c>
      <c r="D5874" s="3">
        <v>-0.73333499999999996</v>
      </c>
      <c r="E5874" s="3">
        <v>-3.4461211769993301</v>
      </c>
      <c r="F5874" s="3">
        <v>-3.4461211769993301</v>
      </c>
      <c r="G5874" s="3">
        <v>20.546676999999999</v>
      </c>
      <c r="H5874" s="3">
        <v>472.57227295453902</v>
      </c>
      <c r="I5874" s="3">
        <v>20.900010999999999</v>
      </c>
      <c r="J5874" s="3">
        <v>21.293343</v>
      </c>
      <c r="K5874" s="3">
        <v>20.540009000000001</v>
      </c>
      <c r="L5874" s="3">
        <v>472.57227295453902</v>
      </c>
    </row>
    <row r="5875" spans="1:12" ht="15" customHeight="1" x14ac:dyDescent="0.2">
      <c r="A5875" s="2">
        <v>37525</v>
      </c>
      <c r="B5875" s="3">
        <v>21.280011999999999</v>
      </c>
      <c r="C5875" s="1">
        <v>2182787</v>
      </c>
      <c r="D5875" s="3">
        <v>0.94666799999999895</v>
      </c>
      <c r="E5875" s="3">
        <v>4.6557418199387</v>
      </c>
      <c r="F5875" s="3">
        <v>4.6557418199387</v>
      </c>
      <c r="G5875" s="3">
        <v>21.280011999999999</v>
      </c>
      <c r="H5875" s="3">
        <v>493.00804890931403</v>
      </c>
      <c r="I5875" s="3">
        <v>20.386676999999999</v>
      </c>
      <c r="J5875" s="3">
        <v>22.000011000000001</v>
      </c>
      <c r="K5875" s="3">
        <v>20.380009000000001</v>
      </c>
      <c r="L5875" s="3">
        <v>493.00804890931403</v>
      </c>
    </row>
    <row r="5876" spans="1:12" ht="15" customHeight="1" x14ac:dyDescent="0.2">
      <c r="A5876" s="2">
        <v>37524</v>
      </c>
      <c r="B5876" s="3">
        <v>20.333344</v>
      </c>
      <c r="C5876" s="1">
        <v>3349794</v>
      </c>
      <c r="D5876" s="3">
        <v>1.60000099999999</v>
      </c>
      <c r="E5876" s="3">
        <v>8.5409261977426905</v>
      </c>
      <c r="F5876" s="3">
        <v>8.5409261977426905</v>
      </c>
      <c r="G5876" s="3">
        <v>20.333344</v>
      </c>
      <c r="H5876" s="3">
        <v>466.62734274970802</v>
      </c>
      <c r="I5876" s="3">
        <v>18.766676</v>
      </c>
      <c r="J5876" s="3">
        <v>20.666675999999999</v>
      </c>
      <c r="K5876" s="3">
        <v>18.766676</v>
      </c>
      <c r="L5876" s="3">
        <v>466.62734274970802</v>
      </c>
    </row>
    <row r="5877" spans="1:12" ht="15" customHeight="1" x14ac:dyDescent="0.2">
      <c r="A5877" s="2">
        <v>37523</v>
      </c>
      <c r="B5877" s="3">
        <v>18.733343000000001</v>
      </c>
      <c r="C5877" s="1">
        <v>1452957.79999999</v>
      </c>
      <c r="D5877" s="3">
        <v>0.26000200000000001</v>
      </c>
      <c r="E5877" s="3">
        <v>1.40744438160915</v>
      </c>
      <c r="F5877" s="3">
        <v>1.40744438160915</v>
      </c>
      <c r="G5877" s="3">
        <v>18.733343000000001</v>
      </c>
      <c r="H5877" s="3">
        <v>422.040268679311</v>
      </c>
      <c r="I5877" s="3">
        <v>18.433344000000002</v>
      </c>
      <c r="J5877" s="3">
        <v>18.900006999999999</v>
      </c>
      <c r="K5877" s="3">
        <v>18.106676</v>
      </c>
      <c r="L5877" s="3">
        <v>422.040268679311</v>
      </c>
    </row>
    <row r="5878" spans="1:12" ht="15" customHeight="1" x14ac:dyDescent="0.2">
      <c r="A5878" s="2">
        <v>37522</v>
      </c>
      <c r="B5878" s="3">
        <v>18.473341000000001</v>
      </c>
      <c r="C5878" s="1">
        <v>815381.65</v>
      </c>
      <c r="D5878" s="3">
        <v>-0.5</v>
      </c>
      <c r="E5878" s="3">
        <v>-2.6352765177203001</v>
      </c>
      <c r="F5878" s="3">
        <v>-2.6352765177203001</v>
      </c>
      <c r="G5878" s="3">
        <v>18.473341000000001</v>
      </c>
      <c r="H5878" s="3">
        <v>414.79481793743503</v>
      </c>
      <c r="I5878" s="3">
        <v>18.813343</v>
      </c>
      <c r="J5878" s="3">
        <v>18.813343</v>
      </c>
      <c r="K5878" s="3">
        <v>18.086676000000001</v>
      </c>
      <c r="L5878" s="3">
        <v>414.79481793743503</v>
      </c>
    </row>
    <row r="5879" spans="1:12" ht="15" customHeight="1" x14ac:dyDescent="0.2">
      <c r="A5879" s="2">
        <v>37519</v>
      </c>
      <c r="B5879" s="3">
        <v>18.973341000000001</v>
      </c>
      <c r="C5879" s="1">
        <v>930905.59999999998</v>
      </c>
      <c r="D5879" s="3">
        <v>0.106667000000001</v>
      </c>
      <c r="E5879" s="3">
        <v>0.56537257176332201</v>
      </c>
      <c r="F5879" s="3">
        <v>0.56537257176332201</v>
      </c>
      <c r="G5879" s="3">
        <v>18.973341000000001</v>
      </c>
      <c r="H5879" s="3">
        <v>428.72826987602701</v>
      </c>
      <c r="I5879" s="3">
        <v>18.966677000000001</v>
      </c>
      <c r="J5879" s="3">
        <v>19.133343</v>
      </c>
      <c r="K5879" s="3">
        <v>18.666675999999999</v>
      </c>
      <c r="L5879" s="3">
        <v>428.72826987602701</v>
      </c>
    </row>
    <row r="5880" spans="1:12" ht="15" customHeight="1" x14ac:dyDescent="0.2">
      <c r="A5880" s="2">
        <v>37518</v>
      </c>
      <c r="B5880" s="3">
        <v>18.866674</v>
      </c>
      <c r="C5880" s="1">
        <v>1506078.7</v>
      </c>
      <c r="D5880" s="3">
        <v>8.6663999999998895E-2</v>
      </c>
      <c r="E5880" s="3">
        <v>0.46146940283844301</v>
      </c>
      <c r="F5880" s="3">
        <v>0.46146940283844301</v>
      </c>
      <c r="G5880" s="3">
        <v>18.866674</v>
      </c>
      <c r="H5880" s="3">
        <v>425.75579084015902</v>
      </c>
      <c r="I5880" s="3">
        <v>18.566676999999999</v>
      </c>
      <c r="J5880" s="3">
        <v>19.280010000000001</v>
      </c>
      <c r="K5880" s="3">
        <v>18.373342999999998</v>
      </c>
      <c r="L5880" s="3">
        <v>425.75579084015902</v>
      </c>
    </row>
    <row r="5881" spans="1:12" ht="15" customHeight="1" x14ac:dyDescent="0.2">
      <c r="A5881" s="2">
        <v>37517</v>
      </c>
      <c r="B5881" s="3">
        <v>18.780010000000001</v>
      </c>
      <c r="C5881" s="1">
        <v>3405505.6</v>
      </c>
      <c r="D5881" s="3">
        <v>1.8133349999999999</v>
      </c>
      <c r="E5881" s="3">
        <v>10.687627363640701</v>
      </c>
      <c r="F5881" s="3">
        <v>10.687627363640701</v>
      </c>
      <c r="G5881" s="3">
        <v>18.780010000000001</v>
      </c>
      <c r="H5881" s="3">
        <v>423.34073348254702</v>
      </c>
      <c r="I5881" s="3">
        <v>17.000008000000001</v>
      </c>
      <c r="J5881" s="3">
        <v>18.920010000000001</v>
      </c>
      <c r="K5881" s="3">
        <v>16.600007999999999</v>
      </c>
      <c r="L5881" s="3">
        <v>423.34073348254702</v>
      </c>
    </row>
    <row r="5882" spans="1:12" ht="15" customHeight="1" x14ac:dyDescent="0.2">
      <c r="A5882" s="2">
        <v>37516</v>
      </c>
      <c r="B5882" s="3">
        <v>16.966674999999999</v>
      </c>
      <c r="C5882" s="1">
        <v>1841766.5999999901</v>
      </c>
      <c r="D5882" s="3">
        <v>-1.1133329999999999</v>
      </c>
      <c r="E5882" s="3">
        <v>-6.1578125407909097</v>
      </c>
      <c r="F5882" s="3">
        <v>-6.1578125407909097</v>
      </c>
      <c r="G5882" s="3">
        <v>16.966674999999999</v>
      </c>
      <c r="H5882" s="3">
        <v>372.80870134041402</v>
      </c>
      <c r="I5882" s="3">
        <v>18.240010999999999</v>
      </c>
      <c r="J5882" s="3">
        <v>18.286676</v>
      </c>
      <c r="K5882" s="3">
        <v>16.920010000000001</v>
      </c>
      <c r="L5882" s="3">
        <v>372.80870134041402</v>
      </c>
    </row>
    <row r="5883" spans="1:12" ht="15" customHeight="1" x14ac:dyDescent="0.2">
      <c r="A5883" s="2">
        <v>37515</v>
      </c>
      <c r="B5883" s="3">
        <v>18.080007999999999</v>
      </c>
      <c r="C5883" s="1">
        <v>1428257.3</v>
      </c>
      <c r="D5883" s="3">
        <v>-0.36666799999999999</v>
      </c>
      <c r="E5883" s="3">
        <v>-1.9877185461489</v>
      </c>
      <c r="F5883" s="3">
        <v>-1.9877185461489</v>
      </c>
      <c r="G5883" s="3">
        <v>18.080007999999999</v>
      </c>
      <c r="H5883" s="3">
        <v>403.83384503471098</v>
      </c>
      <c r="I5883" s="3">
        <v>18.373342999999998</v>
      </c>
      <c r="J5883" s="3">
        <v>18.473341000000001</v>
      </c>
      <c r="K5883" s="3">
        <v>17.640007000000001</v>
      </c>
      <c r="L5883" s="3">
        <v>403.83384503471098</v>
      </c>
    </row>
    <row r="5884" spans="1:12" ht="15" customHeight="1" x14ac:dyDescent="0.2">
      <c r="A5884" s="2">
        <v>37512</v>
      </c>
      <c r="B5884" s="3">
        <v>18.446676</v>
      </c>
      <c r="C5884" s="1">
        <v>560929.26</v>
      </c>
      <c r="D5884" s="3">
        <v>0.186668</v>
      </c>
      <c r="E5884" s="3">
        <v>1.0222777558476399</v>
      </c>
      <c r="F5884" s="3">
        <v>1.0222777558476399</v>
      </c>
      <c r="G5884" s="3">
        <v>18.446676</v>
      </c>
      <c r="H5884" s="3">
        <v>414.05174694555001</v>
      </c>
      <c r="I5884" s="3">
        <v>18.200009999999999</v>
      </c>
      <c r="J5884" s="3">
        <v>18.600010000000001</v>
      </c>
      <c r="K5884" s="3">
        <v>18.100010000000001</v>
      </c>
      <c r="L5884" s="3">
        <v>414.05174694555001</v>
      </c>
    </row>
    <row r="5885" spans="1:12" ht="15" customHeight="1" x14ac:dyDescent="0.2">
      <c r="A5885" s="2">
        <v>37511</v>
      </c>
      <c r="B5885" s="3">
        <v>18.260007999999999</v>
      </c>
      <c r="C5885" s="1">
        <v>557159.69999999995</v>
      </c>
      <c r="D5885" s="3">
        <v>-0.566666000000001</v>
      </c>
      <c r="E5885" s="3">
        <v>-3.0099103006723298</v>
      </c>
      <c r="F5885" s="3">
        <v>-3.0099103006723298</v>
      </c>
      <c r="G5885" s="3">
        <v>18.260007999999999</v>
      </c>
      <c r="H5885" s="3">
        <v>408.84988773260397</v>
      </c>
      <c r="I5885" s="3">
        <v>18.780010000000001</v>
      </c>
      <c r="J5885" s="3">
        <v>18.813343</v>
      </c>
      <c r="K5885" s="3">
        <v>18.16001</v>
      </c>
      <c r="L5885" s="3">
        <v>408.84988773260397</v>
      </c>
    </row>
    <row r="5886" spans="1:12" ht="15" customHeight="1" x14ac:dyDescent="0.2">
      <c r="A5886" s="2">
        <v>37510</v>
      </c>
      <c r="B5886" s="3">
        <v>18.826674000000001</v>
      </c>
      <c r="C5886" s="1">
        <v>379667.82</v>
      </c>
      <c r="D5886" s="3">
        <v>-0.46666600000000003</v>
      </c>
      <c r="E5886" s="3">
        <v>-2.4187932208730998</v>
      </c>
      <c r="F5886" s="3">
        <v>-2.4187932208730998</v>
      </c>
      <c r="G5886" s="3">
        <v>18.826674000000001</v>
      </c>
      <c r="H5886" s="3">
        <v>424.64111468507201</v>
      </c>
      <c r="I5886" s="3">
        <v>19.073343000000001</v>
      </c>
      <c r="J5886" s="3">
        <v>19.366675999999998</v>
      </c>
      <c r="K5886" s="3">
        <v>18.746676999999998</v>
      </c>
      <c r="L5886" s="3">
        <v>424.64111468507201</v>
      </c>
    </row>
    <row r="5887" spans="1:12" ht="15" customHeight="1" x14ac:dyDescent="0.2">
      <c r="A5887" s="2">
        <v>37509</v>
      </c>
      <c r="B5887" s="3">
        <v>19.293340000000001</v>
      </c>
      <c r="C5887" s="1">
        <v>756172.1</v>
      </c>
      <c r="D5887" s="3">
        <v>-0.24000199999999999</v>
      </c>
      <c r="E5887" s="3">
        <v>-1.22867863573985</v>
      </c>
      <c r="F5887" s="3">
        <v>-1.22867863573985</v>
      </c>
      <c r="G5887" s="3">
        <v>19.293340000000001</v>
      </c>
      <c r="H5887" s="3">
        <v>437.64565124982198</v>
      </c>
      <c r="I5887" s="3">
        <v>19.673344</v>
      </c>
      <c r="J5887" s="3">
        <v>19.673344</v>
      </c>
      <c r="K5887" s="3">
        <v>18.733343000000001</v>
      </c>
      <c r="L5887" s="3">
        <v>437.64565124982198</v>
      </c>
    </row>
    <row r="5888" spans="1:12" ht="15" customHeight="1" x14ac:dyDescent="0.2">
      <c r="A5888" s="2">
        <v>37508</v>
      </c>
      <c r="B5888" s="3">
        <v>19.533342000000001</v>
      </c>
      <c r="C5888" s="1">
        <v>730087.1</v>
      </c>
      <c r="D5888" s="3">
        <v>0.100000000000001</v>
      </c>
      <c r="E5888" s="3">
        <v>0.51457953037621296</v>
      </c>
      <c r="F5888" s="3">
        <v>0.51457953037621296</v>
      </c>
      <c r="G5888" s="3">
        <v>19.533342000000001</v>
      </c>
      <c r="H5888" s="3">
        <v>444.33376391415402</v>
      </c>
      <c r="I5888" s="3">
        <v>19.373342999999998</v>
      </c>
      <c r="J5888" s="3">
        <v>19.600010000000001</v>
      </c>
      <c r="K5888" s="3">
        <v>19.040006999999999</v>
      </c>
      <c r="L5888" s="3">
        <v>444.33376391415402</v>
      </c>
    </row>
    <row r="5889" spans="1:12" ht="15" customHeight="1" x14ac:dyDescent="0.2">
      <c r="A5889" s="2">
        <v>37505</v>
      </c>
      <c r="B5889" s="3">
        <v>19.433342</v>
      </c>
      <c r="C5889" s="1">
        <v>921508.06</v>
      </c>
      <c r="D5889" s="3">
        <v>0.61999899999999997</v>
      </c>
      <c r="E5889" s="3">
        <v>3.2955280728151202</v>
      </c>
      <c r="F5889" s="3">
        <v>3.2955280728151202</v>
      </c>
      <c r="G5889" s="3">
        <v>19.433342</v>
      </c>
      <c r="H5889" s="3">
        <v>441.54707352643499</v>
      </c>
      <c r="I5889" s="3">
        <v>18.800008999999999</v>
      </c>
      <c r="J5889" s="3">
        <v>19.433342</v>
      </c>
      <c r="K5889" s="3">
        <v>18.800008999999999</v>
      </c>
      <c r="L5889" s="3">
        <v>441.54707352643499</v>
      </c>
    </row>
    <row r="5890" spans="1:12" ht="15" customHeight="1" x14ac:dyDescent="0.2">
      <c r="A5890" s="2">
        <v>37504</v>
      </c>
      <c r="B5890" s="3">
        <v>18.813343</v>
      </c>
      <c r="C5890" s="1">
        <v>1426163.3</v>
      </c>
      <c r="D5890" s="3">
        <v>-0.153334</v>
      </c>
      <c r="E5890" s="3">
        <v>-0.80843892686104302</v>
      </c>
      <c r="F5890" s="3">
        <v>-0.80843892686104302</v>
      </c>
      <c r="G5890" s="3">
        <v>18.813343</v>
      </c>
      <c r="H5890" s="3">
        <v>424.26962098948502</v>
      </c>
      <c r="I5890" s="3">
        <v>18.933344000000002</v>
      </c>
      <c r="J5890" s="3">
        <v>18.940007999999999</v>
      </c>
      <c r="K5890" s="3">
        <v>18.340009999999999</v>
      </c>
      <c r="L5890" s="3">
        <v>424.26962098948502</v>
      </c>
    </row>
    <row r="5891" spans="1:12" ht="15" customHeight="1" x14ac:dyDescent="0.2">
      <c r="A5891" s="2">
        <v>37503</v>
      </c>
      <c r="B5891" s="3">
        <v>18.966677000000001</v>
      </c>
      <c r="C5891" s="1">
        <v>1100503</v>
      </c>
      <c r="D5891" s="3">
        <v>0.83999999999999897</v>
      </c>
      <c r="E5891" s="3">
        <v>4.6340539967694996</v>
      </c>
      <c r="F5891" s="3">
        <v>4.6340539967694996</v>
      </c>
      <c r="G5891" s="3">
        <v>18.966677000000001</v>
      </c>
      <c r="H5891" s="3">
        <v>428.54256482858898</v>
      </c>
      <c r="I5891" s="3">
        <v>18.233343000000001</v>
      </c>
      <c r="J5891" s="3">
        <v>19.020009999999999</v>
      </c>
      <c r="K5891" s="3">
        <v>18.180009999999999</v>
      </c>
      <c r="L5891" s="3">
        <v>428.54256482858898</v>
      </c>
    </row>
    <row r="5892" spans="1:12" ht="15" customHeight="1" x14ac:dyDescent="0.2">
      <c r="A5892" s="2">
        <v>37502</v>
      </c>
      <c r="B5892" s="3">
        <v>18.126677000000001</v>
      </c>
      <c r="C5892" s="1">
        <v>1474649.3</v>
      </c>
      <c r="D5892" s="3">
        <v>-0.86666599999999805</v>
      </c>
      <c r="E5892" s="3">
        <v>-4.5629987306605102</v>
      </c>
      <c r="F5892" s="3">
        <v>-4.5629987306605102</v>
      </c>
      <c r="G5892" s="3">
        <v>18.126677000000001</v>
      </c>
      <c r="H5892" s="3">
        <v>405.13436557175498</v>
      </c>
      <c r="I5892" s="3">
        <v>18.860009999999999</v>
      </c>
      <c r="J5892" s="3">
        <v>18.866674</v>
      </c>
      <c r="K5892" s="3">
        <v>18.020009999999999</v>
      </c>
      <c r="L5892" s="3">
        <v>405.13436557175498</v>
      </c>
    </row>
    <row r="5893" spans="1:12" ht="15" customHeight="1" x14ac:dyDescent="0.2">
      <c r="A5893" s="2">
        <v>37498</v>
      </c>
      <c r="B5893" s="3">
        <v>18.993342999999999</v>
      </c>
      <c r="C5893" s="1">
        <v>955994.57</v>
      </c>
      <c r="D5893" s="3">
        <v>6.6679999999976697E-3</v>
      </c>
      <c r="E5893" s="3">
        <v>3.5119366608404798E-2</v>
      </c>
      <c r="F5893" s="3">
        <v>3.5119366608404798E-2</v>
      </c>
      <c r="G5893" s="3">
        <v>18.993342999999999</v>
      </c>
      <c r="H5893" s="3">
        <v>429.28566368737802</v>
      </c>
      <c r="I5893" s="3">
        <v>19.00001</v>
      </c>
      <c r="J5893" s="3">
        <v>19.306674999999998</v>
      </c>
      <c r="K5893" s="3">
        <v>18.886676999999999</v>
      </c>
      <c r="L5893" s="3">
        <v>429.28566368737802</v>
      </c>
    </row>
    <row r="5894" spans="1:12" ht="15" customHeight="1" x14ac:dyDescent="0.2">
      <c r="A5894" s="2">
        <v>37497</v>
      </c>
      <c r="B5894" s="3">
        <v>18.986675000000002</v>
      </c>
      <c r="C5894" s="1">
        <v>969379.1</v>
      </c>
      <c r="D5894" s="3">
        <v>-0.16666599999999901</v>
      </c>
      <c r="E5894" s="3">
        <v>-0.87016672443725995</v>
      </c>
      <c r="F5894" s="3">
        <v>-0.87016672443725995</v>
      </c>
      <c r="G5894" s="3">
        <v>18.986675000000002</v>
      </c>
      <c r="H5894" s="3">
        <v>429.09984717232498</v>
      </c>
      <c r="I5894" s="3">
        <v>19.193342000000001</v>
      </c>
      <c r="J5894" s="3">
        <v>19.193342000000001</v>
      </c>
      <c r="K5894" s="3">
        <v>18.900006999999999</v>
      </c>
      <c r="L5894" s="3">
        <v>429.09984717232498</v>
      </c>
    </row>
    <row r="5895" spans="1:12" ht="15" customHeight="1" x14ac:dyDescent="0.2">
      <c r="A5895" s="2">
        <v>37496</v>
      </c>
      <c r="B5895" s="3">
        <v>19.153341000000001</v>
      </c>
      <c r="C5895" s="1">
        <v>911122.1</v>
      </c>
      <c r="D5895" s="3">
        <v>-0.29333499999999901</v>
      </c>
      <c r="E5895" s="3">
        <v>-1.5084068866062099</v>
      </c>
      <c r="F5895" s="3">
        <v>-1.5084068866062099</v>
      </c>
      <c r="G5895" s="3">
        <v>19.153341000000001</v>
      </c>
      <c r="H5895" s="3">
        <v>433.74431257392001</v>
      </c>
      <c r="I5895" s="3">
        <v>19.366675999999998</v>
      </c>
      <c r="J5895" s="3">
        <v>19.446676</v>
      </c>
      <c r="K5895" s="3">
        <v>19.153341000000001</v>
      </c>
      <c r="L5895" s="3">
        <v>433.74431257392001</v>
      </c>
    </row>
    <row r="5896" spans="1:12" ht="15" customHeight="1" x14ac:dyDescent="0.2">
      <c r="A5896" s="2">
        <v>37495</v>
      </c>
      <c r="B5896" s="3">
        <v>19.446676</v>
      </c>
      <c r="C5896" s="1">
        <v>1056271</v>
      </c>
      <c r="D5896" s="3">
        <v>-0.54666699999999901</v>
      </c>
      <c r="E5896" s="3">
        <v>-2.7342450934793501</v>
      </c>
      <c r="F5896" s="3">
        <v>-2.7342450934793501</v>
      </c>
      <c r="G5896" s="3">
        <v>19.446676</v>
      </c>
      <c r="H5896" s="3">
        <v>441.91865082273398</v>
      </c>
      <c r="I5896" s="3">
        <v>19.966677000000001</v>
      </c>
      <c r="J5896" s="3">
        <v>20.00001</v>
      </c>
      <c r="K5896" s="3">
        <v>19.393343000000002</v>
      </c>
      <c r="L5896" s="3">
        <v>441.91865082273398</v>
      </c>
    </row>
    <row r="5897" spans="1:12" ht="15" customHeight="1" x14ac:dyDescent="0.2">
      <c r="A5897" s="2">
        <v>37494</v>
      </c>
      <c r="B5897" s="3">
        <v>19.993342999999999</v>
      </c>
      <c r="C5897" s="1">
        <v>2039375</v>
      </c>
      <c r="D5897" s="3">
        <v>-0.71333500000000005</v>
      </c>
      <c r="E5897" s="3">
        <v>-3.44495143064474</v>
      </c>
      <c r="F5897" s="3">
        <v>-3.44495143064474</v>
      </c>
      <c r="G5897" s="3">
        <v>19.993342999999999</v>
      </c>
      <c r="H5897" s="3">
        <v>457.15256756456199</v>
      </c>
      <c r="I5897" s="3">
        <v>20.733343000000001</v>
      </c>
      <c r="J5897" s="3">
        <v>20.80001</v>
      </c>
      <c r="K5897" s="3">
        <v>19.100010000000001</v>
      </c>
      <c r="L5897" s="3">
        <v>457.15256756456199</v>
      </c>
    </row>
    <row r="5898" spans="1:12" ht="15" customHeight="1" x14ac:dyDescent="0.2">
      <c r="A5898" s="2">
        <v>37491</v>
      </c>
      <c r="B5898" s="3">
        <v>20.706678</v>
      </c>
      <c r="C5898" s="1">
        <v>501374.76</v>
      </c>
      <c r="D5898" s="3">
        <v>-0.23333200000000001</v>
      </c>
      <c r="E5898" s="3">
        <v>-1.1142879110372901</v>
      </c>
      <c r="F5898" s="3">
        <v>-1.1142879110372901</v>
      </c>
      <c r="G5898" s="3">
        <v>20.706678</v>
      </c>
      <c r="H5898" s="3">
        <v>477.03100544179301</v>
      </c>
      <c r="I5898" s="3">
        <v>21.033342000000001</v>
      </c>
      <c r="J5898" s="3">
        <v>21.033342000000001</v>
      </c>
      <c r="K5898" s="3">
        <v>20.700009999999999</v>
      </c>
      <c r="L5898" s="3">
        <v>477.03100544179301</v>
      </c>
    </row>
    <row r="5899" spans="1:12" ht="15" customHeight="1" x14ac:dyDescent="0.2">
      <c r="A5899" s="2">
        <v>37490</v>
      </c>
      <c r="B5899" s="3">
        <v>20.940010000000001</v>
      </c>
      <c r="C5899" s="1">
        <v>530389.19999999995</v>
      </c>
      <c r="D5899" s="3">
        <v>-5.99999999999987E-2</v>
      </c>
      <c r="E5899" s="3">
        <v>-0.28571414965992098</v>
      </c>
      <c r="F5899" s="3">
        <v>-0.28571414965992098</v>
      </c>
      <c r="G5899" s="3">
        <v>20.940010000000001</v>
      </c>
      <c r="H5899" s="3">
        <v>483.53324585726398</v>
      </c>
      <c r="I5899" s="3">
        <v>20.966677000000001</v>
      </c>
      <c r="J5899" s="3">
        <v>21.020009999999999</v>
      </c>
      <c r="K5899" s="3">
        <v>20.573343000000001</v>
      </c>
      <c r="L5899" s="3">
        <v>483.53324585726398</v>
      </c>
    </row>
    <row r="5900" spans="1:12" ht="15" customHeight="1" x14ac:dyDescent="0.2">
      <c r="A5900" s="2">
        <v>37489</v>
      </c>
      <c r="B5900" s="3">
        <v>21.00001</v>
      </c>
      <c r="C5900" s="1">
        <v>757354.1</v>
      </c>
      <c r="D5900" s="3">
        <v>-1.3334000000000399E-2</v>
      </c>
      <c r="E5900" s="3">
        <v>-6.34549170279608E-2</v>
      </c>
      <c r="F5900" s="3">
        <v>-6.34549170279608E-2</v>
      </c>
      <c r="G5900" s="3">
        <v>21.00001</v>
      </c>
      <c r="H5900" s="3">
        <v>485.20526008989498</v>
      </c>
      <c r="I5900" s="3">
        <v>21.00001</v>
      </c>
      <c r="J5900" s="3">
        <v>21.440010000000001</v>
      </c>
      <c r="K5900" s="3">
        <v>20.620010000000001</v>
      </c>
      <c r="L5900" s="3">
        <v>485.20526008989498</v>
      </c>
    </row>
    <row r="5901" spans="1:12" ht="15" customHeight="1" x14ac:dyDescent="0.2">
      <c r="A5901" s="2">
        <v>37488</v>
      </c>
      <c r="B5901" s="3">
        <v>21.013344</v>
      </c>
      <c r="C5901" s="1">
        <v>716060.66999999899</v>
      </c>
      <c r="D5901" s="3">
        <v>6.6667999999999894E-2</v>
      </c>
      <c r="E5901" s="3">
        <v>0.31827484227091501</v>
      </c>
      <c r="F5901" s="3">
        <v>0.31827484227091501</v>
      </c>
      <c r="G5901" s="3">
        <v>21.013344</v>
      </c>
      <c r="H5901" s="3">
        <v>485.57683738619301</v>
      </c>
      <c r="I5901" s="3">
        <v>20.873342999999998</v>
      </c>
      <c r="J5901" s="3">
        <v>21.413343000000001</v>
      </c>
      <c r="K5901" s="3">
        <v>20.733343000000001</v>
      </c>
      <c r="L5901" s="3">
        <v>485.57683738619301</v>
      </c>
    </row>
    <row r="5902" spans="1:12" ht="15" customHeight="1" x14ac:dyDescent="0.2">
      <c r="A5902" s="2">
        <v>37487</v>
      </c>
      <c r="B5902" s="3">
        <v>20.946676</v>
      </c>
      <c r="C5902" s="1">
        <v>1991921</v>
      </c>
      <c r="D5902" s="3">
        <v>-7.3333999999999094E-2</v>
      </c>
      <c r="E5902" s="3">
        <v>-0.34887709377873199</v>
      </c>
      <c r="F5902" s="3">
        <v>-0.34887709377873199</v>
      </c>
      <c r="G5902" s="3">
        <v>20.946676</v>
      </c>
      <c r="H5902" s="3">
        <v>483.71900663850897</v>
      </c>
      <c r="I5902" s="3">
        <v>20.246676999999998</v>
      </c>
      <c r="J5902" s="3">
        <v>21.120010000000001</v>
      </c>
      <c r="K5902" s="3">
        <v>20.013344</v>
      </c>
      <c r="L5902" s="3">
        <v>483.71900663850897</v>
      </c>
    </row>
    <row r="5903" spans="1:12" ht="15" customHeight="1" x14ac:dyDescent="0.2">
      <c r="A5903" s="2">
        <v>37484</v>
      </c>
      <c r="B5903" s="3">
        <v>21.020009999999999</v>
      </c>
      <c r="C5903" s="1">
        <v>785747.6</v>
      </c>
      <c r="D5903" s="3">
        <v>-0.30666500000000202</v>
      </c>
      <c r="E5903" s="3">
        <v>-1.4379409823613001</v>
      </c>
      <c r="F5903" s="3">
        <v>-1.4379409823613001</v>
      </c>
      <c r="G5903" s="3">
        <v>21.020009999999999</v>
      </c>
      <c r="H5903" s="3">
        <v>485.762598167438</v>
      </c>
      <c r="I5903" s="3">
        <v>21.113344000000001</v>
      </c>
      <c r="J5903" s="3">
        <v>21.253342</v>
      </c>
      <c r="K5903" s="3">
        <v>20.680009999999999</v>
      </c>
      <c r="L5903" s="3">
        <v>485.762598167438</v>
      </c>
    </row>
    <row r="5904" spans="1:12" ht="15" customHeight="1" x14ac:dyDescent="0.2">
      <c r="A5904" s="2">
        <v>37483</v>
      </c>
      <c r="B5904" s="3">
        <v>21.326675000000002</v>
      </c>
      <c r="C5904" s="1">
        <v>1170367</v>
      </c>
      <c r="D5904" s="3">
        <v>0.79333299999999995</v>
      </c>
      <c r="E5904" s="3">
        <v>3.8636331095054999</v>
      </c>
      <c r="F5904" s="3">
        <v>3.8636331095054999</v>
      </c>
      <c r="G5904" s="3">
        <v>21.326675000000002</v>
      </c>
      <c r="H5904" s="3">
        <v>494.308402244935</v>
      </c>
      <c r="I5904" s="3">
        <v>20.700009999999999</v>
      </c>
      <c r="J5904" s="3">
        <v>21.366675999999998</v>
      </c>
      <c r="K5904" s="3">
        <v>20.653343</v>
      </c>
      <c r="L5904" s="3">
        <v>494.308402244935</v>
      </c>
    </row>
    <row r="5905" spans="1:12" ht="15" customHeight="1" x14ac:dyDescent="0.2">
      <c r="A5905" s="2">
        <v>37482</v>
      </c>
      <c r="B5905" s="3">
        <v>20.533342000000001</v>
      </c>
      <c r="C5905" s="1">
        <v>2109651.6</v>
      </c>
      <c r="D5905" s="3">
        <v>0.69333200000000095</v>
      </c>
      <c r="E5905" s="3">
        <v>3.4946151740850899</v>
      </c>
      <c r="F5905" s="3">
        <v>3.4946151740850899</v>
      </c>
      <c r="G5905" s="3">
        <v>20.533342000000001</v>
      </c>
      <c r="H5905" s="3">
        <v>472.20066779133703</v>
      </c>
      <c r="I5905" s="3">
        <v>19.866675999999998</v>
      </c>
      <c r="J5905" s="3">
        <v>20.566676999999999</v>
      </c>
      <c r="K5905" s="3">
        <v>19.420010000000001</v>
      </c>
      <c r="L5905" s="3">
        <v>472.20066779133703</v>
      </c>
    </row>
    <row r="5906" spans="1:12" ht="15" customHeight="1" x14ac:dyDescent="0.2">
      <c r="A5906" s="2">
        <v>37481</v>
      </c>
      <c r="B5906" s="3">
        <v>19.840009999999999</v>
      </c>
      <c r="C5906" s="1">
        <v>1001926</v>
      </c>
      <c r="D5906" s="3">
        <v>-1.2600020000000001</v>
      </c>
      <c r="E5906" s="3">
        <v>-5.9715700635620399</v>
      </c>
      <c r="F5906" s="3">
        <v>-5.9715700635620399</v>
      </c>
      <c r="G5906" s="3">
        <v>19.840009999999999</v>
      </c>
      <c r="H5906" s="3">
        <v>452.87965159236199</v>
      </c>
      <c r="I5906" s="3">
        <v>20.933344000000002</v>
      </c>
      <c r="J5906" s="3">
        <v>20.966677000000001</v>
      </c>
      <c r="K5906" s="3">
        <v>19.833344</v>
      </c>
      <c r="L5906" s="3">
        <v>452.87965159236199</v>
      </c>
    </row>
    <row r="5907" spans="1:12" ht="15" customHeight="1" x14ac:dyDescent="0.2">
      <c r="A5907" s="2">
        <v>37480</v>
      </c>
      <c r="B5907" s="3">
        <v>21.100012</v>
      </c>
      <c r="C5907" s="1">
        <v>711070.2</v>
      </c>
      <c r="D5907" s="3">
        <v>0.20000199999999699</v>
      </c>
      <c r="E5907" s="3">
        <v>0.956946910551703</v>
      </c>
      <c r="F5907" s="3">
        <v>0.956946910551703</v>
      </c>
      <c r="G5907" s="3">
        <v>21.100012</v>
      </c>
      <c r="H5907" s="3">
        <v>487.99200621142103</v>
      </c>
      <c r="I5907" s="3">
        <v>20.420010000000001</v>
      </c>
      <c r="J5907" s="3">
        <v>21.153343</v>
      </c>
      <c r="K5907" s="3">
        <v>20.286676</v>
      </c>
      <c r="L5907" s="3">
        <v>487.99200621142103</v>
      </c>
    </row>
    <row r="5908" spans="1:12" ht="15" customHeight="1" x14ac:dyDescent="0.2">
      <c r="A5908" s="2">
        <v>37477</v>
      </c>
      <c r="B5908" s="3">
        <v>20.900010000000002</v>
      </c>
      <c r="C5908" s="1">
        <v>827974.1</v>
      </c>
      <c r="D5908" s="3">
        <v>0.26000100000000198</v>
      </c>
      <c r="E5908" s="3">
        <v>1.25969421815659</v>
      </c>
      <c r="F5908" s="3">
        <v>1.25969421815659</v>
      </c>
      <c r="G5908" s="3">
        <v>20.900010000000002</v>
      </c>
      <c r="H5908" s="3">
        <v>482.41856970217702</v>
      </c>
      <c r="I5908" s="3">
        <v>20.606676</v>
      </c>
      <c r="J5908" s="3">
        <v>21.406676999999998</v>
      </c>
      <c r="K5908" s="3">
        <v>20.373342999999998</v>
      </c>
      <c r="L5908" s="3">
        <v>482.41856970217702</v>
      </c>
    </row>
    <row r="5909" spans="1:12" ht="15" customHeight="1" x14ac:dyDescent="0.2">
      <c r="A5909" s="2">
        <v>37476</v>
      </c>
      <c r="B5909" s="3">
        <v>20.640008999999999</v>
      </c>
      <c r="C5909" s="1">
        <v>1208471.3999999999</v>
      </c>
      <c r="D5909" s="3">
        <v>0.53999899999999801</v>
      </c>
      <c r="E5909" s="3">
        <v>2.6865608524572799</v>
      </c>
      <c r="F5909" s="3">
        <v>2.6865608524572799</v>
      </c>
      <c r="G5909" s="3">
        <v>20.640008999999999</v>
      </c>
      <c r="H5909" s="3">
        <v>475.17314682720502</v>
      </c>
      <c r="I5909" s="3">
        <v>20.166677</v>
      </c>
      <c r="J5909" s="3">
        <v>20.780011999999999</v>
      </c>
      <c r="K5909" s="3">
        <v>19.913343000000001</v>
      </c>
      <c r="L5909" s="3">
        <v>475.17314682720502</v>
      </c>
    </row>
    <row r="5910" spans="1:12" ht="15" customHeight="1" x14ac:dyDescent="0.2">
      <c r="A5910" s="2">
        <v>37475</v>
      </c>
      <c r="B5910" s="3">
        <v>20.100010000000001</v>
      </c>
      <c r="C5910" s="1">
        <v>1262972.3999999999</v>
      </c>
      <c r="D5910" s="3">
        <v>-0.35999999999999899</v>
      </c>
      <c r="E5910" s="3">
        <v>-1.75952993180354</v>
      </c>
      <c r="F5910" s="3">
        <v>-1.75952993180354</v>
      </c>
      <c r="G5910" s="3">
        <v>20.100010000000001</v>
      </c>
      <c r="H5910" s="3">
        <v>460.12504660042998</v>
      </c>
      <c r="I5910" s="3">
        <v>20.640008999999999</v>
      </c>
      <c r="J5910" s="3">
        <v>21.100012</v>
      </c>
      <c r="K5910" s="3">
        <v>19.697925999999999</v>
      </c>
      <c r="L5910" s="3">
        <v>460.12504660042998</v>
      </c>
    </row>
    <row r="5911" spans="1:12" ht="15" customHeight="1" x14ac:dyDescent="0.2">
      <c r="A5911" s="2">
        <v>37474</v>
      </c>
      <c r="B5911" s="3">
        <v>20.46001</v>
      </c>
      <c r="C5911" s="1">
        <v>3472201.2</v>
      </c>
      <c r="D5911" s="3">
        <v>1.6600010000000001</v>
      </c>
      <c r="E5911" s="3">
        <v>8.8297883261651595</v>
      </c>
      <c r="F5911" s="3">
        <v>8.8297883261651595</v>
      </c>
      <c r="G5911" s="3">
        <v>20.46001</v>
      </c>
      <c r="H5911" s="3">
        <v>470.15713199621598</v>
      </c>
      <c r="I5911" s="3">
        <v>19.606676</v>
      </c>
      <c r="J5911" s="3">
        <v>20.940010000000001</v>
      </c>
      <c r="K5911" s="3">
        <v>19.533342000000001</v>
      </c>
      <c r="L5911" s="3">
        <v>470.15713199621598</v>
      </c>
    </row>
    <row r="5912" spans="1:12" ht="15" customHeight="1" x14ac:dyDescent="0.2">
      <c r="A5912" s="2">
        <v>37473</v>
      </c>
      <c r="B5912" s="3">
        <v>18.800008999999999</v>
      </c>
      <c r="C5912" s="1">
        <v>6675522</v>
      </c>
      <c r="D5912" s="3">
        <v>-1.87333699999999</v>
      </c>
      <c r="E5912" s="3">
        <v>-9.0616052186230398</v>
      </c>
      <c r="F5912" s="3">
        <v>-9.0616052186230398</v>
      </c>
      <c r="G5912" s="3">
        <v>18.800008999999999</v>
      </c>
      <c r="H5912" s="3">
        <v>423.89804369318699</v>
      </c>
      <c r="I5912" s="3">
        <v>20.866675999999998</v>
      </c>
      <c r="J5912" s="3">
        <v>21.166677</v>
      </c>
      <c r="K5912" s="3">
        <v>18.373342999999998</v>
      </c>
      <c r="L5912" s="3">
        <v>423.89804369318699</v>
      </c>
    </row>
    <row r="5913" spans="1:12" ht="15" customHeight="1" x14ac:dyDescent="0.2">
      <c r="A5913" s="2">
        <v>37470</v>
      </c>
      <c r="B5913" s="3">
        <v>20.673345999999999</v>
      </c>
      <c r="C5913" s="1">
        <v>1521978.8</v>
      </c>
      <c r="D5913" s="3">
        <v>-1.7533319999999999</v>
      </c>
      <c r="E5913" s="3">
        <v>-7.8180638255919996</v>
      </c>
      <c r="F5913" s="3">
        <v>-7.8180638255919996</v>
      </c>
      <c r="G5913" s="3">
        <v>20.673345999999999</v>
      </c>
      <c r="H5913" s="3">
        <v>476.10214580175801</v>
      </c>
      <c r="I5913" s="3">
        <v>22.406676999999998</v>
      </c>
      <c r="J5913" s="3">
        <v>22.433346</v>
      </c>
      <c r="K5913" s="3">
        <v>20.566676999999999</v>
      </c>
      <c r="L5913" s="3">
        <v>476.10214580175801</v>
      </c>
    </row>
    <row r="5914" spans="1:12" ht="15" customHeight="1" x14ac:dyDescent="0.2">
      <c r="A5914" s="2">
        <v>37469</v>
      </c>
      <c r="B5914" s="3">
        <v>22.426677999999999</v>
      </c>
      <c r="C5914" s="1">
        <v>1910549.0999999901</v>
      </c>
      <c r="D5914" s="3">
        <v>-1.7333350000000001</v>
      </c>
      <c r="E5914" s="3">
        <v>-7.1743959740419001</v>
      </c>
      <c r="F5914" s="3">
        <v>-7.1743959740419001</v>
      </c>
      <c r="G5914" s="3">
        <v>22.426677999999999</v>
      </c>
      <c r="H5914" s="3">
        <v>524.96208011054898</v>
      </c>
      <c r="I5914" s="3">
        <v>24.300013</v>
      </c>
      <c r="J5914" s="3">
        <v>24.333345000000001</v>
      </c>
      <c r="K5914" s="3">
        <v>22.414679</v>
      </c>
      <c r="L5914" s="3">
        <v>524.96208011054898</v>
      </c>
    </row>
    <row r="5915" spans="1:12" ht="15" customHeight="1" x14ac:dyDescent="0.2">
      <c r="A5915" s="2">
        <v>37468</v>
      </c>
      <c r="B5915" s="3">
        <v>24.160012999999999</v>
      </c>
      <c r="C5915" s="1">
        <v>854630.549999999</v>
      </c>
      <c r="D5915" s="3">
        <v>0.32000299999999898</v>
      </c>
      <c r="E5915" s="3">
        <v>1.3422939000445</v>
      </c>
      <c r="F5915" s="3">
        <v>1.3422939000445</v>
      </c>
      <c r="G5915" s="3">
        <v>24.160012999999999</v>
      </c>
      <c r="H5915" s="3">
        <v>573.264759942507</v>
      </c>
      <c r="I5915" s="3">
        <v>23.933346</v>
      </c>
      <c r="J5915" s="3">
        <v>24.233343000000001</v>
      </c>
      <c r="K5915" s="3">
        <v>23.499345999999999</v>
      </c>
      <c r="L5915" s="3">
        <v>573.264759942507</v>
      </c>
    </row>
    <row r="5916" spans="1:12" ht="15" customHeight="1" x14ac:dyDescent="0.2">
      <c r="A5916" s="2">
        <v>37467</v>
      </c>
      <c r="B5916" s="3">
        <v>23.840009999999999</v>
      </c>
      <c r="C5916" s="1">
        <v>976165.03999999899</v>
      </c>
      <c r="D5916" s="3">
        <v>-0.37333499999999997</v>
      </c>
      <c r="E5916" s="3">
        <v>-1.54185636061436</v>
      </c>
      <c r="F5916" s="3">
        <v>-1.54185636061436</v>
      </c>
      <c r="G5916" s="3">
        <v>23.840009999999999</v>
      </c>
      <c r="H5916" s="3">
        <v>564.34726710109601</v>
      </c>
      <c r="I5916" s="3">
        <v>24.300013</v>
      </c>
      <c r="J5916" s="3">
        <v>24.300013</v>
      </c>
      <c r="K5916" s="3">
        <v>23.560009999999998</v>
      </c>
      <c r="L5916" s="3">
        <v>564.34726710109601</v>
      </c>
    </row>
    <row r="5917" spans="1:12" ht="15" customHeight="1" x14ac:dyDescent="0.2">
      <c r="A5917" s="2">
        <v>37466</v>
      </c>
      <c r="B5917" s="3">
        <v>24.213345</v>
      </c>
      <c r="C5917" s="1">
        <v>1076795.5</v>
      </c>
      <c r="D5917" s="3">
        <v>1.2466660000000001</v>
      </c>
      <c r="E5917" s="3">
        <v>5.4281509311816496</v>
      </c>
      <c r="F5917" s="3">
        <v>5.4281509311816496</v>
      </c>
      <c r="G5917" s="3">
        <v>24.213345</v>
      </c>
      <c r="H5917" s="3">
        <v>574.75095766008496</v>
      </c>
      <c r="I5917" s="3">
        <v>23.000011000000001</v>
      </c>
      <c r="J5917" s="3">
        <v>24.400010999999999</v>
      </c>
      <c r="K5917" s="3">
        <v>22.966678999999999</v>
      </c>
      <c r="L5917" s="3">
        <v>574.75095766008496</v>
      </c>
    </row>
    <row r="5918" spans="1:12" ht="15" customHeight="1" x14ac:dyDescent="0.2">
      <c r="A5918" s="2">
        <v>37463</v>
      </c>
      <c r="B5918" s="3">
        <v>22.966678999999999</v>
      </c>
      <c r="C5918" s="1">
        <v>746077.14999999898</v>
      </c>
      <c r="D5918" s="3">
        <v>0.62000099999999803</v>
      </c>
      <c r="E5918" s="3">
        <v>2.77446607500229</v>
      </c>
      <c r="F5918" s="3">
        <v>2.77446607500229</v>
      </c>
      <c r="G5918" s="3">
        <v>22.966678999999999</v>
      </c>
      <c r="H5918" s="3">
        <v>540.010236071132</v>
      </c>
      <c r="I5918" s="3">
        <v>22.400010000000002</v>
      </c>
      <c r="J5918" s="3">
        <v>23.013344</v>
      </c>
      <c r="K5918" s="3">
        <v>22.333344</v>
      </c>
      <c r="L5918" s="3">
        <v>540.010236071132</v>
      </c>
    </row>
    <row r="5919" spans="1:12" ht="15" customHeight="1" x14ac:dyDescent="0.2">
      <c r="A5919" s="2">
        <v>37462</v>
      </c>
      <c r="B5919" s="3">
        <v>22.346678000000001</v>
      </c>
      <c r="C5919" s="1">
        <v>1827540.6</v>
      </c>
      <c r="D5919" s="3">
        <v>-0.5</v>
      </c>
      <c r="E5919" s="3">
        <v>-2.1885019782744801</v>
      </c>
      <c r="F5919" s="3">
        <v>-2.1885019782744801</v>
      </c>
      <c r="G5919" s="3">
        <v>22.346678000000001</v>
      </c>
      <c r="H5919" s="3">
        <v>522.73272780037405</v>
      </c>
      <c r="I5919" s="3">
        <v>22.980011000000001</v>
      </c>
      <c r="J5919" s="3">
        <v>23.860012000000001</v>
      </c>
      <c r="K5919" s="3">
        <v>21.706678</v>
      </c>
      <c r="L5919" s="3">
        <v>522.73272780037405</v>
      </c>
    </row>
    <row r="5920" spans="1:12" ht="15" customHeight="1" x14ac:dyDescent="0.2">
      <c r="A5920" s="2">
        <v>37461</v>
      </c>
      <c r="B5920" s="3">
        <v>22.846678000000001</v>
      </c>
      <c r="C5920" s="1">
        <v>1370514.9</v>
      </c>
      <c r="D5920" s="3">
        <v>2.0800019999999999</v>
      </c>
      <c r="E5920" s="3">
        <v>10.016056493586101</v>
      </c>
      <c r="F5920" s="3">
        <v>10.016056493586101</v>
      </c>
      <c r="G5920" s="3">
        <v>22.846678000000001</v>
      </c>
      <c r="H5920" s="3">
        <v>536.66617973896598</v>
      </c>
      <c r="I5920" s="3">
        <v>20.426676</v>
      </c>
      <c r="J5920" s="3">
        <v>22.993345000000001</v>
      </c>
      <c r="K5920" s="3">
        <v>20.400010000000002</v>
      </c>
      <c r="L5920" s="3">
        <v>536.66617973896598</v>
      </c>
    </row>
    <row r="5921" spans="1:12" ht="15" customHeight="1" x14ac:dyDescent="0.2">
      <c r="A5921" s="2">
        <v>37460</v>
      </c>
      <c r="B5921" s="3">
        <v>20.766676</v>
      </c>
      <c r="C5921" s="1">
        <v>1051633</v>
      </c>
      <c r="D5921" s="3">
        <v>0.95333299999999999</v>
      </c>
      <c r="E5921" s="3">
        <v>4.8115706673023304</v>
      </c>
      <c r="F5921" s="3">
        <v>4.8115706673023304</v>
      </c>
      <c r="G5921" s="3">
        <v>20.766676</v>
      </c>
      <c r="H5921" s="3">
        <v>478.70296394061597</v>
      </c>
      <c r="I5921" s="3">
        <v>19.700009999999999</v>
      </c>
      <c r="J5921" s="3">
        <v>20.946676</v>
      </c>
      <c r="K5921" s="3">
        <v>19.653343</v>
      </c>
      <c r="L5921" s="3">
        <v>478.70296394061597</v>
      </c>
    </row>
    <row r="5922" spans="1:12" ht="15" customHeight="1" x14ac:dyDescent="0.2">
      <c r="A5922" s="2">
        <v>37459</v>
      </c>
      <c r="B5922" s="3">
        <v>19.813343</v>
      </c>
      <c r="C5922" s="1">
        <v>1383267.8</v>
      </c>
      <c r="D5922" s="3">
        <v>-0.75333399999999795</v>
      </c>
      <c r="E5922" s="3">
        <v>-3.6628863282094501</v>
      </c>
      <c r="F5922" s="3">
        <v>-3.6628863282094501</v>
      </c>
      <c r="G5922" s="3">
        <v>19.813343</v>
      </c>
      <c r="H5922" s="3">
        <v>452.13652486666899</v>
      </c>
      <c r="I5922" s="3">
        <v>20.46001</v>
      </c>
      <c r="J5922" s="3">
        <v>20.633343</v>
      </c>
      <c r="K5922" s="3">
        <v>19.333344</v>
      </c>
      <c r="L5922" s="3">
        <v>452.13652486666899</v>
      </c>
    </row>
    <row r="5923" spans="1:12" ht="15" customHeight="1" x14ac:dyDescent="0.2">
      <c r="A5923" s="2">
        <v>37456</v>
      </c>
      <c r="B5923" s="3">
        <v>20.566676999999999</v>
      </c>
      <c r="C5923" s="1">
        <v>1737899.2</v>
      </c>
      <c r="D5923" s="3">
        <v>-0.69333300000000198</v>
      </c>
      <c r="E5923" s="3">
        <v>-3.2612073089335398</v>
      </c>
      <c r="F5923" s="3">
        <v>-3.2612073089335398</v>
      </c>
      <c r="G5923" s="3">
        <v>20.566676999999999</v>
      </c>
      <c r="H5923" s="3">
        <v>473.12961103208301</v>
      </c>
      <c r="I5923" s="3">
        <v>21.493347</v>
      </c>
      <c r="J5923" s="3">
        <v>21.600012</v>
      </c>
      <c r="K5923" s="3">
        <v>20.220009000000001</v>
      </c>
      <c r="L5923" s="3">
        <v>473.12961103208301</v>
      </c>
    </row>
    <row r="5924" spans="1:12" ht="15" customHeight="1" x14ac:dyDescent="0.2">
      <c r="A5924" s="2">
        <v>37455</v>
      </c>
      <c r="B5924" s="3">
        <v>21.260010000000001</v>
      </c>
      <c r="C5924" s="1">
        <v>741749.63</v>
      </c>
      <c r="D5924" s="3">
        <v>-0.23999999999999799</v>
      </c>
      <c r="E5924" s="3">
        <v>-1.1162785505681001</v>
      </c>
      <c r="F5924" s="3">
        <v>-1.1162785505681001</v>
      </c>
      <c r="G5924" s="3">
        <v>21.260010000000001</v>
      </c>
      <c r="H5924" s="3">
        <v>492.45065509796302</v>
      </c>
      <c r="I5924" s="3">
        <v>21.793343</v>
      </c>
      <c r="J5924" s="3">
        <v>22.060009999999998</v>
      </c>
      <c r="K5924" s="3">
        <v>21.240010999999999</v>
      </c>
      <c r="L5924" s="3">
        <v>492.45065509796302</v>
      </c>
    </row>
    <row r="5925" spans="1:12" ht="15" customHeight="1" x14ac:dyDescent="0.2">
      <c r="A5925" s="2">
        <v>37454</v>
      </c>
      <c r="B5925" s="3">
        <v>21.50001</v>
      </c>
      <c r="C5925" s="1">
        <v>770849.6</v>
      </c>
      <c r="D5925" s="3">
        <v>0.39999800000000002</v>
      </c>
      <c r="E5925" s="3">
        <v>1.8957240403465201</v>
      </c>
      <c r="F5925" s="3">
        <v>1.8957240403465201</v>
      </c>
      <c r="G5925" s="3">
        <v>21.50001</v>
      </c>
      <c r="H5925" s="3">
        <v>499.13871202848702</v>
      </c>
      <c r="I5925" s="3">
        <v>21.133344999999998</v>
      </c>
      <c r="J5925" s="3">
        <v>21.826677</v>
      </c>
      <c r="K5925" s="3">
        <v>21.100012</v>
      </c>
      <c r="L5925" s="3">
        <v>499.13871202848702</v>
      </c>
    </row>
    <row r="5926" spans="1:12" ht="15" customHeight="1" x14ac:dyDescent="0.2">
      <c r="A5926" s="2">
        <v>37453</v>
      </c>
      <c r="B5926" s="3">
        <v>21.100012</v>
      </c>
      <c r="C5926" s="1">
        <v>1187699.3</v>
      </c>
      <c r="D5926" s="3">
        <v>-0.193331</v>
      </c>
      <c r="E5926" s="3">
        <v>-0.90794104054022695</v>
      </c>
      <c r="F5926" s="3">
        <v>-0.90794104054022695</v>
      </c>
      <c r="G5926" s="3">
        <v>21.100012</v>
      </c>
      <c r="H5926" s="3">
        <v>487.99200621142103</v>
      </c>
      <c r="I5926" s="3">
        <v>21.200009999999999</v>
      </c>
      <c r="J5926" s="3">
        <v>21.700009999999999</v>
      </c>
      <c r="K5926" s="3">
        <v>20.926676</v>
      </c>
      <c r="L5926" s="3">
        <v>487.99200621142103</v>
      </c>
    </row>
    <row r="5927" spans="1:12" ht="15" customHeight="1" x14ac:dyDescent="0.2">
      <c r="A5927" s="2">
        <v>37452</v>
      </c>
      <c r="B5927" s="3">
        <v>21.293343</v>
      </c>
      <c r="C5927" s="1">
        <v>1421549.29999999</v>
      </c>
      <c r="D5927" s="3">
        <v>-2.0002000000001598E-2</v>
      </c>
      <c r="E5927" s="3">
        <v>-9.3847305526195607E-2</v>
      </c>
      <c r="F5927" s="3">
        <v>-9.3847305526195607E-2</v>
      </c>
      <c r="G5927" s="3">
        <v>21.293343</v>
      </c>
      <c r="H5927" s="3">
        <v>493.37954260490102</v>
      </c>
      <c r="I5927" s="3">
        <v>21.233343000000001</v>
      </c>
      <c r="J5927" s="3">
        <v>21.433344000000002</v>
      </c>
      <c r="K5927" s="3">
        <v>20.100010000000001</v>
      </c>
      <c r="L5927" s="3">
        <v>493.37954260490102</v>
      </c>
    </row>
    <row r="5928" spans="1:12" ht="15" customHeight="1" x14ac:dyDescent="0.2">
      <c r="A5928" s="2">
        <v>37449</v>
      </c>
      <c r="B5928" s="3">
        <v>21.313345000000002</v>
      </c>
      <c r="C5928" s="1">
        <v>811049.6</v>
      </c>
      <c r="D5928" s="3">
        <v>2.0002000000001598E-2</v>
      </c>
      <c r="E5928" s="3">
        <v>9.3935461425664807E-2</v>
      </c>
      <c r="F5928" s="3">
        <v>9.3935461425664807E-2</v>
      </c>
      <c r="G5928" s="3">
        <v>21.313345000000002</v>
      </c>
      <c r="H5928" s="3">
        <v>493.93693641625202</v>
      </c>
      <c r="I5928" s="3">
        <v>21.226676999999999</v>
      </c>
      <c r="J5928" s="3">
        <v>21.573343000000001</v>
      </c>
      <c r="K5928" s="3">
        <v>21.106676</v>
      </c>
      <c r="L5928" s="3">
        <v>493.93693641625202</v>
      </c>
    </row>
    <row r="5929" spans="1:12" ht="15" customHeight="1" x14ac:dyDescent="0.2">
      <c r="A5929" s="2">
        <v>37448</v>
      </c>
      <c r="B5929" s="3">
        <v>21.293343</v>
      </c>
      <c r="C5929" s="1">
        <v>584999.76</v>
      </c>
      <c r="D5929" s="3">
        <v>-0.31999899999999898</v>
      </c>
      <c r="E5929" s="3">
        <v>-1.4805623304345901</v>
      </c>
      <c r="F5929" s="3">
        <v>-1.4805623304345901</v>
      </c>
      <c r="G5929" s="3">
        <v>21.293343</v>
      </c>
      <c r="H5929" s="3">
        <v>493.37954260490102</v>
      </c>
      <c r="I5929" s="3">
        <v>21.453344000000001</v>
      </c>
      <c r="J5929" s="3">
        <v>21.933344000000002</v>
      </c>
      <c r="K5929" s="3">
        <v>21.00001</v>
      </c>
      <c r="L5929" s="3">
        <v>493.37954260490102</v>
      </c>
    </row>
    <row r="5930" spans="1:12" ht="15" customHeight="1" x14ac:dyDescent="0.2">
      <c r="A5930" s="2">
        <v>37447</v>
      </c>
      <c r="B5930" s="3">
        <v>21.613341999999999</v>
      </c>
      <c r="C5930" s="1">
        <v>450149.78</v>
      </c>
      <c r="D5930" s="3">
        <v>-0.246667999999999</v>
      </c>
      <c r="E5930" s="3">
        <v>-1.12839838591107</v>
      </c>
      <c r="F5930" s="3">
        <v>-1.12839838591107</v>
      </c>
      <c r="G5930" s="3">
        <v>21.613341999999999</v>
      </c>
      <c r="H5930" s="3">
        <v>502.29692397869599</v>
      </c>
      <c r="I5930" s="3">
        <v>21.873343999999999</v>
      </c>
      <c r="J5930" s="3">
        <v>22.293343</v>
      </c>
      <c r="K5930" s="3">
        <v>21.560009999999998</v>
      </c>
      <c r="L5930" s="3">
        <v>502.29692397869599</v>
      </c>
    </row>
    <row r="5931" spans="1:12" ht="15" customHeight="1" x14ac:dyDescent="0.2">
      <c r="A5931" s="2">
        <v>37446</v>
      </c>
      <c r="B5931" s="3">
        <v>21.860009999999999</v>
      </c>
      <c r="C5931" s="1">
        <v>603299.69999999995</v>
      </c>
      <c r="D5931" s="3">
        <v>-0.80666700000000002</v>
      </c>
      <c r="E5931" s="3">
        <v>-3.55882337759523</v>
      </c>
      <c r="F5931" s="3">
        <v>-3.55882337759523</v>
      </c>
      <c r="G5931" s="3">
        <v>21.860009999999999</v>
      </c>
      <c r="H5931" s="3">
        <v>509.17079742427302</v>
      </c>
      <c r="I5931" s="3">
        <v>22.673344</v>
      </c>
      <c r="J5931" s="3">
        <v>22.986677</v>
      </c>
      <c r="K5931" s="3">
        <v>21.860009999999999</v>
      </c>
      <c r="L5931" s="3">
        <v>509.17079742427302</v>
      </c>
    </row>
    <row r="5932" spans="1:12" ht="15" customHeight="1" x14ac:dyDescent="0.2">
      <c r="A5932" s="2">
        <v>37445</v>
      </c>
      <c r="B5932" s="3">
        <v>22.666677</v>
      </c>
      <c r="C5932" s="1">
        <v>519899.8</v>
      </c>
      <c r="D5932" s="3">
        <v>-0.26666899999999999</v>
      </c>
      <c r="E5932" s="3">
        <v>-1.1628002298487099</v>
      </c>
      <c r="F5932" s="3">
        <v>-1.1628002298487099</v>
      </c>
      <c r="G5932" s="3">
        <v>22.666677</v>
      </c>
      <c r="H5932" s="3">
        <v>531.65010917416896</v>
      </c>
      <c r="I5932" s="3">
        <v>22.933346</v>
      </c>
      <c r="J5932" s="3">
        <v>22.986677</v>
      </c>
      <c r="K5932" s="3">
        <v>22.626677000000001</v>
      </c>
      <c r="L5932" s="3">
        <v>531.65010917416896</v>
      </c>
    </row>
    <row r="5933" spans="1:12" ht="15" customHeight="1" x14ac:dyDescent="0.2">
      <c r="A5933" s="2">
        <v>37442</v>
      </c>
      <c r="B5933" s="3">
        <v>22.933346</v>
      </c>
      <c r="C5933" s="1">
        <v>358349.85</v>
      </c>
      <c r="D5933" s="3">
        <v>1.3066689999999901</v>
      </c>
      <c r="E5933" s="3">
        <v>6.0419314534544402</v>
      </c>
      <c r="F5933" s="3">
        <v>6.0419314534544402</v>
      </c>
      <c r="G5933" s="3">
        <v>22.933346</v>
      </c>
      <c r="H5933" s="3">
        <v>539.08134856419395</v>
      </c>
      <c r="I5933" s="3">
        <v>21.766677999999999</v>
      </c>
      <c r="J5933" s="3">
        <v>22.933346</v>
      </c>
      <c r="K5933" s="3">
        <v>21.766677999999999</v>
      </c>
      <c r="L5933" s="3">
        <v>539.08134856419395</v>
      </c>
    </row>
    <row r="5934" spans="1:12" ht="15" customHeight="1" x14ac:dyDescent="0.2">
      <c r="A5934" s="2">
        <v>37440</v>
      </c>
      <c r="B5934" s="3">
        <v>21.626677000000001</v>
      </c>
      <c r="C5934" s="1">
        <v>960899.54</v>
      </c>
      <c r="D5934" s="3">
        <v>-0.59999999999999698</v>
      </c>
      <c r="E5934" s="3">
        <v>-2.69945885298102</v>
      </c>
      <c r="F5934" s="3">
        <v>-2.69945885298102</v>
      </c>
      <c r="G5934" s="3">
        <v>21.626677000000001</v>
      </c>
      <c r="H5934" s="3">
        <v>502.66852914189798</v>
      </c>
      <c r="I5934" s="3">
        <v>22.080010000000001</v>
      </c>
      <c r="J5934" s="3">
        <v>22.573345</v>
      </c>
      <c r="K5934" s="3">
        <v>21.340009999999999</v>
      </c>
      <c r="L5934" s="3">
        <v>502.66852914189798</v>
      </c>
    </row>
    <row r="5935" spans="1:12" ht="15" customHeight="1" x14ac:dyDescent="0.2">
      <c r="A5935" s="2">
        <v>37439</v>
      </c>
      <c r="B5935" s="3">
        <v>22.226676999999999</v>
      </c>
      <c r="C5935" s="1">
        <v>695699.7</v>
      </c>
      <c r="D5935" s="3">
        <v>-0.933334000000002</v>
      </c>
      <c r="E5935" s="3">
        <v>-4.02993763690354</v>
      </c>
      <c r="F5935" s="3">
        <v>-4.02993763690354</v>
      </c>
      <c r="G5935" s="3">
        <v>22.226676999999999</v>
      </c>
      <c r="H5935" s="3">
        <v>519.38867146820803</v>
      </c>
      <c r="I5935" s="3">
        <v>23.033344</v>
      </c>
      <c r="J5935" s="3">
        <v>23.233343000000001</v>
      </c>
      <c r="K5935" s="3">
        <v>22.193344</v>
      </c>
      <c r="L5935" s="3">
        <v>519.38867146820803</v>
      </c>
    </row>
    <row r="5936" spans="1:12" ht="15" customHeight="1" x14ac:dyDescent="0.2">
      <c r="A5936" s="2">
        <v>37438</v>
      </c>
      <c r="B5936" s="3">
        <v>23.160011000000001</v>
      </c>
      <c r="C5936" s="1">
        <v>679799.7</v>
      </c>
      <c r="D5936" s="3">
        <v>-0.49333399999999999</v>
      </c>
      <c r="E5936" s="3">
        <v>-2.08568386416382</v>
      </c>
      <c r="F5936" s="3">
        <v>-2.08568386416382</v>
      </c>
      <c r="G5936" s="3">
        <v>23.160011000000001</v>
      </c>
      <c r="H5936" s="3">
        <v>545.39780033151499</v>
      </c>
      <c r="I5936" s="3">
        <v>23.533344</v>
      </c>
      <c r="J5936" s="3">
        <v>23.926677999999999</v>
      </c>
      <c r="K5936" s="3">
        <v>23.040012000000001</v>
      </c>
      <c r="L5936" s="3">
        <v>545.39780033151499</v>
      </c>
    </row>
    <row r="5937" spans="1:12" ht="15" customHeight="1" x14ac:dyDescent="0.2">
      <c r="A5937" s="2">
        <v>37435</v>
      </c>
      <c r="B5937" s="3">
        <v>23.653345000000002</v>
      </c>
      <c r="C5937" s="1">
        <v>1949249.1</v>
      </c>
      <c r="D5937" s="3">
        <v>-0.67999999999999905</v>
      </c>
      <c r="E5937" s="3">
        <v>-2.7945192081072201</v>
      </c>
      <c r="F5937" s="3">
        <v>-2.7945192081072201</v>
      </c>
      <c r="G5937" s="3">
        <v>23.653345000000002</v>
      </c>
      <c r="H5937" s="3">
        <v>559.14549148886204</v>
      </c>
      <c r="I5937" s="3">
        <v>24.400010999999999</v>
      </c>
      <c r="J5937" s="3">
        <v>24.706679999999999</v>
      </c>
      <c r="K5937" s="3">
        <v>23.406680000000001</v>
      </c>
      <c r="L5937" s="3">
        <v>559.14549148886204</v>
      </c>
    </row>
    <row r="5938" spans="1:12" ht="15" customHeight="1" x14ac:dyDescent="0.2">
      <c r="A5938" s="2">
        <v>37434</v>
      </c>
      <c r="B5938" s="3">
        <v>24.333345000000001</v>
      </c>
      <c r="C5938" s="1">
        <v>718799.7</v>
      </c>
      <c r="D5938" s="3">
        <v>0.19333500000000101</v>
      </c>
      <c r="E5938" s="3">
        <v>0.80089030617633805</v>
      </c>
      <c r="F5938" s="3">
        <v>0.80089030617633805</v>
      </c>
      <c r="G5938" s="3">
        <v>24.333345000000001</v>
      </c>
      <c r="H5938" s="3">
        <v>578.09498612534696</v>
      </c>
      <c r="I5938" s="3">
        <v>24.133348000000002</v>
      </c>
      <c r="J5938" s="3">
        <v>24.400010999999999</v>
      </c>
      <c r="K5938" s="3">
        <v>23.480013</v>
      </c>
      <c r="L5938" s="3">
        <v>578.09498612534696</v>
      </c>
    </row>
    <row r="5939" spans="1:12" ht="15" customHeight="1" x14ac:dyDescent="0.2">
      <c r="A5939" s="2">
        <v>37433</v>
      </c>
      <c r="B5939" s="3">
        <v>24.14001</v>
      </c>
      <c r="C5939" s="1">
        <v>940199.6</v>
      </c>
      <c r="D5939" s="3">
        <v>0.66666500000000095</v>
      </c>
      <c r="E5939" s="3">
        <v>2.8400937318477699</v>
      </c>
      <c r="F5939" s="3">
        <v>2.8400937318477699</v>
      </c>
      <c r="G5939" s="3">
        <v>24.14001</v>
      </c>
      <c r="H5939" s="3">
        <v>572.70733826425101</v>
      </c>
      <c r="I5939" s="3">
        <v>23.000011000000001</v>
      </c>
      <c r="J5939" s="3">
        <v>24.200009999999999</v>
      </c>
      <c r="K5939" s="3">
        <v>22.920012</v>
      </c>
      <c r="L5939" s="3">
        <v>572.70733826425101</v>
      </c>
    </row>
    <row r="5940" spans="1:12" ht="15" customHeight="1" x14ac:dyDescent="0.2">
      <c r="A5940" s="2">
        <v>37432</v>
      </c>
      <c r="B5940" s="3">
        <v>23.473344999999998</v>
      </c>
      <c r="C5940" s="1">
        <v>1058249.5</v>
      </c>
      <c r="D5940" s="3">
        <v>-0.79999900000000301</v>
      </c>
      <c r="E5940" s="3">
        <v>-3.2957922896820602</v>
      </c>
      <c r="F5940" s="3">
        <v>-3.2957922896820602</v>
      </c>
      <c r="G5940" s="3">
        <v>23.473344999999998</v>
      </c>
      <c r="H5940" s="3">
        <v>554.12944879096904</v>
      </c>
      <c r="I5940" s="3">
        <v>24.133348000000002</v>
      </c>
      <c r="J5940" s="3">
        <v>24.526678</v>
      </c>
      <c r="K5940" s="3">
        <v>23.166677</v>
      </c>
      <c r="L5940" s="3">
        <v>554.12944879096904</v>
      </c>
    </row>
    <row r="5941" spans="1:12" ht="15" customHeight="1" x14ac:dyDescent="0.2">
      <c r="A5941" s="2">
        <v>37431</v>
      </c>
      <c r="B5941" s="3">
        <v>24.273344000000002</v>
      </c>
      <c r="C5941" s="1">
        <v>929549.56</v>
      </c>
      <c r="D5941" s="3">
        <v>-0.50000199999999795</v>
      </c>
      <c r="E5941" s="3">
        <v>-2.0183062877335902</v>
      </c>
      <c r="F5941" s="3">
        <v>-2.0183062877335902</v>
      </c>
      <c r="G5941" s="3">
        <v>24.273344000000002</v>
      </c>
      <c r="H5941" s="3">
        <v>576.42294402581194</v>
      </c>
      <c r="I5941" s="3">
        <v>24.766680000000001</v>
      </c>
      <c r="J5941" s="3">
        <v>24.813347</v>
      </c>
      <c r="K5941" s="3">
        <v>24.033344</v>
      </c>
      <c r="L5941" s="3">
        <v>576.42294402581194</v>
      </c>
    </row>
    <row r="5942" spans="1:12" ht="15" customHeight="1" x14ac:dyDescent="0.2">
      <c r="A5942" s="2">
        <v>37428</v>
      </c>
      <c r="B5942" s="3">
        <v>24.773346</v>
      </c>
      <c r="C5942" s="1">
        <v>1189649.3999999999</v>
      </c>
      <c r="D5942" s="3">
        <v>7.3333999999999094E-2</v>
      </c>
      <c r="E5942" s="3">
        <v>0.29689864118285197</v>
      </c>
      <c r="F5942" s="3">
        <v>0.29689864118285197</v>
      </c>
      <c r="G5942" s="3">
        <v>24.773346</v>
      </c>
      <c r="H5942" s="3">
        <v>590.356451698211</v>
      </c>
      <c r="I5942" s="3">
        <v>25.033344</v>
      </c>
      <c r="J5942" s="3">
        <v>25.033344</v>
      </c>
      <c r="K5942" s="3">
        <v>24.666679999999999</v>
      </c>
      <c r="L5942" s="3">
        <v>590.356451698211</v>
      </c>
    </row>
    <row r="5943" spans="1:12" ht="15" customHeight="1" x14ac:dyDescent="0.2">
      <c r="A5943" s="2">
        <v>37427</v>
      </c>
      <c r="B5943" s="3">
        <v>24.700012000000001</v>
      </c>
      <c r="C5943" s="1">
        <v>783149.6</v>
      </c>
      <c r="D5943" s="3">
        <v>-0.38666800000000001</v>
      </c>
      <c r="E5943" s="3">
        <v>-1.5413279078777999</v>
      </c>
      <c r="F5943" s="3">
        <v>-1.5413279078777999</v>
      </c>
      <c r="G5943" s="3">
        <v>24.700012000000001</v>
      </c>
      <c r="H5943" s="3">
        <v>588.31286016928198</v>
      </c>
      <c r="I5943" s="3">
        <v>25.100014000000002</v>
      </c>
      <c r="J5943" s="3">
        <v>25.166679999999999</v>
      </c>
      <c r="K5943" s="3">
        <v>24.613344000000001</v>
      </c>
      <c r="L5943" s="3">
        <v>588.31286016928198</v>
      </c>
    </row>
    <row r="5944" spans="1:12" ht="15" customHeight="1" x14ac:dyDescent="0.2">
      <c r="A5944" s="2">
        <v>37426</v>
      </c>
      <c r="B5944" s="3">
        <v>25.086680000000001</v>
      </c>
      <c r="C5944" s="1">
        <v>709049.7</v>
      </c>
      <c r="D5944" s="3">
        <v>-0.13333300000000001</v>
      </c>
      <c r="E5944" s="3">
        <v>-0.52867934683459294</v>
      </c>
      <c r="F5944" s="3">
        <v>-0.52867934683459294</v>
      </c>
      <c r="G5944" s="3">
        <v>25.086680000000001</v>
      </c>
      <c r="H5944" s="3">
        <v>599.08810015766505</v>
      </c>
      <c r="I5944" s="3">
        <v>25.220680000000002</v>
      </c>
      <c r="J5944" s="3">
        <v>25.46001</v>
      </c>
      <c r="K5944" s="3">
        <v>24.966678999999999</v>
      </c>
      <c r="L5944" s="3">
        <v>599.08810015766505</v>
      </c>
    </row>
    <row r="5945" spans="1:12" ht="15" customHeight="1" x14ac:dyDescent="0.2">
      <c r="A5945" s="2">
        <v>37425</v>
      </c>
      <c r="B5945" s="3">
        <v>25.220013000000002</v>
      </c>
      <c r="C5945" s="1">
        <v>812849.6</v>
      </c>
      <c r="D5945" s="3">
        <v>0.106669</v>
      </c>
      <c r="E5945" s="3">
        <v>0.42475028415172</v>
      </c>
      <c r="F5945" s="3">
        <v>0.42475028415172</v>
      </c>
      <c r="G5945" s="3">
        <v>25.220013000000002</v>
      </c>
      <c r="H5945" s="3">
        <v>602.80367805232095</v>
      </c>
      <c r="I5945" s="3">
        <v>25.113344000000001</v>
      </c>
      <c r="J5945" s="3">
        <v>25.666679999999999</v>
      </c>
      <c r="K5945" s="3">
        <v>24.853344</v>
      </c>
      <c r="L5945" s="3">
        <v>602.80367805232095</v>
      </c>
    </row>
    <row r="5946" spans="1:12" ht="15" customHeight="1" x14ac:dyDescent="0.2">
      <c r="A5946" s="2">
        <v>37424</v>
      </c>
      <c r="B5946" s="3">
        <v>25.113344000000001</v>
      </c>
      <c r="C5946" s="1">
        <v>610199.69999999995</v>
      </c>
      <c r="D5946" s="3">
        <v>0.61333300000000002</v>
      </c>
      <c r="E5946" s="3">
        <v>2.5033988760249901</v>
      </c>
      <c r="F5946" s="3">
        <v>2.5033988760249901</v>
      </c>
      <c r="G5946" s="3">
        <v>25.113344000000001</v>
      </c>
      <c r="H5946" s="3">
        <v>599.83114328264605</v>
      </c>
      <c r="I5946" s="3">
        <v>24.49335</v>
      </c>
      <c r="J5946" s="3">
        <v>25.213345</v>
      </c>
      <c r="K5946" s="3">
        <v>24.400010999999999</v>
      </c>
      <c r="L5946" s="3">
        <v>599.83114328264605</v>
      </c>
    </row>
    <row r="5947" spans="1:12" ht="15" customHeight="1" x14ac:dyDescent="0.2">
      <c r="A5947" s="2">
        <v>37421</v>
      </c>
      <c r="B5947" s="3">
        <v>24.500011000000001</v>
      </c>
      <c r="C5947" s="1">
        <v>536249.76</v>
      </c>
      <c r="D5947" s="3">
        <v>-0.28666699999999701</v>
      </c>
      <c r="E5947" s="3">
        <v>-1.15653658792032</v>
      </c>
      <c r="F5947" s="3">
        <v>-1.15653658792032</v>
      </c>
      <c r="G5947" s="3">
        <v>24.500011000000001</v>
      </c>
      <c r="H5947" s="3">
        <v>582.73945152694102</v>
      </c>
      <c r="I5947" s="3">
        <v>24.533344</v>
      </c>
      <c r="J5947" s="3">
        <v>24.667345000000001</v>
      </c>
      <c r="K5947" s="3">
        <v>23.973344999999998</v>
      </c>
      <c r="L5947" s="3">
        <v>582.73945152694102</v>
      </c>
    </row>
    <row r="5948" spans="1:12" ht="15" customHeight="1" x14ac:dyDescent="0.2">
      <c r="A5948" s="2">
        <v>37420</v>
      </c>
      <c r="B5948" s="3">
        <v>24.786677999999998</v>
      </c>
      <c r="C5948" s="1">
        <v>398249.82</v>
      </c>
      <c r="D5948" s="3">
        <v>-0.30000200000000199</v>
      </c>
      <c r="E5948" s="3">
        <v>-1.19586170828503</v>
      </c>
      <c r="F5948" s="3">
        <v>-1.19586170828503</v>
      </c>
      <c r="G5948" s="3">
        <v>24.786677999999998</v>
      </c>
      <c r="H5948" s="3">
        <v>590.72797326070202</v>
      </c>
      <c r="I5948" s="3">
        <v>24.906680000000001</v>
      </c>
      <c r="J5948" s="3">
        <v>25.240013000000001</v>
      </c>
      <c r="K5948" s="3">
        <v>24.780010000000001</v>
      </c>
      <c r="L5948" s="3">
        <v>590.72797326070202</v>
      </c>
    </row>
    <row r="5949" spans="1:12" ht="15" customHeight="1" x14ac:dyDescent="0.2">
      <c r="A5949" s="2">
        <v>37419</v>
      </c>
      <c r="B5949" s="3">
        <v>25.086680000000001</v>
      </c>
      <c r="C5949" s="1">
        <v>711149.66</v>
      </c>
      <c r="D5949" s="3">
        <v>-0.153332999999999</v>
      </c>
      <c r="E5949" s="3">
        <v>-0.60749968710396196</v>
      </c>
      <c r="F5949" s="3">
        <v>-0.60749968710396196</v>
      </c>
      <c r="G5949" s="3">
        <v>25.086680000000001</v>
      </c>
      <c r="H5949" s="3">
        <v>599.08810015766505</v>
      </c>
      <c r="I5949" s="3">
        <v>25.200013999999999</v>
      </c>
      <c r="J5949" s="3">
        <v>25.526679999999999</v>
      </c>
      <c r="K5949" s="3">
        <v>24.700012000000001</v>
      </c>
      <c r="L5949" s="3">
        <v>599.08810015766505</v>
      </c>
    </row>
    <row r="5950" spans="1:12" ht="15" customHeight="1" x14ac:dyDescent="0.2">
      <c r="A5950" s="2">
        <v>37418</v>
      </c>
      <c r="B5950" s="3">
        <v>25.240013000000001</v>
      </c>
      <c r="C5950" s="1">
        <v>530249.76</v>
      </c>
      <c r="D5950" s="3">
        <v>-0.58666699999999805</v>
      </c>
      <c r="E5950" s="3">
        <v>-2.2715540673443</v>
      </c>
      <c r="F5950" s="3">
        <v>-2.2715540673443</v>
      </c>
      <c r="G5950" s="3">
        <v>25.240013000000001</v>
      </c>
      <c r="H5950" s="3">
        <v>603.36101612986499</v>
      </c>
      <c r="I5950" s="3">
        <v>25.866678</v>
      </c>
      <c r="J5950" s="3">
        <v>26.306678999999999</v>
      </c>
      <c r="K5950" s="3">
        <v>25.240013000000001</v>
      </c>
      <c r="L5950" s="3">
        <v>603.36101612986499</v>
      </c>
    </row>
    <row r="5951" spans="1:12" ht="15" customHeight="1" x14ac:dyDescent="0.2">
      <c r="A5951" s="2">
        <v>37417</v>
      </c>
      <c r="B5951" s="3">
        <v>25.82668</v>
      </c>
      <c r="C5951" s="1">
        <v>331349.84999999998</v>
      </c>
      <c r="D5951" s="3"/>
      <c r="E5951" s="3"/>
      <c r="F5951" s="3"/>
      <c r="G5951" s="3">
        <v>25.82668</v>
      </c>
      <c r="H5951" s="3">
        <v>619.70960902678098</v>
      </c>
      <c r="I5951" s="3">
        <v>25.986681000000001</v>
      </c>
      <c r="J5951" s="3">
        <v>26.200012000000001</v>
      </c>
      <c r="K5951" s="3">
        <v>25.793344000000001</v>
      </c>
      <c r="L5951" s="3">
        <v>619.70960902678098</v>
      </c>
    </row>
    <row r="5952" spans="1:12" ht="15" customHeight="1" x14ac:dyDescent="0.2">
      <c r="A5952" s="2">
        <v>37414</v>
      </c>
      <c r="B5952" s="3">
        <v>25.82668</v>
      </c>
      <c r="C5952" s="1">
        <v>688199.7</v>
      </c>
      <c r="D5952" s="3">
        <v>0.57333500000000004</v>
      </c>
      <c r="E5952" s="3">
        <v>2.2703329004533699</v>
      </c>
      <c r="F5952" s="3">
        <v>2.2703329004533699</v>
      </c>
      <c r="G5952" s="3">
        <v>25.82668</v>
      </c>
      <c r="H5952" s="3">
        <v>619.70960902678098</v>
      </c>
      <c r="I5952" s="3">
        <v>24.680012000000001</v>
      </c>
      <c r="J5952" s="3">
        <v>26.106680000000001</v>
      </c>
      <c r="K5952" s="3">
        <v>24.666679999999999</v>
      </c>
      <c r="L5952" s="3">
        <v>619.70960902678098</v>
      </c>
    </row>
    <row r="5953" spans="1:12" ht="15" customHeight="1" x14ac:dyDescent="0.2">
      <c r="A5953" s="2">
        <v>37413</v>
      </c>
      <c r="B5953" s="3">
        <v>25.253344999999999</v>
      </c>
      <c r="C5953" s="1">
        <v>342299.84</v>
      </c>
      <c r="D5953" s="3">
        <v>-0.41333500000000001</v>
      </c>
      <c r="E5953" s="3">
        <v>-1.61039526732713</v>
      </c>
      <c r="F5953" s="3">
        <v>-1.61039526732713</v>
      </c>
      <c r="G5953" s="3">
        <v>25.253344999999999</v>
      </c>
      <c r="H5953" s="3">
        <v>603.732537692356</v>
      </c>
      <c r="I5953" s="3">
        <v>25.653345000000002</v>
      </c>
      <c r="J5953" s="3">
        <v>25.726679000000001</v>
      </c>
      <c r="K5953" s="3">
        <v>25.180012000000001</v>
      </c>
      <c r="L5953" s="3">
        <v>603.732537692356</v>
      </c>
    </row>
    <row r="5954" spans="1:12" ht="15" customHeight="1" x14ac:dyDescent="0.2">
      <c r="A5954" s="2">
        <v>37412</v>
      </c>
      <c r="B5954" s="3">
        <v>25.666679999999999</v>
      </c>
      <c r="C5954" s="1">
        <v>358649.83999999898</v>
      </c>
      <c r="D5954" s="3">
        <v>0.65333400000000097</v>
      </c>
      <c r="E5954" s="3">
        <v>2.6119416410743201</v>
      </c>
      <c r="F5954" s="3">
        <v>2.6119416410743201</v>
      </c>
      <c r="G5954" s="3">
        <v>25.666679999999999</v>
      </c>
      <c r="H5954" s="3">
        <v>615.250904406431</v>
      </c>
      <c r="I5954" s="3">
        <v>25.066676999999999</v>
      </c>
      <c r="J5954" s="3">
        <v>25.733345</v>
      </c>
      <c r="K5954" s="3">
        <v>25.060013000000001</v>
      </c>
      <c r="L5954" s="3">
        <v>615.250904406431</v>
      </c>
    </row>
    <row r="5955" spans="1:12" ht="15" customHeight="1" x14ac:dyDescent="0.2">
      <c r="A5955" s="2">
        <v>37411</v>
      </c>
      <c r="B5955" s="3">
        <v>25.013345999999999</v>
      </c>
      <c r="C5955" s="1">
        <v>656399.66</v>
      </c>
      <c r="D5955" s="3">
        <v>-9.9998000000002904E-2</v>
      </c>
      <c r="E5955" s="3">
        <v>-0.39818671698998997</v>
      </c>
      <c r="F5955" s="3">
        <v>-0.39818671698998997</v>
      </c>
      <c r="G5955" s="3">
        <v>25.013345999999999</v>
      </c>
      <c r="H5955" s="3">
        <v>597.044508628735</v>
      </c>
      <c r="I5955" s="3">
        <v>25.200013999999999</v>
      </c>
      <c r="J5955" s="3">
        <v>25.580010999999999</v>
      </c>
      <c r="K5955" s="3">
        <v>24.620011999999999</v>
      </c>
      <c r="L5955" s="3">
        <v>597.044508628735</v>
      </c>
    </row>
    <row r="5956" spans="1:12" ht="15" customHeight="1" x14ac:dyDescent="0.2">
      <c r="A5956" s="2">
        <v>37410</v>
      </c>
      <c r="B5956" s="3">
        <v>25.113344000000001</v>
      </c>
      <c r="C5956" s="1">
        <v>474149.78</v>
      </c>
      <c r="D5956" s="3">
        <v>-0.33333399999999702</v>
      </c>
      <c r="E5956" s="3">
        <v>-1.3099313002663699</v>
      </c>
      <c r="F5956" s="3">
        <v>-1.3099313002663699</v>
      </c>
      <c r="G5956" s="3">
        <v>25.113344000000001</v>
      </c>
      <c r="H5956" s="3">
        <v>599.83114328264605</v>
      </c>
      <c r="I5956" s="3">
        <v>25.500011000000001</v>
      </c>
      <c r="J5956" s="3">
        <v>25.706679999999999</v>
      </c>
      <c r="K5956" s="3">
        <v>25.100014000000002</v>
      </c>
      <c r="L5956" s="3">
        <v>599.83114328264605</v>
      </c>
    </row>
    <row r="5957" spans="1:12" ht="15" customHeight="1" x14ac:dyDescent="0.2">
      <c r="A5957" s="2">
        <v>37407</v>
      </c>
      <c r="B5957" s="3">
        <v>25.446677999999999</v>
      </c>
      <c r="C5957" s="1">
        <v>653399.66</v>
      </c>
      <c r="D5957" s="3">
        <v>6.66599999999917E-3</v>
      </c>
      <c r="E5957" s="3">
        <v>2.62028178288575E-2</v>
      </c>
      <c r="F5957" s="3">
        <v>2.62028178288575E-2</v>
      </c>
      <c r="G5957" s="3">
        <v>25.446677999999999</v>
      </c>
      <c r="H5957" s="3">
        <v>609.12012981964301</v>
      </c>
      <c r="I5957" s="3">
        <v>25.333345000000001</v>
      </c>
      <c r="J5957" s="3">
        <v>25.733345</v>
      </c>
      <c r="K5957" s="3">
        <v>25.146678999999999</v>
      </c>
      <c r="L5957" s="3">
        <v>609.12012981964301</v>
      </c>
    </row>
    <row r="5958" spans="1:12" ht="15" customHeight="1" x14ac:dyDescent="0.2">
      <c r="A5958" s="2">
        <v>37406</v>
      </c>
      <c r="B5958" s="3">
        <v>25.440011999999999</v>
      </c>
      <c r="C5958" s="1">
        <v>1024499.49999999</v>
      </c>
      <c r="D5958" s="3">
        <v>-1.3334000000000399E-2</v>
      </c>
      <c r="E5958" s="3">
        <v>-5.2386039933616201E-2</v>
      </c>
      <c r="F5958" s="3">
        <v>-5.2386039933616201E-2</v>
      </c>
      <c r="G5958" s="3">
        <v>25.440011999999999</v>
      </c>
      <c r="H5958" s="3">
        <v>608.93436903839802</v>
      </c>
      <c r="I5958" s="3">
        <v>25.433346</v>
      </c>
      <c r="J5958" s="3">
        <v>25.560013000000001</v>
      </c>
      <c r="K5958" s="3">
        <v>24.980013</v>
      </c>
      <c r="L5958" s="3">
        <v>608.93436903839802</v>
      </c>
    </row>
    <row r="5959" spans="1:12" ht="15" customHeight="1" x14ac:dyDescent="0.2">
      <c r="A5959" s="2">
        <v>37405</v>
      </c>
      <c r="B5959" s="3">
        <v>25.453346</v>
      </c>
      <c r="C5959" s="1">
        <v>1040099.5</v>
      </c>
      <c r="D5959" s="3">
        <v>-0.55333200000000105</v>
      </c>
      <c r="E5959" s="3">
        <v>-2.1276535203765801</v>
      </c>
      <c r="F5959" s="3">
        <v>-2.1276535203765801</v>
      </c>
      <c r="G5959" s="3">
        <v>25.453346</v>
      </c>
      <c r="H5959" s="3">
        <v>609.30594633469605</v>
      </c>
      <c r="I5959" s="3">
        <v>25.96001</v>
      </c>
      <c r="J5959" s="3">
        <v>25.96001</v>
      </c>
      <c r="K5959" s="3">
        <v>25.366678</v>
      </c>
      <c r="L5959" s="3">
        <v>609.30594633469605</v>
      </c>
    </row>
    <row r="5960" spans="1:12" ht="15" customHeight="1" x14ac:dyDescent="0.2">
      <c r="A5960" s="2">
        <v>37404</v>
      </c>
      <c r="B5960" s="3">
        <v>26.006678000000001</v>
      </c>
      <c r="C5960" s="1">
        <v>568949.76999999897</v>
      </c>
      <c r="D5960" s="3">
        <v>-0.50666799999999701</v>
      </c>
      <c r="E5960" s="3">
        <v>-1.9109922979920999</v>
      </c>
      <c r="F5960" s="3">
        <v>-1.9109922979920999</v>
      </c>
      <c r="G5960" s="3">
        <v>26.006678000000001</v>
      </c>
      <c r="H5960" s="3">
        <v>624.72559599086605</v>
      </c>
      <c r="I5960" s="3">
        <v>26.573346999999998</v>
      </c>
      <c r="J5960" s="3">
        <v>26.706679999999999</v>
      </c>
      <c r="K5960" s="3">
        <v>25.806678999999999</v>
      </c>
      <c r="L5960" s="3">
        <v>624.72559599086605</v>
      </c>
    </row>
    <row r="5961" spans="1:12" ht="15" customHeight="1" x14ac:dyDescent="0.2">
      <c r="A5961" s="2">
        <v>37400</v>
      </c>
      <c r="B5961" s="3">
        <v>26.513345999999999</v>
      </c>
      <c r="C5961" s="1">
        <v>259649.87</v>
      </c>
      <c r="D5961" s="3">
        <v>-0.253334000000002</v>
      </c>
      <c r="E5961" s="3">
        <v>-0.94645282866610003</v>
      </c>
      <c r="F5961" s="3">
        <v>-0.94645282866610003</v>
      </c>
      <c r="G5961" s="3">
        <v>26.513345999999999</v>
      </c>
      <c r="H5961" s="3">
        <v>638.84486444451102</v>
      </c>
      <c r="I5961" s="3">
        <v>26.673345999999999</v>
      </c>
      <c r="J5961" s="3">
        <v>27.006678000000001</v>
      </c>
      <c r="K5961" s="3">
        <v>26.506678000000001</v>
      </c>
      <c r="L5961" s="3">
        <v>638.84486444451102</v>
      </c>
    </row>
    <row r="5962" spans="1:12" ht="15" customHeight="1" x14ac:dyDescent="0.2">
      <c r="A5962" s="2">
        <v>37399</v>
      </c>
      <c r="B5962" s="3">
        <v>26.766680000000001</v>
      </c>
      <c r="C5962" s="1">
        <v>256799.87</v>
      </c>
      <c r="D5962" s="3">
        <v>0.286667000000001</v>
      </c>
      <c r="E5962" s="3">
        <v>1.08257877365847</v>
      </c>
      <c r="F5962" s="3">
        <v>1.08257877365847</v>
      </c>
      <c r="G5962" s="3">
        <v>26.766680000000001</v>
      </c>
      <c r="H5962" s="3">
        <v>645.90449867133395</v>
      </c>
      <c r="I5962" s="3">
        <v>26.49335</v>
      </c>
      <c r="J5962" s="3">
        <v>26.813347</v>
      </c>
      <c r="K5962" s="3">
        <v>26.493347</v>
      </c>
      <c r="L5962" s="3">
        <v>645.90449867133395</v>
      </c>
    </row>
    <row r="5963" spans="1:12" ht="15" customHeight="1" x14ac:dyDescent="0.2">
      <c r="A5963" s="2">
        <v>37398</v>
      </c>
      <c r="B5963" s="3">
        <v>26.480013</v>
      </c>
      <c r="C5963" s="1">
        <v>509399.75</v>
      </c>
      <c r="D5963" s="3">
        <v>-0.186666999999999</v>
      </c>
      <c r="E5963" s="3">
        <v>-0.70000089999955295</v>
      </c>
      <c r="F5963" s="3">
        <v>-0.70000089999955295</v>
      </c>
      <c r="G5963" s="3">
        <v>26.480013</v>
      </c>
      <c r="H5963" s="3">
        <v>637.91597693757296</v>
      </c>
      <c r="I5963" s="3">
        <v>26.733345</v>
      </c>
      <c r="J5963" s="3">
        <v>26.820012999999999</v>
      </c>
      <c r="K5963" s="3">
        <v>26.080010999999999</v>
      </c>
      <c r="L5963" s="3">
        <v>637.91597693757296</v>
      </c>
    </row>
    <row r="5964" spans="1:12" ht="15" customHeight="1" x14ac:dyDescent="0.2">
      <c r="A5964" s="2">
        <v>37397</v>
      </c>
      <c r="B5964" s="3">
        <v>26.666679999999999</v>
      </c>
      <c r="C5964" s="1">
        <v>560549.74</v>
      </c>
      <c r="D5964" s="3">
        <v>2.6666999999999701E-2</v>
      </c>
      <c r="E5964" s="3">
        <v>0.100101302503108</v>
      </c>
      <c r="F5964" s="3">
        <v>0.100101302503108</v>
      </c>
      <c r="G5964" s="3">
        <v>26.666679999999999</v>
      </c>
      <c r="H5964" s="3">
        <v>643.11780828361498</v>
      </c>
      <c r="I5964" s="3">
        <v>26.666679999999999</v>
      </c>
      <c r="J5964" s="3">
        <v>26.806678999999999</v>
      </c>
      <c r="K5964" s="3">
        <v>26.533346000000002</v>
      </c>
      <c r="L5964" s="3">
        <v>643.11780828361498</v>
      </c>
    </row>
    <row r="5965" spans="1:12" ht="15" customHeight="1" x14ac:dyDescent="0.2">
      <c r="A5965" s="2">
        <v>37396</v>
      </c>
      <c r="B5965" s="3">
        <v>26.640013</v>
      </c>
      <c r="C5965" s="1">
        <v>637349.69999999995</v>
      </c>
      <c r="D5965" s="3">
        <v>-0.51999999999999902</v>
      </c>
      <c r="E5965" s="3">
        <v>-1.9145793486917599</v>
      </c>
      <c r="F5965" s="3">
        <v>-1.9145793486917599</v>
      </c>
      <c r="G5965" s="3">
        <v>26.640013</v>
      </c>
      <c r="H5965" s="3">
        <v>642.37468155792203</v>
      </c>
      <c r="I5965" s="3">
        <v>27.000012999999999</v>
      </c>
      <c r="J5965" s="3">
        <v>27.066679000000001</v>
      </c>
      <c r="K5965" s="3">
        <v>26.566679000000001</v>
      </c>
      <c r="L5965" s="3">
        <v>642.37468155792203</v>
      </c>
    </row>
    <row r="5966" spans="1:12" ht="15" customHeight="1" x14ac:dyDescent="0.2">
      <c r="A5966" s="2">
        <v>37393</v>
      </c>
      <c r="B5966" s="3">
        <v>27.160012999999999</v>
      </c>
      <c r="C5966" s="1">
        <v>718199.7</v>
      </c>
      <c r="D5966" s="3">
        <v>-0.273334999999999</v>
      </c>
      <c r="E5966" s="3">
        <v>-0.99636034216458103</v>
      </c>
      <c r="F5966" s="3">
        <v>-0.99636034216458103</v>
      </c>
      <c r="G5966" s="3">
        <v>27.160012999999999</v>
      </c>
      <c r="H5966" s="3">
        <v>656.86547157405801</v>
      </c>
      <c r="I5966" s="3">
        <v>27.526679999999999</v>
      </c>
      <c r="J5966" s="3">
        <v>27.766681999999999</v>
      </c>
      <c r="K5966" s="3">
        <v>26.806678999999999</v>
      </c>
      <c r="L5966" s="3">
        <v>656.86547157405801</v>
      </c>
    </row>
    <row r="5967" spans="1:12" ht="15" customHeight="1" x14ac:dyDescent="0.2">
      <c r="A5967" s="2">
        <v>37392</v>
      </c>
      <c r="B5967" s="3">
        <v>27.433347999999999</v>
      </c>
      <c r="C5967" s="1">
        <v>489299.77</v>
      </c>
      <c r="D5967" s="3">
        <v>-0.36666600000000199</v>
      </c>
      <c r="E5967" s="3">
        <v>-1.3189417818278799</v>
      </c>
      <c r="F5967" s="3">
        <v>-1.3189417818278799</v>
      </c>
      <c r="G5967" s="3">
        <v>27.433347999999999</v>
      </c>
      <c r="H5967" s="3">
        <v>664.48247174532798</v>
      </c>
      <c r="I5967" s="3">
        <v>27.806678999999999</v>
      </c>
      <c r="J5967" s="3">
        <v>27.873348</v>
      </c>
      <c r="K5967" s="3">
        <v>27.173345999999999</v>
      </c>
      <c r="L5967" s="3">
        <v>664.48247174532798</v>
      </c>
    </row>
    <row r="5968" spans="1:12" ht="15" customHeight="1" x14ac:dyDescent="0.2">
      <c r="A5968" s="2">
        <v>37391</v>
      </c>
      <c r="B5968" s="3">
        <v>27.800014000000001</v>
      </c>
      <c r="C5968" s="1">
        <v>493799.74</v>
      </c>
      <c r="D5968" s="3">
        <v>-6.6665999999997894E-2</v>
      </c>
      <c r="E5968" s="3">
        <v>-0.239231942951212</v>
      </c>
      <c r="F5968" s="3">
        <v>-0.239231942951212</v>
      </c>
      <c r="G5968" s="3">
        <v>27.800014000000001</v>
      </c>
      <c r="H5968" s="3">
        <v>674.70031792235898</v>
      </c>
      <c r="I5968" s="3">
        <v>27.900013000000001</v>
      </c>
      <c r="J5968" s="3">
        <v>28.033346000000002</v>
      </c>
      <c r="K5968" s="3">
        <v>27.533346000000002</v>
      </c>
      <c r="L5968" s="3">
        <v>674.70031792235898</v>
      </c>
    </row>
    <row r="5969" spans="1:12" ht="15" customHeight="1" x14ac:dyDescent="0.2">
      <c r="A5969" s="2">
        <v>37390</v>
      </c>
      <c r="B5969" s="3">
        <v>27.866679999999999</v>
      </c>
      <c r="C5969" s="1">
        <v>628799.69999999995</v>
      </c>
      <c r="D5969" s="3">
        <v>7.9999999999998295E-2</v>
      </c>
      <c r="E5969" s="3">
        <v>0.28790773133024999</v>
      </c>
      <c r="F5969" s="3">
        <v>0.28790773133024999</v>
      </c>
      <c r="G5969" s="3">
        <v>27.866679999999999</v>
      </c>
      <c r="H5969" s="3">
        <v>676.55809293623497</v>
      </c>
      <c r="I5969" s="3">
        <v>27.833347</v>
      </c>
      <c r="J5969" s="3">
        <v>28.033346000000002</v>
      </c>
      <c r="K5969" s="3">
        <v>27.660015000000001</v>
      </c>
      <c r="L5969" s="3">
        <v>676.55809293623497</v>
      </c>
    </row>
    <row r="5970" spans="1:12" ht="15" customHeight="1" x14ac:dyDescent="0.2">
      <c r="A5970" s="2">
        <v>37389</v>
      </c>
      <c r="B5970" s="3">
        <v>27.78668</v>
      </c>
      <c r="C5970" s="1">
        <v>604949.69999999995</v>
      </c>
      <c r="D5970" s="3">
        <v>0.33333400000000002</v>
      </c>
      <c r="E5970" s="3">
        <v>1.2141835097259299</v>
      </c>
      <c r="F5970" s="3">
        <v>1.2141835097259299</v>
      </c>
      <c r="G5970" s="3">
        <v>27.78668</v>
      </c>
      <c r="H5970" s="3">
        <v>674.32874062606095</v>
      </c>
      <c r="I5970" s="3">
        <v>27.566679000000001</v>
      </c>
      <c r="J5970" s="3">
        <v>28.080013000000001</v>
      </c>
      <c r="K5970" s="3">
        <v>27.500012999999999</v>
      </c>
      <c r="L5970" s="3">
        <v>674.32874062606095</v>
      </c>
    </row>
    <row r="5971" spans="1:12" ht="15" customHeight="1" x14ac:dyDescent="0.2">
      <c r="A5971" s="2">
        <v>37386</v>
      </c>
      <c r="B5971" s="3">
        <v>27.453346</v>
      </c>
      <c r="C5971" s="1">
        <v>294599.88</v>
      </c>
      <c r="D5971" s="3">
        <v>9.9166000000000296E-2</v>
      </c>
      <c r="E5971" s="3">
        <v>0.36252594667434102</v>
      </c>
      <c r="F5971" s="3">
        <v>0.36252594667434102</v>
      </c>
      <c r="G5971" s="3">
        <v>27.453346</v>
      </c>
      <c r="H5971" s="3">
        <v>665.03975408906399</v>
      </c>
      <c r="I5971" s="3">
        <v>27.493351000000001</v>
      </c>
      <c r="J5971" s="3">
        <v>27.733345</v>
      </c>
      <c r="K5971" s="3">
        <v>27.266680000000001</v>
      </c>
      <c r="L5971" s="3">
        <v>665.03975408906399</v>
      </c>
    </row>
    <row r="5972" spans="1:12" ht="15" customHeight="1" x14ac:dyDescent="0.2">
      <c r="A5972" s="2">
        <v>37385</v>
      </c>
      <c r="B5972" s="3">
        <v>27.354179999999999</v>
      </c>
      <c r="C5972" s="1">
        <v>496799.74</v>
      </c>
      <c r="D5972" s="3">
        <v>-0.31916599999999901</v>
      </c>
      <c r="E5972" s="3">
        <v>-1.15333360844763</v>
      </c>
      <c r="F5972" s="3">
        <v>-1.15333360844763</v>
      </c>
      <c r="G5972" s="3">
        <v>27.354179999999999</v>
      </c>
      <c r="H5972" s="3">
        <v>662.27630469917904</v>
      </c>
      <c r="I5972" s="3">
        <v>27.680014</v>
      </c>
      <c r="J5972" s="3">
        <v>27.820012999999999</v>
      </c>
      <c r="K5972" s="3">
        <v>27.273346</v>
      </c>
      <c r="L5972" s="3">
        <v>662.27630469917904</v>
      </c>
    </row>
    <row r="5973" spans="1:12" ht="15" customHeight="1" x14ac:dyDescent="0.2">
      <c r="A5973" s="2">
        <v>37384</v>
      </c>
      <c r="B5973" s="3">
        <v>27.673345999999999</v>
      </c>
      <c r="C5973" s="1">
        <v>722099.6</v>
      </c>
      <c r="D5973" s="3">
        <v>-0.106666</v>
      </c>
      <c r="E5973" s="3">
        <v>-0.38396671678904098</v>
      </c>
      <c r="F5973" s="3">
        <v>-0.38396671678904098</v>
      </c>
      <c r="G5973" s="3">
        <v>27.673345999999999</v>
      </c>
      <c r="H5973" s="3">
        <v>671.17047294204394</v>
      </c>
      <c r="I5973" s="3">
        <v>28.100014000000002</v>
      </c>
      <c r="J5973" s="3">
        <v>28.166679999999999</v>
      </c>
      <c r="K5973" s="3">
        <v>26.800013</v>
      </c>
      <c r="L5973" s="3">
        <v>671.17047294204394</v>
      </c>
    </row>
    <row r="5974" spans="1:12" ht="15" customHeight="1" x14ac:dyDescent="0.2">
      <c r="A5974" s="2">
        <v>37383</v>
      </c>
      <c r="B5974" s="3">
        <v>27.780011999999999</v>
      </c>
      <c r="C5974" s="1">
        <v>894599.55</v>
      </c>
      <c r="D5974" s="3">
        <v>-0.48666999999999999</v>
      </c>
      <c r="E5974" s="3">
        <v>-1.72170897171447</v>
      </c>
      <c r="F5974" s="3">
        <v>-1.72170897171447</v>
      </c>
      <c r="G5974" s="3">
        <v>27.780011999999999</v>
      </c>
      <c r="H5974" s="3">
        <v>674.14292411100803</v>
      </c>
      <c r="I5974" s="3">
        <v>28.453346</v>
      </c>
      <c r="J5974" s="3">
        <v>28.660015000000001</v>
      </c>
      <c r="K5974" s="3">
        <v>27.686679999999999</v>
      </c>
      <c r="L5974" s="3">
        <v>674.14292411100803</v>
      </c>
    </row>
    <row r="5975" spans="1:12" ht="15" customHeight="1" x14ac:dyDescent="0.2">
      <c r="A5975" s="2">
        <v>37382</v>
      </c>
      <c r="B5975" s="3">
        <v>28.266681999999999</v>
      </c>
      <c r="C5975" s="1">
        <v>854099.55</v>
      </c>
      <c r="D5975" s="3">
        <v>-1.9998000000001001E-2</v>
      </c>
      <c r="E5975" s="3">
        <v>-7.0697586284429403E-2</v>
      </c>
      <c r="F5975" s="3">
        <v>-7.0697586284429403E-2</v>
      </c>
      <c r="G5975" s="3">
        <v>28.266681999999999</v>
      </c>
      <c r="H5975" s="3">
        <v>687.70491022091699</v>
      </c>
      <c r="I5975" s="3">
        <v>28.433347999999999</v>
      </c>
      <c r="J5975" s="3">
        <v>29.033346000000002</v>
      </c>
      <c r="K5975" s="3">
        <v>28.214012</v>
      </c>
      <c r="L5975" s="3">
        <v>687.70491022091699</v>
      </c>
    </row>
    <row r="5976" spans="1:12" ht="15" customHeight="1" x14ac:dyDescent="0.2">
      <c r="A5976" s="2">
        <v>37379</v>
      </c>
      <c r="B5976" s="3">
        <v>28.28668</v>
      </c>
      <c r="C5976" s="1">
        <v>785549.6</v>
      </c>
      <c r="D5976" s="3">
        <v>1.9998000000001001E-2</v>
      </c>
      <c r="E5976" s="3">
        <v>7.0747603132192902E-2</v>
      </c>
      <c r="F5976" s="3">
        <v>7.0747603132192902E-2</v>
      </c>
      <c r="G5976" s="3">
        <v>28.28668</v>
      </c>
      <c r="H5976" s="3">
        <v>688.26219256465299</v>
      </c>
      <c r="I5976" s="3">
        <v>28.400013000000001</v>
      </c>
      <c r="J5976" s="3">
        <v>28.666679999999999</v>
      </c>
      <c r="K5976" s="3">
        <v>28.28668</v>
      </c>
      <c r="L5976" s="3">
        <v>688.26219256465299</v>
      </c>
    </row>
    <row r="5977" spans="1:12" ht="15" customHeight="1" x14ac:dyDescent="0.2">
      <c r="A5977" s="2">
        <v>37378</v>
      </c>
      <c r="B5977" s="3">
        <v>28.266681999999999</v>
      </c>
      <c r="C5977" s="1">
        <v>854849.55</v>
      </c>
      <c r="D5977" s="3">
        <v>0.65333599999999903</v>
      </c>
      <c r="E5977" s="3">
        <v>2.3660153318616199</v>
      </c>
      <c r="F5977" s="3">
        <v>2.3660153318616199</v>
      </c>
      <c r="G5977" s="3">
        <v>28.266681999999999</v>
      </c>
      <c r="H5977" s="3">
        <v>687.70491022091699</v>
      </c>
      <c r="I5977" s="3">
        <v>27.853345999999998</v>
      </c>
      <c r="J5977" s="3">
        <v>28.333347</v>
      </c>
      <c r="K5977" s="3">
        <v>27.660015000000001</v>
      </c>
      <c r="L5977" s="3">
        <v>687.70491022091699</v>
      </c>
    </row>
    <row r="5978" spans="1:12" ht="15" customHeight="1" x14ac:dyDescent="0.2">
      <c r="A5978" s="2">
        <v>37377</v>
      </c>
      <c r="B5978" s="3">
        <v>27.613346</v>
      </c>
      <c r="C5978" s="1">
        <v>817349.6</v>
      </c>
      <c r="D5978" s="3">
        <v>-0.14000100000000101</v>
      </c>
      <c r="E5978" s="3">
        <v>-0.504447265405505</v>
      </c>
      <c r="F5978" s="3">
        <v>-0.504447265405505</v>
      </c>
      <c r="G5978" s="3">
        <v>27.613346</v>
      </c>
      <c r="H5978" s="3">
        <v>669.49845870941294</v>
      </c>
      <c r="I5978" s="3">
        <v>27.666679999999999</v>
      </c>
      <c r="J5978" s="3">
        <v>27.960011999999999</v>
      </c>
      <c r="K5978" s="3">
        <v>27.373348</v>
      </c>
      <c r="L5978" s="3">
        <v>669.49845870941294</v>
      </c>
    </row>
    <row r="5979" spans="1:12" ht="15" customHeight="1" x14ac:dyDescent="0.2">
      <c r="A5979" s="2">
        <v>37376</v>
      </c>
      <c r="B5979" s="3">
        <v>27.753347000000002</v>
      </c>
      <c r="C5979" s="1">
        <v>815399.6</v>
      </c>
      <c r="D5979" s="3">
        <v>0.27333199999999902</v>
      </c>
      <c r="E5979" s="3">
        <v>0.99465739010695597</v>
      </c>
      <c r="F5979" s="3">
        <v>0.99465739010695597</v>
      </c>
      <c r="G5979" s="3">
        <v>27.753347000000002</v>
      </c>
      <c r="H5979" s="3">
        <v>673.39985311912301</v>
      </c>
      <c r="I5979" s="3">
        <v>27.313347</v>
      </c>
      <c r="J5979" s="3">
        <v>27.866679999999999</v>
      </c>
      <c r="K5979" s="3">
        <v>27.273346</v>
      </c>
      <c r="L5979" s="3">
        <v>673.39985311912301</v>
      </c>
    </row>
    <row r="5980" spans="1:12" ht="15" customHeight="1" x14ac:dyDescent="0.2">
      <c r="A5980" s="2">
        <v>37375</v>
      </c>
      <c r="B5980" s="3">
        <v>27.480015000000002</v>
      </c>
      <c r="C5980" s="1">
        <v>615599.69999999995</v>
      </c>
      <c r="D5980" s="3">
        <v>0.33333500000000099</v>
      </c>
      <c r="E5980" s="3">
        <v>1.22790337529303</v>
      </c>
      <c r="F5980" s="3">
        <v>1.22790337529303</v>
      </c>
      <c r="G5980" s="3">
        <v>27.480015000000002</v>
      </c>
      <c r="H5980" s="3">
        <v>665.78293654856395</v>
      </c>
      <c r="I5980" s="3">
        <v>27.200013999999999</v>
      </c>
      <c r="J5980" s="3">
        <v>27.920013000000001</v>
      </c>
      <c r="K5980" s="3">
        <v>27.160012999999999</v>
      </c>
      <c r="L5980" s="3">
        <v>665.78293654856395</v>
      </c>
    </row>
    <row r="5981" spans="1:12" ht="15" customHeight="1" x14ac:dyDescent="0.2">
      <c r="A5981" s="2">
        <v>37372</v>
      </c>
      <c r="B5981" s="3">
        <v>27.14668</v>
      </c>
      <c r="C5981" s="1">
        <v>1356149.4</v>
      </c>
      <c r="D5981" s="3">
        <v>-0.74666699999999797</v>
      </c>
      <c r="E5981" s="3">
        <v>-2.6768641282094801</v>
      </c>
      <c r="F5981" s="3">
        <v>-2.6768641282094801</v>
      </c>
      <c r="G5981" s="3">
        <v>27.14668</v>
      </c>
      <c r="H5981" s="3">
        <v>656.49392214466297</v>
      </c>
      <c r="I5981" s="3">
        <v>28.273350000000001</v>
      </c>
      <c r="J5981" s="3">
        <v>28.653347</v>
      </c>
      <c r="K5981" s="3">
        <v>27.000012999999999</v>
      </c>
      <c r="L5981" s="3">
        <v>656.49392214466297</v>
      </c>
    </row>
    <row r="5982" spans="1:12" ht="15" customHeight="1" x14ac:dyDescent="0.2">
      <c r="A5982" s="2">
        <v>37371</v>
      </c>
      <c r="B5982" s="3">
        <v>27.893346999999999</v>
      </c>
      <c r="C5982" s="1">
        <v>2288999</v>
      </c>
      <c r="D5982" s="3">
        <v>0.87333499999999697</v>
      </c>
      <c r="E5982" s="3">
        <v>3.2321784313048898</v>
      </c>
      <c r="F5982" s="3">
        <v>3.2321784313048898</v>
      </c>
      <c r="G5982" s="3">
        <v>27.893346999999999</v>
      </c>
      <c r="H5982" s="3">
        <v>677.30121966192803</v>
      </c>
      <c r="I5982" s="3">
        <v>27.013345999999999</v>
      </c>
      <c r="J5982" s="3">
        <v>28.046679999999999</v>
      </c>
      <c r="K5982" s="3">
        <v>26.566679000000001</v>
      </c>
      <c r="L5982" s="3">
        <v>677.30121966192803</v>
      </c>
    </row>
    <row r="5983" spans="1:12" ht="15" customHeight="1" x14ac:dyDescent="0.2">
      <c r="A5983" s="2">
        <v>37370</v>
      </c>
      <c r="B5983" s="3">
        <v>27.020012000000001</v>
      </c>
      <c r="C5983" s="1">
        <v>7154246.5999999996</v>
      </c>
      <c r="D5983" s="3">
        <v>0.38666499999999998</v>
      </c>
      <c r="E5983" s="3">
        <v>1.4518077656555799</v>
      </c>
      <c r="F5983" s="3">
        <v>1.4518077656555799</v>
      </c>
      <c r="G5983" s="3">
        <v>27.020012000000001</v>
      </c>
      <c r="H5983" s="3">
        <v>652.96407716434805</v>
      </c>
      <c r="I5983" s="3">
        <v>26.700013999999999</v>
      </c>
      <c r="J5983" s="3">
        <v>27.213346000000001</v>
      </c>
      <c r="K5983" s="3">
        <v>26.46668</v>
      </c>
      <c r="L5983" s="3">
        <v>652.96407716434805</v>
      </c>
    </row>
    <row r="5984" spans="1:12" ht="15" customHeight="1" x14ac:dyDescent="0.2">
      <c r="A5984" s="2">
        <v>37369</v>
      </c>
      <c r="B5984" s="3">
        <v>26.633347000000001</v>
      </c>
      <c r="C5984" s="1">
        <v>4223698</v>
      </c>
      <c r="D5984" s="3">
        <v>-0.12000000000000099</v>
      </c>
      <c r="E5984" s="3">
        <v>-0.448542008594288</v>
      </c>
      <c r="F5984" s="3">
        <v>-0.448542008594288</v>
      </c>
      <c r="G5984" s="3">
        <v>26.633347000000001</v>
      </c>
      <c r="H5984" s="3">
        <v>642.18892077667704</v>
      </c>
      <c r="I5984" s="3">
        <v>26.920014999999999</v>
      </c>
      <c r="J5984" s="3">
        <v>26.96668</v>
      </c>
      <c r="K5984" s="3">
        <v>25.433346</v>
      </c>
      <c r="L5984" s="3">
        <v>642.18892077667704</v>
      </c>
    </row>
    <row r="5985" spans="1:12" ht="15" customHeight="1" x14ac:dyDescent="0.2">
      <c r="A5985" s="2">
        <v>37368</v>
      </c>
      <c r="B5985" s="3">
        <v>26.753347000000002</v>
      </c>
      <c r="C5985" s="1">
        <v>798899.6</v>
      </c>
      <c r="D5985" s="3">
        <v>-1.33329999999993E-2</v>
      </c>
      <c r="E5985" s="3">
        <v>-4.9811930355203503E-2</v>
      </c>
      <c r="F5985" s="3">
        <v>-4.9811930355203503E-2</v>
      </c>
      <c r="G5985" s="3">
        <v>26.753347000000002</v>
      </c>
      <c r="H5985" s="3">
        <v>645.53294924193904</v>
      </c>
      <c r="I5985" s="3">
        <v>26.833345000000001</v>
      </c>
      <c r="J5985" s="3">
        <v>27.566679000000001</v>
      </c>
      <c r="K5985" s="3">
        <v>26.700012000000001</v>
      </c>
      <c r="L5985" s="3">
        <v>645.53294924193904</v>
      </c>
    </row>
    <row r="5986" spans="1:12" ht="15" customHeight="1" x14ac:dyDescent="0.2">
      <c r="A5986" s="2">
        <v>37365</v>
      </c>
      <c r="B5986" s="3">
        <v>26.766680000000001</v>
      </c>
      <c r="C5986" s="1">
        <v>641399.66</v>
      </c>
      <c r="D5986" s="3">
        <v>-0.29999899999999902</v>
      </c>
      <c r="E5986" s="3">
        <v>-1.1083701846096401</v>
      </c>
      <c r="F5986" s="3">
        <v>-1.1083701846096401</v>
      </c>
      <c r="G5986" s="3">
        <v>26.766680000000001</v>
      </c>
      <c r="H5986" s="3">
        <v>645.90449867133395</v>
      </c>
      <c r="I5986" s="3">
        <v>27.166679999999999</v>
      </c>
      <c r="J5986" s="3">
        <v>27.260012</v>
      </c>
      <c r="K5986" s="3">
        <v>26.500012999999999</v>
      </c>
      <c r="L5986" s="3">
        <v>645.90449867133395</v>
      </c>
    </row>
    <row r="5987" spans="1:12" ht="15" customHeight="1" x14ac:dyDescent="0.2">
      <c r="A5987" s="2">
        <v>37364</v>
      </c>
      <c r="B5987" s="3">
        <v>27.066679000000001</v>
      </c>
      <c r="C5987" s="1">
        <v>681599.7</v>
      </c>
      <c r="D5987" s="3">
        <v>0.81333199999999894</v>
      </c>
      <c r="E5987" s="3">
        <v>3.0980126076876902</v>
      </c>
      <c r="F5987" s="3">
        <v>3.0980126076876902</v>
      </c>
      <c r="G5987" s="3">
        <v>27.066679000000001</v>
      </c>
      <c r="H5987" s="3">
        <v>654.26454196758505</v>
      </c>
      <c r="I5987" s="3">
        <v>26.380013000000002</v>
      </c>
      <c r="J5987" s="3">
        <v>27.173345999999999</v>
      </c>
      <c r="K5987" s="3">
        <v>26.313347</v>
      </c>
      <c r="L5987" s="3">
        <v>654.26454196758505</v>
      </c>
    </row>
    <row r="5988" spans="1:12" ht="15" customHeight="1" x14ac:dyDescent="0.2">
      <c r="A5988" s="2">
        <v>37363</v>
      </c>
      <c r="B5988" s="3">
        <v>26.253347000000002</v>
      </c>
      <c r="C5988" s="1">
        <v>486599.8</v>
      </c>
      <c r="D5988" s="3">
        <v>-0.53333299999999895</v>
      </c>
      <c r="E5988" s="3">
        <v>-1.9910380831069701</v>
      </c>
      <c r="F5988" s="3">
        <v>-1.9910380831069701</v>
      </c>
      <c r="G5988" s="3">
        <v>26.253347000000002</v>
      </c>
      <c r="H5988" s="3">
        <v>631.59949730334699</v>
      </c>
      <c r="I5988" s="3">
        <v>26.933347999999999</v>
      </c>
      <c r="J5988" s="3">
        <v>27.166679999999999</v>
      </c>
      <c r="K5988" s="3">
        <v>26.133347000000001</v>
      </c>
      <c r="L5988" s="3">
        <v>631.59949730334699</v>
      </c>
    </row>
    <row r="5989" spans="1:12" ht="15" customHeight="1" x14ac:dyDescent="0.2">
      <c r="A5989" s="2">
        <v>37362</v>
      </c>
      <c r="B5989" s="3">
        <v>26.78668</v>
      </c>
      <c r="C5989" s="1">
        <v>591899.66</v>
      </c>
      <c r="D5989" s="3">
        <v>0.26000000000000101</v>
      </c>
      <c r="E5989" s="3">
        <v>0.98014527260856799</v>
      </c>
      <c r="F5989" s="3">
        <v>0.98014527260856799</v>
      </c>
      <c r="G5989" s="3">
        <v>26.78668</v>
      </c>
      <c r="H5989" s="3">
        <v>646.46183674887698</v>
      </c>
      <c r="I5989" s="3">
        <v>26.533346000000002</v>
      </c>
      <c r="J5989" s="3">
        <v>27.326681000000001</v>
      </c>
      <c r="K5989" s="3">
        <v>26.500012999999999</v>
      </c>
      <c r="L5989" s="3">
        <v>646.46183674887698</v>
      </c>
    </row>
    <row r="5990" spans="1:12" ht="15" customHeight="1" x14ac:dyDescent="0.2">
      <c r="A5990" s="2">
        <v>37361</v>
      </c>
      <c r="B5990" s="3">
        <v>26.526679999999999</v>
      </c>
      <c r="C5990" s="1">
        <v>396449.8</v>
      </c>
      <c r="D5990" s="3">
        <v>-0.126665000000002</v>
      </c>
      <c r="E5990" s="3">
        <v>-0.47523115766521201</v>
      </c>
      <c r="F5990" s="3">
        <v>-0.47523115766521201</v>
      </c>
      <c r="G5990" s="3">
        <v>26.526679999999999</v>
      </c>
      <c r="H5990" s="3">
        <v>639.21644174080905</v>
      </c>
      <c r="I5990" s="3">
        <v>26.913347000000002</v>
      </c>
      <c r="J5990" s="3">
        <v>27.200012000000001</v>
      </c>
      <c r="K5990" s="3">
        <v>26.500012999999999</v>
      </c>
      <c r="L5990" s="3">
        <v>639.21644174080905</v>
      </c>
    </row>
    <row r="5991" spans="1:12" ht="15" customHeight="1" x14ac:dyDescent="0.2">
      <c r="A5991" s="2">
        <v>37358</v>
      </c>
      <c r="B5991" s="3">
        <v>26.653345000000002</v>
      </c>
      <c r="C5991" s="1">
        <v>760349.6</v>
      </c>
      <c r="D5991" s="3">
        <v>3.33330000000025E-2</v>
      </c>
      <c r="E5991" s="3">
        <v>0.12521782484546901</v>
      </c>
      <c r="F5991" s="3">
        <v>0.12521782484546901</v>
      </c>
      <c r="G5991" s="3">
        <v>26.653345000000002</v>
      </c>
      <c r="H5991" s="3">
        <v>642.74620312041304</v>
      </c>
      <c r="I5991" s="3">
        <v>26.666679999999999</v>
      </c>
      <c r="J5991" s="3">
        <v>27.093346</v>
      </c>
      <c r="K5991" s="3">
        <v>26.426680000000001</v>
      </c>
      <c r="L5991" s="3">
        <v>642.74620312041304</v>
      </c>
    </row>
    <row r="5992" spans="1:12" ht="15" customHeight="1" x14ac:dyDescent="0.2">
      <c r="A5992" s="2">
        <v>37357</v>
      </c>
      <c r="B5992" s="3">
        <v>26.620011999999999</v>
      </c>
      <c r="C5992" s="1">
        <v>1409399.4</v>
      </c>
      <c r="D5992" s="3">
        <v>5.33329999999985E-2</v>
      </c>
      <c r="E5992" s="3">
        <v>0.20075147518436801</v>
      </c>
      <c r="F5992" s="3">
        <v>0.20075147518436801</v>
      </c>
      <c r="G5992" s="3">
        <v>26.620011999999999</v>
      </c>
      <c r="H5992" s="3">
        <v>641.81731561347499</v>
      </c>
      <c r="I5992" s="3">
        <v>26.600014000000002</v>
      </c>
      <c r="J5992" s="3">
        <v>27.073346999999998</v>
      </c>
      <c r="K5992" s="3">
        <v>26.520012000000001</v>
      </c>
      <c r="L5992" s="3">
        <v>641.81731561347499</v>
      </c>
    </row>
    <row r="5993" spans="1:12" ht="15" customHeight="1" x14ac:dyDescent="0.2">
      <c r="A5993" s="2">
        <v>37356</v>
      </c>
      <c r="B5993" s="3">
        <v>26.566679000000001</v>
      </c>
      <c r="C5993" s="1">
        <v>995849.5</v>
      </c>
      <c r="D5993" s="3">
        <v>0.53333299999999895</v>
      </c>
      <c r="E5993" s="3">
        <v>2.04865329258865</v>
      </c>
      <c r="F5993" s="3">
        <v>2.04865329258865</v>
      </c>
      <c r="G5993" s="3">
        <v>26.566679000000001</v>
      </c>
      <c r="H5993" s="3">
        <v>640.331090028993</v>
      </c>
      <c r="I5993" s="3">
        <v>26.166679999999999</v>
      </c>
      <c r="J5993" s="3">
        <v>26.78668</v>
      </c>
      <c r="K5993" s="3">
        <v>26.106680000000001</v>
      </c>
      <c r="L5993" s="3">
        <v>640.331090028993</v>
      </c>
    </row>
    <row r="5994" spans="1:12" ht="15" customHeight="1" x14ac:dyDescent="0.2">
      <c r="A5994" s="2">
        <v>37355</v>
      </c>
      <c r="B5994" s="3">
        <v>26.033346000000002</v>
      </c>
      <c r="C5994" s="1">
        <v>1411799.29999999</v>
      </c>
      <c r="D5994" s="3">
        <v>0.63333500000000198</v>
      </c>
      <c r="E5994" s="3">
        <v>2.4934438020518899</v>
      </c>
      <c r="F5994" s="3">
        <v>2.4934438020518899</v>
      </c>
      <c r="G5994" s="3">
        <v>26.033346000000002</v>
      </c>
      <c r="H5994" s="3">
        <v>625.46875058346302</v>
      </c>
      <c r="I5994" s="3">
        <v>25.593346</v>
      </c>
      <c r="J5994" s="3">
        <v>26.333345000000001</v>
      </c>
      <c r="K5994" s="3">
        <v>25.300013</v>
      </c>
      <c r="L5994" s="3">
        <v>625.46875058346302</v>
      </c>
    </row>
    <row r="5995" spans="1:12" ht="15" customHeight="1" x14ac:dyDescent="0.2">
      <c r="A5995" s="2">
        <v>37354</v>
      </c>
      <c r="B5995" s="3">
        <v>25.400010999999999</v>
      </c>
      <c r="C5995" s="1">
        <v>698549.7</v>
      </c>
      <c r="D5995" s="3">
        <v>0.90666599999999697</v>
      </c>
      <c r="E5995" s="3">
        <v>3.7016830490077899</v>
      </c>
      <c r="F5995" s="3">
        <v>3.7016830490077899</v>
      </c>
      <c r="G5995" s="3">
        <v>25.400010999999999</v>
      </c>
      <c r="H5995" s="3">
        <v>607.81966501640704</v>
      </c>
      <c r="I5995" s="3">
        <v>24.333345000000001</v>
      </c>
      <c r="J5995" s="3">
        <v>25.526679999999999</v>
      </c>
      <c r="K5995" s="3">
        <v>24.053346999999999</v>
      </c>
      <c r="L5995" s="3">
        <v>607.81966501640704</v>
      </c>
    </row>
    <row r="5996" spans="1:12" ht="15" customHeight="1" x14ac:dyDescent="0.2">
      <c r="A5996" s="2">
        <v>37351</v>
      </c>
      <c r="B5996" s="3">
        <v>24.493345000000001</v>
      </c>
      <c r="C5996" s="1">
        <v>336449.83</v>
      </c>
      <c r="D5996" s="3">
        <v>0.50666800000000101</v>
      </c>
      <c r="E5996" s="3">
        <v>2.1122892512372502</v>
      </c>
      <c r="F5996" s="3">
        <v>2.1122892512372502</v>
      </c>
      <c r="G5996" s="3">
        <v>24.493345000000001</v>
      </c>
      <c r="H5996" s="3">
        <v>582.55369074569603</v>
      </c>
      <c r="I5996" s="3">
        <v>24.053346999999999</v>
      </c>
      <c r="J5996" s="3">
        <v>24.540012000000001</v>
      </c>
      <c r="K5996" s="3">
        <v>23.986677</v>
      </c>
      <c r="L5996" s="3">
        <v>582.55369074569603</v>
      </c>
    </row>
    <row r="5997" spans="1:12" ht="15" customHeight="1" x14ac:dyDescent="0.2">
      <c r="A5997" s="2">
        <v>37350</v>
      </c>
      <c r="B5997" s="3">
        <v>23.986677</v>
      </c>
      <c r="C5997" s="1">
        <v>413249.82</v>
      </c>
      <c r="D5997" s="3">
        <v>0.29333100000000201</v>
      </c>
      <c r="E5997" s="3">
        <v>1.2380311332979399</v>
      </c>
      <c r="F5997" s="3">
        <v>1.2380311332979399</v>
      </c>
      <c r="G5997" s="3">
        <v>23.986677</v>
      </c>
      <c r="H5997" s="3">
        <v>568.43442229205095</v>
      </c>
      <c r="I5997" s="3">
        <v>23.500011000000001</v>
      </c>
      <c r="J5997" s="3">
        <v>24.100012</v>
      </c>
      <c r="K5997" s="3">
        <v>23.440011999999999</v>
      </c>
      <c r="L5997" s="3">
        <v>568.43442229205095</v>
      </c>
    </row>
    <row r="5998" spans="1:12" ht="15" customHeight="1" x14ac:dyDescent="0.2">
      <c r="A5998" s="2">
        <v>37349</v>
      </c>
      <c r="B5998" s="3">
        <v>23.693345999999998</v>
      </c>
      <c r="C5998" s="1">
        <v>481799.77</v>
      </c>
      <c r="D5998" s="3">
        <v>-0.55999900000000102</v>
      </c>
      <c r="E5998" s="3">
        <v>-2.3089557337348698</v>
      </c>
      <c r="F5998" s="3">
        <v>-2.3089557337348698</v>
      </c>
      <c r="G5998" s="3">
        <v>23.693345999999998</v>
      </c>
      <c r="H5998" s="3">
        <v>560.26019551085301</v>
      </c>
      <c r="I5998" s="3">
        <v>24.260012</v>
      </c>
      <c r="J5998" s="3">
        <v>24.386679000000001</v>
      </c>
      <c r="K5998" s="3">
        <v>23.106677999999999</v>
      </c>
      <c r="L5998" s="3">
        <v>560.26019551085301</v>
      </c>
    </row>
    <row r="5999" spans="1:12" ht="15" customHeight="1" x14ac:dyDescent="0.2">
      <c r="A5999" s="2">
        <v>37348</v>
      </c>
      <c r="B5999" s="3">
        <v>24.253344999999999</v>
      </c>
      <c r="C5999" s="1">
        <v>359849.85</v>
      </c>
      <c r="D5999" s="3">
        <v>5.33350000000005E-2</v>
      </c>
      <c r="E5999" s="3">
        <v>0.22039247091221101</v>
      </c>
      <c r="F5999" s="3">
        <v>0.22039247091221101</v>
      </c>
      <c r="G5999" s="3">
        <v>24.253344999999999</v>
      </c>
      <c r="H5999" s="3">
        <v>575.86563381517203</v>
      </c>
      <c r="I5999" s="3">
        <v>24.333345000000001</v>
      </c>
      <c r="J5999" s="3">
        <v>24.346678000000001</v>
      </c>
      <c r="K5999" s="3">
        <v>24.080010999999999</v>
      </c>
      <c r="L5999" s="3">
        <v>575.86563381517203</v>
      </c>
    </row>
    <row r="6000" spans="1:12" ht="15" customHeight="1" x14ac:dyDescent="0.2">
      <c r="A6000" s="2">
        <v>37347</v>
      </c>
      <c r="B6000" s="3">
        <v>24.200009999999999</v>
      </c>
      <c r="C6000" s="1">
        <v>460349.8</v>
      </c>
      <c r="D6000" s="3">
        <v>-0.40000200000000002</v>
      </c>
      <c r="E6000" s="3">
        <v>-1.6260235970616601</v>
      </c>
      <c r="F6000" s="3">
        <v>-1.6260235970616601</v>
      </c>
      <c r="G6000" s="3">
        <v>24.200009999999999</v>
      </c>
      <c r="H6000" s="3">
        <v>574.37935249688201</v>
      </c>
      <c r="I6000" s="3">
        <v>24.660012999999999</v>
      </c>
      <c r="J6000" s="3">
        <v>24.666679999999999</v>
      </c>
      <c r="K6000" s="3">
        <v>24.166677</v>
      </c>
      <c r="L6000" s="3">
        <v>574.37935249688201</v>
      </c>
    </row>
    <row r="6001" spans="1:12" ht="15" customHeight="1" x14ac:dyDescent="0.2">
      <c r="A6001" s="2">
        <v>37343</v>
      </c>
      <c r="B6001" s="3">
        <v>24.600012</v>
      </c>
      <c r="C6001" s="1">
        <v>550049.74</v>
      </c>
      <c r="D6001" s="3">
        <v>0.23333399999999899</v>
      </c>
      <c r="E6001" s="3">
        <v>0.95759462984654697</v>
      </c>
      <c r="F6001" s="3">
        <v>0.95759462984654697</v>
      </c>
      <c r="G6001" s="3">
        <v>24.600012</v>
      </c>
      <c r="H6001" s="3">
        <v>585.52616978156402</v>
      </c>
      <c r="I6001" s="3">
        <v>24.433346</v>
      </c>
      <c r="J6001" s="3">
        <v>24.913345</v>
      </c>
      <c r="K6001" s="3">
        <v>24.433346</v>
      </c>
      <c r="L6001" s="3">
        <v>585.52616978156402</v>
      </c>
    </row>
    <row r="6002" spans="1:12" ht="15" customHeight="1" x14ac:dyDescent="0.2">
      <c r="A6002" s="2">
        <v>37342</v>
      </c>
      <c r="B6002" s="3">
        <v>24.366678</v>
      </c>
      <c r="C6002" s="1">
        <v>288749.88</v>
      </c>
      <c r="D6002" s="3">
        <v>0.39333300000000099</v>
      </c>
      <c r="E6002" s="3">
        <v>1.6407097132252499</v>
      </c>
      <c r="F6002" s="3">
        <v>1.6407097132252499</v>
      </c>
      <c r="G6002" s="3">
        <v>24.366678</v>
      </c>
      <c r="H6002" s="3">
        <v>579.02387363228502</v>
      </c>
      <c r="I6002" s="3">
        <v>24.026678</v>
      </c>
      <c r="J6002" s="3">
        <v>24.492678000000002</v>
      </c>
      <c r="K6002" s="3">
        <v>23.900010999999999</v>
      </c>
      <c r="L6002" s="3">
        <v>579.02387363228502</v>
      </c>
    </row>
    <row r="6003" spans="1:12" ht="15" customHeight="1" x14ac:dyDescent="0.2">
      <c r="A6003" s="2">
        <v>37341</v>
      </c>
      <c r="B6003" s="3">
        <v>23.973344999999998</v>
      </c>
      <c r="C6003" s="1">
        <v>281399.87</v>
      </c>
      <c r="D6003" s="3">
        <v>9.9998999999996799E-2</v>
      </c>
      <c r="E6003" s="3">
        <v>0.41887299752618701</v>
      </c>
      <c r="F6003" s="3">
        <v>0.41887299752618701</v>
      </c>
      <c r="G6003" s="3">
        <v>23.973344999999998</v>
      </c>
      <c r="H6003" s="3">
        <v>568.06290072956097</v>
      </c>
      <c r="I6003" s="3">
        <v>23.900010999999999</v>
      </c>
      <c r="J6003" s="3">
        <v>24.166677</v>
      </c>
      <c r="K6003" s="3">
        <v>23.733343000000001</v>
      </c>
      <c r="L6003" s="3">
        <v>568.06290072956097</v>
      </c>
    </row>
    <row r="6004" spans="1:12" ht="15" customHeight="1" x14ac:dyDescent="0.2">
      <c r="A6004" s="2">
        <v>37340</v>
      </c>
      <c r="B6004" s="3">
        <v>23.873346000000002</v>
      </c>
      <c r="C6004" s="1">
        <v>385049.8</v>
      </c>
      <c r="D6004" s="3">
        <v>-0.22666599999999801</v>
      </c>
      <c r="E6004" s="3">
        <v>-0.94052235326686995</v>
      </c>
      <c r="F6004" s="3">
        <v>-0.94052235326686995</v>
      </c>
      <c r="G6004" s="3">
        <v>23.873346000000002</v>
      </c>
      <c r="H6004" s="3">
        <v>565.27623820874601</v>
      </c>
      <c r="I6004" s="3">
        <v>24.040012000000001</v>
      </c>
      <c r="J6004" s="3">
        <v>24.233343000000001</v>
      </c>
      <c r="K6004" s="3">
        <v>23.720013000000002</v>
      </c>
      <c r="L6004" s="3">
        <v>565.27623820874601</v>
      </c>
    </row>
    <row r="6005" spans="1:12" ht="15" customHeight="1" x14ac:dyDescent="0.2">
      <c r="A6005" s="2">
        <v>37337</v>
      </c>
      <c r="B6005" s="3">
        <v>24.100012</v>
      </c>
      <c r="C6005" s="1">
        <v>502499.76</v>
      </c>
      <c r="D6005" s="3">
        <v>-8.6666000000001006E-2</v>
      </c>
      <c r="E6005" s="3">
        <v>-0.358321221293811</v>
      </c>
      <c r="F6005" s="3">
        <v>-0.358321221293811</v>
      </c>
      <c r="G6005" s="3">
        <v>24.100012</v>
      </c>
      <c r="H6005" s="3">
        <v>571.59271784297198</v>
      </c>
      <c r="I6005" s="3">
        <v>24.213345</v>
      </c>
      <c r="J6005" s="3">
        <v>24.800013</v>
      </c>
      <c r="K6005" s="3">
        <v>23.933346</v>
      </c>
      <c r="L6005" s="3">
        <v>571.59271784297198</v>
      </c>
    </row>
    <row r="6006" spans="1:12" ht="15" customHeight="1" x14ac:dyDescent="0.2">
      <c r="A6006" s="2">
        <v>37336</v>
      </c>
      <c r="B6006" s="3">
        <v>24.186678000000001</v>
      </c>
      <c r="C6006" s="1">
        <v>296849.84999999998</v>
      </c>
      <c r="D6006" s="3">
        <v>0.16666800000000101</v>
      </c>
      <c r="E6006" s="3">
        <v>0.69387148464967696</v>
      </c>
      <c r="F6006" s="3">
        <v>0.69387148464967696</v>
      </c>
      <c r="G6006" s="3">
        <v>24.186678000000001</v>
      </c>
      <c r="H6006" s="3">
        <v>574.00783093439202</v>
      </c>
      <c r="I6006" s="3">
        <v>24.053346999999999</v>
      </c>
      <c r="J6006" s="3">
        <v>24.333345000000001</v>
      </c>
      <c r="K6006" s="3">
        <v>23.640675999999999</v>
      </c>
      <c r="L6006" s="3">
        <v>574.00783093439202</v>
      </c>
    </row>
    <row r="6007" spans="1:12" ht="15" customHeight="1" x14ac:dyDescent="0.2">
      <c r="A6007" s="2">
        <v>37335</v>
      </c>
      <c r="B6007" s="3">
        <v>24.020009999999999</v>
      </c>
      <c r="C6007" s="1">
        <v>457649.78</v>
      </c>
      <c r="D6007" s="3">
        <v>-6.00009999999997E-2</v>
      </c>
      <c r="E6007" s="3">
        <v>-0.24917347421476899</v>
      </c>
      <c r="F6007" s="3">
        <v>-0.24917347421476899</v>
      </c>
      <c r="G6007" s="3">
        <v>24.020009999999999</v>
      </c>
      <c r="H6007" s="3">
        <v>569.36330979898901</v>
      </c>
      <c r="I6007" s="3">
        <v>24.040012000000001</v>
      </c>
      <c r="J6007" s="3">
        <v>24.333345000000001</v>
      </c>
      <c r="K6007" s="3">
        <v>23.886679000000001</v>
      </c>
      <c r="L6007" s="3">
        <v>569.36330979898901</v>
      </c>
    </row>
    <row r="6008" spans="1:12" ht="15" customHeight="1" x14ac:dyDescent="0.2">
      <c r="A6008" s="2">
        <v>37334</v>
      </c>
      <c r="B6008" s="3">
        <v>24.080010999999999</v>
      </c>
      <c r="C6008" s="1">
        <v>545849.73</v>
      </c>
      <c r="D6008" s="3">
        <v>0.45333399999999802</v>
      </c>
      <c r="E6008" s="3">
        <v>1.91873787414116</v>
      </c>
      <c r="F6008" s="3">
        <v>1.91873787414116</v>
      </c>
      <c r="G6008" s="3">
        <v>24.080010999999999</v>
      </c>
      <c r="H6008" s="3">
        <v>571.03535189852403</v>
      </c>
      <c r="I6008" s="3">
        <v>23.726679000000001</v>
      </c>
      <c r="J6008" s="3">
        <v>24.186678000000001</v>
      </c>
      <c r="K6008" s="3">
        <v>23.433346</v>
      </c>
      <c r="L6008" s="3">
        <v>571.03535189852403</v>
      </c>
    </row>
    <row r="6009" spans="1:12" ht="15" customHeight="1" x14ac:dyDescent="0.2">
      <c r="A6009" s="2">
        <v>37333</v>
      </c>
      <c r="B6009" s="3">
        <v>23.626677000000001</v>
      </c>
      <c r="C6009" s="1">
        <v>625649.66</v>
      </c>
      <c r="D6009" s="3">
        <v>0.286667000000001</v>
      </c>
      <c r="E6009" s="3">
        <v>1.2282214103592901</v>
      </c>
      <c r="F6009" s="3">
        <v>1.2282214103592901</v>
      </c>
      <c r="G6009" s="3">
        <v>23.626677000000001</v>
      </c>
      <c r="H6009" s="3">
        <v>558.40233689626496</v>
      </c>
      <c r="I6009" s="3">
        <v>23.466678999999999</v>
      </c>
      <c r="J6009" s="3">
        <v>23.746676999999998</v>
      </c>
      <c r="K6009" s="3">
        <v>23.266677999999999</v>
      </c>
      <c r="L6009" s="3">
        <v>558.40233689626496</v>
      </c>
    </row>
    <row r="6010" spans="1:12" ht="15" customHeight="1" x14ac:dyDescent="0.2">
      <c r="A6010" s="2">
        <v>37330</v>
      </c>
      <c r="B6010" s="3">
        <v>23.340009999999999</v>
      </c>
      <c r="C6010" s="1">
        <v>751049.6</v>
      </c>
      <c r="D6010" s="3">
        <v>0.51332999999999895</v>
      </c>
      <c r="E6010" s="3">
        <v>2.2488158593365299</v>
      </c>
      <c r="F6010" s="3">
        <v>2.2488158593365299</v>
      </c>
      <c r="G6010" s="3">
        <v>23.340009999999999</v>
      </c>
      <c r="H6010" s="3">
        <v>550.41381516250499</v>
      </c>
      <c r="I6010" s="3">
        <v>22.600012</v>
      </c>
      <c r="J6010" s="3">
        <v>23.400010999999999</v>
      </c>
      <c r="K6010" s="3">
        <v>22.593343999999998</v>
      </c>
      <c r="L6010" s="3">
        <v>550.41381516250499</v>
      </c>
    </row>
    <row r="6011" spans="1:12" ht="15" customHeight="1" x14ac:dyDescent="0.2">
      <c r="A6011" s="2">
        <v>37329</v>
      </c>
      <c r="B6011" s="3">
        <v>22.82668</v>
      </c>
      <c r="C6011" s="1">
        <v>1124549.6000000001</v>
      </c>
      <c r="D6011" s="3">
        <v>0.66000299999999901</v>
      </c>
      <c r="E6011" s="3">
        <v>2.9774557548702498</v>
      </c>
      <c r="F6011" s="3">
        <v>2.9774557548702498</v>
      </c>
      <c r="G6011" s="3">
        <v>22.82668</v>
      </c>
      <c r="H6011" s="3">
        <v>536.10889739522997</v>
      </c>
      <c r="I6011" s="3">
        <v>22.200012000000001</v>
      </c>
      <c r="J6011" s="3">
        <v>22.920012</v>
      </c>
      <c r="K6011" s="3">
        <v>22.200009999999999</v>
      </c>
      <c r="L6011" s="3">
        <v>536.10889739522997</v>
      </c>
    </row>
    <row r="6012" spans="1:12" ht="15" customHeight="1" x14ac:dyDescent="0.2">
      <c r="A6012" s="2">
        <v>37328</v>
      </c>
      <c r="B6012" s="3">
        <v>22.166677</v>
      </c>
      <c r="C6012" s="1">
        <v>753149.6</v>
      </c>
      <c r="D6012" s="3">
        <v>0.16666599999999901</v>
      </c>
      <c r="E6012" s="3">
        <v>0.75757234848654598</v>
      </c>
      <c r="F6012" s="3">
        <v>0.75757234848654598</v>
      </c>
      <c r="G6012" s="3">
        <v>22.166677</v>
      </c>
      <c r="H6012" s="3">
        <v>517.71665723557703</v>
      </c>
      <c r="I6012" s="3">
        <v>21.686675999999999</v>
      </c>
      <c r="J6012" s="3">
        <v>22.546676999999999</v>
      </c>
      <c r="K6012" s="3">
        <v>21.680009999999999</v>
      </c>
      <c r="L6012" s="3">
        <v>517.71665723557703</v>
      </c>
    </row>
    <row r="6013" spans="1:12" ht="15" customHeight="1" x14ac:dyDescent="0.2">
      <c r="A6013" s="2">
        <v>37327</v>
      </c>
      <c r="B6013" s="3">
        <v>22.000011000000001</v>
      </c>
      <c r="C6013" s="1">
        <v>939299.56</v>
      </c>
      <c r="D6013" s="3">
        <v>-0.68666499999999697</v>
      </c>
      <c r="E6013" s="3">
        <v>-3.0267325191226599</v>
      </c>
      <c r="F6013" s="3">
        <v>-3.0267325191226599</v>
      </c>
      <c r="G6013" s="3">
        <v>22.000011000000001</v>
      </c>
      <c r="H6013" s="3">
        <v>513.07219183398195</v>
      </c>
      <c r="I6013" s="3">
        <v>22.106677999999999</v>
      </c>
      <c r="J6013" s="3">
        <v>22.433346</v>
      </c>
      <c r="K6013" s="3">
        <v>21.833344</v>
      </c>
      <c r="L6013" s="3">
        <v>513.07219183398195</v>
      </c>
    </row>
    <row r="6014" spans="1:12" ht="15" customHeight="1" x14ac:dyDescent="0.2">
      <c r="A6014" s="2">
        <v>37326</v>
      </c>
      <c r="B6014" s="3">
        <v>22.686675999999999</v>
      </c>
      <c r="C6014" s="1">
        <v>762299.6</v>
      </c>
      <c r="D6014" s="3">
        <v>-0.780003</v>
      </c>
      <c r="E6014" s="3">
        <v>-3.3238746735317699</v>
      </c>
      <c r="F6014" s="3">
        <v>-3.3238746735317699</v>
      </c>
      <c r="G6014" s="3">
        <v>22.686675999999999</v>
      </c>
      <c r="H6014" s="3">
        <v>532.20741938480899</v>
      </c>
      <c r="I6014" s="3">
        <v>23.666677</v>
      </c>
      <c r="J6014" s="3">
        <v>23.833345000000001</v>
      </c>
      <c r="K6014" s="3">
        <v>22.64001</v>
      </c>
      <c r="L6014" s="3">
        <v>532.20741938480899</v>
      </c>
    </row>
    <row r="6015" spans="1:12" ht="15" customHeight="1" x14ac:dyDescent="0.2">
      <c r="A6015" s="2">
        <v>37323</v>
      </c>
      <c r="B6015" s="3">
        <v>23.466678999999999</v>
      </c>
      <c r="C6015" s="1">
        <v>325349.84999999998</v>
      </c>
      <c r="D6015" s="3">
        <v>-8.0000000000001806E-2</v>
      </c>
      <c r="E6015" s="3">
        <v>-0.33975067142165599</v>
      </c>
      <c r="F6015" s="3">
        <v>-0.33975067142165599</v>
      </c>
      <c r="G6015" s="3">
        <v>23.466678999999999</v>
      </c>
      <c r="H6015" s="3">
        <v>553.94368800972404</v>
      </c>
      <c r="I6015" s="3">
        <v>23.766680000000001</v>
      </c>
      <c r="J6015" s="3">
        <v>24.000011000000001</v>
      </c>
      <c r="K6015" s="3">
        <v>23.366678</v>
      </c>
      <c r="L6015" s="3">
        <v>553.94368800972404</v>
      </c>
    </row>
    <row r="6016" spans="1:12" ht="15" customHeight="1" x14ac:dyDescent="0.2">
      <c r="A6016" s="2">
        <v>37322</v>
      </c>
      <c r="B6016" s="3">
        <v>23.546679000000001</v>
      </c>
      <c r="C6016" s="1">
        <v>623399.66</v>
      </c>
      <c r="D6016" s="3">
        <v>-0.220000999999999</v>
      </c>
      <c r="E6016" s="3">
        <v>-0.92566988742222001</v>
      </c>
      <c r="F6016" s="3">
        <v>-0.92566988742222001</v>
      </c>
      <c r="G6016" s="3">
        <v>23.546679000000001</v>
      </c>
      <c r="H6016" s="3">
        <v>556.17304031989795</v>
      </c>
      <c r="I6016" s="3">
        <v>23.840014</v>
      </c>
      <c r="J6016" s="3">
        <v>23.96001</v>
      </c>
      <c r="K6016" s="3">
        <v>23.133344999999998</v>
      </c>
      <c r="L6016" s="3">
        <v>556.17304031989795</v>
      </c>
    </row>
    <row r="6017" spans="1:12" ht="15" customHeight="1" x14ac:dyDescent="0.2">
      <c r="A6017" s="2">
        <v>37321</v>
      </c>
      <c r="B6017" s="3">
        <v>23.766680000000001</v>
      </c>
      <c r="C6017" s="1">
        <v>383699.8</v>
      </c>
      <c r="D6017" s="3">
        <v>0.29333500000000201</v>
      </c>
      <c r="E6017" s="3">
        <v>1.2496514663760101</v>
      </c>
      <c r="F6017" s="3">
        <v>1.2496514663760101</v>
      </c>
      <c r="G6017" s="3">
        <v>23.766680000000001</v>
      </c>
      <c r="H6017" s="3">
        <v>562.30378703978295</v>
      </c>
      <c r="I6017" s="3">
        <v>23.506678000000001</v>
      </c>
      <c r="J6017" s="3">
        <v>23.900010999999999</v>
      </c>
      <c r="K6017" s="3">
        <v>23.166677</v>
      </c>
      <c r="L6017" s="3">
        <v>562.30378703978295</v>
      </c>
    </row>
    <row r="6018" spans="1:12" ht="15" customHeight="1" x14ac:dyDescent="0.2">
      <c r="A6018" s="2">
        <v>37320</v>
      </c>
      <c r="B6018" s="3">
        <v>23.473344999999998</v>
      </c>
      <c r="C6018" s="1">
        <v>1050449.5</v>
      </c>
      <c r="D6018" s="3">
        <v>0.15999999999999601</v>
      </c>
      <c r="E6018" s="3">
        <v>0.68630220159311395</v>
      </c>
      <c r="F6018" s="3">
        <v>0.68630220159311395</v>
      </c>
      <c r="G6018" s="3">
        <v>23.473344999999998</v>
      </c>
      <c r="H6018" s="3">
        <v>554.12944879096904</v>
      </c>
      <c r="I6018" s="3">
        <v>23.333344</v>
      </c>
      <c r="J6018" s="3">
        <v>23.866678</v>
      </c>
      <c r="K6018" s="3">
        <v>23.200009999999999</v>
      </c>
      <c r="L6018" s="3">
        <v>554.12944879096904</v>
      </c>
    </row>
    <row r="6019" spans="1:12" ht="15" customHeight="1" x14ac:dyDescent="0.2">
      <c r="A6019" s="2">
        <v>37319</v>
      </c>
      <c r="B6019" s="3">
        <v>23.313345000000002</v>
      </c>
      <c r="C6019" s="1">
        <v>905999.6</v>
      </c>
      <c r="D6019" s="3">
        <v>0.61333500000000196</v>
      </c>
      <c r="E6019" s="3">
        <v>2.7019151092885201</v>
      </c>
      <c r="F6019" s="3">
        <v>2.7019151092885201</v>
      </c>
      <c r="G6019" s="3">
        <v>23.313345000000002</v>
      </c>
      <c r="H6019" s="3">
        <v>549.67074417061895</v>
      </c>
      <c r="I6019" s="3">
        <v>22.866675999999998</v>
      </c>
      <c r="J6019" s="3">
        <v>23.500011000000001</v>
      </c>
      <c r="K6019" s="3">
        <v>22.793343</v>
      </c>
      <c r="L6019" s="3">
        <v>549.67074417061895</v>
      </c>
    </row>
    <row r="6020" spans="1:12" ht="15" customHeight="1" x14ac:dyDescent="0.2">
      <c r="A6020" s="2">
        <v>37316</v>
      </c>
      <c r="B6020" s="3">
        <v>22.700009999999999</v>
      </c>
      <c r="C6020" s="1">
        <v>468599.8</v>
      </c>
      <c r="D6020" s="3">
        <v>-4.0001000000000099E-2</v>
      </c>
      <c r="E6020" s="3">
        <v>-0.175905807609333</v>
      </c>
      <c r="F6020" s="3">
        <v>-0.175905807609333</v>
      </c>
      <c r="G6020" s="3">
        <v>22.700009999999999</v>
      </c>
      <c r="H6020" s="3">
        <v>532.57899668110701</v>
      </c>
      <c r="I6020" s="3">
        <v>22.766677999999999</v>
      </c>
      <c r="J6020" s="3">
        <v>22.920012</v>
      </c>
      <c r="K6020" s="3">
        <v>22.366675999999998</v>
      </c>
      <c r="L6020" s="3">
        <v>532.57899668110701</v>
      </c>
    </row>
    <row r="6021" spans="1:12" ht="15" customHeight="1" x14ac:dyDescent="0.2">
      <c r="A6021" s="2">
        <v>37315</v>
      </c>
      <c r="B6021" s="3">
        <v>22.740010999999999</v>
      </c>
      <c r="C6021" s="1">
        <v>446699.77</v>
      </c>
      <c r="D6021" s="3">
        <v>0.340000999999997</v>
      </c>
      <c r="E6021" s="3">
        <v>1.5178609295263401</v>
      </c>
      <c r="F6021" s="3">
        <v>1.5178609295263401</v>
      </c>
      <c r="G6021" s="3">
        <v>22.740010999999999</v>
      </c>
      <c r="H6021" s="3">
        <v>533.69370070309799</v>
      </c>
      <c r="I6021" s="3">
        <v>22.400010000000002</v>
      </c>
      <c r="J6021" s="3">
        <v>22.860012000000001</v>
      </c>
      <c r="K6021" s="3">
        <v>22.400010000000002</v>
      </c>
      <c r="L6021" s="3">
        <v>533.69370070309799</v>
      </c>
    </row>
    <row r="6022" spans="1:12" ht="15" customHeight="1" x14ac:dyDescent="0.2">
      <c r="A6022" s="2">
        <v>37314</v>
      </c>
      <c r="B6022" s="3">
        <v>22.400010000000002</v>
      </c>
      <c r="C6022" s="1">
        <v>775199.65</v>
      </c>
      <c r="D6022" s="3">
        <v>6.6666000000001405E-2</v>
      </c>
      <c r="E6022" s="3">
        <v>0.29850433504270402</v>
      </c>
      <c r="F6022" s="3">
        <v>0.29850433504270402</v>
      </c>
      <c r="G6022" s="3">
        <v>22.400010000000002</v>
      </c>
      <c r="H6022" s="3">
        <v>524.21892551795202</v>
      </c>
      <c r="I6022" s="3">
        <v>22.386679000000001</v>
      </c>
      <c r="J6022" s="3">
        <v>22.920012</v>
      </c>
      <c r="K6022" s="3">
        <v>22.306677000000001</v>
      </c>
      <c r="L6022" s="3">
        <v>524.21892551795202</v>
      </c>
    </row>
    <row r="6023" spans="1:12" ht="15" customHeight="1" x14ac:dyDescent="0.2">
      <c r="A6023" s="2">
        <v>37313</v>
      </c>
      <c r="B6023" s="3">
        <v>22.333344</v>
      </c>
      <c r="C6023" s="1">
        <v>408899.8</v>
      </c>
      <c r="D6023" s="3">
        <v>-0.23333299999999799</v>
      </c>
      <c r="E6023" s="3">
        <v>-1.0339714615492499</v>
      </c>
      <c r="F6023" s="3">
        <v>-1.0339714615492499</v>
      </c>
      <c r="G6023" s="3">
        <v>22.333344</v>
      </c>
      <c r="H6023" s="3">
        <v>522.36115050407602</v>
      </c>
      <c r="I6023" s="3">
        <v>22.700012000000001</v>
      </c>
      <c r="J6023" s="3">
        <v>22.786677999999998</v>
      </c>
      <c r="K6023" s="3">
        <v>21.933344000000002</v>
      </c>
      <c r="L6023" s="3">
        <v>522.36115050407602</v>
      </c>
    </row>
    <row r="6024" spans="1:12" ht="15" customHeight="1" x14ac:dyDescent="0.2">
      <c r="A6024" s="2">
        <v>37312</v>
      </c>
      <c r="B6024" s="3">
        <v>22.566676999999999</v>
      </c>
      <c r="C6024" s="1">
        <v>183449.9</v>
      </c>
      <c r="D6024" s="3">
        <v>0.36666699999999902</v>
      </c>
      <c r="E6024" s="3">
        <v>1.65165240916558</v>
      </c>
      <c r="F6024" s="3">
        <v>1.65165240916558</v>
      </c>
      <c r="G6024" s="3">
        <v>22.566676999999999</v>
      </c>
      <c r="H6024" s="3">
        <v>528.86341878644998</v>
      </c>
      <c r="I6024" s="3">
        <v>22.213345</v>
      </c>
      <c r="J6024" s="3">
        <v>22.666677</v>
      </c>
      <c r="K6024" s="3">
        <v>22.200009999999999</v>
      </c>
      <c r="L6024" s="3">
        <v>528.86341878644998</v>
      </c>
    </row>
    <row r="6025" spans="1:12" ht="15" customHeight="1" x14ac:dyDescent="0.2">
      <c r="A6025" s="2">
        <v>37309</v>
      </c>
      <c r="B6025" s="3">
        <v>22.200009999999999</v>
      </c>
      <c r="C6025" s="1">
        <v>279749.88</v>
      </c>
      <c r="D6025" s="3">
        <v>0.38666499999999698</v>
      </c>
      <c r="E6025" s="3">
        <v>1.7726075482691701</v>
      </c>
      <c r="F6025" s="3">
        <v>1.7726075482691701</v>
      </c>
      <c r="G6025" s="3">
        <v>22.200009999999999</v>
      </c>
      <c r="H6025" s="3">
        <v>518.64554474251497</v>
      </c>
      <c r="I6025" s="3">
        <v>21.733343000000001</v>
      </c>
      <c r="J6025" s="3">
        <v>22.400010000000002</v>
      </c>
      <c r="K6025" s="3">
        <v>21.680009999999999</v>
      </c>
      <c r="L6025" s="3">
        <v>518.64554474251497</v>
      </c>
    </row>
    <row r="6026" spans="1:12" ht="15" customHeight="1" x14ac:dyDescent="0.2">
      <c r="A6026" s="2">
        <v>37308</v>
      </c>
      <c r="B6026" s="3">
        <v>21.813345000000002</v>
      </c>
      <c r="C6026" s="1">
        <v>865949.6</v>
      </c>
      <c r="D6026" s="3">
        <v>6.6680000000012198E-3</v>
      </c>
      <c r="E6026" s="3">
        <v>3.0577790462982202E-2</v>
      </c>
      <c r="F6026" s="3">
        <v>3.0577790462982202E-2</v>
      </c>
      <c r="G6026" s="3">
        <v>21.813345000000002</v>
      </c>
      <c r="H6026" s="3">
        <v>507.87038835484401</v>
      </c>
      <c r="I6026" s="3">
        <v>21.333344</v>
      </c>
      <c r="J6026" s="3">
        <v>22.560009999999998</v>
      </c>
      <c r="K6026" s="3">
        <v>21.166677</v>
      </c>
      <c r="L6026" s="3">
        <v>507.87038835484401</v>
      </c>
    </row>
    <row r="6027" spans="1:12" ht="15" customHeight="1" x14ac:dyDescent="0.2">
      <c r="A6027" s="2">
        <v>37307</v>
      </c>
      <c r="B6027" s="3">
        <v>21.806677000000001</v>
      </c>
      <c r="C6027" s="1">
        <v>1890749.1</v>
      </c>
      <c r="D6027" s="3">
        <v>-0.65333299999999905</v>
      </c>
      <c r="E6027" s="3">
        <v>-2.9088722578485</v>
      </c>
      <c r="F6027" s="3">
        <v>-2.9088722578485</v>
      </c>
      <c r="G6027" s="3">
        <v>21.806677000000001</v>
      </c>
      <c r="H6027" s="3">
        <v>507.68457183979098</v>
      </c>
      <c r="I6027" s="3">
        <v>22.400010000000002</v>
      </c>
      <c r="J6027" s="3">
        <v>22.400010000000002</v>
      </c>
      <c r="K6027" s="3">
        <v>21.266676</v>
      </c>
      <c r="L6027" s="3">
        <v>507.68457183979098</v>
      </c>
    </row>
    <row r="6028" spans="1:12" ht="15" customHeight="1" x14ac:dyDescent="0.2">
      <c r="A6028" s="2">
        <v>37306</v>
      </c>
      <c r="B6028" s="3">
        <v>22.46001</v>
      </c>
      <c r="C6028" s="1">
        <v>760049.6</v>
      </c>
      <c r="D6028" s="3">
        <v>-0.33999999999999903</v>
      </c>
      <c r="E6028" s="3">
        <v>-1.4912274161283201</v>
      </c>
      <c r="F6028" s="3">
        <v>-1.4912274161283201</v>
      </c>
      <c r="G6028" s="3">
        <v>22.46001</v>
      </c>
      <c r="H6028" s="3">
        <v>525.89093975058302</v>
      </c>
      <c r="I6028" s="3">
        <v>22.793343</v>
      </c>
      <c r="J6028" s="3">
        <v>22.813345000000002</v>
      </c>
      <c r="K6028" s="3">
        <v>22.393345</v>
      </c>
      <c r="L6028" s="3">
        <v>525.89093975058302</v>
      </c>
    </row>
    <row r="6029" spans="1:12" ht="15" customHeight="1" x14ac:dyDescent="0.2">
      <c r="A6029" s="2">
        <v>37302</v>
      </c>
      <c r="B6029" s="3">
        <v>22.80001</v>
      </c>
      <c r="C6029" s="1">
        <v>370649.8</v>
      </c>
      <c r="D6029" s="3">
        <v>-0.29240099999999802</v>
      </c>
      <c r="E6029" s="3">
        <v>-1.2662211840937601</v>
      </c>
      <c r="F6029" s="3">
        <v>-1.2662211840937601</v>
      </c>
      <c r="G6029" s="3">
        <v>22.80001</v>
      </c>
      <c r="H6029" s="3">
        <v>535.36568706882497</v>
      </c>
      <c r="I6029" s="3">
        <v>23.060013000000001</v>
      </c>
      <c r="J6029" s="3">
        <v>23.166677</v>
      </c>
      <c r="K6029" s="3">
        <v>22.606677999999999</v>
      </c>
      <c r="L6029" s="3">
        <v>535.36568706882497</v>
      </c>
    </row>
    <row r="6030" spans="1:12" ht="15" customHeight="1" x14ac:dyDescent="0.2">
      <c r="A6030" s="2">
        <v>37301</v>
      </c>
      <c r="B6030" s="3">
        <v>23.092410999999998</v>
      </c>
      <c r="C6030" s="1">
        <v>359849.85</v>
      </c>
      <c r="D6030" s="3">
        <v>-0.27426700000000098</v>
      </c>
      <c r="E6030" s="3">
        <v>-1.17375264040529</v>
      </c>
      <c r="F6030" s="3">
        <v>-1.17375264040529</v>
      </c>
      <c r="G6030" s="3">
        <v>23.092410999999998</v>
      </c>
      <c r="H6030" s="3">
        <v>543.51399762941799</v>
      </c>
      <c r="I6030" s="3">
        <v>23.333344</v>
      </c>
      <c r="J6030" s="3">
        <v>23.400010999999999</v>
      </c>
      <c r="K6030" s="3">
        <v>22.946676</v>
      </c>
      <c r="L6030" s="3">
        <v>543.51399762941799</v>
      </c>
    </row>
    <row r="6031" spans="1:12" ht="15" customHeight="1" x14ac:dyDescent="0.2">
      <c r="A6031" s="2">
        <v>37300</v>
      </c>
      <c r="B6031" s="3">
        <v>23.366678</v>
      </c>
      <c r="C6031" s="1">
        <v>651149.66</v>
      </c>
      <c r="D6031" s="3">
        <v>0.66666800000000104</v>
      </c>
      <c r="E6031" s="3">
        <v>2.9368621423514898</v>
      </c>
      <c r="F6031" s="3">
        <v>2.9368621423514898</v>
      </c>
      <c r="G6031" s="3">
        <v>23.366678</v>
      </c>
      <c r="H6031" s="3">
        <v>551.15696975510104</v>
      </c>
      <c r="I6031" s="3">
        <v>22.733343000000001</v>
      </c>
      <c r="J6031" s="3">
        <v>23.533344</v>
      </c>
      <c r="K6031" s="3">
        <v>22.706678</v>
      </c>
      <c r="L6031" s="3">
        <v>551.15696975510104</v>
      </c>
    </row>
    <row r="6032" spans="1:12" ht="15" customHeight="1" x14ac:dyDescent="0.2">
      <c r="A6032" s="2">
        <v>37299</v>
      </c>
      <c r="B6032" s="3">
        <v>22.700009999999999</v>
      </c>
      <c r="C6032" s="1">
        <v>360299.84</v>
      </c>
      <c r="D6032" s="3">
        <v>1.3334000000000399E-2</v>
      </c>
      <c r="E6032" s="3">
        <v>5.8774586457710498E-2</v>
      </c>
      <c r="F6032" s="3">
        <v>5.8774586457710498E-2</v>
      </c>
      <c r="G6032" s="3">
        <v>22.700009999999999</v>
      </c>
      <c r="H6032" s="3">
        <v>532.57899668110701</v>
      </c>
      <c r="I6032" s="3">
        <v>22.633347000000001</v>
      </c>
      <c r="J6032" s="3">
        <v>23.166677</v>
      </c>
      <c r="K6032" s="3">
        <v>22.600012</v>
      </c>
      <c r="L6032" s="3">
        <v>532.57899668110701</v>
      </c>
    </row>
    <row r="6033" spans="1:12" ht="15" customHeight="1" x14ac:dyDescent="0.2">
      <c r="A6033" s="2">
        <v>37298</v>
      </c>
      <c r="B6033" s="3">
        <v>22.686675999999999</v>
      </c>
      <c r="C6033" s="1">
        <v>706799.7</v>
      </c>
      <c r="D6033" s="3">
        <v>-2.6669000000001799E-2</v>
      </c>
      <c r="E6033" s="3">
        <v>-0.117415554600175</v>
      </c>
      <c r="F6033" s="3">
        <v>-0.117415554600175</v>
      </c>
      <c r="G6033" s="3">
        <v>22.686675999999999</v>
      </c>
      <c r="H6033" s="3">
        <v>532.20741938480899</v>
      </c>
      <c r="I6033" s="3">
        <v>22.760010000000001</v>
      </c>
      <c r="J6033" s="3">
        <v>22.993345000000001</v>
      </c>
      <c r="K6033" s="3">
        <v>22.533344</v>
      </c>
      <c r="L6033" s="3">
        <v>532.20741938480899</v>
      </c>
    </row>
    <row r="6034" spans="1:12" ht="15" customHeight="1" x14ac:dyDescent="0.2">
      <c r="A6034" s="2">
        <v>37295</v>
      </c>
      <c r="B6034" s="3">
        <v>22.713345</v>
      </c>
      <c r="C6034" s="1">
        <v>1064849.5</v>
      </c>
      <c r="D6034" s="3">
        <v>-0.42666499999999902</v>
      </c>
      <c r="E6034" s="3">
        <v>-1.84384103550516</v>
      </c>
      <c r="F6034" s="3">
        <v>-1.84384103550516</v>
      </c>
      <c r="G6034" s="3">
        <v>22.713345</v>
      </c>
      <c r="H6034" s="3">
        <v>532.95060184430895</v>
      </c>
      <c r="I6034" s="3">
        <v>23.166677</v>
      </c>
      <c r="J6034" s="3">
        <v>23.400010999999999</v>
      </c>
      <c r="K6034" s="3">
        <v>22.506675999999999</v>
      </c>
      <c r="L6034" s="3">
        <v>532.95060184430895</v>
      </c>
    </row>
    <row r="6035" spans="1:12" ht="15" customHeight="1" x14ac:dyDescent="0.2">
      <c r="A6035" s="2">
        <v>37294</v>
      </c>
      <c r="B6035" s="3">
        <v>23.14001</v>
      </c>
      <c r="C6035" s="1">
        <v>703649.66</v>
      </c>
      <c r="D6035" s="3">
        <v>-0.55333599999999805</v>
      </c>
      <c r="E6035" s="3">
        <v>-2.3354067424668301</v>
      </c>
      <c r="F6035" s="3">
        <v>-2.3354067424668301</v>
      </c>
      <c r="G6035" s="3">
        <v>23.14001</v>
      </c>
      <c r="H6035" s="3">
        <v>544.84043438706794</v>
      </c>
      <c r="I6035" s="3">
        <v>23.82668</v>
      </c>
      <c r="J6035" s="3">
        <v>23.82668</v>
      </c>
      <c r="K6035" s="3">
        <v>23.073944000000001</v>
      </c>
      <c r="L6035" s="3">
        <v>544.84043438706794</v>
      </c>
    </row>
    <row r="6036" spans="1:12" ht="15" customHeight="1" x14ac:dyDescent="0.2">
      <c r="A6036" s="2">
        <v>37293</v>
      </c>
      <c r="B6036" s="3">
        <v>23.693345999999998</v>
      </c>
      <c r="C6036" s="1">
        <v>930149.54</v>
      </c>
      <c r="D6036" s="3">
        <v>-0.64666400000000102</v>
      </c>
      <c r="E6036" s="3">
        <v>-2.6567943069867299</v>
      </c>
      <c r="F6036" s="3">
        <v>-2.6567943069867299</v>
      </c>
      <c r="G6036" s="3">
        <v>23.693345999999998</v>
      </c>
      <c r="H6036" s="3">
        <v>560.26019551085301</v>
      </c>
      <c r="I6036" s="3">
        <v>24.400010999999999</v>
      </c>
      <c r="J6036" s="3">
        <v>24.486677</v>
      </c>
      <c r="K6036" s="3">
        <v>23.666677</v>
      </c>
      <c r="L6036" s="3">
        <v>560.26019551085301</v>
      </c>
    </row>
    <row r="6037" spans="1:12" ht="15" customHeight="1" x14ac:dyDescent="0.2">
      <c r="A6037" s="2">
        <v>37292</v>
      </c>
      <c r="B6037" s="3">
        <v>24.340009999999999</v>
      </c>
      <c r="C6037" s="1">
        <v>1522649.3</v>
      </c>
      <c r="D6037" s="3">
        <v>-0.26000200000000001</v>
      </c>
      <c r="E6037" s="3">
        <v>-1.05691818361715</v>
      </c>
      <c r="F6037" s="3">
        <v>-1.05691818361715</v>
      </c>
      <c r="G6037" s="3">
        <v>24.340009999999999</v>
      </c>
      <c r="H6037" s="3">
        <v>578.28071903968805</v>
      </c>
      <c r="I6037" s="3">
        <v>24.62668</v>
      </c>
      <c r="J6037" s="3">
        <v>24.626677000000001</v>
      </c>
      <c r="K6037" s="3">
        <v>23.840009999999999</v>
      </c>
      <c r="L6037" s="3">
        <v>578.28071903968805</v>
      </c>
    </row>
    <row r="6038" spans="1:12" ht="15" customHeight="1" x14ac:dyDescent="0.2">
      <c r="A6038" s="2">
        <v>37291</v>
      </c>
      <c r="B6038" s="3">
        <v>24.600012</v>
      </c>
      <c r="C6038" s="1">
        <v>749999.63</v>
      </c>
      <c r="D6038" s="3">
        <v>-3.3332999999998898E-2</v>
      </c>
      <c r="E6038" s="3">
        <v>-0.135316580025968</v>
      </c>
      <c r="F6038" s="3">
        <v>-0.135316580025968</v>
      </c>
      <c r="G6038" s="3">
        <v>24.600012</v>
      </c>
      <c r="H6038" s="3">
        <v>585.52616978156402</v>
      </c>
      <c r="I6038" s="3">
        <v>24.833345000000001</v>
      </c>
      <c r="J6038" s="3">
        <v>24.840012000000002</v>
      </c>
      <c r="K6038" s="3">
        <v>24.400010999999999</v>
      </c>
      <c r="L6038" s="3">
        <v>585.52616978156402</v>
      </c>
    </row>
    <row r="6039" spans="1:12" ht="15" customHeight="1" x14ac:dyDescent="0.2">
      <c r="A6039" s="2">
        <v>37288</v>
      </c>
      <c r="B6039" s="3">
        <v>24.633344999999998</v>
      </c>
      <c r="C6039" s="1">
        <v>1714349.0999999901</v>
      </c>
      <c r="D6039" s="3">
        <v>0.69999899999999804</v>
      </c>
      <c r="E6039" s="3">
        <v>2.9247853601414402</v>
      </c>
      <c r="F6039" s="3">
        <v>2.9247853601414402</v>
      </c>
      <c r="G6039" s="3">
        <v>24.633344999999998</v>
      </c>
      <c r="H6039" s="3">
        <v>586.45505728850196</v>
      </c>
      <c r="I6039" s="3">
        <v>25.033344</v>
      </c>
      <c r="J6039" s="3">
        <v>25.233345</v>
      </c>
      <c r="K6039" s="3">
        <v>24.506678000000001</v>
      </c>
      <c r="L6039" s="3">
        <v>586.45505728850196</v>
      </c>
    </row>
    <row r="6040" spans="1:12" ht="15" customHeight="1" x14ac:dyDescent="0.2">
      <c r="A6040" s="2">
        <v>37287</v>
      </c>
      <c r="B6040" s="3">
        <v>23.933346</v>
      </c>
      <c r="C6040" s="1">
        <v>2062649</v>
      </c>
      <c r="D6040" s="3">
        <v>0.63333599999999901</v>
      </c>
      <c r="E6040" s="3">
        <v>2.7181790909102501</v>
      </c>
      <c r="F6040" s="3">
        <v>2.7181790909102501</v>
      </c>
      <c r="G6040" s="3">
        <v>23.933346</v>
      </c>
      <c r="H6040" s="3">
        <v>566.94825244137701</v>
      </c>
      <c r="I6040" s="3">
        <v>23.366678</v>
      </c>
      <c r="J6040" s="3">
        <v>24.553346999999999</v>
      </c>
      <c r="K6040" s="3">
        <v>23.333344</v>
      </c>
      <c r="L6040" s="3">
        <v>566.94825244137701</v>
      </c>
    </row>
    <row r="6041" spans="1:12" ht="15" customHeight="1" x14ac:dyDescent="0.2">
      <c r="A6041" s="2">
        <v>37286</v>
      </c>
      <c r="B6041" s="3">
        <v>23.30001</v>
      </c>
      <c r="C6041" s="1">
        <v>784949.65</v>
      </c>
      <c r="D6041" s="3">
        <v>0.74666500000000002</v>
      </c>
      <c r="E6041" s="3">
        <v>3.31066189959847</v>
      </c>
      <c r="F6041" s="3">
        <v>3.31066189959847</v>
      </c>
      <c r="G6041" s="3">
        <v>23.30001</v>
      </c>
      <c r="H6041" s="3">
        <v>549.29913900741701</v>
      </c>
      <c r="I6041" s="3">
        <v>22.526678</v>
      </c>
      <c r="J6041" s="3">
        <v>23.366678</v>
      </c>
      <c r="K6041" s="3">
        <v>22.000011000000001</v>
      </c>
      <c r="L6041" s="3">
        <v>549.29913900741701</v>
      </c>
    </row>
    <row r="6042" spans="1:12" ht="15" customHeight="1" x14ac:dyDescent="0.2">
      <c r="A6042" s="2">
        <v>37285</v>
      </c>
      <c r="B6042" s="3">
        <v>22.553345</v>
      </c>
      <c r="C6042" s="1">
        <v>368399.8</v>
      </c>
      <c r="D6042" s="3">
        <v>-0.47999899999999901</v>
      </c>
      <c r="E6042" s="3">
        <v>-2.08393101757173</v>
      </c>
      <c r="F6042" s="3">
        <v>-2.08393101757173</v>
      </c>
      <c r="G6042" s="3">
        <v>22.553345</v>
      </c>
      <c r="H6042" s="3">
        <v>528.49189722396</v>
      </c>
      <c r="I6042" s="3">
        <v>23.093343999999998</v>
      </c>
      <c r="J6042" s="3">
        <v>23.126677000000001</v>
      </c>
      <c r="K6042" s="3">
        <v>22.400010000000002</v>
      </c>
      <c r="L6042" s="3">
        <v>528.49189722396</v>
      </c>
    </row>
    <row r="6043" spans="1:12" ht="15" customHeight="1" x14ac:dyDescent="0.2">
      <c r="A6043" s="2">
        <v>37284</v>
      </c>
      <c r="B6043" s="3">
        <v>23.033344</v>
      </c>
      <c r="C6043" s="1">
        <v>465749.8</v>
      </c>
      <c r="D6043" s="3">
        <v>3.3332999999998898E-2</v>
      </c>
      <c r="E6043" s="3">
        <v>0.14492601764406399</v>
      </c>
      <c r="F6043" s="3">
        <v>0.14492601764406399</v>
      </c>
      <c r="G6043" s="3">
        <v>23.033344</v>
      </c>
      <c r="H6043" s="3">
        <v>541.86798321810397</v>
      </c>
      <c r="I6043" s="3">
        <v>23.053345</v>
      </c>
      <c r="J6043" s="3">
        <v>23.233343000000001</v>
      </c>
      <c r="K6043" s="3">
        <v>22.740010999999999</v>
      </c>
      <c r="L6043" s="3">
        <v>541.86798321810397</v>
      </c>
    </row>
    <row r="6044" spans="1:12" ht="15" customHeight="1" x14ac:dyDescent="0.2">
      <c r="A6044" s="2">
        <v>37281</v>
      </c>
      <c r="B6044" s="3">
        <v>23.000011000000001</v>
      </c>
      <c r="C6044" s="1">
        <v>553499.76</v>
      </c>
      <c r="D6044" s="3">
        <v>-0.43333499999999903</v>
      </c>
      <c r="E6044" s="3">
        <v>-1.84922375148645</v>
      </c>
      <c r="F6044" s="3">
        <v>-1.84922375148645</v>
      </c>
      <c r="G6044" s="3">
        <v>23.000011000000001</v>
      </c>
      <c r="H6044" s="3">
        <v>540.93909571116603</v>
      </c>
      <c r="I6044" s="3">
        <v>23.400010999999999</v>
      </c>
      <c r="J6044" s="3">
        <v>23.500011000000001</v>
      </c>
      <c r="K6044" s="3">
        <v>22.566676999999999</v>
      </c>
      <c r="L6044" s="3">
        <v>540.93909571116603</v>
      </c>
    </row>
    <row r="6045" spans="1:12" ht="15" customHeight="1" x14ac:dyDescent="0.2">
      <c r="A6045" s="2">
        <v>37280</v>
      </c>
      <c r="B6045" s="3">
        <v>23.433346</v>
      </c>
      <c r="C6045" s="1">
        <v>313649.83999999898</v>
      </c>
      <c r="D6045" s="3">
        <v>5.99999999999987E-2</v>
      </c>
      <c r="E6045" s="3">
        <v>0.25670265609380999</v>
      </c>
      <c r="F6045" s="3">
        <v>0.25670265609380999</v>
      </c>
      <c r="G6045" s="3">
        <v>23.433346</v>
      </c>
      <c r="H6045" s="3">
        <v>553.01480050278496</v>
      </c>
      <c r="I6045" s="3">
        <v>23.366678</v>
      </c>
      <c r="J6045" s="3">
        <v>23.866678</v>
      </c>
      <c r="K6045" s="3">
        <v>23.273344000000002</v>
      </c>
      <c r="L6045" s="3">
        <v>553.01480050278496</v>
      </c>
    </row>
    <row r="6046" spans="1:12" ht="15" customHeight="1" x14ac:dyDescent="0.2">
      <c r="A6046" s="2">
        <v>37279</v>
      </c>
      <c r="B6046" s="3">
        <v>23.373346000000002</v>
      </c>
      <c r="C6046" s="1">
        <v>416249.82</v>
      </c>
      <c r="D6046" s="3">
        <v>0.186670000000003</v>
      </c>
      <c r="E6046" s="3">
        <v>0.80507443153991998</v>
      </c>
      <c r="F6046" s="3">
        <v>0.80507443153991998</v>
      </c>
      <c r="G6046" s="3">
        <v>23.373346000000002</v>
      </c>
      <c r="H6046" s="3">
        <v>551.34278627015397</v>
      </c>
      <c r="I6046" s="3">
        <v>23.066676999999999</v>
      </c>
      <c r="J6046" s="3">
        <v>23.486677</v>
      </c>
      <c r="K6046" s="3">
        <v>22.840009999999999</v>
      </c>
      <c r="L6046" s="3">
        <v>551.34278627015397</v>
      </c>
    </row>
    <row r="6047" spans="1:12" ht="15" customHeight="1" x14ac:dyDescent="0.2">
      <c r="A6047" s="2">
        <v>37278</v>
      </c>
      <c r="B6047" s="3">
        <v>23.186675999999999</v>
      </c>
      <c r="C6047" s="1">
        <v>276599.88</v>
      </c>
      <c r="D6047" s="3">
        <v>-2.0002000000001598E-2</v>
      </c>
      <c r="E6047" s="3">
        <v>-8.6190707691990998E-2</v>
      </c>
      <c r="F6047" s="3">
        <v>-8.6190707691990998E-2</v>
      </c>
      <c r="G6047" s="3">
        <v>23.186675999999999</v>
      </c>
      <c r="H6047" s="3">
        <v>546.14087132340001</v>
      </c>
      <c r="I6047" s="3">
        <v>23.273346</v>
      </c>
      <c r="J6047" s="3">
        <v>23.473344999999998</v>
      </c>
      <c r="K6047" s="3">
        <v>22.966011000000002</v>
      </c>
      <c r="L6047" s="3">
        <v>546.14087132340001</v>
      </c>
    </row>
    <row r="6048" spans="1:12" ht="15" customHeight="1" x14ac:dyDescent="0.2">
      <c r="A6048" s="2">
        <v>37274</v>
      </c>
      <c r="B6048" s="3">
        <v>23.206678</v>
      </c>
      <c r="C6048" s="1">
        <v>1240949.3</v>
      </c>
      <c r="D6048" s="3">
        <v>0.17333399999999999</v>
      </c>
      <c r="E6048" s="3">
        <v>0.75253510736434903</v>
      </c>
      <c r="F6048" s="3">
        <v>0.75253510736434903</v>
      </c>
      <c r="G6048" s="3">
        <v>23.206678</v>
      </c>
      <c r="H6048" s="3">
        <v>546.69826513475198</v>
      </c>
      <c r="I6048" s="3">
        <v>22.933346</v>
      </c>
      <c r="J6048" s="3">
        <v>23.400010999999999</v>
      </c>
      <c r="K6048" s="3">
        <v>22.380009999999999</v>
      </c>
      <c r="L6048" s="3">
        <v>546.69826513475198</v>
      </c>
    </row>
    <row r="6049" spans="1:12" ht="15" customHeight="1" x14ac:dyDescent="0.2">
      <c r="A6049" s="2">
        <v>37273</v>
      </c>
      <c r="B6049" s="3">
        <v>23.033344</v>
      </c>
      <c r="C6049" s="1">
        <v>1013099.5</v>
      </c>
      <c r="D6049" s="3">
        <v>0.17333199999999799</v>
      </c>
      <c r="E6049" s="3">
        <v>0.75823232288765297</v>
      </c>
      <c r="F6049" s="3">
        <v>0.75823232288765297</v>
      </c>
      <c r="G6049" s="3">
        <v>23.033344</v>
      </c>
      <c r="H6049" s="3">
        <v>541.86798321810397</v>
      </c>
      <c r="I6049" s="3">
        <v>23.033344</v>
      </c>
      <c r="J6049" s="3">
        <v>23.30001</v>
      </c>
      <c r="K6049" s="3">
        <v>22.666677</v>
      </c>
      <c r="L6049" s="3">
        <v>541.86798321810397</v>
      </c>
    </row>
    <row r="6050" spans="1:12" ht="15" customHeight="1" x14ac:dyDescent="0.2">
      <c r="A6050" s="2">
        <v>37272</v>
      </c>
      <c r="B6050" s="3">
        <v>22.860012000000001</v>
      </c>
      <c r="C6050" s="1">
        <v>739199.65</v>
      </c>
      <c r="D6050" s="3">
        <v>-0.439997999999999</v>
      </c>
      <c r="E6050" s="3">
        <v>-1.8884026230031601</v>
      </c>
      <c r="F6050" s="3">
        <v>-1.8884026230031601</v>
      </c>
      <c r="G6050" s="3">
        <v>22.860012000000001</v>
      </c>
      <c r="H6050" s="3">
        <v>537.03775703526401</v>
      </c>
      <c r="I6050" s="3">
        <v>23.133347000000001</v>
      </c>
      <c r="J6050" s="3">
        <v>23.500011000000001</v>
      </c>
      <c r="K6050" s="3">
        <v>22.766677999999999</v>
      </c>
      <c r="L6050" s="3">
        <v>537.03775703526401</v>
      </c>
    </row>
    <row r="6051" spans="1:12" ht="15" customHeight="1" x14ac:dyDescent="0.2">
      <c r="A6051" s="2">
        <v>37271</v>
      </c>
      <c r="B6051" s="3">
        <v>23.30001</v>
      </c>
      <c r="C6051" s="1">
        <v>906299.56</v>
      </c>
      <c r="D6051" s="3">
        <v>-4.66680000000003E-2</v>
      </c>
      <c r="E6051" s="3">
        <v>-0.19989139354216201</v>
      </c>
      <c r="F6051" s="3">
        <v>-0.19989139354216201</v>
      </c>
      <c r="G6051" s="3">
        <v>23.30001</v>
      </c>
      <c r="H6051" s="3">
        <v>549.29913900741701</v>
      </c>
      <c r="I6051" s="3">
        <v>23.466678999999999</v>
      </c>
      <c r="J6051" s="3">
        <v>24.066676999999999</v>
      </c>
      <c r="K6051" s="3">
        <v>23.086677999999999</v>
      </c>
      <c r="L6051" s="3">
        <v>549.29913900741701</v>
      </c>
    </row>
    <row r="6052" spans="1:12" ht="15" customHeight="1" x14ac:dyDescent="0.2">
      <c r="A6052" s="2">
        <v>37270</v>
      </c>
      <c r="B6052" s="3">
        <v>23.346678000000001</v>
      </c>
      <c r="C6052" s="1">
        <v>332249.84999999998</v>
      </c>
      <c r="D6052" s="3">
        <v>-0.48666700000000002</v>
      </c>
      <c r="E6052" s="3">
        <v>-2.0419584409993599</v>
      </c>
      <c r="F6052" s="3">
        <v>-2.0419584409993599</v>
      </c>
      <c r="G6052" s="3">
        <v>23.346678000000001</v>
      </c>
      <c r="H6052" s="3">
        <v>550.59963167755802</v>
      </c>
      <c r="I6052" s="3">
        <v>23.793344000000001</v>
      </c>
      <c r="J6052" s="3">
        <v>23.833345000000001</v>
      </c>
      <c r="K6052" s="3">
        <v>23.306677000000001</v>
      </c>
      <c r="L6052" s="3">
        <v>550.59963167755802</v>
      </c>
    </row>
    <row r="6053" spans="1:12" ht="15" customHeight="1" x14ac:dyDescent="0.2">
      <c r="A6053" s="2">
        <v>37267</v>
      </c>
      <c r="B6053" s="3">
        <v>23.833345000000001</v>
      </c>
      <c r="C6053" s="1">
        <v>328199.83</v>
      </c>
      <c r="D6053" s="3">
        <v>-0.526666999999999</v>
      </c>
      <c r="E6053" s="3">
        <v>-2.1620145343113899</v>
      </c>
      <c r="F6053" s="3">
        <v>-2.1620145343113899</v>
      </c>
      <c r="G6053" s="3">
        <v>23.833345000000001</v>
      </c>
      <c r="H6053" s="3">
        <v>564.16153418675503</v>
      </c>
      <c r="I6053" s="3">
        <v>24.306677000000001</v>
      </c>
      <c r="J6053" s="3">
        <v>24.46001</v>
      </c>
      <c r="K6053" s="3">
        <v>23.800013</v>
      </c>
      <c r="L6053" s="3">
        <v>564.16153418675503</v>
      </c>
    </row>
    <row r="6054" spans="1:12" ht="15" customHeight="1" x14ac:dyDescent="0.2">
      <c r="A6054" s="2">
        <v>37266</v>
      </c>
      <c r="B6054" s="3">
        <v>24.360012000000001</v>
      </c>
      <c r="C6054" s="1">
        <v>402149.8</v>
      </c>
      <c r="D6054" s="3">
        <v>9.3332000000000095E-2</v>
      </c>
      <c r="E6054" s="3">
        <v>0.38460967878588498</v>
      </c>
      <c r="F6054" s="3">
        <v>0.38460967878588498</v>
      </c>
      <c r="G6054" s="3">
        <v>24.360012000000001</v>
      </c>
      <c r="H6054" s="3">
        <v>578.83811285104002</v>
      </c>
      <c r="I6054" s="3">
        <v>24.273347999999999</v>
      </c>
      <c r="J6054" s="3">
        <v>24.633344999999998</v>
      </c>
      <c r="K6054" s="3">
        <v>24.000011000000001</v>
      </c>
      <c r="L6054" s="3">
        <v>578.83811285104002</v>
      </c>
    </row>
    <row r="6055" spans="1:12" ht="15" customHeight="1" x14ac:dyDescent="0.2">
      <c r="A6055" s="2">
        <v>37265</v>
      </c>
      <c r="B6055" s="3">
        <v>24.266680000000001</v>
      </c>
      <c r="C6055" s="1">
        <v>648599.69999999995</v>
      </c>
      <c r="D6055" s="3">
        <v>-0.47999699999999701</v>
      </c>
      <c r="E6055" s="3">
        <v>-1.93964223964291</v>
      </c>
      <c r="F6055" s="3">
        <v>-1.93964223964291</v>
      </c>
      <c r="G6055" s="3">
        <v>24.266680000000001</v>
      </c>
      <c r="H6055" s="3">
        <v>576.23723897837397</v>
      </c>
      <c r="I6055" s="3">
        <v>24.800013</v>
      </c>
      <c r="J6055" s="3">
        <v>25.166679999999999</v>
      </c>
      <c r="K6055" s="3">
        <v>24.113344000000001</v>
      </c>
      <c r="L6055" s="3">
        <v>576.23723897837397</v>
      </c>
    </row>
    <row r="6056" spans="1:12" ht="15" customHeight="1" x14ac:dyDescent="0.2">
      <c r="A6056" s="2">
        <v>37264</v>
      </c>
      <c r="B6056" s="3">
        <v>24.746676999999998</v>
      </c>
      <c r="C6056" s="1">
        <v>554549.74</v>
      </c>
      <c r="D6056" s="3">
        <v>0.51333399999999596</v>
      </c>
      <c r="E6056" s="3">
        <v>2.1182962664292502</v>
      </c>
      <c r="F6056" s="3">
        <v>2.1182962664292502</v>
      </c>
      <c r="G6056" s="3">
        <v>24.746676999999998</v>
      </c>
      <c r="H6056" s="3">
        <v>589.61326923871104</v>
      </c>
      <c r="I6056" s="3">
        <v>24.466678999999999</v>
      </c>
      <c r="J6056" s="3">
        <v>25.000011000000001</v>
      </c>
      <c r="K6056" s="3">
        <v>24.333345000000001</v>
      </c>
      <c r="L6056" s="3">
        <v>589.61326923871104</v>
      </c>
    </row>
    <row r="6057" spans="1:12" ht="15" customHeight="1" x14ac:dyDescent="0.2">
      <c r="A6057" s="2">
        <v>37263</v>
      </c>
      <c r="B6057" s="3">
        <v>24.233343000000001</v>
      </c>
      <c r="C6057" s="1">
        <v>981449.6</v>
      </c>
      <c r="D6057" s="3">
        <v>4.6665000000000803E-2</v>
      </c>
      <c r="E6057" s="3">
        <v>0.192936789417719</v>
      </c>
      <c r="F6057" s="3">
        <v>0.192936789417719</v>
      </c>
      <c r="G6057" s="3">
        <v>24.233343000000001</v>
      </c>
      <c r="H6057" s="3">
        <v>575.30824000382097</v>
      </c>
      <c r="I6057" s="3">
        <v>24.333345000000001</v>
      </c>
      <c r="J6057" s="3">
        <v>24.866678</v>
      </c>
      <c r="K6057" s="3">
        <v>24.106677999999999</v>
      </c>
      <c r="L6057" s="3">
        <v>575.30824000382097</v>
      </c>
    </row>
    <row r="6058" spans="1:12" ht="15" customHeight="1" x14ac:dyDescent="0.2">
      <c r="A6058" s="2">
        <v>37260</v>
      </c>
      <c r="B6058" s="3">
        <v>24.186678000000001</v>
      </c>
      <c r="C6058" s="1">
        <v>814049.6</v>
      </c>
      <c r="D6058" s="3">
        <v>0.97933400000000104</v>
      </c>
      <c r="E6058" s="3">
        <v>4.2199314148141998</v>
      </c>
      <c r="F6058" s="3">
        <v>4.2199314148141998</v>
      </c>
      <c r="G6058" s="3">
        <v>24.186678000000001</v>
      </c>
      <c r="H6058" s="3">
        <v>574.00783093439202</v>
      </c>
      <c r="I6058" s="3">
        <v>23.240010999999999</v>
      </c>
      <c r="J6058" s="3">
        <v>24.480013</v>
      </c>
      <c r="K6058" s="3">
        <v>23.233343000000001</v>
      </c>
      <c r="L6058" s="3">
        <v>574.00783093439202</v>
      </c>
    </row>
    <row r="6059" spans="1:12" ht="15" customHeight="1" x14ac:dyDescent="0.2">
      <c r="A6059" s="2">
        <v>37259</v>
      </c>
      <c r="B6059" s="3">
        <v>23.207343999999999</v>
      </c>
      <c r="C6059" s="1">
        <v>1090349.5</v>
      </c>
      <c r="D6059" s="3">
        <v>0.34799999999999898</v>
      </c>
      <c r="E6059" s="3">
        <v>1.52235339736783</v>
      </c>
      <c r="F6059" s="3">
        <v>1.52235339736783</v>
      </c>
      <c r="G6059" s="3">
        <v>23.207343999999999</v>
      </c>
      <c r="H6059" s="3">
        <v>546.71682449273396</v>
      </c>
      <c r="I6059" s="3">
        <v>22.780010000000001</v>
      </c>
      <c r="J6059" s="3">
        <v>23.233343000000001</v>
      </c>
      <c r="K6059" s="3">
        <v>22.633344999999998</v>
      </c>
      <c r="L6059" s="3">
        <v>546.71682449273396</v>
      </c>
    </row>
    <row r="6060" spans="1:12" ht="15" customHeight="1" x14ac:dyDescent="0.2">
      <c r="A6060" s="2">
        <v>37258</v>
      </c>
      <c r="B6060" s="3">
        <v>22.859344</v>
      </c>
      <c r="C6060" s="1">
        <v>886199.6</v>
      </c>
      <c r="D6060" s="3">
        <v>-0.32066800000000101</v>
      </c>
      <c r="E6060" s="3">
        <v>-1.3833815098974001</v>
      </c>
      <c r="F6060" s="3">
        <v>-1.3833815098974001</v>
      </c>
      <c r="G6060" s="3">
        <v>22.859344</v>
      </c>
      <c r="H6060" s="3">
        <v>537.01914194347398</v>
      </c>
      <c r="I6060" s="3">
        <v>23.066676999999999</v>
      </c>
      <c r="J6060" s="3">
        <v>23.333344</v>
      </c>
      <c r="K6060" s="3">
        <v>22.500011000000001</v>
      </c>
      <c r="L6060" s="3">
        <v>537.01914194347398</v>
      </c>
    </row>
    <row r="6061" spans="1:12" ht="15" customHeight="1" x14ac:dyDescent="0.2">
      <c r="A6061" s="2">
        <v>37256</v>
      </c>
      <c r="B6061" s="3">
        <v>23.180012000000001</v>
      </c>
      <c r="C6061" s="1">
        <v>1066199.5</v>
      </c>
      <c r="D6061" s="3">
        <v>8.0000000000001806E-2</v>
      </c>
      <c r="E6061" s="3">
        <v>0.34632016641378199</v>
      </c>
      <c r="F6061" s="3">
        <v>0.34632016641378199</v>
      </c>
      <c r="G6061" s="3">
        <v>23.180012000000001</v>
      </c>
      <c r="H6061" s="3">
        <v>545.95516627596305</v>
      </c>
      <c r="I6061" s="3">
        <v>23.30001</v>
      </c>
      <c r="J6061" s="3">
        <v>23.700009999999999</v>
      </c>
      <c r="K6061" s="3">
        <v>22.973343</v>
      </c>
      <c r="L6061" s="3">
        <v>545.95516627596305</v>
      </c>
    </row>
    <row r="6062" spans="1:12" ht="15" customHeight="1" x14ac:dyDescent="0.2">
      <c r="A6062" s="2">
        <v>37253</v>
      </c>
      <c r="B6062" s="3">
        <v>23.100012</v>
      </c>
      <c r="C6062" s="1">
        <v>677699.7</v>
      </c>
      <c r="D6062" s="3">
        <v>-0.26666600000000001</v>
      </c>
      <c r="E6062" s="3">
        <v>-1.1412234122454199</v>
      </c>
      <c r="F6062" s="3">
        <v>-1.1412234122454199</v>
      </c>
      <c r="G6062" s="3">
        <v>23.100012</v>
      </c>
      <c r="H6062" s="3">
        <v>543.72581396578801</v>
      </c>
      <c r="I6062" s="3">
        <v>23.400010999999999</v>
      </c>
      <c r="J6062" s="3">
        <v>23.433346</v>
      </c>
      <c r="K6062" s="3">
        <v>23.100012</v>
      </c>
      <c r="L6062" s="3">
        <v>543.72581396578801</v>
      </c>
    </row>
    <row r="6063" spans="1:12" ht="15" customHeight="1" x14ac:dyDescent="0.2">
      <c r="A6063" s="2">
        <v>37252</v>
      </c>
      <c r="B6063" s="3">
        <v>23.366678</v>
      </c>
      <c r="C6063" s="1">
        <v>607949.69999999995</v>
      </c>
      <c r="D6063" s="3">
        <v>-0.29333499999999901</v>
      </c>
      <c r="E6063" s="3">
        <v>-1.23979221820376</v>
      </c>
      <c r="F6063" s="3">
        <v>-1.23979221820376</v>
      </c>
      <c r="G6063" s="3">
        <v>23.366678</v>
      </c>
      <c r="H6063" s="3">
        <v>551.15696975510104</v>
      </c>
      <c r="I6063" s="3">
        <v>23.600012</v>
      </c>
      <c r="J6063" s="3">
        <v>23.860012000000001</v>
      </c>
      <c r="K6063" s="3">
        <v>23.333344</v>
      </c>
      <c r="L6063" s="3">
        <v>551.15696975510104</v>
      </c>
    </row>
    <row r="6064" spans="1:12" ht="15" customHeight="1" x14ac:dyDescent="0.2">
      <c r="A6064" s="2">
        <v>37251</v>
      </c>
      <c r="B6064" s="3">
        <v>23.660012999999999</v>
      </c>
      <c r="C6064" s="1">
        <v>850949.65</v>
      </c>
      <c r="D6064" s="3"/>
      <c r="E6064" s="3"/>
      <c r="F6064" s="3"/>
      <c r="G6064" s="3">
        <v>23.660012999999999</v>
      </c>
      <c r="H6064" s="3">
        <v>559.33130800391496</v>
      </c>
      <c r="I6064" s="3">
        <v>23.700013999999999</v>
      </c>
      <c r="J6064" s="3">
        <v>23.700009999999999</v>
      </c>
      <c r="K6064" s="3">
        <v>23.46001</v>
      </c>
      <c r="L6064" s="3">
        <v>559.33130800391496</v>
      </c>
    </row>
    <row r="6065" spans="1:12" ht="15" customHeight="1" x14ac:dyDescent="0.2">
      <c r="A6065" s="2">
        <v>37249</v>
      </c>
      <c r="B6065" s="3">
        <v>23.660012999999999</v>
      </c>
      <c r="C6065" s="1">
        <v>328349.84999999998</v>
      </c>
      <c r="D6065" s="3">
        <v>0.493335999999999</v>
      </c>
      <c r="E6065" s="3">
        <v>2.1295069638170401</v>
      </c>
      <c r="F6065" s="3">
        <v>2.1295069638170401</v>
      </c>
      <c r="G6065" s="3">
        <v>23.660012999999999</v>
      </c>
      <c r="H6065" s="3">
        <v>559.33130800391496</v>
      </c>
      <c r="I6065" s="3">
        <v>23.200012000000001</v>
      </c>
      <c r="J6065" s="3">
        <v>23.833345000000001</v>
      </c>
      <c r="K6065" s="3">
        <v>23.033344</v>
      </c>
      <c r="L6065" s="3">
        <v>559.33130800391496</v>
      </c>
    </row>
    <row r="6066" spans="1:12" ht="15" customHeight="1" x14ac:dyDescent="0.2">
      <c r="A6066" s="2">
        <v>37246</v>
      </c>
      <c r="B6066" s="3">
        <v>23.166677</v>
      </c>
      <c r="C6066" s="1">
        <v>1201499.3999999999</v>
      </c>
      <c r="D6066" s="3">
        <v>0.30000100000000102</v>
      </c>
      <c r="E6066" s="3">
        <v>1.3119571904548</v>
      </c>
      <c r="F6066" s="3">
        <v>1.3119571904548</v>
      </c>
      <c r="G6066" s="3">
        <v>23.166677</v>
      </c>
      <c r="H6066" s="3">
        <v>545.583561112761</v>
      </c>
      <c r="I6066" s="3">
        <v>22.873343999999999</v>
      </c>
      <c r="J6066" s="3">
        <v>23.166677</v>
      </c>
      <c r="K6066" s="3">
        <v>22.366675999999998</v>
      </c>
      <c r="L6066" s="3">
        <v>545.583561112761</v>
      </c>
    </row>
    <row r="6067" spans="1:12" ht="15" customHeight="1" x14ac:dyDescent="0.2">
      <c r="A6067" s="2">
        <v>37245</v>
      </c>
      <c r="B6067" s="3">
        <v>22.866675999999998</v>
      </c>
      <c r="C6067" s="1">
        <v>759149.6</v>
      </c>
      <c r="D6067" s="3">
        <v>-0.63333500000000198</v>
      </c>
      <c r="E6067" s="3">
        <v>-2.6950412916827999</v>
      </c>
      <c r="F6067" s="3">
        <v>-2.6950412916827999</v>
      </c>
      <c r="G6067" s="3">
        <v>22.866675999999998</v>
      </c>
      <c r="H6067" s="3">
        <v>537.22346208270199</v>
      </c>
      <c r="I6067" s="3">
        <v>23.340014</v>
      </c>
      <c r="J6067" s="3">
        <v>23.433346</v>
      </c>
      <c r="K6067" s="3">
        <v>22.733343000000001</v>
      </c>
      <c r="L6067" s="3">
        <v>537.22346208270199</v>
      </c>
    </row>
    <row r="6068" spans="1:12" ht="15" customHeight="1" x14ac:dyDescent="0.2">
      <c r="A6068" s="2">
        <v>37244</v>
      </c>
      <c r="B6068" s="3">
        <v>23.500011000000001</v>
      </c>
      <c r="C6068" s="1">
        <v>431399.78</v>
      </c>
      <c r="D6068" s="3">
        <v>-0.35333299999999901</v>
      </c>
      <c r="E6068" s="3">
        <v>-1.4812723951828299</v>
      </c>
      <c r="F6068" s="3">
        <v>-1.4812723951828299</v>
      </c>
      <c r="G6068" s="3">
        <v>23.500011000000001</v>
      </c>
      <c r="H6068" s="3">
        <v>554.87254764975796</v>
      </c>
      <c r="I6068" s="3">
        <v>23.800013</v>
      </c>
      <c r="J6068" s="3">
        <v>23.860012000000001</v>
      </c>
      <c r="K6068" s="3">
        <v>23.360012000000001</v>
      </c>
      <c r="L6068" s="3">
        <v>554.87254764975796</v>
      </c>
    </row>
    <row r="6069" spans="1:12" ht="15" customHeight="1" x14ac:dyDescent="0.2">
      <c r="A6069" s="2">
        <v>37243</v>
      </c>
      <c r="B6069" s="3">
        <v>23.853344</v>
      </c>
      <c r="C6069" s="1">
        <v>544499.76</v>
      </c>
      <c r="D6069" s="3">
        <v>0.17333199999999799</v>
      </c>
      <c r="E6069" s="3">
        <v>0.73197598041756495</v>
      </c>
      <c r="F6069" s="3">
        <v>0.73197598041756495</v>
      </c>
      <c r="G6069" s="3">
        <v>23.853344</v>
      </c>
      <c r="H6069" s="3">
        <v>564.71884439739495</v>
      </c>
      <c r="I6069" s="3">
        <v>23.760012</v>
      </c>
      <c r="J6069" s="3">
        <v>24.166677</v>
      </c>
      <c r="K6069" s="3">
        <v>23.400010999999999</v>
      </c>
      <c r="L6069" s="3">
        <v>564.71884439739495</v>
      </c>
    </row>
    <row r="6070" spans="1:12" ht="15" customHeight="1" x14ac:dyDescent="0.2">
      <c r="A6070" s="2">
        <v>37242</v>
      </c>
      <c r="B6070" s="3">
        <v>23.680012000000001</v>
      </c>
      <c r="C6070" s="1">
        <v>826349.6</v>
      </c>
      <c r="D6070" s="3">
        <v>0.34000200000000103</v>
      </c>
      <c r="E6070" s="3">
        <v>1.4567345943724901</v>
      </c>
      <c r="F6070" s="3">
        <v>1.4567345943724901</v>
      </c>
      <c r="G6070" s="3">
        <v>23.680012000000001</v>
      </c>
      <c r="H6070" s="3">
        <v>559.88861821455498</v>
      </c>
      <c r="I6070" s="3">
        <v>23.466678999999999</v>
      </c>
      <c r="J6070" s="3">
        <v>24.000011000000001</v>
      </c>
      <c r="K6070" s="3">
        <v>23.233343000000001</v>
      </c>
      <c r="L6070" s="3">
        <v>559.88861821455498</v>
      </c>
    </row>
    <row r="6071" spans="1:12" ht="15" customHeight="1" x14ac:dyDescent="0.2">
      <c r="A6071" s="2">
        <v>37239</v>
      </c>
      <c r="B6071" s="3">
        <v>23.340009999999999</v>
      </c>
      <c r="C6071" s="1">
        <v>625949.69999999995</v>
      </c>
      <c r="D6071" s="3">
        <v>0.30666599999999899</v>
      </c>
      <c r="E6071" s="3">
        <v>1.3314002517393799</v>
      </c>
      <c r="F6071" s="3">
        <v>1.3314002517393799</v>
      </c>
      <c r="G6071" s="3">
        <v>23.340009999999999</v>
      </c>
      <c r="H6071" s="3">
        <v>550.41381516250499</v>
      </c>
      <c r="I6071" s="3">
        <v>23.133347000000001</v>
      </c>
      <c r="J6071" s="3">
        <v>23.833345000000001</v>
      </c>
      <c r="K6071" s="3">
        <v>22.633344999999998</v>
      </c>
      <c r="L6071" s="3">
        <v>550.41381516250499</v>
      </c>
    </row>
    <row r="6072" spans="1:12" ht="15" customHeight="1" x14ac:dyDescent="0.2">
      <c r="A6072" s="2">
        <v>37238</v>
      </c>
      <c r="B6072" s="3">
        <v>23.033344</v>
      </c>
      <c r="C6072" s="1">
        <v>673349.7</v>
      </c>
      <c r="D6072" s="3">
        <v>0.19999999999999901</v>
      </c>
      <c r="E6072" s="3">
        <v>0.87591199957395205</v>
      </c>
      <c r="F6072" s="3">
        <v>0.87591199957395205</v>
      </c>
      <c r="G6072" s="3">
        <v>23.033344</v>
      </c>
      <c r="H6072" s="3">
        <v>541.86798321810397</v>
      </c>
      <c r="I6072" s="3">
        <v>22.660011000000001</v>
      </c>
      <c r="J6072" s="3">
        <v>23.533344</v>
      </c>
      <c r="K6072" s="3">
        <v>22.500011000000001</v>
      </c>
      <c r="L6072" s="3">
        <v>541.86798321810397</v>
      </c>
    </row>
    <row r="6073" spans="1:12" ht="15" customHeight="1" x14ac:dyDescent="0.2">
      <c r="A6073" s="2">
        <v>37237</v>
      </c>
      <c r="B6073" s="3">
        <v>22.833344</v>
      </c>
      <c r="C6073" s="1">
        <v>915299.56</v>
      </c>
      <c r="D6073" s="3">
        <v>-0.33999999999999903</v>
      </c>
      <c r="E6073" s="3">
        <v>-1.4672030070411901</v>
      </c>
      <c r="F6073" s="3">
        <v>-1.4672030070411901</v>
      </c>
      <c r="G6073" s="3">
        <v>22.833344</v>
      </c>
      <c r="H6073" s="3">
        <v>536.29460244266704</v>
      </c>
      <c r="I6073" s="3">
        <v>23.186675999999999</v>
      </c>
      <c r="J6073" s="3">
        <v>23.260010000000001</v>
      </c>
      <c r="K6073" s="3">
        <v>22.406676999999998</v>
      </c>
      <c r="L6073" s="3">
        <v>536.29460244266704</v>
      </c>
    </row>
    <row r="6074" spans="1:12" ht="15" customHeight="1" x14ac:dyDescent="0.2">
      <c r="A6074" s="2">
        <v>37236</v>
      </c>
      <c r="B6074" s="3">
        <v>23.173344</v>
      </c>
      <c r="C6074" s="1">
        <v>1580999.3</v>
      </c>
      <c r="D6074" s="3">
        <v>8.6666000000001006E-2</v>
      </c>
      <c r="E6074" s="3">
        <v>0.37539398262495999</v>
      </c>
      <c r="F6074" s="3">
        <v>0.37539398262495999</v>
      </c>
      <c r="G6074" s="3">
        <v>23.173344</v>
      </c>
      <c r="H6074" s="3">
        <v>545.76934976091002</v>
      </c>
      <c r="I6074" s="3">
        <v>23.093343999999998</v>
      </c>
      <c r="J6074" s="3">
        <v>24.106677999999999</v>
      </c>
      <c r="K6074" s="3">
        <v>23.093343999999998</v>
      </c>
      <c r="L6074" s="3">
        <v>545.76934976091002</v>
      </c>
    </row>
    <row r="6075" spans="1:12" ht="15" customHeight="1" x14ac:dyDescent="0.2">
      <c r="A6075" s="2">
        <v>37235</v>
      </c>
      <c r="B6075" s="3">
        <v>23.086677999999999</v>
      </c>
      <c r="C6075" s="1">
        <v>1031849.5</v>
      </c>
      <c r="D6075" s="3">
        <v>0.39333399999999902</v>
      </c>
      <c r="E6075" s="3">
        <v>1.7332571171529301</v>
      </c>
      <c r="F6075" s="3">
        <v>1.7332571171529301</v>
      </c>
      <c r="G6075" s="3">
        <v>23.086677999999999</v>
      </c>
      <c r="H6075" s="3">
        <v>543.35423666948998</v>
      </c>
      <c r="I6075" s="3">
        <v>22.620010000000001</v>
      </c>
      <c r="J6075" s="3">
        <v>23.833345000000001</v>
      </c>
      <c r="K6075" s="3">
        <v>22.500011000000001</v>
      </c>
      <c r="L6075" s="3">
        <v>543.35423666948998</v>
      </c>
    </row>
    <row r="6076" spans="1:12" ht="15" customHeight="1" x14ac:dyDescent="0.2">
      <c r="A6076" s="2">
        <v>37232</v>
      </c>
      <c r="B6076" s="3">
        <v>22.693344</v>
      </c>
      <c r="C6076" s="1">
        <v>760499.63</v>
      </c>
      <c r="D6076" s="3">
        <v>-6.00009999999997E-2</v>
      </c>
      <c r="E6076" s="3">
        <v>-0.26370188646988002</v>
      </c>
      <c r="F6076" s="3">
        <v>-0.26370188646988002</v>
      </c>
      <c r="G6076" s="3">
        <v>22.693344</v>
      </c>
      <c r="H6076" s="3">
        <v>532.39323589986202</v>
      </c>
      <c r="I6076" s="3">
        <v>22.866675999999998</v>
      </c>
      <c r="J6076" s="3">
        <v>22.866675999999998</v>
      </c>
      <c r="K6076" s="3">
        <v>22.200009999999999</v>
      </c>
      <c r="L6076" s="3">
        <v>532.39323589986202</v>
      </c>
    </row>
    <row r="6077" spans="1:12" ht="15" customHeight="1" x14ac:dyDescent="0.2">
      <c r="A6077" s="2">
        <v>37231</v>
      </c>
      <c r="B6077" s="3">
        <v>22.753344999999999</v>
      </c>
      <c r="C6077" s="1">
        <v>2121149</v>
      </c>
      <c r="D6077" s="3">
        <v>0.439999999999997</v>
      </c>
      <c r="E6077" s="3">
        <v>1.97191411686592</v>
      </c>
      <c r="F6077" s="3">
        <v>1.97191411686592</v>
      </c>
      <c r="G6077" s="3">
        <v>22.753344999999999</v>
      </c>
      <c r="H6077" s="3">
        <v>534.06527799939602</v>
      </c>
      <c r="I6077" s="3">
        <v>22.726676999999999</v>
      </c>
      <c r="J6077" s="3">
        <v>23.486677</v>
      </c>
      <c r="K6077" s="3">
        <v>21.874009999999998</v>
      </c>
      <c r="L6077" s="3">
        <v>534.06527799939602</v>
      </c>
    </row>
    <row r="6078" spans="1:12" ht="15" customHeight="1" x14ac:dyDescent="0.2">
      <c r="A6078" s="2">
        <v>37230</v>
      </c>
      <c r="B6078" s="3">
        <v>22.313345000000002</v>
      </c>
      <c r="C6078" s="1">
        <v>1769249.1</v>
      </c>
      <c r="D6078" s="3">
        <v>1.6266689999999999</v>
      </c>
      <c r="E6078" s="3">
        <v>7.8633657722487698</v>
      </c>
      <c r="F6078" s="3">
        <v>7.8633657722487698</v>
      </c>
      <c r="G6078" s="3">
        <v>22.313345000000002</v>
      </c>
      <c r="H6078" s="3">
        <v>521.803840293436</v>
      </c>
      <c r="I6078" s="3">
        <v>20.726676999999999</v>
      </c>
      <c r="J6078" s="3">
        <v>23.166677</v>
      </c>
      <c r="K6078" s="3">
        <v>20.673345999999999</v>
      </c>
      <c r="L6078" s="3">
        <v>521.803840293436</v>
      </c>
    </row>
    <row r="6079" spans="1:12" ht="15" customHeight="1" x14ac:dyDescent="0.2">
      <c r="A6079" s="2">
        <v>37229</v>
      </c>
      <c r="B6079" s="3">
        <v>20.686675999999999</v>
      </c>
      <c r="C6079" s="1">
        <v>521549.74</v>
      </c>
      <c r="D6079" s="3">
        <v>0.38666599999999801</v>
      </c>
      <c r="E6079" s="3">
        <v>1.90475768238536</v>
      </c>
      <c r="F6079" s="3">
        <v>1.90475768238536</v>
      </c>
      <c r="G6079" s="3">
        <v>20.686675999999999</v>
      </c>
      <c r="H6079" s="3">
        <v>476.47361163044098</v>
      </c>
      <c r="I6079" s="3">
        <v>20.30001</v>
      </c>
      <c r="J6079" s="3">
        <v>20.686675999999999</v>
      </c>
      <c r="K6079" s="3">
        <v>20.146674999999998</v>
      </c>
      <c r="L6079" s="3">
        <v>476.47361163044098</v>
      </c>
    </row>
    <row r="6080" spans="1:12" ht="15" customHeight="1" x14ac:dyDescent="0.2">
      <c r="A6080" s="2">
        <v>37228</v>
      </c>
      <c r="B6080" s="3">
        <v>20.30001</v>
      </c>
      <c r="C6080" s="1">
        <v>542549.74</v>
      </c>
      <c r="D6080" s="3">
        <v>-0.29333199999999898</v>
      </c>
      <c r="E6080" s="3">
        <v>-1.42440211986961</v>
      </c>
      <c r="F6080" s="3">
        <v>-1.42440211986961</v>
      </c>
      <c r="G6080" s="3">
        <v>20.30001</v>
      </c>
      <c r="H6080" s="3">
        <v>465.698427375866</v>
      </c>
      <c r="I6080" s="3">
        <v>20.586676000000001</v>
      </c>
      <c r="J6080" s="3">
        <v>20.766676</v>
      </c>
      <c r="K6080" s="3">
        <v>19.866675999999998</v>
      </c>
      <c r="L6080" s="3">
        <v>465.698427375866</v>
      </c>
    </row>
    <row r="6081" spans="1:12" ht="15" customHeight="1" x14ac:dyDescent="0.2">
      <c r="A6081" s="2">
        <v>37225</v>
      </c>
      <c r="B6081" s="3">
        <v>20.593342</v>
      </c>
      <c r="C6081" s="1">
        <v>746999.63</v>
      </c>
      <c r="D6081" s="3">
        <v>-6.6667999999999894E-2</v>
      </c>
      <c r="E6081" s="3">
        <v>-0.32269103451547598</v>
      </c>
      <c r="F6081" s="3">
        <v>-0.32269103451547598</v>
      </c>
      <c r="G6081" s="3">
        <v>20.593342</v>
      </c>
      <c r="H6081" s="3">
        <v>473.87268202396803</v>
      </c>
      <c r="I6081" s="3">
        <v>20.733343000000001</v>
      </c>
      <c r="J6081" s="3">
        <v>21.00001</v>
      </c>
      <c r="K6081" s="3">
        <v>20.533342000000001</v>
      </c>
      <c r="L6081" s="3">
        <v>473.87268202396803</v>
      </c>
    </row>
    <row r="6082" spans="1:12" ht="15" customHeight="1" x14ac:dyDescent="0.2">
      <c r="A6082" s="2">
        <v>37224</v>
      </c>
      <c r="B6082" s="3">
        <v>20.66001</v>
      </c>
      <c r="C6082" s="1">
        <v>422099.82</v>
      </c>
      <c r="D6082" s="3">
        <v>2.6666999999999701E-2</v>
      </c>
      <c r="E6082" s="3">
        <v>0.12924226578310199</v>
      </c>
      <c r="F6082" s="3">
        <v>0.12924226578310199</v>
      </c>
      <c r="G6082" s="3">
        <v>20.66001</v>
      </c>
      <c r="H6082" s="3">
        <v>475.730512771652</v>
      </c>
      <c r="I6082" s="3">
        <v>20.646677</v>
      </c>
      <c r="J6082" s="3">
        <v>20.760010000000001</v>
      </c>
      <c r="K6082" s="3">
        <v>20.48001</v>
      </c>
      <c r="L6082" s="3">
        <v>475.730512771652</v>
      </c>
    </row>
    <row r="6083" spans="1:12" ht="15" customHeight="1" x14ac:dyDescent="0.2">
      <c r="A6083" s="2">
        <v>37223</v>
      </c>
      <c r="B6083" s="3">
        <v>20.633343</v>
      </c>
      <c r="C6083" s="1">
        <v>914099.55</v>
      </c>
      <c r="D6083" s="3">
        <v>-0.62666700000000097</v>
      </c>
      <c r="E6083" s="3">
        <v>-2.9476326680937599</v>
      </c>
      <c r="F6083" s="3">
        <v>-2.9476326680937599</v>
      </c>
      <c r="G6083" s="3">
        <v>20.633343</v>
      </c>
      <c r="H6083" s="3">
        <v>474.987386045959</v>
      </c>
      <c r="I6083" s="3">
        <v>21.260010000000001</v>
      </c>
      <c r="J6083" s="3">
        <v>21.266676</v>
      </c>
      <c r="K6083" s="3">
        <v>20.406676999999998</v>
      </c>
      <c r="L6083" s="3">
        <v>474.987386045959</v>
      </c>
    </row>
    <row r="6084" spans="1:12" ht="15" customHeight="1" x14ac:dyDescent="0.2">
      <c r="A6084" s="2">
        <v>37222</v>
      </c>
      <c r="B6084" s="3">
        <v>21.260010000000001</v>
      </c>
      <c r="C6084" s="1">
        <v>371699.8</v>
      </c>
      <c r="D6084" s="3">
        <v>0.29333300000000001</v>
      </c>
      <c r="E6084" s="3">
        <v>1.39904382559048</v>
      </c>
      <c r="F6084" s="3">
        <v>1.39904382559048</v>
      </c>
      <c r="G6084" s="3">
        <v>21.260010000000001</v>
      </c>
      <c r="H6084" s="3">
        <v>492.45065509796302</v>
      </c>
      <c r="I6084" s="3">
        <v>21.093343999999998</v>
      </c>
      <c r="J6084" s="3">
        <v>21.260010000000001</v>
      </c>
      <c r="K6084" s="3">
        <v>20.553343000000002</v>
      </c>
      <c r="L6084" s="3">
        <v>492.45065509796302</v>
      </c>
    </row>
    <row r="6085" spans="1:12" ht="15" customHeight="1" x14ac:dyDescent="0.2">
      <c r="A6085" s="2">
        <v>37221</v>
      </c>
      <c r="B6085" s="3">
        <v>20.966677000000001</v>
      </c>
      <c r="C6085" s="1">
        <v>623399.66</v>
      </c>
      <c r="D6085" s="3">
        <v>0.20000100000000001</v>
      </c>
      <c r="E6085" s="3">
        <v>0.96308624451981695</v>
      </c>
      <c r="F6085" s="3">
        <v>0.96308624451981695</v>
      </c>
      <c r="G6085" s="3">
        <v>20.966677000000001</v>
      </c>
      <c r="H6085" s="3">
        <v>484.27637258295698</v>
      </c>
      <c r="I6085" s="3">
        <v>20.146677</v>
      </c>
      <c r="J6085" s="3">
        <v>21.319344000000001</v>
      </c>
      <c r="K6085" s="3">
        <v>20.146674999999998</v>
      </c>
      <c r="L6085" s="3">
        <v>484.27637258295698</v>
      </c>
    </row>
    <row r="6086" spans="1:12" ht="15" customHeight="1" x14ac:dyDescent="0.2">
      <c r="A6086" s="2">
        <v>37218</v>
      </c>
      <c r="B6086" s="3">
        <v>20.766676</v>
      </c>
      <c r="C6086" s="1">
        <v>178349.91</v>
      </c>
      <c r="D6086" s="3">
        <v>0.76000000000000101</v>
      </c>
      <c r="E6086" s="3">
        <v>3.7987319832639899</v>
      </c>
      <c r="F6086" s="3">
        <v>3.7987319832639899</v>
      </c>
      <c r="G6086" s="3">
        <v>20.766676</v>
      </c>
      <c r="H6086" s="3">
        <v>478.70296394061597</v>
      </c>
      <c r="I6086" s="3">
        <v>20.233343000000001</v>
      </c>
      <c r="J6086" s="3">
        <v>20.766676</v>
      </c>
      <c r="K6086" s="3">
        <v>20.073343000000001</v>
      </c>
      <c r="L6086" s="3">
        <v>478.70296394061597</v>
      </c>
    </row>
    <row r="6087" spans="1:12" ht="15" customHeight="1" x14ac:dyDescent="0.2">
      <c r="A6087" s="2">
        <v>37216</v>
      </c>
      <c r="B6087" s="3">
        <v>20.006675999999999</v>
      </c>
      <c r="C6087" s="1">
        <v>1497149.3</v>
      </c>
      <c r="D6087" s="3">
        <v>-1.0933360000000001</v>
      </c>
      <c r="E6087" s="3">
        <v>-5.1816842568620398</v>
      </c>
      <c r="F6087" s="3">
        <v>-5.1816842568620398</v>
      </c>
      <c r="G6087" s="3">
        <v>20.006675999999999</v>
      </c>
      <c r="H6087" s="3">
        <v>457.524116993956</v>
      </c>
      <c r="I6087" s="3">
        <v>21.133344999999998</v>
      </c>
      <c r="J6087" s="3">
        <v>21.193344</v>
      </c>
      <c r="K6087" s="3">
        <v>19.546676999999999</v>
      </c>
      <c r="L6087" s="3">
        <v>457.524116993956</v>
      </c>
    </row>
    <row r="6088" spans="1:12" ht="15" customHeight="1" x14ac:dyDescent="0.2">
      <c r="A6088" s="2">
        <v>37215</v>
      </c>
      <c r="B6088" s="3">
        <v>21.100012</v>
      </c>
      <c r="C6088" s="1">
        <v>307499.84999999998</v>
      </c>
      <c r="D6088" s="3">
        <v>-0.16666400000000001</v>
      </c>
      <c r="E6088" s="3">
        <v>-0.783686176438669</v>
      </c>
      <c r="F6088" s="3">
        <v>-0.783686176438669</v>
      </c>
      <c r="G6088" s="3">
        <v>21.100012</v>
      </c>
      <c r="H6088" s="3">
        <v>487.99200621142103</v>
      </c>
      <c r="I6088" s="3">
        <v>21.200009999999999</v>
      </c>
      <c r="J6088" s="3">
        <v>21.346678000000001</v>
      </c>
      <c r="K6088" s="3">
        <v>21.040009000000001</v>
      </c>
      <c r="L6088" s="3">
        <v>487.99200621142103</v>
      </c>
    </row>
    <row r="6089" spans="1:12" ht="15" customHeight="1" x14ac:dyDescent="0.2">
      <c r="A6089" s="2">
        <v>37214</v>
      </c>
      <c r="B6089" s="3">
        <v>21.266676</v>
      </c>
      <c r="C6089" s="1">
        <v>970199.6</v>
      </c>
      <c r="D6089" s="3">
        <v>6.66599999999917E-3</v>
      </c>
      <c r="E6089" s="3">
        <v>3.1354641883973799E-2</v>
      </c>
      <c r="F6089" s="3">
        <v>3.1354641883973799E-2</v>
      </c>
      <c r="G6089" s="3">
        <v>21.266676</v>
      </c>
      <c r="H6089" s="3">
        <v>492.63641587920802</v>
      </c>
      <c r="I6089" s="3">
        <v>20.993345000000001</v>
      </c>
      <c r="J6089" s="3">
        <v>21.600012</v>
      </c>
      <c r="K6089" s="3">
        <v>20.813345000000002</v>
      </c>
      <c r="L6089" s="3">
        <v>492.63641587920802</v>
      </c>
    </row>
    <row r="6090" spans="1:12" ht="15" customHeight="1" x14ac:dyDescent="0.2">
      <c r="A6090" s="2">
        <v>37211</v>
      </c>
      <c r="B6090" s="3">
        <v>21.260010000000001</v>
      </c>
      <c r="C6090" s="1">
        <v>1362149.4</v>
      </c>
      <c r="D6090" s="3">
        <v>-0.53333299999999895</v>
      </c>
      <c r="E6090" s="3">
        <v>-2.4472289542728598</v>
      </c>
      <c r="F6090" s="3">
        <v>-2.4472289542728598</v>
      </c>
      <c r="G6090" s="3">
        <v>21.260010000000001</v>
      </c>
      <c r="H6090" s="3">
        <v>492.45065509796302</v>
      </c>
      <c r="I6090" s="3">
        <v>21.606676</v>
      </c>
      <c r="J6090" s="3">
        <v>21.693344</v>
      </c>
      <c r="K6090" s="3">
        <v>20.833344</v>
      </c>
      <c r="L6090" s="3">
        <v>492.45065509796302</v>
      </c>
    </row>
    <row r="6091" spans="1:12" ht="15" customHeight="1" x14ac:dyDescent="0.2">
      <c r="A6091" s="2">
        <v>37210</v>
      </c>
      <c r="B6091" s="3">
        <v>21.793343</v>
      </c>
      <c r="C6091" s="1">
        <v>1241849.3999999999</v>
      </c>
      <c r="D6091" s="3">
        <v>0.45333299999999999</v>
      </c>
      <c r="E6091" s="3">
        <v>2.12433358747254</v>
      </c>
      <c r="F6091" s="3">
        <v>2.12433358747254</v>
      </c>
      <c r="G6091" s="3">
        <v>21.793343</v>
      </c>
      <c r="H6091" s="3">
        <v>507.31299454349301</v>
      </c>
      <c r="I6091" s="3">
        <v>21.233343000000001</v>
      </c>
      <c r="J6091" s="3">
        <v>21.82001</v>
      </c>
      <c r="K6091" s="3">
        <v>21.100012</v>
      </c>
      <c r="L6091" s="3">
        <v>507.31299454349301</v>
      </c>
    </row>
    <row r="6092" spans="1:12" ht="15" customHeight="1" x14ac:dyDescent="0.2">
      <c r="A6092" s="2">
        <v>37209</v>
      </c>
      <c r="B6092" s="3">
        <v>21.340009999999999</v>
      </c>
      <c r="C6092" s="1">
        <v>1895849.0999999901</v>
      </c>
      <c r="D6092" s="3">
        <v>0.306667999999998</v>
      </c>
      <c r="E6092" s="3">
        <v>1.45800890795195</v>
      </c>
      <c r="F6092" s="3">
        <v>1.45800890795195</v>
      </c>
      <c r="G6092" s="3">
        <v>21.340009999999999</v>
      </c>
      <c r="H6092" s="3">
        <v>494.68000740813699</v>
      </c>
      <c r="I6092" s="3">
        <v>21.100012</v>
      </c>
      <c r="J6092" s="3">
        <v>21.586677999999999</v>
      </c>
      <c r="K6092" s="3">
        <v>21.066679000000001</v>
      </c>
      <c r="L6092" s="3">
        <v>494.68000740813699</v>
      </c>
    </row>
    <row r="6093" spans="1:12" ht="15" customHeight="1" x14ac:dyDescent="0.2">
      <c r="A6093" s="2">
        <v>37208</v>
      </c>
      <c r="B6093" s="3">
        <v>21.033342000000001</v>
      </c>
      <c r="C6093" s="1">
        <v>1175099.5</v>
      </c>
      <c r="D6093" s="3">
        <v>0.62666500000000203</v>
      </c>
      <c r="E6093" s="3">
        <v>3.07088214313384</v>
      </c>
      <c r="F6093" s="3">
        <v>3.07088214313384</v>
      </c>
      <c r="G6093" s="3">
        <v>21.033342000000001</v>
      </c>
      <c r="H6093" s="3">
        <v>486.13411972992901</v>
      </c>
      <c r="I6093" s="3">
        <v>20.586676000000001</v>
      </c>
      <c r="J6093" s="3">
        <v>21.166677</v>
      </c>
      <c r="K6093" s="3">
        <v>20.506675999999999</v>
      </c>
      <c r="L6093" s="3">
        <v>486.13411972992901</v>
      </c>
    </row>
    <row r="6094" spans="1:12" ht="15" customHeight="1" x14ac:dyDescent="0.2">
      <c r="A6094" s="2">
        <v>37207</v>
      </c>
      <c r="B6094" s="3">
        <v>20.406676999999998</v>
      </c>
      <c r="C6094" s="1">
        <v>879299.56</v>
      </c>
      <c r="D6094" s="3">
        <v>0.67999999999999905</v>
      </c>
      <c r="E6094" s="3">
        <v>3.4471087046236999</v>
      </c>
      <c r="F6094" s="3">
        <v>3.4471087046236999</v>
      </c>
      <c r="G6094" s="3">
        <v>20.406676999999998</v>
      </c>
      <c r="H6094" s="3">
        <v>468.67090641173399</v>
      </c>
      <c r="I6094" s="3">
        <v>19.700009999999999</v>
      </c>
      <c r="J6094" s="3">
        <v>20.566676999999999</v>
      </c>
      <c r="K6094" s="3">
        <v>19.600010000000001</v>
      </c>
      <c r="L6094" s="3">
        <v>468.67090641173399</v>
      </c>
    </row>
    <row r="6095" spans="1:12" ht="15" customHeight="1" x14ac:dyDescent="0.2">
      <c r="A6095" s="2">
        <v>37204</v>
      </c>
      <c r="B6095" s="3">
        <v>19.726676999999999</v>
      </c>
      <c r="C6095" s="1">
        <v>840149.6</v>
      </c>
      <c r="D6095" s="3">
        <v>0.106666999999998</v>
      </c>
      <c r="E6095" s="3">
        <v>0.54366435083366105</v>
      </c>
      <c r="F6095" s="3">
        <v>0.54366435083366105</v>
      </c>
      <c r="G6095" s="3">
        <v>19.726676999999999</v>
      </c>
      <c r="H6095" s="3">
        <v>449.72141177524901</v>
      </c>
      <c r="I6095" s="3">
        <v>19.726676999999999</v>
      </c>
      <c r="J6095" s="3">
        <v>19.993342999999999</v>
      </c>
      <c r="K6095" s="3">
        <v>19.440010000000001</v>
      </c>
      <c r="L6095" s="3">
        <v>449.72141177524901</v>
      </c>
    </row>
    <row r="6096" spans="1:12" ht="15" customHeight="1" x14ac:dyDescent="0.2">
      <c r="A6096" s="2">
        <v>37203</v>
      </c>
      <c r="B6096" s="3">
        <v>19.620010000000001</v>
      </c>
      <c r="C6096" s="1">
        <v>541499.76</v>
      </c>
      <c r="D6096" s="3">
        <v>8.6667999999999495E-2</v>
      </c>
      <c r="E6096" s="3">
        <v>0.44369263590429098</v>
      </c>
      <c r="F6096" s="3">
        <v>0.44369263590429098</v>
      </c>
      <c r="G6096" s="3">
        <v>19.620010000000001</v>
      </c>
      <c r="H6096" s="3">
        <v>446.74893273938102</v>
      </c>
      <c r="I6096" s="3">
        <v>19.50001</v>
      </c>
      <c r="J6096" s="3">
        <v>19.840009999999999</v>
      </c>
      <c r="K6096" s="3">
        <v>19.413343000000001</v>
      </c>
      <c r="L6096" s="3">
        <v>446.74893273938102</v>
      </c>
    </row>
    <row r="6097" spans="1:12" ht="15" customHeight="1" x14ac:dyDescent="0.2">
      <c r="A6097" s="2">
        <v>37202</v>
      </c>
      <c r="B6097" s="3">
        <v>19.533342000000001</v>
      </c>
      <c r="C6097" s="1">
        <v>305099.84999999998</v>
      </c>
      <c r="D6097" s="3">
        <v>-0.340000999999997</v>
      </c>
      <c r="E6097" s="3">
        <v>-1.7108394898633601</v>
      </c>
      <c r="F6097" s="3">
        <v>-1.7108394898633601</v>
      </c>
      <c r="G6097" s="3">
        <v>19.533342000000001</v>
      </c>
      <c r="H6097" s="3">
        <v>444.33376391415402</v>
      </c>
      <c r="I6097" s="3">
        <v>19.50001</v>
      </c>
      <c r="J6097" s="3">
        <v>20.033342000000001</v>
      </c>
      <c r="K6097" s="3">
        <v>19.433342</v>
      </c>
      <c r="L6097" s="3">
        <v>444.33376391415402</v>
      </c>
    </row>
    <row r="6098" spans="1:12" ht="15" customHeight="1" x14ac:dyDescent="0.2">
      <c r="A6098" s="2">
        <v>37201</v>
      </c>
      <c r="B6098" s="3">
        <v>19.873342999999998</v>
      </c>
      <c r="C6098" s="1">
        <v>512699.76999999903</v>
      </c>
      <c r="D6098" s="3">
        <v>0.73333399999999904</v>
      </c>
      <c r="E6098" s="3">
        <v>3.83141930602017</v>
      </c>
      <c r="F6098" s="3">
        <v>3.83141930602017</v>
      </c>
      <c r="G6098" s="3">
        <v>19.873342999999998</v>
      </c>
      <c r="H6098" s="3">
        <v>453.80853909929999</v>
      </c>
      <c r="I6098" s="3">
        <v>19.200009999999999</v>
      </c>
      <c r="J6098" s="3">
        <v>19.96001</v>
      </c>
      <c r="K6098" s="3">
        <v>19.200008</v>
      </c>
      <c r="L6098" s="3">
        <v>453.80853909929999</v>
      </c>
    </row>
    <row r="6099" spans="1:12" ht="15" customHeight="1" x14ac:dyDescent="0.2">
      <c r="A6099" s="2">
        <v>37200</v>
      </c>
      <c r="B6099" s="3">
        <v>19.140008999999999</v>
      </c>
      <c r="C6099" s="1">
        <v>798599.6</v>
      </c>
      <c r="D6099" s="3">
        <v>0.22666599999999801</v>
      </c>
      <c r="E6099" s="3">
        <v>1.19844492853535</v>
      </c>
      <c r="F6099" s="3">
        <v>1.19844492853535</v>
      </c>
      <c r="G6099" s="3">
        <v>19.140008999999999</v>
      </c>
      <c r="H6099" s="3">
        <v>433.372791011429</v>
      </c>
      <c r="I6099" s="3">
        <v>18.840009999999999</v>
      </c>
      <c r="J6099" s="3">
        <v>19.433342</v>
      </c>
      <c r="K6099" s="3">
        <v>18.840009999999999</v>
      </c>
      <c r="L6099" s="3">
        <v>433.372791011429</v>
      </c>
    </row>
    <row r="6100" spans="1:12" ht="15" customHeight="1" x14ac:dyDescent="0.2">
      <c r="A6100" s="2">
        <v>37197</v>
      </c>
      <c r="B6100" s="3">
        <v>18.913343000000001</v>
      </c>
      <c r="C6100" s="1">
        <v>499649.75</v>
      </c>
      <c r="D6100" s="3">
        <v>-0.42000099999999901</v>
      </c>
      <c r="E6100" s="3">
        <v>-2.1724177669419098</v>
      </c>
      <c r="F6100" s="3">
        <v>-2.1724177669419098</v>
      </c>
      <c r="G6100" s="3">
        <v>18.913343000000001</v>
      </c>
      <c r="H6100" s="3">
        <v>427.056311377204</v>
      </c>
      <c r="I6100" s="3">
        <v>19.533342000000001</v>
      </c>
      <c r="J6100" s="3">
        <v>19.533342000000001</v>
      </c>
      <c r="K6100" s="3">
        <v>18.833341999999998</v>
      </c>
      <c r="L6100" s="3">
        <v>427.056311377204</v>
      </c>
    </row>
    <row r="6101" spans="1:12" ht="15" customHeight="1" x14ac:dyDescent="0.2">
      <c r="A6101" s="2">
        <v>37196</v>
      </c>
      <c r="B6101" s="3">
        <v>19.333344</v>
      </c>
      <c r="C6101" s="1">
        <v>874649.54</v>
      </c>
      <c r="D6101" s="3">
        <v>0.533335000000001</v>
      </c>
      <c r="E6101" s="3">
        <v>2.83688693978816</v>
      </c>
      <c r="F6101" s="3">
        <v>2.83688693978816</v>
      </c>
      <c r="G6101" s="3">
        <v>19.333344</v>
      </c>
      <c r="H6101" s="3">
        <v>438.76043887252501</v>
      </c>
      <c r="I6101" s="3">
        <v>18.926676</v>
      </c>
      <c r="J6101" s="3">
        <v>19.46001</v>
      </c>
      <c r="K6101" s="3">
        <v>18.353344</v>
      </c>
      <c r="L6101" s="3">
        <v>438.76043887252501</v>
      </c>
    </row>
    <row r="6102" spans="1:12" ht="15" customHeight="1" x14ac:dyDescent="0.2">
      <c r="A6102" s="2">
        <v>37195</v>
      </c>
      <c r="B6102" s="3">
        <v>18.800008999999999</v>
      </c>
      <c r="C6102" s="1">
        <v>664649.66</v>
      </c>
      <c r="D6102" s="3">
        <v>0.39333399999999902</v>
      </c>
      <c r="E6102" s="3">
        <v>2.1369095722068199</v>
      </c>
      <c r="F6102" s="3">
        <v>2.1369095722068199</v>
      </c>
      <c r="G6102" s="3">
        <v>18.800008999999999</v>
      </c>
      <c r="H6102" s="3">
        <v>423.89804369318699</v>
      </c>
      <c r="I6102" s="3">
        <v>18.373342999999998</v>
      </c>
      <c r="J6102" s="3">
        <v>19.086676000000001</v>
      </c>
      <c r="K6102" s="3">
        <v>18.373342999999998</v>
      </c>
      <c r="L6102" s="3">
        <v>423.89804369318699</v>
      </c>
    </row>
    <row r="6103" spans="1:12" ht="15" customHeight="1" x14ac:dyDescent="0.2">
      <c r="A6103" s="2">
        <v>37194</v>
      </c>
      <c r="B6103" s="3">
        <v>18.406675</v>
      </c>
      <c r="C6103" s="1">
        <v>775799.6</v>
      </c>
      <c r="D6103" s="3">
        <v>-0.39333399999999902</v>
      </c>
      <c r="E6103" s="3">
        <v>-2.0922011260739199</v>
      </c>
      <c r="F6103" s="3">
        <v>-2.0922011260739199</v>
      </c>
      <c r="G6103" s="3">
        <v>18.406675</v>
      </c>
      <c r="H6103" s="3">
        <v>412.93704292355898</v>
      </c>
      <c r="I6103" s="3">
        <v>18.793344000000001</v>
      </c>
      <c r="J6103" s="3">
        <v>18.793340000000001</v>
      </c>
      <c r="K6103" s="3">
        <v>17.986675000000002</v>
      </c>
      <c r="L6103" s="3">
        <v>412.93704292355898</v>
      </c>
    </row>
    <row r="6104" spans="1:12" ht="15" customHeight="1" x14ac:dyDescent="0.2">
      <c r="A6104" s="2">
        <v>37193</v>
      </c>
      <c r="B6104" s="3">
        <v>18.800008999999999</v>
      </c>
      <c r="C6104" s="1">
        <v>681299.7</v>
      </c>
      <c r="D6104" s="3">
        <v>-0.65333299999999905</v>
      </c>
      <c r="E6104" s="3">
        <v>-3.3584614921179101</v>
      </c>
      <c r="F6104" s="3">
        <v>-3.3584614921179101</v>
      </c>
      <c r="G6104" s="3">
        <v>18.800008999999999</v>
      </c>
      <c r="H6104" s="3">
        <v>423.89804369318699</v>
      </c>
      <c r="I6104" s="3">
        <v>19.406676999999998</v>
      </c>
      <c r="J6104" s="3">
        <v>19.653343</v>
      </c>
      <c r="K6104" s="3">
        <v>18.48001</v>
      </c>
      <c r="L6104" s="3">
        <v>423.89804369318699</v>
      </c>
    </row>
    <row r="6105" spans="1:12" ht="15" customHeight="1" x14ac:dyDescent="0.2">
      <c r="A6105" s="2">
        <v>37190</v>
      </c>
      <c r="B6105" s="3">
        <v>19.453341999999999</v>
      </c>
      <c r="C6105" s="1">
        <v>522599.73</v>
      </c>
      <c r="D6105" s="3">
        <v>0.48000099999999701</v>
      </c>
      <c r="E6105" s="3">
        <v>2.52987072756452</v>
      </c>
      <c r="F6105" s="3">
        <v>2.52987072756452</v>
      </c>
      <c r="G6105" s="3">
        <v>19.453341999999999</v>
      </c>
      <c r="H6105" s="3">
        <v>442.10441160397897</v>
      </c>
      <c r="I6105" s="3">
        <v>18.800008999999999</v>
      </c>
      <c r="J6105" s="3">
        <v>19.666675999999999</v>
      </c>
      <c r="K6105" s="3">
        <v>18.700008</v>
      </c>
      <c r="L6105" s="3">
        <v>442.10441160397897</v>
      </c>
    </row>
    <row r="6106" spans="1:12" ht="15" customHeight="1" x14ac:dyDescent="0.2">
      <c r="A6106" s="2">
        <v>37189</v>
      </c>
      <c r="B6106" s="3">
        <v>18.973341000000001</v>
      </c>
      <c r="C6106" s="1">
        <v>660599.69999999995</v>
      </c>
      <c r="D6106" s="3">
        <v>0.52666500000000105</v>
      </c>
      <c r="E6106" s="3">
        <v>2.8550672218669599</v>
      </c>
      <c r="F6106" s="3">
        <v>2.8550672218669599</v>
      </c>
      <c r="G6106" s="3">
        <v>18.973341000000001</v>
      </c>
      <c r="H6106" s="3">
        <v>428.72826987602701</v>
      </c>
      <c r="I6106" s="3">
        <v>18.646677</v>
      </c>
      <c r="J6106" s="3">
        <v>19.00001</v>
      </c>
      <c r="K6106" s="3">
        <v>18.300008999999999</v>
      </c>
      <c r="L6106" s="3">
        <v>428.72826987602701</v>
      </c>
    </row>
    <row r="6107" spans="1:12" ht="15" customHeight="1" x14ac:dyDescent="0.2">
      <c r="A6107" s="2">
        <v>37188</v>
      </c>
      <c r="B6107" s="3">
        <v>18.446676</v>
      </c>
      <c r="C6107" s="1">
        <v>422699.8</v>
      </c>
      <c r="D6107" s="3">
        <v>-0.35333299999999901</v>
      </c>
      <c r="E6107" s="3">
        <v>-1.8794299513367101</v>
      </c>
      <c r="F6107" s="3">
        <v>-1.8794299513367101</v>
      </c>
      <c r="G6107" s="3">
        <v>18.446676</v>
      </c>
      <c r="H6107" s="3">
        <v>414.05174694555001</v>
      </c>
      <c r="I6107" s="3">
        <v>18.780010000000001</v>
      </c>
      <c r="J6107" s="3">
        <v>19.066676999999999</v>
      </c>
      <c r="K6107" s="3">
        <v>18.273342</v>
      </c>
      <c r="L6107" s="3">
        <v>414.05174694555001</v>
      </c>
    </row>
    <row r="6108" spans="1:12" ht="15" customHeight="1" x14ac:dyDescent="0.2">
      <c r="A6108" s="2">
        <v>37187</v>
      </c>
      <c r="B6108" s="3">
        <v>18.800008999999999</v>
      </c>
      <c r="C6108" s="1">
        <v>1428599.4</v>
      </c>
      <c r="D6108" s="3">
        <v>-0.600001000000002</v>
      </c>
      <c r="E6108" s="3">
        <v>-3.0927870655736802</v>
      </c>
      <c r="F6108" s="3">
        <v>-3.0927870655736802</v>
      </c>
      <c r="G6108" s="3">
        <v>18.800008999999999</v>
      </c>
      <c r="H6108" s="3">
        <v>423.89804369318699</v>
      </c>
      <c r="I6108" s="3">
        <v>19.493342999999999</v>
      </c>
      <c r="J6108" s="3">
        <v>19.526675999999998</v>
      </c>
      <c r="K6108" s="3">
        <v>18.506674</v>
      </c>
      <c r="L6108" s="3">
        <v>423.89804369318699</v>
      </c>
    </row>
    <row r="6109" spans="1:12" ht="15" customHeight="1" x14ac:dyDescent="0.2">
      <c r="A6109" s="2">
        <v>37186</v>
      </c>
      <c r="B6109" s="3">
        <v>19.400010000000002</v>
      </c>
      <c r="C6109" s="1">
        <v>909449.6</v>
      </c>
      <c r="D6109" s="3">
        <v>0.96000200000000202</v>
      </c>
      <c r="E6109" s="3">
        <v>5.2060823400944498</v>
      </c>
      <c r="F6109" s="3">
        <v>5.2060823400944498</v>
      </c>
      <c r="G6109" s="3">
        <v>19.400010000000002</v>
      </c>
      <c r="H6109" s="3">
        <v>440.61821388640101</v>
      </c>
      <c r="I6109" s="3">
        <v>18.453344000000001</v>
      </c>
      <c r="J6109" s="3">
        <v>19.400010000000002</v>
      </c>
      <c r="K6109" s="3">
        <v>18.100010000000001</v>
      </c>
      <c r="L6109" s="3">
        <v>440.61821388640101</v>
      </c>
    </row>
    <row r="6110" spans="1:12" ht="15" customHeight="1" x14ac:dyDescent="0.2">
      <c r="A6110" s="2">
        <v>37183</v>
      </c>
      <c r="B6110" s="3">
        <v>18.440007999999999</v>
      </c>
      <c r="C6110" s="1">
        <v>1408349.4</v>
      </c>
      <c r="D6110" s="3">
        <v>0.81333299999999997</v>
      </c>
      <c r="E6110" s="3">
        <v>4.6142168049277501</v>
      </c>
      <c r="F6110" s="3">
        <v>4.6142168049277501</v>
      </c>
      <c r="G6110" s="3">
        <v>18.440007999999999</v>
      </c>
      <c r="H6110" s="3">
        <v>413.86593043049697</v>
      </c>
      <c r="I6110" s="3">
        <v>17.700008</v>
      </c>
      <c r="J6110" s="3">
        <v>18.626677000000001</v>
      </c>
      <c r="K6110" s="3">
        <v>17.640007000000001</v>
      </c>
      <c r="L6110" s="3">
        <v>413.86593043049697</v>
      </c>
    </row>
    <row r="6111" spans="1:12" ht="15" customHeight="1" x14ac:dyDescent="0.2">
      <c r="A6111" s="2">
        <v>37182</v>
      </c>
      <c r="B6111" s="3">
        <v>17.626674999999999</v>
      </c>
      <c r="C6111" s="1">
        <v>1005749.5</v>
      </c>
      <c r="D6111" s="3">
        <v>-0.34666600000000197</v>
      </c>
      <c r="E6111" s="3">
        <v>-1.9287788508547199</v>
      </c>
      <c r="F6111" s="3">
        <v>-1.9287788508547199</v>
      </c>
      <c r="G6111" s="3">
        <v>17.626674999999999</v>
      </c>
      <c r="H6111" s="3">
        <v>391.20085789935501</v>
      </c>
      <c r="I6111" s="3">
        <v>17.806674999999998</v>
      </c>
      <c r="J6111" s="3">
        <v>18.033342000000001</v>
      </c>
      <c r="K6111" s="3">
        <v>17.433340000000001</v>
      </c>
      <c r="L6111" s="3">
        <v>391.20085789935501</v>
      </c>
    </row>
    <row r="6112" spans="1:12" ht="15" customHeight="1" x14ac:dyDescent="0.2">
      <c r="A6112" s="2">
        <v>37181</v>
      </c>
      <c r="B6112" s="3">
        <v>17.973341000000001</v>
      </c>
      <c r="C6112" s="1">
        <v>1353149.4</v>
      </c>
      <c r="D6112" s="3">
        <v>-0.26000200000000001</v>
      </c>
      <c r="E6112" s="3">
        <v>-1.42596999354424</v>
      </c>
      <c r="F6112" s="3">
        <v>-1.42596999354424</v>
      </c>
      <c r="G6112" s="3">
        <v>17.973341000000001</v>
      </c>
      <c r="H6112" s="3">
        <v>400.86136599884298</v>
      </c>
      <c r="I6112" s="3">
        <v>18.333341999999998</v>
      </c>
      <c r="J6112" s="3">
        <v>18.566676999999999</v>
      </c>
      <c r="K6112" s="3">
        <v>17.800008999999999</v>
      </c>
      <c r="L6112" s="3">
        <v>400.86136599884298</v>
      </c>
    </row>
    <row r="6113" spans="1:12" ht="15" customHeight="1" x14ac:dyDescent="0.2">
      <c r="A6113" s="2">
        <v>37180</v>
      </c>
      <c r="B6113" s="3">
        <v>18.233343000000001</v>
      </c>
      <c r="C6113" s="1">
        <v>1211699.3</v>
      </c>
      <c r="D6113" s="3">
        <v>0.99333299999999902</v>
      </c>
      <c r="E6113" s="3">
        <v>5.7617890012824802</v>
      </c>
      <c r="F6113" s="3">
        <v>5.7617890012824802</v>
      </c>
      <c r="G6113" s="3">
        <v>18.233343000000001</v>
      </c>
      <c r="H6113" s="3">
        <v>408.10681674071901</v>
      </c>
      <c r="I6113" s="3">
        <v>17.133343</v>
      </c>
      <c r="J6113" s="3">
        <v>18.640008999999999</v>
      </c>
      <c r="K6113" s="3">
        <v>17.133343</v>
      </c>
      <c r="L6113" s="3">
        <v>408.10681674071901</v>
      </c>
    </row>
    <row r="6114" spans="1:12" ht="15" customHeight="1" x14ac:dyDescent="0.2">
      <c r="A6114" s="2">
        <v>37179</v>
      </c>
      <c r="B6114" s="3">
        <v>17.240010000000002</v>
      </c>
      <c r="C6114" s="1">
        <v>493499.76</v>
      </c>
      <c r="D6114" s="3">
        <v>6.0002000000000701E-2</v>
      </c>
      <c r="E6114" s="3">
        <v>0.34925478498031198</v>
      </c>
      <c r="F6114" s="3">
        <v>0.34925478498031198</v>
      </c>
      <c r="G6114" s="3">
        <v>17.240010000000002</v>
      </c>
      <c r="H6114" s="3">
        <v>380.425701511684</v>
      </c>
      <c r="I6114" s="3">
        <v>17.126674999999999</v>
      </c>
      <c r="J6114" s="3">
        <v>17.333341999999998</v>
      </c>
      <c r="K6114" s="3">
        <v>16.786674000000001</v>
      </c>
      <c r="L6114" s="3">
        <v>380.425701511684</v>
      </c>
    </row>
    <row r="6115" spans="1:12" ht="15" customHeight="1" x14ac:dyDescent="0.2">
      <c r="A6115" s="2">
        <v>37176</v>
      </c>
      <c r="B6115" s="3">
        <v>17.180008000000001</v>
      </c>
      <c r="C6115" s="1">
        <v>1103699.5</v>
      </c>
      <c r="D6115" s="3">
        <v>-1.2199989999999901</v>
      </c>
      <c r="E6115" s="3">
        <v>-6.6304268253810799</v>
      </c>
      <c r="F6115" s="3">
        <v>-6.6304268253810799</v>
      </c>
      <c r="G6115" s="3">
        <v>17.180008000000001</v>
      </c>
      <c r="H6115" s="3">
        <v>378.75363154524598</v>
      </c>
      <c r="I6115" s="3">
        <v>18.326677</v>
      </c>
      <c r="J6115" s="3">
        <v>18.333341999999998</v>
      </c>
      <c r="K6115" s="3">
        <v>16.980007000000001</v>
      </c>
      <c r="L6115" s="3">
        <v>378.75363154524598</v>
      </c>
    </row>
    <row r="6116" spans="1:12" ht="15" customHeight="1" x14ac:dyDescent="0.2">
      <c r="A6116" s="2">
        <v>37175</v>
      </c>
      <c r="B6116" s="3">
        <v>18.400006999999999</v>
      </c>
      <c r="C6116" s="1">
        <v>995849.5</v>
      </c>
      <c r="D6116" s="3">
        <v>1.16666599999999</v>
      </c>
      <c r="E6116" s="3">
        <v>6.7698190385717796</v>
      </c>
      <c r="F6116" s="3">
        <v>6.7698190385717796</v>
      </c>
      <c r="G6116" s="3">
        <v>18.400006999999999</v>
      </c>
      <c r="H6116" s="3">
        <v>412.751226408506</v>
      </c>
      <c r="I6116" s="3">
        <v>17.100010000000001</v>
      </c>
      <c r="J6116" s="3">
        <v>18.600010000000001</v>
      </c>
      <c r="K6116" s="3">
        <v>17.033339999999999</v>
      </c>
      <c r="L6116" s="3">
        <v>412.751226408506</v>
      </c>
    </row>
    <row r="6117" spans="1:12" ht="15" customHeight="1" x14ac:dyDescent="0.2">
      <c r="A6117" s="2">
        <v>37174</v>
      </c>
      <c r="B6117" s="3">
        <v>17.233340999999999</v>
      </c>
      <c r="C6117" s="1">
        <v>613949.69999999995</v>
      </c>
      <c r="D6117" s="3">
        <v>0.71999899999999695</v>
      </c>
      <c r="E6117" s="3">
        <v>4.3601046959482703</v>
      </c>
      <c r="F6117" s="3">
        <v>4.3601046959482703</v>
      </c>
      <c r="G6117" s="3">
        <v>17.233340999999999</v>
      </c>
      <c r="H6117" s="3">
        <v>380.239857129727</v>
      </c>
      <c r="I6117" s="3">
        <v>16.400010000000002</v>
      </c>
      <c r="J6117" s="3">
        <v>17.233340999999999</v>
      </c>
      <c r="K6117" s="3">
        <v>16.333341999999998</v>
      </c>
      <c r="L6117" s="3">
        <v>380.239857129727</v>
      </c>
    </row>
    <row r="6118" spans="1:12" ht="15" customHeight="1" x14ac:dyDescent="0.2">
      <c r="A6118" s="2">
        <v>37173</v>
      </c>
      <c r="B6118" s="3">
        <v>16.513342000000002</v>
      </c>
      <c r="C6118" s="1">
        <v>642149.66</v>
      </c>
      <c r="D6118" s="3">
        <v>-0.39999999999999802</v>
      </c>
      <c r="E6118" s="3">
        <v>-2.3649968173055198</v>
      </c>
      <c r="F6118" s="3">
        <v>-2.3649968173055198</v>
      </c>
      <c r="G6118" s="3">
        <v>16.513342000000002</v>
      </c>
      <c r="H6118" s="3">
        <v>360.17571420505902</v>
      </c>
      <c r="I6118" s="3">
        <v>16.700008</v>
      </c>
      <c r="J6118" s="3">
        <v>16.800008999999999</v>
      </c>
      <c r="K6118" s="3">
        <v>16.166674</v>
      </c>
      <c r="L6118" s="3">
        <v>360.17571420505902</v>
      </c>
    </row>
    <row r="6119" spans="1:12" ht="15" customHeight="1" x14ac:dyDescent="0.2">
      <c r="A6119" s="2">
        <v>37172</v>
      </c>
      <c r="B6119" s="3">
        <v>16.913342</v>
      </c>
      <c r="C6119" s="1">
        <v>626399.66</v>
      </c>
      <c r="D6119" s="3">
        <v>-0.159998999999999</v>
      </c>
      <c r="E6119" s="3">
        <v>-0.93712765415977495</v>
      </c>
      <c r="F6119" s="3">
        <v>-0.93712765415977495</v>
      </c>
      <c r="G6119" s="3">
        <v>16.913342</v>
      </c>
      <c r="H6119" s="3">
        <v>371.32247575593198</v>
      </c>
      <c r="I6119" s="3">
        <v>17.033339999999999</v>
      </c>
      <c r="J6119" s="3">
        <v>17.040006999999999</v>
      </c>
      <c r="K6119" s="3">
        <v>16.540006999999999</v>
      </c>
      <c r="L6119" s="3">
        <v>371.32247575593198</v>
      </c>
    </row>
    <row r="6120" spans="1:12" ht="15" customHeight="1" x14ac:dyDescent="0.2">
      <c r="A6120" s="2">
        <v>37169</v>
      </c>
      <c r="B6120" s="3">
        <v>17.073340999999999</v>
      </c>
      <c r="C6120" s="1">
        <v>1431749.4</v>
      </c>
      <c r="D6120" s="3">
        <v>0.213332999999998</v>
      </c>
      <c r="E6120" s="3">
        <v>1.2653196843085599</v>
      </c>
      <c r="F6120" s="3">
        <v>1.2653196843085599</v>
      </c>
      <c r="G6120" s="3">
        <v>17.073340999999999</v>
      </c>
      <c r="H6120" s="3">
        <v>375.78115250937799</v>
      </c>
      <c r="I6120" s="3">
        <v>16.833341999999998</v>
      </c>
      <c r="J6120" s="3">
        <v>17.700008</v>
      </c>
      <c r="K6120" s="3">
        <v>16.753340000000001</v>
      </c>
      <c r="L6120" s="3">
        <v>375.78115250937799</v>
      </c>
    </row>
    <row r="6121" spans="1:12" ht="15" customHeight="1" x14ac:dyDescent="0.2">
      <c r="A6121" s="2">
        <v>37168</v>
      </c>
      <c r="B6121" s="3">
        <v>16.860008000000001</v>
      </c>
      <c r="C6121" s="1">
        <v>1039199.5</v>
      </c>
      <c r="D6121" s="3">
        <v>-0.65333400000000097</v>
      </c>
      <c r="E6121" s="3">
        <v>-3.7304930149825202</v>
      </c>
      <c r="F6121" s="3">
        <v>-3.7304930149825202</v>
      </c>
      <c r="G6121" s="3">
        <v>16.860008000000001</v>
      </c>
      <c r="H6121" s="3">
        <v>369.83622230454699</v>
      </c>
      <c r="I6121" s="3">
        <v>17.793343</v>
      </c>
      <c r="J6121" s="3">
        <v>17.966674999999999</v>
      </c>
      <c r="K6121" s="3">
        <v>16.733340999999999</v>
      </c>
      <c r="L6121" s="3">
        <v>369.83622230454699</v>
      </c>
    </row>
    <row r="6122" spans="1:12" ht="15" customHeight="1" x14ac:dyDescent="0.2">
      <c r="A6122" s="2">
        <v>37167</v>
      </c>
      <c r="B6122" s="3">
        <v>17.513342000000002</v>
      </c>
      <c r="C6122" s="1">
        <v>1927799.0999999901</v>
      </c>
      <c r="D6122" s="3">
        <v>1.4333340000000001</v>
      </c>
      <c r="E6122" s="3">
        <v>8.9137642220078703</v>
      </c>
      <c r="F6122" s="3">
        <v>8.9137642220078703</v>
      </c>
      <c r="G6122" s="3">
        <v>17.513342000000002</v>
      </c>
      <c r="H6122" s="3">
        <v>388.042618082243</v>
      </c>
      <c r="I6122" s="3">
        <v>16.160007</v>
      </c>
      <c r="J6122" s="3">
        <v>17.733340999999999</v>
      </c>
      <c r="K6122" s="3">
        <v>15.600007</v>
      </c>
      <c r="L6122" s="3">
        <v>388.042618082243</v>
      </c>
    </row>
    <row r="6123" spans="1:12" ht="15" customHeight="1" x14ac:dyDescent="0.2">
      <c r="A6123" s="2">
        <v>37166</v>
      </c>
      <c r="B6123" s="3">
        <v>16.080007999999999</v>
      </c>
      <c r="C6123" s="1">
        <v>1167899.5</v>
      </c>
      <c r="D6123" s="3">
        <v>0.346667</v>
      </c>
      <c r="E6123" s="3">
        <v>2.2033908754663001</v>
      </c>
      <c r="F6123" s="3">
        <v>2.2033908754663001</v>
      </c>
      <c r="G6123" s="3">
        <v>16.080007999999999</v>
      </c>
      <c r="H6123" s="3">
        <v>348.10003728034297</v>
      </c>
      <c r="I6123" s="3">
        <v>15.780009</v>
      </c>
      <c r="J6123" s="3">
        <v>16.240006999999999</v>
      </c>
      <c r="K6123" s="3">
        <v>15.533340000000001</v>
      </c>
      <c r="L6123" s="3">
        <v>348.10003728034297</v>
      </c>
    </row>
    <row r="6124" spans="1:12" ht="15" customHeight="1" x14ac:dyDescent="0.2">
      <c r="A6124" s="2">
        <v>37165</v>
      </c>
      <c r="B6124" s="3">
        <v>15.733340999999999</v>
      </c>
      <c r="C6124" s="1">
        <v>1177049.6000000001</v>
      </c>
      <c r="D6124" s="3">
        <v>-0.23333400000000101</v>
      </c>
      <c r="E6124" s="3">
        <v>-1.4613812832039299</v>
      </c>
      <c r="F6124" s="3">
        <v>-1.4613812832039299</v>
      </c>
      <c r="G6124" s="3">
        <v>15.733340999999999</v>
      </c>
      <c r="H6124" s="3">
        <v>338.43950131395201</v>
      </c>
      <c r="I6124" s="3">
        <v>15.866673</v>
      </c>
      <c r="J6124" s="3">
        <v>16.026674</v>
      </c>
      <c r="K6124" s="3">
        <v>15.466675</v>
      </c>
      <c r="L6124" s="3">
        <v>338.43950131395201</v>
      </c>
    </row>
    <row r="6125" spans="1:12" ht="15" customHeight="1" x14ac:dyDescent="0.2">
      <c r="A6125" s="2">
        <v>37162</v>
      </c>
      <c r="B6125" s="3">
        <v>15.966675</v>
      </c>
      <c r="C6125" s="1">
        <v>3805498.3</v>
      </c>
      <c r="D6125" s="3">
        <v>2.2000019999999898</v>
      </c>
      <c r="E6125" s="3">
        <v>15.9806367159298</v>
      </c>
      <c r="F6125" s="3">
        <v>15.9806367159298</v>
      </c>
      <c r="G6125" s="3">
        <v>15.966675</v>
      </c>
      <c r="H6125" s="3">
        <v>344.94179746323101</v>
      </c>
      <c r="I6125" s="3">
        <v>14.200006500000001</v>
      </c>
      <c r="J6125" s="3">
        <v>16.273340000000001</v>
      </c>
      <c r="K6125" s="3">
        <v>14.200006500000001</v>
      </c>
      <c r="L6125" s="3">
        <v>344.94179746323101</v>
      </c>
    </row>
    <row r="6126" spans="1:12" ht="15" customHeight="1" x14ac:dyDescent="0.2">
      <c r="A6126" s="2">
        <v>37161</v>
      </c>
      <c r="B6126" s="3">
        <v>13.766673000000001</v>
      </c>
      <c r="C6126" s="1">
        <v>1999199</v>
      </c>
      <c r="D6126" s="3">
        <v>-1.2333349999999901</v>
      </c>
      <c r="E6126" s="3">
        <v>-8.2222289481445507</v>
      </c>
      <c r="F6126" s="3">
        <v>-8.2222289481445507</v>
      </c>
      <c r="G6126" s="3">
        <v>13.766673000000001</v>
      </c>
      <c r="H6126" s="3">
        <v>283.63455319961901</v>
      </c>
      <c r="I6126" s="3">
        <v>14.993340999999999</v>
      </c>
      <c r="J6126" s="3">
        <v>15.000007999999999</v>
      </c>
      <c r="K6126" s="3">
        <v>13.666674</v>
      </c>
      <c r="L6126" s="3">
        <v>283.63455319961901</v>
      </c>
    </row>
    <row r="6127" spans="1:12" ht="15" customHeight="1" x14ac:dyDescent="0.2">
      <c r="A6127" s="2">
        <v>37160</v>
      </c>
      <c r="B6127" s="3">
        <v>15.000007999999999</v>
      </c>
      <c r="C6127" s="1">
        <v>734099.6</v>
      </c>
      <c r="D6127" s="3">
        <v>-0.92666599999999999</v>
      </c>
      <c r="E6127" s="3">
        <v>-5.8183271661114002</v>
      </c>
      <c r="F6127" s="3">
        <v>-5.8183271661114002</v>
      </c>
      <c r="G6127" s="3">
        <v>15.000007999999999</v>
      </c>
      <c r="H6127" s="3">
        <v>318.00378109298498</v>
      </c>
      <c r="I6127" s="3">
        <v>15.966675</v>
      </c>
      <c r="J6127" s="3">
        <v>15.966675</v>
      </c>
      <c r="K6127" s="3">
        <v>14.746675</v>
      </c>
      <c r="L6127" s="3">
        <v>318.00378109298498</v>
      </c>
    </row>
    <row r="6128" spans="1:12" ht="15" customHeight="1" x14ac:dyDescent="0.2">
      <c r="A6128" s="2">
        <v>37159</v>
      </c>
      <c r="B6128" s="3">
        <v>15.926674</v>
      </c>
      <c r="C6128" s="1">
        <v>843299.6</v>
      </c>
      <c r="D6128" s="3">
        <v>-0.34666599999999997</v>
      </c>
      <c r="E6128" s="3">
        <v>-2.1302695082877898</v>
      </c>
      <c r="F6128" s="3">
        <v>-2.1302695082877898</v>
      </c>
      <c r="G6128" s="3">
        <v>15.926674</v>
      </c>
      <c r="H6128" s="3">
        <v>343.82709344123901</v>
      </c>
      <c r="I6128" s="3">
        <v>16.300008999999999</v>
      </c>
      <c r="J6128" s="3">
        <v>16.453340000000001</v>
      </c>
      <c r="K6128" s="3">
        <v>15.546673999999999</v>
      </c>
      <c r="L6128" s="3">
        <v>343.82709344123901</v>
      </c>
    </row>
    <row r="6129" spans="1:12" ht="15" customHeight="1" x14ac:dyDescent="0.2">
      <c r="A6129" s="2">
        <v>37158</v>
      </c>
      <c r="B6129" s="3">
        <v>16.273340000000001</v>
      </c>
      <c r="C6129" s="1">
        <v>1018049.5</v>
      </c>
      <c r="D6129" s="3">
        <v>1.206666</v>
      </c>
      <c r="E6129" s="3">
        <v>8.0088412346347901</v>
      </c>
      <c r="F6129" s="3">
        <v>8.0088412346347901</v>
      </c>
      <c r="G6129" s="3">
        <v>16.273340000000001</v>
      </c>
      <c r="H6129" s="3">
        <v>353.48760154072698</v>
      </c>
      <c r="I6129" s="3">
        <v>15.300008</v>
      </c>
      <c r="J6129" s="3">
        <v>16.626674999999999</v>
      </c>
      <c r="K6129" s="3">
        <v>15.300008</v>
      </c>
      <c r="L6129" s="3">
        <v>353.48760154072698</v>
      </c>
    </row>
    <row r="6130" spans="1:12" ht="15" customHeight="1" x14ac:dyDescent="0.2">
      <c r="A6130" s="2">
        <v>37155</v>
      </c>
      <c r="B6130" s="3">
        <v>15.066674000000001</v>
      </c>
      <c r="C6130" s="1">
        <v>1905749.1</v>
      </c>
      <c r="D6130" s="3">
        <v>0.4</v>
      </c>
      <c r="E6130" s="3">
        <v>2.72727136363704</v>
      </c>
      <c r="F6130" s="3">
        <v>2.72727136363704</v>
      </c>
      <c r="G6130" s="3">
        <v>15.066674000000001</v>
      </c>
      <c r="H6130" s="3">
        <v>319.861556106862</v>
      </c>
      <c r="I6130" s="3">
        <v>14.120006999999999</v>
      </c>
      <c r="J6130" s="3">
        <v>15.300008</v>
      </c>
      <c r="K6130" s="3">
        <v>13.280006</v>
      </c>
      <c r="L6130" s="3">
        <v>319.861556106862</v>
      </c>
    </row>
    <row r="6131" spans="1:12" ht="15" customHeight="1" x14ac:dyDescent="0.2">
      <c r="A6131" s="2">
        <v>37154</v>
      </c>
      <c r="B6131" s="3">
        <v>14.666674</v>
      </c>
      <c r="C6131" s="1">
        <v>1472849.2</v>
      </c>
      <c r="D6131" s="3">
        <v>-0.91333399999999898</v>
      </c>
      <c r="E6131" s="3">
        <v>-5.8622177857674904</v>
      </c>
      <c r="F6131" s="3">
        <v>-5.8622177857674904</v>
      </c>
      <c r="G6131" s="3">
        <v>14.666674</v>
      </c>
      <c r="H6131" s="3">
        <v>308.71479455598802</v>
      </c>
      <c r="I6131" s="3">
        <v>15.500007999999999</v>
      </c>
      <c r="J6131" s="3">
        <v>15.666674</v>
      </c>
      <c r="K6131" s="3">
        <v>14.613340000000001</v>
      </c>
      <c r="L6131" s="3">
        <v>308.71479455598802</v>
      </c>
    </row>
    <row r="6132" spans="1:12" ht="15" customHeight="1" x14ac:dyDescent="0.2">
      <c r="A6132" s="2">
        <v>37153</v>
      </c>
      <c r="B6132" s="3">
        <v>15.580007999999999</v>
      </c>
      <c r="C6132" s="1">
        <v>2491198.6999999899</v>
      </c>
      <c r="D6132" s="3">
        <v>-0.89999900000000099</v>
      </c>
      <c r="E6132" s="3">
        <v>-5.4611566609164699</v>
      </c>
      <c r="F6132" s="3">
        <v>-5.4611566609164699</v>
      </c>
      <c r="G6132" s="3">
        <v>15.580007999999999</v>
      </c>
      <c r="H6132" s="3">
        <v>334.16658534175201</v>
      </c>
      <c r="I6132" s="3">
        <v>16.400010000000002</v>
      </c>
      <c r="J6132" s="3">
        <v>16.766673999999998</v>
      </c>
      <c r="K6132" s="3">
        <v>15.279341000000001</v>
      </c>
      <c r="L6132" s="3">
        <v>334.16658534175201</v>
      </c>
    </row>
    <row r="6133" spans="1:12" ht="15" customHeight="1" x14ac:dyDescent="0.2">
      <c r="A6133" s="2">
        <v>37152</v>
      </c>
      <c r="B6133" s="3">
        <v>16.480007000000001</v>
      </c>
      <c r="C6133" s="1">
        <v>1002899.5</v>
      </c>
      <c r="D6133" s="3">
        <v>-0.26000300000000098</v>
      </c>
      <c r="E6133" s="3">
        <v>-1.5531830626146601</v>
      </c>
      <c r="F6133" s="3">
        <v>-1.5531830626146601</v>
      </c>
      <c r="G6133" s="3">
        <v>16.480007000000001</v>
      </c>
      <c r="H6133" s="3">
        <v>359.24677096431299</v>
      </c>
      <c r="I6133" s="3">
        <v>16.566675</v>
      </c>
      <c r="J6133" s="3">
        <v>17.433340000000001</v>
      </c>
      <c r="K6133" s="3">
        <v>16.420007999999999</v>
      </c>
      <c r="L6133" s="3">
        <v>359.24677096431299</v>
      </c>
    </row>
    <row r="6134" spans="1:12" ht="15" customHeight="1" x14ac:dyDescent="0.2">
      <c r="A6134" s="2">
        <v>37151</v>
      </c>
      <c r="B6134" s="3">
        <v>16.740010000000002</v>
      </c>
      <c r="C6134" s="1">
        <v>1724549.0999999901</v>
      </c>
      <c r="D6134" s="3">
        <v>-1.90666299999999</v>
      </c>
      <c r="E6134" s="3">
        <v>-10.225218193079201</v>
      </c>
      <c r="F6134" s="3">
        <v>-10.225218193079201</v>
      </c>
      <c r="G6134" s="3">
        <v>16.740010000000002</v>
      </c>
      <c r="H6134" s="3">
        <v>366.49224957309298</v>
      </c>
      <c r="I6134" s="3">
        <v>18.166677</v>
      </c>
      <c r="J6134" s="3">
        <v>18.166675999999999</v>
      </c>
      <c r="K6134" s="3">
        <v>16.713339999999999</v>
      </c>
      <c r="L6134" s="3">
        <v>366.49224957309298</v>
      </c>
    </row>
    <row r="6135" spans="1:12" ht="15" customHeight="1" x14ac:dyDescent="0.2">
      <c r="A6135" s="2">
        <v>37144</v>
      </c>
      <c r="B6135" s="3">
        <v>18.646673</v>
      </c>
      <c r="C6135" s="1">
        <v>878249.6</v>
      </c>
      <c r="D6135" s="3">
        <v>-0.240003999999999</v>
      </c>
      <c r="E6135" s="3">
        <v>-1.27075821755197</v>
      </c>
      <c r="F6135" s="3">
        <v>-1.27075821755197</v>
      </c>
      <c r="G6135" s="3">
        <v>18.646673</v>
      </c>
      <c r="H6135" s="3">
        <v>419.62504412027499</v>
      </c>
      <c r="I6135" s="3">
        <v>18.786676</v>
      </c>
      <c r="J6135" s="3">
        <v>18.833341999999998</v>
      </c>
      <c r="K6135" s="3">
        <v>18.48001</v>
      </c>
      <c r="L6135" s="3">
        <v>419.62504412027499</v>
      </c>
    </row>
    <row r="6136" spans="1:12" ht="15" customHeight="1" x14ac:dyDescent="0.2">
      <c r="A6136" s="2">
        <v>37141</v>
      </c>
      <c r="B6136" s="3">
        <v>18.886676999999999</v>
      </c>
      <c r="C6136" s="1">
        <v>772349.6</v>
      </c>
      <c r="D6136" s="3">
        <v>-0.37999900000000097</v>
      </c>
      <c r="E6136" s="3">
        <v>-1.9723121933435801</v>
      </c>
      <c r="F6136" s="3">
        <v>-1.9723121933435801</v>
      </c>
      <c r="G6136" s="3">
        <v>18.886676999999999</v>
      </c>
      <c r="H6136" s="3">
        <v>426.31321251841501</v>
      </c>
      <c r="I6136" s="3">
        <v>19.040009999999999</v>
      </c>
      <c r="J6136" s="3">
        <v>19.50001</v>
      </c>
      <c r="K6136" s="3">
        <v>18.833341999999998</v>
      </c>
      <c r="L6136" s="3">
        <v>426.31321251841501</v>
      </c>
    </row>
    <row r="6137" spans="1:12" ht="15" customHeight="1" x14ac:dyDescent="0.2">
      <c r="A6137" s="2">
        <v>37140</v>
      </c>
      <c r="B6137" s="3">
        <v>19.266676</v>
      </c>
      <c r="C6137" s="1">
        <v>514949.76999999903</v>
      </c>
      <c r="D6137" s="3">
        <v>-0.80000099999999796</v>
      </c>
      <c r="E6137" s="3">
        <v>-3.9867138938848599</v>
      </c>
      <c r="F6137" s="3">
        <v>-3.9867138938848599</v>
      </c>
      <c r="G6137" s="3">
        <v>19.266676</v>
      </c>
      <c r="H6137" s="3">
        <v>436.90260812484098</v>
      </c>
      <c r="I6137" s="3">
        <v>20.086676000000001</v>
      </c>
      <c r="J6137" s="3">
        <v>20.086676000000001</v>
      </c>
      <c r="K6137" s="3">
        <v>19.100010000000001</v>
      </c>
      <c r="L6137" s="3">
        <v>436.90260812484098</v>
      </c>
    </row>
    <row r="6138" spans="1:12" ht="15" customHeight="1" x14ac:dyDescent="0.2">
      <c r="A6138" s="2">
        <v>37139</v>
      </c>
      <c r="B6138" s="3">
        <v>20.066676999999999</v>
      </c>
      <c r="C6138" s="1">
        <v>338999.85</v>
      </c>
      <c r="D6138" s="3">
        <v>9.9999999999997799E-2</v>
      </c>
      <c r="E6138" s="3">
        <v>0.500834465344413</v>
      </c>
      <c r="F6138" s="3">
        <v>0.500834465344413</v>
      </c>
      <c r="G6138" s="3">
        <v>20.066676999999999</v>
      </c>
      <c r="H6138" s="3">
        <v>459.19615909349102</v>
      </c>
      <c r="I6138" s="3">
        <v>19.933344000000002</v>
      </c>
      <c r="J6138" s="3">
        <v>20.066676999999999</v>
      </c>
      <c r="K6138" s="3">
        <v>19.533342000000001</v>
      </c>
      <c r="L6138" s="3">
        <v>459.19615909349102</v>
      </c>
    </row>
    <row r="6139" spans="1:12" ht="15" customHeight="1" x14ac:dyDescent="0.2">
      <c r="A6139" s="2">
        <v>37138</v>
      </c>
      <c r="B6139" s="3">
        <v>19.966677000000001</v>
      </c>
      <c r="C6139" s="1">
        <v>653099.69999999995</v>
      </c>
      <c r="D6139" s="3">
        <v>-0.29999899999999902</v>
      </c>
      <c r="E6139" s="3">
        <v>-1.4802575419866499</v>
      </c>
      <c r="F6139" s="3">
        <v>-1.4802575419866499</v>
      </c>
      <c r="G6139" s="3">
        <v>19.966677000000001</v>
      </c>
      <c r="H6139" s="3">
        <v>456.40946870577301</v>
      </c>
      <c r="I6139" s="3">
        <v>20.613344000000001</v>
      </c>
      <c r="J6139" s="3">
        <v>20.633343</v>
      </c>
      <c r="K6139" s="3">
        <v>19.966677000000001</v>
      </c>
      <c r="L6139" s="3">
        <v>456.40946870577301</v>
      </c>
    </row>
    <row r="6140" spans="1:12" ht="15" customHeight="1" x14ac:dyDescent="0.2">
      <c r="A6140" s="2">
        <v>37134</v>
      </c>
      <c r="B6140" s="3">
        <v>20.266676</v>
      </c>
      <c r="C6140" s="1">
        <v>358349.85</v>
      </c>
      <c r="D6140" s="3">
        <v>-4.6666999999999299E-2</v>
      </c>
      <c r="E6140" s="3">
        <v>-0.22973569638439201</v>
      </c>
      <c r="F6140" s="3">
        <v>-0.22973569638439201</v>
      </c>
      <c r="G6140" s="3">
        <v>20.266676</v>
      </c>
      <c r="H6140" s="3">
        <v>464.76951200202399</v>
      </c>
      <c r="I6140" s="3">
        <v>20.50001</v>
      </c>
      <c r="J6140" s="3">
        <v>20.666675999999999</v>
      </c>
      <c r="K6140" s="3">
        <v>20.233343000000001</v>
      </c>
      <c r="L6140" s="3">
        <v>464.76951200202399</v>
      </c>
    </row>
    <row r="6141" spans="1:12" ht="15" customHeight="1" x14ac:dyDescent="0.2">
      <c r="A6141" s="2">
        <v>37133</v>
      </c>
      <c r="B6141" s="3">
        <v>20.313343</v>
      </c>
      <c r="C6141" s="1">
        <v>450749.8</v>
      </c>
      <c r="D6141" s="3">
        <v>-0.19333299999999901</v>
      </c>
      <c r="E6141" s="3">
        <v>-0.94278078026882595</v>
      </c>
      <c r="F6141" s="3">
        <v>-0.94278078026882595</v>
      </c>
      <c r="G6141" s="3">
        <v>20.313343</v>
      </c>
      <c r="H6141" s="3">
        <v>466.06997680526098</v>
      </c>
      <c r="I6141" s="3">
        <v>20.30001</v>
      </c>
      <c r="J6141" s="3">
        <v>20.50001</v>
      </c>
      <c r="K6141" s="3">
        <v>19.846675999999999</v>
      </c>
      <c r="L6141" s="3">
        <v>466.06997680526098</v>
      </c>
    </row>
    <row r="6142" spans="1:12" ht="15" customHeight="1" x14ac:dyDescent="0.2">
      <c r="A6142" s="2">
        <v>37132</v>
      </c>
      <c r="B6142" s="3">
        <v>20.506675999999999</v>
      </c>
      <c r="C6142" s="1">
        <v>509099.76</v>
      </c>
      <c r="D6142" s="3">
        <v>-0.14666699999999999</v>
      </c>
      <c r="E6142" s="3">
        <v>-0.71013685290560702</v>
      </c>
      <c r="F6142" s="3">
        <v>-0.71013685290560702</v>
      </c>
      <c r="G6142" s="3">
        <v>20.506675999999999</v>
      </c>
      <c r="H6142" s="3">
        <v>471.45756893254799</v>
      </c>
      <c r="I6142" s="3">
        <v>20.606676</v>
      </c>
      <c r="J6142" s="3">
        <v>20.720343</v>
      </c>
      <c r="K6142" s="3">
        <v>20.100010000000001</v>
      </c>
      <c r="L6142" s="3">
        <v>471.45756893254799</v>
      </c>
    </row>
    <row r="6143" spans="1:12" ht="15" customHeight="1" x14ac:dyDescent="0.2">
      <c r="A6143" s="2">
        <v>37131</v>
      </c>
      <c r="B6143" s="3">
        <v>20.653343</v>
      </c>
      <c r="C6143" s="1">
        <v>627449.69999999995</v>
      </c>
      <c r="D6143" s="3">
        <v>1.9999999999999501E-2</v>
      </c>
      <c r="E6143" s="3">
        <v>9.6930487706226004E-2</v>
      </c>
      <c r="F6143" s="3">
        <v>9.6930487706226004E-2</v>
      </c>
      <c r="G6143" s="3">
        <v>20.653343</v>
      </c>
      <c r="H6143" s="3">
        <v>475.54472412350299</v>
      </c>
      <c r="I6143" s="3">
        <v>20.673345999999999</v>
      </c>
      <c r="J6143" s="3">
        <v>20.813345000000002</v>
      </c>
      <c r="K6143" s="3">
        <v>20.600010000000001</v>
      </c>
      <c r="L6143" s="3">
        <v>475.54472412350299</v>
      </c>
    </row>
    <row r="6144" spans="1:12" ht="15" customHeight="1" x14ac:dyDescent="0.2">
      <c r="A6144" s="2">
        <v>37130</v>
      </c>
      <c r="B6144" s="3">
        <v>20.633343</v>
      </c>
      <c r="C6144" s="1">
        <v>455399.78</v>
      </c>
      <c r="D6144" s="3">
        <v>0.14000000000000001</v>
      </c>
      <c r="E6144" s="3">
        <v>0.68314866930203599</v>
      </c>
      <c r="F6144" s="3">
        <v>0.68314866930203599</v>
      </c>
      <c r="G6144" s="3">
        <v>20.633343</v>
      </c>
      <c r="H6144" s="3">
        <v>474.987386045959</v>
      </c>
      <c r="I6144" s="3">
        <v>20.560009999999998</v>
      </c>
      <c r="J6144" s="3">
        <v>20.833344</v>
      </c>
      <c r="K6144" s="3">
        <v>20.560009000000001</v>
      </c>
      <c r="L6144" s="3">
        <v>474.987386045959</v>
      </c>
    </row>
    <row r="6145" spans="1:12" ht="15" customHeight="1" x14ac:dyDescent="0.2">
      <c r="A6145" s="2">
        <v>37127</v>
      </c>
      <c r="B6145" s="3">
        <v>20.493342999999999</v>
      </c>
      <c r="C6145" s="1">
        <v>513449.76999999903</v>
      </c>
      <c r="D6145" s="3">
        <v>0.29333499999999901</v>
      </c>
      <c r="E6145" s="3">
        <v>1.45215289023648</v>
      </c>
      <c r="F6145" s="3">
        <v>1.45215289023648</v>
      </c>
      <c r="G6145" s="3">
        <v>20.493342999999999</v>
      </c>
      <c r="H6145" s="3">
        <v>471.08601950315398</v>
      </c>
      <c r="I6145" s="3">
        <v>20.143343000000002</v>
      </c>
      <c r="J6145" s="3">
        <v>20.533342000000001</v>
      </c>
      <c r="K6145" s="3">
        <v>20.140008999999999</v>
      </c>
      <c r="L6145" s="3">
        <v>471.08601950315398</v>
      </c>
    </row>
    <row r="6146" spans="1:12" ht="15" customHeight="1" x14ac:dyDescent="0.2">
      <c r="A6146" s="2">
        <v>37126</v>
      </c>
      <c r="B6146" s="3">
        <v>20.200008</v>
      </c>
      <c r="C6146" s="1">
        <v>643499.69999999995</v>
      </c>
      <c r="D6146" s="3">
        <v>0.39999800000000002</v>
      </c>
      <c r="E6146" s="3">
        <v>2.0201908988934898</v>
      </c>
      <c r="F6146" s="3">
        <v>2.0201908988934898</v>
      </c>
      <c r="G6146" s="3">
        <v>20.200008</v>
      </c>
      <c r="H6146" s="3">
        <v>462.91168125434001</v>
      </c>
      <c r="I6146" s="3">
        <v>19.626677000000001</v>
      </c>
      <c r="J6146" s="3">
        <v>20.353344</v>
      </c>
      <c r="K6146" s="3">
        <v>19.600010000000001</v>
      </c>
      <c r="L6146" s="3">
        <v>462.91168125434001</v>
      </c>
    </row>
    <row r="6147" spans="1:12" ht="15" customHeight="1" x14ac:dyDescent="0.2">
      <c r="A6147" s="2">
        <v>37125</v>
      </c>
      <c r="B6147" s="3">
        <v>19.80001</v>
      </c>
      <c r="C6147" s="1">
        <v>769199.65</v>
      </c>
      <c r="D6147" s="3">
        <v>-0.30666599999999899</v>
      </c>
      <c r="E6147" s="3">
        <v>-1.52519491536045</v>
      </c>
      <c r="F6147" s="3">
        <v>-1.52519491536045</v>
      </c>
      <c r="G6147" s="3">
        <v>19.80001</v>
      </c>
      <c r="H6147" s="3">
        <v>451.76497543727402</v>
      </c>
      <c r="I6147" s="3">
        <v>20.100010000000001</v>
      </c>
      <c r="J6147" s="3">
        <v>20.140008999999999</v>
      </c>
      <c r="K6147" s="3">
        <v>19.506675999999999</v>
      </c>
      <c r="L6147" s="3">
        <v>451.76497543727402</v>
      </c>
    </row>
    <row r="6148" spans="1:12" ht="15" customHeight="1" x14ac:dyDescent="0.2">
      <c r="A6148" s="2">
        <v>37124</v>
      </c>
      <c r="B6148" s="3">
        <v>20.106676</v>
      </c>
      <c r="C6148" s="1">
        <v>398099.82</v>
      </c>
      <c r="D6148" s="3">
        <v>-0.19333400000000001</v>
      </c>
      <c r="E6148" s="3">
        <v>-0.95238376729863605</v>
      </c>
      <c r="F6148" s="3">
        <v>-0.95238376729863605</v>
      </c>
      <c r="G6148" s="3">
        <v>20.106676</v>
      </c>
      <c r="H6148" s="3">
        <v>460.31080738167498</v>
      </c>
      <c r="I6148" s="3">
        <v>20.400010999999999</v>
      </c>
      <c r="J6148" s="3">
        <v>20.50001</v>
      </c>
      <c r="K6148" s="3">
        <v>20.040009000000001</v>
      </c>
      <c r="L6148" s="3">
        <v>460.31080738167498</v>
      </c>
    </row>
    <row r="6149" spans="1:12" ht="15" customHeight="1" x14ac:dyDescent="0.2">
      <c r="A6149" s="2">
        <v>37123</v>
      </c>
      <c r="B6149" s="3">
        <v>20.30001</v>
      </c>
      <c r="C6149" s="1">
        <v>419099.82</v>
      </c>
      <c r="D6149" s="3">
        <v>9.3333999999998696E-2</v>
      </c>
      <c r="E6149" s="3">
        <v>0.46189685032806899</v>
      </c>
      <c r="F6149" s="3">
        <v>0.46189685032806899</v>
      </c>
      <c r="G6149" s="3">
        <v>20.30001</v>
      </c>
      <c r="H6149" s="3">
        <v>465.698427375866</v>
      </c>
      <c r="I6149" s="3">
        <v>20.30001</v>
      </c>
      <c r="J6149" s="3">
        <v>20.466677000000001</v>
      </c>
      <c r="K6149" s="3">
        <v>19.933342</v>
      </c>
      <c r="L6149" s="3">
        <v>465.698427375866</v>
      </c>
    </row>
    <row r="6150" spans="1:12" ht="15" customHeight="1" x14ac:dyDescent="0.2">
      <c r="A6150" s="2">
        <v>37120</v>
      </c>
      <c r="B6150" s="3">
        <v>20.206676000000002</v>
      </c>
      <c r="C6150" s="1">
        <v>317099.84999999998</v>
      </c>
      <c r="D6150" s="3">
        <v>0.17333399999999999</v>
      </c>
      <c r="E6150" s="3">
        <v>0.86522757910287795</v>
      </c>
      <c r="F6150" s="3">
        <v>0.86522757910287795</v>
      </c>
      <c r="G6150" s="3">
        <v>20.206676000000002</v>
      </c>
      <c r="H6150" s="3">
        <v>463.09749776939299</v>
      </c>
      <c r="I6150" s="3">
        <v>20.080010999999999</v>
      </c>
      <c r="J6150" s="3">
        <v>20.466677000000001</v>
      </c>
      <c r="K6150" s="3">
        <v>19.80001</v>
      </c>
      <c r="L6150" s="3">
        <v>463.09749776939299</v>
      </c>
    </row>
    <row r="6151" spans="1:12" ht="15" customHeight="1" x14ac:dyDescent="0.2">
      <c r="A6151" s="2">
        <v>37119</v>
      </c>
      <c r="B6151" s="3">
        <v>20.033342000000001</v>
      </c>
      <c r="C6151" s="1">
        <v>405599.82</v>
      </c>
      <c r="D6151" s="3">
        <v>0.30666500000000202</v>
      </c>
      <c r="E6151" s="3">
        <v>1.5545699866226801</v>
      </c>
      <c r="F6151" s="3">
        <v>1.5545699866226801</v>
      </c>
      <c r="G6151" s="3">
        <v>20.033342000000001</v>
      </c>
      <c r="H6151" s="3">
        <v>458.26721585274498</v>
      </c>
      <c r="I6151" s="3">
        <v>19.733343000000001</v>
      </c>
      <c r="J6151" s="3">
        <v>20.066676999999999</v>
      </c>
      <c r="K6151" s="3">
        <v>19.606676</v>
      </c>
      <c r="L6151" s="3">
        <v>458.26721585274498</v>
      </c>
    </row>
    <row r="6152" spans="1:12" ht="15" customHeight="1" x14ac:dyDescent="0.2">
      <c r="A6152" s="2">
        <v>37118</v>
      </c>
      <c r="B6152" s="3">
        <v>19.726676999999999</v>
      </c>
      <c r="C6152" s="1">
        <v>185699.9</v>
      </c>
      <c r="D6152" s="3">
        <v>0.126666999999997</v>
      </c>
      <c r="E6152" s="3">
        <v>0.646259874357202</v>
      </c>
      <c r="F6152" s="3">
        <v>0.646259874357202</v>
      </c>
      <c r="G6152" s="3">
        <v>19.726676999999999</v>
      </c>
      <c r="H6152" s="3">
        <v>449.72141177524901</v>
      </c>
      <c r="I6152" s="3">
        <v>19.533342000000001</v>
      </c>
      <c r="J6152" s="3">
        <v>19.846675999999999</v>
      </c>
      <c r="K6152" s="3">
        <v>19.50001</v>
      </c>
      <c r="L6152" s="3">
        <v>449.72141177524901</v>
      </c>
    </row>
    <row r="6153" spans="1:12" ht="15" customHeight="1" x14ac:dyDescent="0.2">
      <c r="A6153" s="2">
        <v>37117</v>
      </c>
      <c r="B6153" s="3">
        <v>19.600010000000001</v>
      </c>
      <c r="C6153" s="1">
        <v>306749.84999999998</v>
      </c>
      <c r="D6153" s="3">
        <v>0.246666000000001</v>
      </c>
      <c r="E6153" s="3">
        <v>1.2745394284316001</v>
      </c>
      <c r="F6153" s="3">
        <v>1.2745394284316001</v>
      </c>
      <c r="G6153" s="3">
        <v>19.600010000000001</v>
      </c>
      <c r="H6153" s="3">
        <v>446.191594661838</v>
      </c>
      <c r="I6153" s="3">
        <v>19.533342000000001</v>
      </c>
      <c r="J6153" s="3">
        <v>19.80001</v>
      </c>
      <c r="K6153" s="3">
        <v>19.266676</v>
      </c>
      <c r="L6153" s="3">
        <v>446.191594661838</v>
      </c>
    </row>
    <row r="6154" spans="1:12" ht="15" customHeight="1" x14ac:dyDescent="0.2">
      <c r="A6154" s="2">
        <v>37116</v>
      </c>
      <c r="B6154" s="3">
        <v>19.353344</v>
      </c>
      <c r="C6154" s="1">
        <v>1270949.3</v>
      </c>
      <c r="D6154" s="3">
        <v>0.35333399999999998</v>
      </c>
      <c r="E6154" s="3">
        <v>1.8596516528149101</v>
      </c>
      <c r="F6154" s="3">
        <v>1.8596516528149101</v>
      </c>
      <c r="G6154" s="3">
        <v>19.353344</v>
      </c>
      <c r="H6154" s="3">
        <v>439.31777695006798</v>
      </c>
      <c r="I6154" s="3">
        <v>18.933344000000002</v>
      </c>
      <c r="J6154" s="3">
        <v>19.506675999999999</v>
      </c>
      <c r="K6154" s="3">
        <v>18.933340000000001</v>
      </c>
      <c r="L6154" s="3">
        <v>439.31777695006798</v>
      </c>
    </row>
    <row r="6155" spans="1:12" ht="15" customHeight="1" x14ac:dyDescent="0.2">
      <c r="A6155" s="2">
        <v>37113</v>
      </c>
      <c r="B6155" s="3">
        <v>19.00001</v>
      </c>
      <c r="C6155" s="1">
        <v>602549.69999999995</v>
      </c>
      <c r="D6155" s="3">
        <v>-0.23333300000000101</v>
      </c>
      <c r="E6155" s="3">
        <v>-1.2131692342823699</v>
      </c>
      <c r="F6155" s="3">
        <v>-1.2131692342823699</v>
      </c>
      <c r="G6155" s="3">
        <v>19.00001</v>
      </c>
      <c r="H6155" s="3">
        <v>429.471452335528</v>
      </c>
      <c r="I6155" s="3">
        <v>19.173344</v>
      </c>
      <c r="J6155" s="3">
        <v>19.326674000000001</v>
      </c>
      <c r="K6155" s="3">
        <v>18.786676</v>
      </c>
      <c r="L6155" s="3">
        <v>429.471452335528</v>
      </c>
    </row>
    <row r="6156" spans="1:12" ht="15" customHeight="1" x14ac:dyDescent="0.2">
      <c r="A6156" s="2">
        <v>37112</v>
      </c>
      <c r="B6156" s="3">
        <v>19.233343000000001</v>
      </c>
      <c r="C6156" s="1">
        <v>656249.69999999995</v>
      </c>
      <c r="D6156" s="3">
        <v>-0.54666699999999901</v>
      </c>
      <c r="E6156" s="3">
        <v>-2.7637346998307799</v>
      </c>
      <c r="F6156" s="3">
        <v>-2.7637346998307799</v>
      </c>
      <c r="G6156" s="3">
        <v>19.233343000000001</v>
      </c>
      <c r="H6156" s="3">
        <v>435.97372061790202</v>
      </c>
      <c r="I6156" s="3">
        <v>19.666677</v>
      </c>
      <c r="J6156" s="3">
        <v>19.80001</v>
      </c>
      <c r="K6156" s="3">
        <v>19.193342000000001</v>
      </c>
      <c r="L6156" s="3">
        <v>435.97372061790202</v>
      </c>
    </row>
    <row r="6157" spans="1:12" ht="15" customHeight="1" x14ac:dyDescent="0.2">
      <c r="A6157" s="2">
        <v>37111</v>
      </c>
      <c r="B6157" s="3">
        <v>19.780010000000001</v>
      </c>
      <c r="C6157" s="1">
        <v>188849.9</v>
      </c>
      <c r="D6157" s="3">
        <v>-0.153331999999998</v>
      </c>
      <c r="E6157" s="3">
        <v>-0.76922374582244402</v>
      </c>
      <c r="F6157" s="3">
        <v>-0.76922374582244402</v>
      </c>
      <c r="G6157" s="3">
        <v>19.780010000000001</v>
      </c>
      <c r="H6157" s="3">
        <v>451.207637359731</v>
      </c>
      <c r="I6157" s="3">
        <v>19.743342999999999</v>
      </c>
      <c r="J6157" s="3">
        <v>20.166675999999999</v>
      </c>
      <c r="K6157" s="3">
        <v>19.686675999999999</v>
      </c>
      <c r="L6157" s="3">
        <v>451.207637359731</v>
      </c>
    </row>
    <row r="6158" spans="1:12" ht="15" customHeight="1" x14ac:dyDescent="0.2">
      <c r="A6158" s="2">
        <v>37110</v>
      </c>
      <c r="B6158" s="3">
        <v>19.933342</v>
      </c>
      <c r="C6158" s="1">
        <v>416849.82</v>
      </c>
      <c r="D6158" s="3">
        <v>-0.5</v>
      </c>
      <c r="E6158" s="3">
        <v>-2.4469810175936901</v>
      </c>
      <c r="F6158" s="3">
        <v>-2.4469810175936901</v>
      </c>
      <c r="G6158" s="3">
        <v>19.933342</v>
      </c>
      <c r="H6158" s="3">
        <v>455.48052546502697</v>
      </c>
      <c r="I6158" s="3">
        <v>20.400010999999999</v>
      </c>
      <c r="J6158" s="3">
        <v>20.50001</v>
      </c>
      <c r="K6158" s="3">
        <v>19.600010000000001</v>
      </c>
      <c r="L6158" s="3">
        <v>455.48052546502697</v>
      </c>
    </row>
    <row r="6159" spans="1:12" ht="15" customHeight="1" x14ac:dyDescent="0.2">
      <c r="A6159" s="2">
        <v>37109</v>
      </c>
      <c r="B6159" s="3">
        <v>20.433342</v>
      </c>
      <c r="C6159" s="1">
        <v>325649.83999999898</v>
      </c>
      <c r="D6159" s="3">
        <v>-0.60000000000000098</v>
      </c>
      <c r="E6159" s="3">
        <v>-2.8526137215854699</v>
      </c>
      <c r="F6159" s="3">
        <v>-2.8526137215854699</v>
      </c>
      <c r="G6159" s="3">
        <v>20.433342</v>
      </c>
      <c r="H6159" s="3">
        <v>469.41397740361901</v>
      </c>
      <c r="I6159" s="3">
        <v>21.066679000000001</v>
      </c>
      <c r="J6159" s="3">
        <v>21.066679000000001</v>
      </c>
      <c r="K6159" s="3">
        <v>20.306674999999998</v>
      </c>
      <c r="L6159" s="3">
        <v>469.41397740361901</v>
      </c>
    </row>
    <row r="6160" spans="1:12" ht="15" customHeight="1" x14ac:dyDescent="0.2">
      <c r="A6160" s="2">
        <v>37106</v>
      </c>
      <c r="B6160" s="3">
        <v>21.033342000000001</v>
      </c>
      <c r="C6160" s="1">
        <v>442499.8</v>
      </c>
      <c r="D6160" s="3">
        <v>0.48666500000000201</v>
      </c>
      <c r="E6160" s="3">
        <v>2.36858252066747</v>
      </c>
      <c r="F6160" s="3">
        <v>2.36858252066747</v>
      </c>
      <c r="G6160" s="3">
        <v>21.033342000000001</v>
      </c>
      <c r="H6160" s="3">
        <v>486.13411972992901</v>
      </c>
      <c r="I6160" s="3">
        <v>20.740010999999999</v>
      </c>
      <c r="J6160" s="3">
        <v>21.180009999999999</v>
      </c>
      <c r="K6160" s="3">
        <v>20.513344</v>
      </c>
      <c r="L6160" s="3">
        <v>486.13411972992901</v>
      </c>
    </row>
    <row r="6161" spans="1:12" ht="15" customHeight="1" x14ac:dyDescent="0.2">
      <c r="A6161" s="2">
        <v>37105</v>
      </c>
      <c r="B6161" s="3">
        <v>20.546676999999999</v>
      </c>
      <c r="C6161" s="1">
        <v>600749.69999999995</v>
      </c>
      <c r="D6161" s="3">
        <v>0.40666799999999897</v>
      </c>
      <c r="E6161" s="3">
        <v>2.0192046587466699</v>
      </c>
      <c r="F6161" s="3">
        <v>2.0192046587466699</v>
      </c>
      <c r="G6161" s="3">
        <v>20.546676999999999</v>
      </c>
      <c r="H6161" s="3">
        <v>472.57227295453902</v>
      </c>
      <c r="I6161" s="3">
        <v>20.246676999999998</v>
      </c>
      <c r="J6161" s="3">
        <v>20.733343000000001</v>
      </c>
      <c r="K6161" s="3">
        <v>20.200008</v>
      </c>
      <c r="L6161" s="3">
        <v>472.57227295453902</v>
      </c>
    </row>
    <row r="6162" spans="1:12" ht="15" customHeight="1" x14ac:dyDescent="0.2">
      <c r="A6162" s="2">
        <v>37104</v>
      </c>
      <c r="B6162" s="3">
        <v>20.140008999999999</v>
      </c>
      <c r="C6162" s="1">
        <v>589049.74</v>
      </c>
      <c r="D6162" s="3">
        <v>-0.126667000000001</v>
      </c>
      <c r="E6162" s="3">
        <v>-0.62500135690727299</v>
      </c>
      <c r="F6162" s="3">
        <v>-0.62500135690727299</v>
      </c>
      <c r="G6162" s="3">
        <v>20.140008999999999</v>
      </c>
      <c r="H6162" s="3">
        <v>461.23969488861297</v>
      </c>
      <c r="I6162" s="3">
        <v>20.166677</v>
      </c>
      <c r="J6162" s="3">
        <v>20.293343</v>
      </c>
      <c r="K6162" s="3">
        <v>19.506675999999999</v>
      </c>
      <c r="L6162" s="3">
        <v>461.23969488861297</v>
      </c>
    </row>
    <row r="6163" spans="1:12" ht="15" customHeight="1" x14ac:dyDescent="0.2">
      <c r="A6163" s="2">
        <v>37103</v>
      </c>
      <c r="B6163" s="3">
        <v>20.266676</v>
      </c>
      <c r="C6163" s="1">
        <v>815999.63</v>
      </c>
      <c r="D6163" s="3">
        <v>-0.23999999999999799</v>
      </c>
      <c r="E6163" s="3">
        <v>-1.17035057266228</v>
      </c>
      <c r="F6163" s="3">
        <v>-1.17035057266228</v>
      </c>
      <c r="G6163" s="3">
        <v>20.266676</v>
      </c>
      <c r="H6163" s="3">
        <v>464.76951200202399</v>
      </c>
      <c r="I6163" s="3">
        <v>20.653343</v>
      </c>
      <c r="J6163" s="3">
        <v>20.66001</v>
      </c>
      <c r="K6163" s="3">
        <v>19.973343</v>
      </c>
      <c r="L6163" s="3">
        <v>464.76951200202399</v>
      </c>
    </row>
    <row r="6164" spans="1:12" ht="15" customHeight="1" x14ac:dyDescent="0.2">
      <c r="A6164" s="2">
        <v>37102</v>
      </c>
      <c r="B6164" s="3">
        <v>20.506675999999999</v>
      </c>
      <c r="C6164" s="1">
        <v>373499.82</v>
      </c>
      <c r="D6164" s="3">
        <v>0.51333299999999904</v>
      </c>
      <c r="E6164" s="3">
        <v>2.5675195988984898</v>
      </c>
      <c r="F6164" s="3">
        <v>2.5675195988984898</v>
      </c>
      <c r="G6164" s="3">
        <v>20.506675999999999</v>
      </c>
      <c r="H6164" s="3">
        <v>471.45756893254799</v>
      </c>
      <c r="I6164" s="3">
        <v>20.126677000000001</v>
      </c>
      <c r="J6164" s="3">
        <v>20.653343</v>
      </c>
      <c r="K6164" s="3">
        <v>19.740010000000002</v>
      </c>
      <c r="L6164" s="3">
        <v>471.45756893254799</v>
      </c>
    </row>
    <row r="6165" spans="1:12" ht="15" customHeight="1" x14ac:dyDescent="0.2">
      <c r="A6165" s="2">
        <v>37099</v>
      </c>
      <c r="B6165" s="3">
        <v>19.993342999999999</v>
      </c>
      <c r="C6165" s="1">
        <v>206849.9</v>
      </c>
      <c r="D6165" s="3">
        <v>-0.36666699999999902</v>
      </c>
      <c r="E6165" s="3">
        <v>-1.80091758304636</v>
      </c>
      <c r="F6165" s="3">
        <v>-1.80091758304636</v>
      </c>
      <c r="G6165" s="3">
        <v>19.993342999999999</v>
      </c>
      <c r="H6165" s="3">
        <v>457.15256756456199</v>
      </c>
      <c r="I6165" s="3">
        <v>20.360009999999999</v>
      </c>
      <c r="J6165" s="3">
        <v>20.400010000000002</v>
      </c>
      <c r="K6165" s="3">
        <v>19.833344</v>
      </c>
      <c r="L6165" s="3">
        <v>457.15256756456199</v>
      </c>
    </row>
    <row r="6166" spans="1:12" ht="15" customHeight="1" x14ac:dyDescent="0.2">
      <c r="A6166" s="2">
        <v>37098</v>
      </c>
      <c r="B6166" s="3">
        <v>20.360009999999999</v>
      </c>
      <c r="C6166" s="1">
        <v>649949.69999999995</v>
      </c>
      <c r="D6166" s="3">
        <v>0.35999999999999899</v>
      </c>
      <c r="E6166" s="3">
        <v>1.7999991000004301</v>
      </c>
      <c r="F6166" s="3">
        <v>1.7999991000004301</v>
      </c>
      <c r="G6166" s="3">
        <v>20.360009999999999</v>
      </c>
      <c r="H6166" s="3">
        <v>467.370441608497</v>
      </c>
      <c r="I6166" s="3">
        <v>20.156676999999998</v>
      </c>
      <c r="J6166" s="3">
        <v>20.526675999999998</v>
      </c>
      <c r="K6166" s="3">
        <v>19.753342</v>
      </c>
      <c r="L6166" s="3">
        <v>467.370441608497</v>
      </c>
    </row>
    <row r="6167" spans="1:12" ht="15" customHeight="1" x14ac:dyDescent="0.2">
      <c r="A6167" s="2">
        <v>37097</v>
      </c>
      <c r="B6167" s="3">
        <v>20.00001</v>
      </c>
      <c r="C6167" s="1">
        <v>1338599.3999999999</v>
      </c>
      <c r="D6167" s="3">
        <v>-0.66</v>
      </c>
      <c r="E6167" s="3">
        <v>-3.1945773501561598</v>
      </c>
      <c r="F6167" s="3">
        <v>-3.1945773501561598</v>
      </c>
      <c r="G6167" s="3">
        <v>20.00001</v>
      </c>
      <c r="H6167" s="3">
        <v>457.33835621271101</v>
      </c>
      <c r="I6167" s="3">
        <v>20.626677000000001</v>
      </c>
      <c r="J6167" s="3">
        <v>20.713342999999998</v>
      </c>
      <c r="K6167" s="3">
        <v>19.80001</v>
      </c>
      <c r="L6167" s="3">
        <v>457.33835621271101</v>
      </c>
    </row>
    <row r="6168" spans="1:12" ht="15" customHeight="1" x14ac:dyDescent="0.2">
      <c r="A6168" s="2">
        <v>37096</v>
      </c>
      <c r="B6168" s="3">
        <v>20.66001</v>
      </c>
      <c r="C6168" s="1">
        <v>1501199.2</v>
      </c>
      <c r="D6168" s="3">
        <v>-0.87999999999999901</v>
      </c>
      <c r="E6168" s="3">
        <v>-4.0854205731566502</v>
      </c>
      <c r="F6168" s="3">
        <v>-4.0854205731566502</v>
      </c>
      <c r="G6168" s="3">
        <v>20.66001</v>
      </c>
      <c r="H6168" s="3">
        <v>475.730512771652</v>
      </c>
      <c r="I6168" s="3">
        <v>21.600012</v>
      </c>
      <c r="J6168" s="3">
        <v>21.600012</v>
      </c>
      <c r="K6168" s="3">
        <v>20.50001</v>
      </c>
      <c r="L6168" s="3">
        <v>475.730512771652</v>
      </c>
    </row>
    <row r="6169" spans="1:12" ht="15" customHeight="1" x14ac:dyDescent="0.2">
      <c r="A6169" s="2">
        <v>37095</v>
      </c>
      <c r="B6169" s="3">
        <v>21.540009999999999</v>
      </c>
      <c r="C6169" s="1">
        <v>1565549.2</v>
      </c>
      <c r="D6169" s="3">
        <v>0.473330999999998</v>
      </c>
      <c r="E6169" s="3">
        <v>2.2468230517016901</v>
      </c>
      <c r="F6169" s="3">
        <v>2.2468230517016901</v>
      </c>
      <c r="G6169" s="3">
        <v>21.540009999999999</v>
      </c>
      <c r="H6169" s="3">
        <v>500.25338818357397</v>
      </c>
      <c r="I6169" s="3">
        <v>21.260010000000001</v>
      </c>
      <c r="J6169" s="3">
        <v>21.973343</v>
      </c>
      <c r="K6169" s="3">
        <v>21.106676</v>
      </c>
      <c r="L6169" s="3">
        <v>500.25338818357397</v>
      </c>
    </row>
    <row r="6170" spans="1:12" ht="15" customHeight="1" x14ac:dyDescent="0.2">
      <c r="A6170" s="2">
        <v>37092</v>
      </c>
      <c r="B6170" s="3">
        <v>21.066679000000001</v>
      </c>
      <c r="C6170" s="1">
        <v>1110149.5</v>
      </c>
      <c r="D6170" s="3">
        <v>0.966668999999999</v>
      </c>
      <c r="E6170" s="3">
        <v>4.80929611477805</v>
      </c>
      <c r="F6170" s="3">
        <v>4.80929611477805</v>
      </c>
      <c r="G6170" s="3">
        <v>21.066679000000001</v>
      </c>
      <c r="H6170" s="3">
        <v>487.06311870448297</v>
      </c>
      <c r="I6170" s="3">
        <v>20.393343000000002</v>
      </c>
      <c r="J6170" s="3">
        <v>21.413343000000001</v>
      </c>
      <c r="K6170" s="3">
        <v>20.066676999999999</v>
      </c>
      <c r="L6170" s="3">
        <v>487.06311870448297</v>
      </c>
    </row>
    <row r="6171" spans="1:12" ht="15" customHeight="1" x14ac:dyDescent="0.2">
      <c r="A6171" s="2">
        <v>37091</v>
      </c>
      <c r="B6171" s="3">
        <v>20.100010000000001</v>
      </c>
      <c r="C6171" s="1">
        <v>1412249.4</v>
      </c>
      <c r="D6171" s="3">
        <v>-0.3</v>
      </c>
      <c r="E6171" s="3">
        <v>-1.4705875144178799</v>
      </c>
      <c r="F6171" s="3">
        <v>-1.4705875144178799</v>
      </c>
      <c r="G6171" s="3">
        <v>20.100010000000001</v>
      </c>
      <c r="H6171" s="3">
        <v>460.12504660042998</v>
      </c>
      <c r="I6171" s="3">
        <v>20.433344000000002</v>
      </c>
      <c r="J6171" s="3">
        <v>20.586676000000001</v>
      </c>
      <c r="K6171" s="3">
        <v>19.880009000000001</v>
      </c>
      <c r="L6171" s="3">
        <v>460.12504660042998</v>
      </c>
    </row>
    <row r="6172" spans="1:12" ht="15" customHeight="1" x14ac:dyDescent="0.2">
      <c r="A6172" s="2">
        <v>37090</v>
      </c>
      <c r="B6172" s="3">
        <v>20.400010000000002</v>
      </c>
      <c r="C6172" s="1">
        <v>1369349.4</v>
      </c>
      <c r="D6172" s="3">
        <v>-0.33333299999999899</v>
      </c>
      <c r="E6172" s="3">
        <v>-1.60771468450601</v>
      </c>
      <c r="F6172" s="3">
        <v>-1.60771468450601</v>
      </c>
      <c r="G6172" s="3">
        <v>20.400010000000002</v>
      </c>
      <c r="H6172" s="3">
        <v>468.48511776358498</v>
      </c>
      <c r="I6172" s="3">
        <v>20.633344999999998</v>
      </c>
      <c r="J6172" s="3">
        <v>20.666675999999999</v>
      </c>
      <c r="K6172" s="3">
        <v>19.873342999999998</v>
      </c>
      <c r="L6172" s="3">
        <v>468.48511776358498</v>
      </c>
    </row>
    <row r="6173" spans="1:12" ht="15" customHeight="1" x14ac:dyDescent="0.2">
      <c r="A6173" s="2">
        <v>37089</v>
      </c>
      <c r="B6173" s="3">
        <v>20.733343000000001</v>
      </c>
      <c r="C6173" s="1">
        <v>916199.6</v>
      </c>
      <c r="D6173" s="3">
        <v>0.71999900000000105</v>
      </c>
      <c r="E6173" s="3">
        <v>3.5975946848262899</v>
      </c>
      <c r="F6173" s="3">
        <v>3.5975946848262899</v>
      </c>
      <c r="G6173" s="3">
        <v>20.733343000000001</v>
      </c>
      <c r="H6173" s="3">
        <v>477.77407643367798</v>
      </c>
      <c r="I6173" s="3">
        <v>20.30001</v>
      </c>
      <c r="J6173" s="3">
        <v>21.046676999999999</v>
      </c>
      <c r="K6173" s="3">
        <v>19.966677000000001</v>
      </c>
      <c r="L6173" s="3">
        <v>477.77407643367798</v>
      </c>
    </row>
    <row r="6174" spans="1:12" ht="15" customHeight="1" x14ac:dyDescent="0.2">
      <c r="A6174" s="2">
        <v>37088</v>
      </c>
      <c r="B6174" s="3">
        <v>20.013344</v>
      </c>
      <c r="C6174" s="1">
        <v>919499.6</v>
      </c>
      <c r="D6174" s="3">
        <v>0.98000199999999804</v>
      </c>
      <c r="E6174" s="3">
        <v>5.1488698096214298</v>
      </c>
      <c r="F6174" s="3">
        <v>5.1488698096214298</v>
      </c>
      <c r="G6174" s="3">
        <v>20.013344</v>
      </c>
      <c r="H6174" s="3">
        <v>457.70993350900898</v>
      </c>
      <c r="I6174" s="3">
        <v>19.106676</v>
      </c>
      <c r="J6174" s="3">
        <v>20.240010000000002</v>
      </c>
      <c r="K6174" s="3">
        <v>19.100010000000001</v>
      </c>
      <c r="L6174" s="3">
        <v>457.70993350900898</v>
      </c>
    </row>
    <row r="6175" spans="1:12" ht="15" customHeight="1" x14ac:dyDescent="0.2">
      <c r="A6175" s="2">
        <v>37085</v>
      </c>
      <c r="B6175" s="3">
        <v>19.033342000000001</v>
      </c>
      <c r="C6175" s="1">
        <v>698849.7</v>
      </c>
      <c r="D6175" s="3">
        <v>0.38666900000000098</v>
      </c>
      <c r="E6175" s="3">
        <v>2.0736621487382698</v>
      </c>
      <c r="F6175" s="3">
        <v>2.0736621487382698</v>
      </c>
      <c r="G6175" s="3">
        <v>19.033342000000001</v>
      </c>
      <c r="H6175" s="3">
        <v>430.40031197556198</v>
      </c>
      <c r="I6175" s="3">
        <v>18.733343000000001</v>
      </c>
      <c r="J6175" s="3">
        <v>19.066676999999999</v>
      </c>
      <c r="K6175" s="3">
        <v>18.686674</v>
      </c>
      <c r="L6175" s="3">
        <v>430.40031197556198</v>
      </c>
    </row>
    <row r="6176" spans="1:12" ht="15" customHeight="1" x14ac:dyDescent="0.2">
      <c r="A6176" s="2">
        <v>37084</v>
      </c>
      <c r="B6176" s="3">
        <v>18.646673</v>
      </c>
      <c r="C6176" s="1">
        <v>616649.66</v>
      </c>
      <c r="D6176" s="3">
        <v>0.71999900000000105</v>
      </c>
      <c r="E6176" s="3">
        <v>4.0163557389396303</v>
      </c>
      <c r="F6176" s="3">
        <v>4.0163557389396303</v>
      </c>
      <c r="G6176" s="3">
        <v>18.646673</v>
      </c>
      <c r="H6176" s="3">
        <v>419.62504412027499</v>
      </c>
      <c r="I6176" s="3">
        <v>18.413343000000001</v>
      </c>
      <c r="J6176" s="3">
        <v>18.746676999999998</v>
      </c>
      <c r="K6176" s="3">
        <v>18.240010000000002</v>
      </c>
      <c r="L6176" s="3">
        <v>419.62504412027499</v>
      </c>
    </row>
    <row r="6177" spans="1:12" ht="15" customHeight="1" x14ac:dyDescent="0.2">
      <c r="A6177" s="2">
        <v>37083</v>
      </c>
      <c r="B6177" s="3">
        <v>17.926673999999998</v>
      </c>
      <c r="C6177" s="1">
        <v>233099.88</v>
      </c>
      <c r="D6177" s="3">
        <v>-4.0001000000000099E-2</v>
      </c>
      <c r="E6177" s="3">
        <v>-0.22263997094621399</v>
      </c>
      <c r="F6177" s="3">
        <v>-0.22263997094621399</v>
      </c>
      <c r="G6177" s="3">
        <v>17.926673999999998</v>
      </c>
      <c r="H6177" s="3">
        <v>399.56090119560702</v>
      </c>
      <c r="I6177" s="3">
        <v>17.96001</v>
      </c>
      <c r="J6177" s="3">
        <v>18.080007999999999</v>
      </c>
      <c r="K6177" s="3">
        <v>17.680008000000001</v>
      </c>
      <c r="L6177" s="3">
        <v>399.56090119560702</v>
      </c>
    </row>
    <row r="6178" spans="1:12" ht="15" customHeight="1" x14ac:dyDescent="0.2">
      <c r="A6178" s="2">
        <v>37082</v>
      </c>
      <c r="B6178" s="3">
        <v>17.966674999999999</v>
      </c>
      <c r="C6178" s="1">
        <v>474899.78</v>
      </c>
      <c r="D6178" s="3">
        <v>4.6664999999997202E-2</v>
      </c>
      <c r="E6178" s="3">
        <v>0.26040722075488798</v>
      </c>
      <c r="F6178" s="3">
        <v>0.26040722075488798</v>
      </c>
      <c r="G6178" s="3">
        <v>17.966674999999999</v>
      </c>
      <c r="H6178" s="3">
        <v>400.67560521759799</v>
      </c>
      <c r="I6178" s="3">
        <v>17.933342</v>
      </c>
      <c r="J6178" s="3">
        <v>18.233343000000001</v>
      </c>
      <c r="K6178" s="3">
        <v>17.733340999999999</v>
      </c>
      <c r="L6178" s="3">
        <v>400.67560521759799</v>
      </c>
    </row>
    <row r="6179" spans="1:12" ht="15" customHeight="1" x14ac:dyDescent="0.2">
      <c r="A6179" s="2">
        <v>37081</v>
      </c>
      <c r="B6179" s="3">
        <v>17.920010000000001</v>
      </c>
      <c r="C6179" s="1">
        <v>631199.69999999995</v>
      </c>
      <c r="D6179" s="3">
        <v>-1.33299999999998E-2</v>
      </c>
      <c r="E6179" s="3">
        <v>-7.4330827386304102E-2</v>
      </c>
      <c r="F6179" s="3">
        <v>-7.4330827386304102E-2</v>
      </c>
      <c r="G6179" s="3">
        <v>17.920010000000001</v>
      </c>
      <c r="H6179" s="3">
        <v>399.37519614816898</v>
      </c>
      <c r="I6179" s="3">
        <v>17.913342</v>
      </c>
      <c r="J6179" s="3">
        <v>18.246676999999998</v>
      </c>
      <c r="K6179" s="3">
        <v>17.533339999999999</v>
      </c>
      <c r="L6179" s="3">
        <v>399.37519614816898</v>
      </c>
    </row>
    <row r="6180" spans="1:12" ht="15" customHeight="1" x14ac:dyDescent="0.2">
      <c r="A6180" s="2">
        <v>37078</v>
      </c>
      <c r="B6180" s="3">
        <v>17.933340000000001</v>
      </c>
      <c r="C6180" s="1">
        <v>298199.83</v>
      </c>
      <c r="D6180" s="3">
        <v>-8.0002000000000295E-2</v>
      </c>
      <c r="E6180" s="3">
        <v>-0.44412635922862398</v>
      </c>
      <c r="F6180" s="3">
        <v>-0.44412635922862398</v>
      </c>
      <c r="G6180" s="3">
        <v>17.933340000000001</v>
      </c>
      <c r="H6180" s="3">
        <v>399.74666197685201</v>
      </c>
      <c r="I6180" s="3">
        <v>17.866674</v>
      </c>
      <c r="J6180" s="3">
        <v>18.066676999999999</v>
      </c>
      <c r="K6180" s="3">
        <v>17.573340999999999</v>
      </c>
      <c r="L6180" s="3">
        <v>399.74666197685201</v>
      </c>
    </row>
    <row r="6181" spans="1:12" ht="15" customHeight="1" x14ac:dyDescent="0.2">
      <c r="A6181" s="2">
        <v>37077</v>
      </c>
      <c r="B6181" s="3">
        <v>18.013342000000002</v>
      </c>
      <c r="C6181" s="1">
        <v>541199.76999999897</v>
      </c>
      <c r="D6181" s="3">
        <v>-0.23999799999999899</v>
      </c>
      <c r="E6181" s="3">
        <v>-1.3148169047418099</v>
      </c>
      <c r="F6181" s="3">
        <v>-1.3148169047418099</v>
      </c>
      <c r="G6181" s="3">
        <v>18.013342000000002</v>
      </c>
      <c r="H6181" s="3">
        <v>401.97607002083498</v>
      </c>
      <c r="I6181" s="3">
        <v>18.100010000000001</v>
      </c>
      <c r="J6181" s="3">
        <v>18.760007999999999</v>
      </c>
      <c r="K6181" s="3">
        <v>17.866674</v>
      </c>
      <c r="L6181" s="3">
        <v>401.97607002083498</v>
      </c>
    </row>
    <row r="6182" spans="1:12" ht="15" customHeight="1" x14ac:dyDescent="0.2">
      <c r="A6182" s="2">
        <v>37075</v>
      </c>
      <c r="B6182" s="3">
        <v>18.253340000000001</v>
      </c>
      <c r="C6182" s="1">
        <v>257549.87</v>
      </c>
      <c r="D6182" s="3">
        <v>-0.19333599999999801</v>
      </c>
      <c r="E6182" s="3">
        <v>-1.04808042381184</v>
      </c>
      <c r="F6182" s="3">
        <v>-1.04808042381184</v>
      </c>
      <c r="G6182" s="3">
        <v>18.253340000000001</v>
      </c>
      <c r="H6182" s="3">
        <v>408.664071217551</v>
      </c>
      <c r="I6182" s="3">
        <v>18.380009999999999</v>
      </c>
      <c r="J6182" s="3">
        <v>18.433340000000001</v>
      </c>
      <c r="K6182" s="3">
        <v>17.733340999999999</v>
      </c>
      <c r="L6182" s="3">
        <v>408.664071217551</v>
      </c>
    </row>
    <row r="6183" spans="1:12" ht="15" customHeight="1" x14ac:dyDescent="0.2">
      <c r="A6183" s="2">
        <v>37074</v>
      </c>
      <c r="B6183" s="3">
        <v>18.446676</v>
      </c>
      <c r="C6183" s="1">
        <v>944699.6</v>
      </c>
      <c r="D6183" s="3">
        <v>-0.41999799999999898</v>
      </c>
      <c r="E6183" s="3">
        <v>-2.2261369439043599</v>
      </c>
      <c r="F6183" s="3">
        <v>-2.2261369439043599</v>
      </c>
      <c r="G6183" s="3">
        <v>18.446676</v>
      </c>
      <c r="H6183" s="3">
        <v>414.05174694555001</v>
      </c>
      <c r="I6183" s="3">
        <v>18.673344</v>
      </c>
      <c r="J6183" s="3">
        <v>18.940007999999999</v>
      </c>
      <c r="K6183" s="3">
        <v>18.433340000000001</v>
      </c>
      <c r="L6183" s="3">
        <v>414.05174694555001</v>
      </c>
    </row>
    <row r="6184" spans="1:12" ht="15" customHeight="1" x14ac:dyDescent="0.2">
      <c r="A6184" s="2">
        <v>37071</v>
      </c>
      <c r="B6184" s="3">
        <v>18.866674</v>
      </c>
      <c r="C6184" s="1">
        <v>1899149.2</v>
      </c>
      <c r="D6184" s="3">
        <v>0.89999900000000099</v>
      </c>
      <c r="E6184" s="3">
        <v>5.0092685485767499</v>
      </c>
      <c r="F6184" s="3">
        <v>5.0092685485767499</v>
      </c>
      <c r="G6184" s="3">
        <v>18.866674</v>
      </c>
      <c r="H6184" s="3">
        <v>425.75579084015902</v>
      </c>
      <c r="I6184" s="3">
        <v>17.96001</v>
      </c>
      <c r="J6184" s="3">
        <v>19.00001</v>
      </c>
      <c r="K6184" s="3">
        <v>17.900006999999999</v>
      </c>
      <c r="L6184" s="3">
        <v>425.75579084015902</v>
      </c>
    </row>
    <row r="6185" spans="1:12" ht="15" customHeight="1" x14ac:dyDescent="0.2">
      <c r="A6185" s="2">
        <v>37070</v>
      </c>
      <c r="B6185" s="3">
        <v>17.966674999999999</v>
      </c>
      <c r="C6185" s="1">
        <v>1763249.1</v>
      </c>
      <c r="D6185" s="3">
        <v>0.99333399999999705</v>
      </c>
      <c r="E6185" s="3">
        <v>5.8523186448678297</v>
      </c>
      <c r="F6185" s="3">
        <v>5.8523186448678297</v>
      </c>
      <c r="G6185" s="3">
        <v>17.966674999999999</v>
      </c>
      <c r="H6185" s="3">
        <v>400.67560521759799</v>
      </c>
      <c r="I6185" s="3">
        <v>16.973341000000001</v>
      </c>
      <c r="J6185" s="3">
        <v>18.066676999999999</v>
      </c>
      <c r="K6185" s="3">
        <v>16.866674</v>
      </c>
      <c r="L6185" s="3">
        <v>400.67560521759799</v>
      </c>
    </row>
    <row r="6186" spans="1:12" ht="15" customHeight="1" x14ac:dyDescent="0.2">
      <c r="A6186" s="2">
        <v>37069</v>
      </c>
      <c r="B6186" s="3">
        <v>16.973341000000001</v>
      </c>
      <c r="C6186" s="1">
        <v>649049.69999999995</v>
      </c>
      <c r="D6186" s="3">
        <v>0.38000099999999998</v>
      </c>
      <c r="E6186" s="3">
        <v>2.29008144231359</v>
      </c>
      <c r="F6186" s="3">
        <v>2.29008144231359</v>
      </c>
      <c r="G6186" s="3">
        <v>16.973341000000001</v>
      </c>
      <c r="H6186" s="3">
        <v>372.99446212165998</v>
      </c>
      <c r="I6186" s="3">
        <v>16.653341000000001</v>
      </c>
      <c r="J6186" s="3">
        <v>17.253340000000001</v>
      </c>
      <c r="K6186" s="3">
        <v>16.433340000000001</v>
      </c>
      <c r="L6186" s="3">
        <v>372.99446212165998</v>
      </c>
    </row>
    <row r="6187" spans="1:12" ht="15" customHeight="1" x14ac:dyDescent="0.2">
      <c r="A6187" s="2">
        <v>37068</v>
      </c>
      <c r="B6187" s="3">
        <v>16.593340000000001</v>
      </c>
      <c r="C6187" s="1">
        <v>1117799.6000000001</v>
      </c>
      <c r="D6187" s="3">
        <v>-0.686669999999999</v>
      </c>
      <c r="E6187" s="3">
        <v>-3.9737824225796001</v>
      </c>
      <c r="F6187" s="3">
        <v>-3.9737824225796001</v>
      </c>
      <c r="G6187" s="3">
        <v>16.593340000000001</v>
      </c>
      <c r="H6187" s="3">
        <v>362.40501078142597</v>
      </c>
      <c r="I6187" s="3">
        <v>17.300008999999999</v>
      </c>
      <c r="J6187" s="3">
        <v>17.306674999999998</v>
      </c>
      <c r="K6187" s="3">
        <v>16.333341999999998</v>
      </c>
      <c r="L6187" s="3">
        <v>362.40501078142597</v>
      </c>
    </row>
    <row r="6188" spans="1:12" ht="15" customHeight="1" x14ac:dyDescent="0.2">
      <c r="A6188" s="2">
        <v>37067</v>
      </c>
      <c r="B6188" s="3">
        <v>17.280010000000001</v>
      </c>
      <c r="C6188" s="1">
        <v>705599.7</v>
      </c>
      <c r="D6188" s="3">
        <v>0.21333300000000199</v>
      </c>
      <c r="E6188" s="3">
        <v>1.2499972900407099</v>
      </c>
      <c r="F6188" s="3">
        <v>1.2499972900407099</v>
      </c>
      <c r="G6188" s="3">
        <v>17.280010000000001</v>
      </c>
      <c r="H6188" s="3">
        <v>381.54037766677197</v>
      </c>
      <c r="I6188" s="3">
        <v>17.413342</v>
      </c>
      <c r="J6188" s="3">
        <v>17.46001</v>
      </c>
      <c r="K6188" s="3">
        <v>17.066676999999999</v>
      </c>
      <c r="L6188" s="3">
        <v>381.54037766677197</v>
      </c>
    </row>
    <row r="6189" spans="1:12" ht="15" customHeight="1" x14ac:dyDescent="0.2">
      <c r="A6189" s="2">
        <v>37064</v>
      </c>
      <c r="B6189" s="3">
        <v>17.066676999999999</v>
      </c>
      <c r="C6189" s="1">
        <v>652349.69999999995</v>
      </c>
      <c r="D6189" s="3">
        <v>-0.71333300000000199</v>
      </c>
      <c r="E6189" s="3">
        <v>-4.0119943689570601</v>
      </c>
      <c r="F6189" s="3">
        <v>-4.0119943689570601</v>
      </c>
      <c r="G6189" s="3">
        <v>17.066676999999999</v>
      </c>
      <c r="H6189" s="3">
        <v>375.59544746194001</v>
      </c>
      <c r="I6189" s="3">
        <v>17.780010000000001</v>
      </c>
      <c r="J6189" s="3">
        <v>17.780010000000001</v>
      </c>
      <c r="K6189" s="3">
        <v>16.333341999999998</v>
      </c>
      <c r="L6189" s="3">
        <v>375.59544746194001</v>
      </c>
    </row>
    <row r="6190" spans="1:12" ht="15" customHeight="1" x14ac:dyDescent="0.2">
      <c r="A6190" s="2">
        <v>37063</v>
      </c>
      <c r="B6190" s="3">
        <v>17.780010000000001</v>
      </c>
      <c r="C6190" s="1">
        <v>724799.6</v>
      </c>
      <c r="D6190" s="3">
        <v>1.3800030000000001</v>
      </c>
      <c r="E6190" s="3">
        <v>8.4146488474059904</v>
      </c>
      <c r="F6190" s="3">
        <v>8.4146488474059904</v>
      </c>
      <c r="G6190" s="3">
        <v>17.780010000000001</v>
      </c>
      <c r="H6190" s="3">
        <v>395.47382960536299</v>
      </c>
      <c r="I6190" s="3">
        <v>16.520008000000001</v>
      </c>
      <c r="J6190" s="3">
        <v>17.786674000000001</v>
      </c>
      <c r="K6190" s="3">
        <v>16.333341999999998</v>
      </c>
      <c r="L6190" s="3">
        <v>395.47382960536299</v>
      </c>
    </row>
    <row r="6191" spans="1:12" ht="15" customHeight="1" x14ac:dyDescent="0.2">
      <c r="A6191" s="2">
        <v>37062</v>
      </c>
      <c r="B6191" s="3">
        <v>16.400006999999999</v>
      </c>
      <c r="C6191" s="1">
        <v>598949.69999999995</v>
      </c>
      <c r="D6191" s="3">
        <v>0.26666699999999799</v>
      </c>
      <c r="E6191" s="3">
        <v>1.6528939450851401</v>
      </c>
      <c r="F6191" s="3">
        <v>1.6528939450851401</v>
      </c>
      <c r="G6191" s="3">
        <v>16.400006999999999</v>
      </c>
      <c r="H6191" s="3">
        <v>357.017418654138</v>
      </c>
      <c r="I6191" s="3">
        <v>16.260007999999999</v>
      </c>
      <c r="J6191" s="3">
        <v>16.800008999999999</v>
      </c>
      <c r="K6191" s="3">
        <v>16.073340999999999</v>
      </c>
      <c r="L6191" s="3">
        <v>357.017418654138</v>
      </c>
    </row>
    <row r="6192" spans="1:12" ht="15" customHeight="1" x14ac:dyDescent="0.2">
      <c r="A6192" s="2">
        <v>37061</v>
      </c>
      <c r="B6192" s="3">
        <v>16.13334</v>
      </c>
      <c r="C6192" s="1">
        <v>426599.8</v>
      </c>
      <c r="D6192" s="3">
        <v>0.102216000000002</v>
      </c>
      <c r="E6192" s="3">
        <v>0.63760968975101695</v>
      </c>
      <c r="F6192" s="3">
        <v>0.63760968975101695</v>
      </c>
      <c r="G6192" s="3">
        <v>16.13334</v>
      </c>
      <c r="H6192" s="3">
        <v>349.586234997921</v>
      </c>
      <c r="I6192" s="3">
        <v>16.326675000000002</v>
      </c>
      <c r="J6192" s="3">
        <v>16.366674</v>
      </c>
      <c r="K6192" s="3">
        <v>15.733340999999999</v>
      </c>
      <c r="L6192" s="3">
        <v>349.586234997921</v>
      </c>
    </row>
    <row r="6193" spans="1:12" ht="15" customHeight="1" x14ac:dyDescent="0.2">
      <c r="A6193" s="2">
        <v>37060</v>
      </c>
      <c r="B6193" s="3">
        <v>16.031123999999998</v>
      </c>
      <c r="C6193" s="1">
        <v>708074.34</v>
      </c>
      <c r="D6193" s="3">
        <v>7.5552999999997497E-2</v>
      </c>
      <c r="E6193" s="3">
        <v>0.47352112939109597</v>
      </c>
      <c r="F6193" s="3">
        <v>0.47352112939109597</v>
      </c>
      <c r="G6193" s="3">
        <v>16.031123999999998</v>
      </c>
      <c r="H6193" s="3">
        <v>346.73779155121099</v>
      </c>
      <c r="I6193" s="3">
        <v>15.911128</v>
      </c>
      <c r="J6193" s="3">
        <v>16.106684000000001</v>
      </c>
      <c r="K6193" s="3">
        <v>15.764461000000001</v>
      </c>
      <c r="L6193" s="3">
        <v>346.73779155121099</v>
      </c>
    </row>
    <row r="6194" spans="1:12" ht="15" customHeight="1" x14ac:dyDescent="0.2">
      <c r="A6194" s="2">
        <v>37057</v>
      </c>
      <c r="B6194" s="3">
        <v>15.955571000000001</v>
      </c>
      <c r="C6194" s="1">
        <v>590849.39999999898</v>
      </c>
      <c r="D6194" s="3">
        <v>-6.2222999999997697E-2</v>
      </c>
      <c r="E6194" s="3">
        <v>-0.38846173199629203</v>
      </c>
      <c r="F6194" s="3">
        <v>-0.38846173199629203</v>
      </c>
      <c r="G6194" s="3">
        <v>15.955571000000001</v>
      </c>
      <c r="H6194" s="3">
        <v>344.63236336257802</v>
      </c>
      <c r="I6194" s="3">
        <v>16.075571</v>
      </c>
      <c r="J6194" s="3">
        <v>16.262238</v>
      </c>
      <c r="K6194" s="3">
        <v>15.688904000000001</v>
      </c>
      <c r="L6194" s="3">
        <v>344.63236336257802</v>
      </c>
    </row>
    <row r="6195" spans="1:12" ht="15" customHeight="1" x14ac:dyDescent="0.2">
      <c r="A6195" s="2">
        <v>37056</v>
      </c>
      <c r="B6195" s="3">
        <v>16.017793999999999</v>
      </c>
      <c r="C6195" s="1">
        <v>492974.51999999903</v>
      </c>
      <c r="D6195" s="3">
        <v>-0.16444600000000101</v>
      </c>
      <c r="E6195" s="3">
        <v>-1.01621283580024</v>
      </c>
      <c r="F6195" s="3">
        <v>-1.01621283580024</v>
      </c>
      <c r="G6195" s="3">
        <v>16.017793999999999</v>
      </c>
      <c r="H6195" s="3">
        <v>346.36632572252802</v>
      </c>
      <c r="I6195" s="3">
        <v>16.102238</v>
      </c>
      <c r="J6195" s="3">
        <v>16.244457000000001</v>
      </c>
      <c r="K6195" s="3">
        <v>15.920014</v>
      </c>
      <c r="L6195" s="3">
        <v>346.36632572252802</v>
      </c>
    </row>
    <row r="6196" spans="1:12" ht="15" customHeight="1" x14ac:dyDescent="0.2">
      <c r="A6196" s="2">
        <v>37055</v>
      </c>
      <c r="B6196" s="3">
        <v>16.18224</v>
      </c>
      <c r="C6196" s="1">
        <v>526724.5</v>
      </c>
      <c r="D6196" s="3">
        <v>4.4479999999999997E-3</v>
      </c>
      <c r="E6196" s="3">
        <v>2.7494481323531099E-2</v>
      </c>
      <c r="F6196" s="3">
        <v>2.7494481323531099E-2</v>
      </c>
      <c r="G6196" s="3">
        <v>16.18224</v>
      </c>
      <c r="H6196" s="3">
        <v>350.94892659751599</v>
      </c>
      <c r="I6196" s="3">
        <v>16.044460000000001</v>
      </c>
      <c r="J6196" s="3">
        <v>16.533349999999999</v>
      </c>
      <c r="K6196" s="3">
        <v>16.044457999999999</v>
      </c>
      <c r="L6196" s="3">
        <v>350.94892659751599</v>
      </c>
    </row>
    <row r="6197" spans="1:12" ht="15" customHeight="1" x14ac:dyDescent="0.2">
      <c r="A6197" s="2">
        <v>37054</v>
      </c>
      <c r="B6197" s="3">
        <v>16.177792</v>
      </c>
      <c r="C6197" s="1">
        <v>917549.1</v>
      </c>
      <c r="D6197" s="3">
        <v>0.28444399999999997</v>
      </c>
      <c r="E6197" s="3">
        <v>1.78970472426578</v>
      </c>
      <c r="F6197" s="3">
        <v>1.78970472426578</v>
      </c>
      <c r="G6197" s="3">
        <v>16.177792</v>
      </c>
      <c r="H6197" s="3">
        <v>350.82497460907001</v>
      </c>
      <c r="I6197" s="3">
        <v>15.755573</v>
      </c>
      <c r="J6197" s="3">
        <v>16.222238999999998</v>
      </c>
      <c r="K6197" s="3">
        <v>15.626682000000001</v>
      </c>
      <c r="L6197" s="3">
        <v>350.82497460907001</v>
      </c>
    </row>
    <row r="6198" spans="1:12" ht="15" customHeight="1" x14ac:dyDescent="0.2">
      <c r="A6198" s="2">
        <v>37053</v>
      </c>
      <c r="B6198" s="3">
        <v>15.893348</v>
      </c>
      <c r="C6198" s="1">
        <v>508274.54</v>
      </c>
      <c r="D6198" s="3">
        <v>-4.88890000000008E-2</v>
      </c>
      <c r="E6198" s="3">
        <v>-0.30666336223705798</v>
      </c>
      <c r="F6198" s="3">
        <v>-0.30666336223705798</v>
      </c>
      <c r="G6198" s="3">
        <v>15.893348</v>
      </c>
      <c r="H6198" s="3">
        <v>342.89840100262802</v>
      </c>
      <c r="I6198" s="3">
        <v>15.782237</v>
      </c>
      <c r="J6198" s="3">
        <v>15.977793999999999</v>
      </c>
      <c r="K6198" s="3">
        <v>15.77557</v>
      </c>
      <c r="L6198" s="3">
        <v>342.89840100262802</v>
      </c>
    </row>
    <row r="6199" spans="1:12" ht="15" customHeight="1" x14ac:dyDescent="0.2">
      <c r="A6199" s="2">
        <v>37050</v>
      </c>
      <c r="B6199" s="3">
        <v>15.942237</v>
      </c>
      <c r="C6199" s="1">
        <v>644174.4</v>
      </c>
      <c r="D6199" s="3">
        <v>0.497778</v>
      </c>
      <c r="E6199" s="3">
        <v>3.22301998406029</v>
      </c>
      <c r="F6199" s="3">
        <v>3.22301998406029</v>
      </c>
      <c r="G6199" s="3">
        <v>15.942237</v>
      </c>
      <c r="H6199" s="3">
        <v>344.26078606627999</v>
      </c>
      <c r="I6199" s="3">
        <v>15.417793</v>
      </c>
      <c r="J6199" s="3">
        <v>16.013348000000001</v>
      </c>
      <c r="K6199" s="3">
        <v>15.377791999999999</v>
      </c>
      <c r="L6199" s="3">
        <v>344.26078606627999</v>
      </c>
    </row>
    <row r="6200" spans="1:12" ht="15" customHeight="1" x14ac:dyDescent="0.2">
      <c r="A6200" s="2">
        <v>37049</v>
      </c>
      <c r="B6200" s="3">
        <v>15.444459</v>
      </c>
      <c r="C6200" s="1">
        <v>678599.39999999898</v>
      </c>
      <c r="D6200" s="3">
        <v>0.51111200000000001</v>
      </c>
      <c r="E6200" s="3">
        <v>3.4226218676898199</v>
      </c>
      <c r="F6200" s="3">
        <v>3.4226218676898199</v>
      </c>
      <c r="G6200" s="3">
        <v>15.444459</v>
      </c>
      <c r="H6200" s="3">
        <v>330.38925438810298</v>
      </c>
      <c r="I6200" s="3">
        <v>14.986681000000001</v>
      </c>
      <c r="J6200" s="3">
        <v>15.622237999999999</v>
      </c>
      <c r="K6200" s="3">
        <v>14.955571000000001</v>
      </c>
      <c r="L6200" s="3">
        <v>330.38925438810298</v>
      </c>
    </row>
    <row r="6201" spans="1:12" ht="15" customHeight="1" x14ac:dyDescent="0.2">
      <c r="A6201" s="2">
        <v>37048</v>
      </c>
      <c r="B6201" s="3">
        <v>14.933346999999999</v>
      </c>
      <c r="C6201" s="1">
        <v>1427173.6</v>
      </c>
      <c r="D6201" s="3">
        <v>0.17333200000000001</v>
      </c>
      <c r="E6201" s="3">
        <v>1.1743348499307</v>
      </c>
      <c r="F6201" s="3">
        <v>1.1743348499307</v>
      </c>
      <c r="G6201" s="3">
        <v>14.933346999999999</v>
      </c>
      <c r="H6201" s="3">
        <v>316.14614541362801</v>
      </c>
      <c r="I6201" s="3">
        <v>14.755571</v>
      </c>
      <c r="J6201" s="3">
        <v>15.133347499999999</v>
      </c>
      <c r="K6201" s="3">
        <v>14.67557</v>
      </c>
      <c r="L6201" s="3">
        <v>316.14614541362801</v>
      </c>
    </row>
    <row r="6202" spans="1:12" ht="15" customHeight="1" x14ac:dyDescent="0.2">
      <c r="A6202" s="2">
        <v>37047</v>
      </c>
      <c r="B6202" s="3">
        <v>14.760014999999999</v>
      </c>
      <c r="C6202" s="1">
        <v>2114323</v>
      </c>
      <c r="D6202" s="3">
        <v>-9.7777999999999907E-2</v>
      </c>
      <c r="E6202" s="3">
        <v>-0.65809235597776805</v>
      </c>
      <c r="F6202" s="3">
        <v>-0.65809235597776805</v>
      </c>
      <c r="G6202" s="3">
        <v>14.760014999999999</v>
      </c>
      <c r="H6202" s="3">
        <v>311.31591923078798</v>
      </c>
      <c r="I6202" s="3">
        <v>14.866681</v>
      </c>
      <c r="J6202" s="3">
        <v>14.888903000000001</v>
      </c>
      <c r="K6202" s="3">
        <v>14.133347000000001</v>
      </c>
      <c r="L6202" s="3">
        <v>311.31591923078798</v>
      </c>
    </row>
    <row r="6203" spans="1:12" ht="15" customHeight="1" x14ac:dyDescent="0.2">
      <c r="A6203" s="2">
        <v>37046</v>
      </c>
      <c r="B6203" s="3">
        <v>14.857792999999999</v>
      </c>
      <c r="C6203" s="1">
        <v>929474.06</v>
      </c>
      <c r="D6203" s="3">
        <v>-0.51999899999999999</v>
      </c>
      <c r="E6203" s="3">
        <v>-3.3814932598906302</v>
      </c>
      <c r="F6203" s="3">
        <v>-3.3814932598906302</v>
      </c>
      <c r="G6203" s="3">
        <v>14.857792999999999</v>
      </c>
      <c r="H6203" s="3">
        <v>314.04068935809198</v>
      </c>
      <c r="I6203" s="3">
        <v>15.351126000000001</v>
      </c>
      <c r="J6203" s="3">
        <v>15.440015000000001</v>
      </c>
      <c r="K6203" s="3">
        <v>14.844459000000001</v>
      </c>
      <c r="L6203" s="3">
        <v>314.04068935809198</v>
      </c>
    </row>
    <row r="6204" spans="1:12" ht="15" customHeight="1" x14ac:dyDescent="0.2">
      <c r="A6204" s="2">
        <v>37043</v>
      </c>
      <c r="B6204" s="3">
        <v>15.377791999999999</v>
      </c>
      <c r="C6204" s="1">
        <v>937799.1</v>
      </c>
      <c r="D6204" s="3">
        <v>-7.5556000000000595E-2</v>
      </c>
      <c r="E6204" s="3">
        <v>-0.48892964812544598</v>
      </c>
      <c r="F6204" s="3">
        <v>-0.48892964812544598</v>
      </c>
      <c r="G6204" s="3">
        <v>15.377791999999999</v>
      </c>
      <c r="H6204" s="3">
        <v>328.53145150732303</v>
      </c>
      <c r="I6204" s="3">
        <v>15.466682</v>
      </c>
      <c r="J6204" s="3">
        <v>15.64446</v>
      </c>
      <c r="K6204" s="3">
        <v>15.173347</v>
      </c>
      <c r="L6204" s="3">
        <v>328.53145150732303</v>
      </c>
    </row>
    <row r="6205" spans="1:12" ht="15" customHeight="1" x14ac:dyDescent="0.2">
      <c r="A6205" s="2">
        <v>37042</v>
      </c>
      <c r="B6205" s="3">
        <v>15.453348</v>
      </c>
      <c r="C6205" s="1">
        <v>1883698.1</v>
      </c>
      <c r="D6205" s="3">
        <v>-0.52888999999999997</v>
      </c>
      <c r="E6205" s="3">
        <v>-3.3092361657985498</v>
      </c>
      <c r="F6205" s="3">
        <v>-3.3092361657985498</v>
      </c>
      <c r="G6205" s="3">
        <v>15.453348</v>
      </c>
      <c r="H6205" s="3">
        <v>330.636963296668</v>
      </c>
      <c r="I6205" s="3">
        <v>16.066685</v>
      </c>
      <c r="J6205" s="3">
        <v>16.066683000000001</v>
      </c>
      <c r="K6205" s="3">
        <v>15.044458000000001</v>
      </c>
      <c r="L6205" s="3">
        <v>330.636963296668</v>
      </c>
    </row>
    <row r="6206" spans="1:12" ht="15" customHeight="1" x14ac:dyDescent="0.2">
      <c r="A6206" s="2">
        <v>37041</v>
      </c>
      <c r="B6206" s="3">
        <v>15.982238000000001</v>
      </c>
      <c r="C6206" s="1">
        <v>479699.52</v>
      </c>
      <c r="D6206" s="3">
        <v>4.4440000000012204E-3</v>
      </c>
      <c r="E6206" s="3">
        <v>2.7813601802617601E-2</v>
      </c>
      <c r="F6206" s="3">
        <v>2.7813601802617601E-2</v>
      </c>
      <c r="G6206" s="3">
        <v>15.982238000000001</v>
      </c>
      <c r="H6206" s="3">
        <v>345.37549008827102</v>
      </c>
      <c r="I6206" s="3">
        <v>15.902237</v>
      </c>
      <c r="J6206" s="3">
        <v>16.177792</v>
      </c>
      <c r="K6206" s="3">
        <v>15.897793</v>
      </c>
      <c r="L6206" s="3">
        <v>345.37549008827102</v>
      </c>
    </row>
    <row r="6207" spans="1:12" ht="15" customHeight="1" x14ac:dyDescent="0.2">
      <c r="A6207" s="2">
        <v>37040</v>
      </c>
      <c r="B6207" s="3">
        <v>15.977793999999999</v>
      </c>
      <c r="C6207" s="1">
        <v>808199.3</v>
      </c>
      <c r="D6207" s="3">
        <v>0.29333399999999898</v>
      </c>
      <c r="E6207" s="3">
        <v>1.8702205877664899</v>
      </c>
      <c r="F6207" s="3">
        <v>1.8702205877664899</v>
      </c>
      <c r="G6207" s="3">
        <v>15.977793999999999</v>
      </c>
      <c r="H6207" s="3">
        <v>345.25164956744101</v>
      </c>
      <c r="I6207" s="3">
        <v>15.53335</v>
      </c>
      <c r="J6207" s="3">
        <v>16.280017999999998</v>
      </c>
      <c r="K6207" s="3">
        <v>15.528902</v>
      </c>
      <c r="L6207" s="3">
        <v>345.25164956744101</v>
      </c>
    </row>
    <row r="6208" spans="1:12" ht="15" customHeight="1" x14ac:dyDescent="0.2">
      <c r="A6208" s="2">
        <v>37036</v>
      </c>
      <c r="B6208" s="3">
        <v>15.68446</v>
      </c>
      <c r="C6208" s="1">
        <v>1397473.5</v>
      </c>
      <c r="D6208" s="3">
        <v>0.35111199999999798</v>
      </c>
      <c r="E6208" s="3">
        <v>2.2898586792656102</v>
      </c>
      <c r="F6208" s="3">
        <v>2.2898586792656102</v>
      </c>
      <c r="G6208" s="3">
        <v>15.68446</v>
      </c>
      <c r="H6208" s="3">
        <v>337.077339185531</v>
      </c>
      <c r="I6208" s="3">
        <v>15.368906000000001</v>
      </c>
      <c r="J6208" s="3">
        <v>15.733349</v>
      </c>
      <c r="K6208" s="3">
        <v>15.368904000000001</v>
      </c>
      <c r="L6208" s="3">
        <v>337.077339185531</v>
      </c>
    </row>
    <row r="6209" spans="1:12" ht="15" customHeight="1" x14ac:dyDescent="0.2">
      <c r="A6209" s="2">
        <v>37035</v>
      </c>
      <c r="B6209" s="3">
        <v>15.333348000000001</v>
      </c>
      <c r="C6209" s="1">
        <v>1894273.1</v>
      </c>
      <c r="D6209" s="3">
        <v>-0.56888899999999798</v>
      </c>
      <c r="E6209" s="3">
        <v>-3.57741492596291</v>
      </c>
      <c r="F6209" s="3">
        <v>-3.57741492596291</v>
      </c>
      <c r="G6209" s="3">
        <v>15.333348000000001</v>
      </c>
      <c r="H6209" s="3">
        <v>327.292934831406</v>
      </c>
      <c r="I6209" s="3">
        <v>15.866683</v>
      </c>
      <c r="J6209" s="3">
        <v>15.955571000000001</v>
      </c>
      <c r="K6209" s="3">
        <v>15.111126000000001</v>
      </c>
      <c r="L6209" s="3">
        <v>327.292934831406</v>
      </c>
    </row>
    <row r="6210" spans="1:12" ht="15" customHeight="1" x14ac:dyDescent="0.2">
      <c r="A6210" s="2">
        <v>37034</v>
      </c>
      <c r="B6210" s="3">
        <v>15.902237</v>
      </c>
      <c r="C6210" s="1">
        <v>1054574</v>
      </c>
      <c r="D6210" s="3">
        <v>-0.14222099999999899</v>
      </c>
      <c r="E6210" s="3">
        <v>-0.88641822615633803</v>
      </c>
      <c r="F6210" s="3">
        <v>-0.88641822615633803</v>
      </c>
      <c r="G6210" s="3">
        <v>15.902237</v>
      </c>
      <c r="H6210" s="3">
        <v>343.14610991119298</v>
      </c>
      <c r="I6210" s="3">
        <v>16.071127000000001</v>
      </c>
      <c r="J6210" s="3">
        <v>16.235569999999999</v>
      </c>
      <c r="K6210" s="3">
        <v>15.866683</v>
      </c>
      <c r="L6210" s="3">
        <v>343.14610991119298</v>
      </c>
    </row>
    <row r="6211" spans="1:12" ht="15" customHeight="1" x14ac:dyDescent="0.2">
      <c r="A6211" s="2">
        <v>37033</v>
      </c>
      <c r="B6211" s="3">
        <v>16.044457999999999</v>
      </c>
      <c r="C6211" s="1">
        <v>555299.43999999994</v>
      </c>
      <c r="D6211" s="3">
        <v>-0.13333400000000101</v>
      </c>
      <c r="E6211" s="3">
        <v>-0.82417922050179704</v>
      </c>
      <c r="F6211" s="3">
        <v>-0.82417922050179704</v>
      </c>
      <c r="G6211" s="3">
        <v>16.044457999999999</v>
      </c>
      <c r="H6211" s="3">
        <v>347.10936884750998</v>
      </c>
      <c r="I6211" s="3">
        <v>16.222238999999998</v>
      </c>
      <c r="J6211" s="3">
        <v>16.266681999999999</v>
      </c>
      <c r="K6211" s="3">
        <v>16.044457999999999</v>
      </c>
      <c r="L6211" s="3">
        <v>347.10936884750998</v>
      </c>
    </row>
    <row r="6212" spans="1:12" ht="15" customHeight="1" x14ac:dyDescent="0.2">
      <c r="A6212" s="2">
        <v>37032</v>
      </c>
      <c r="B6212" s="3">
        <v>16.177792</v>
      </c>
      <c r="C6212" s="1">
        <v>722024.3</v>
      </c>
      <c r="D6212" s="3">
        <v>-7.1113000000000398E-2</v>
      </c>
      <c r="E6212" s="3">
        <v>-0.437647952277397</v>
      </c>
      <c r="F6212" s="3">
        <v>-0.437647952277397</v>
      </c>
      <c r="G6212" s="3">
        <v>16.177792</v>
      </c>
      <c r="H6212" s="3">
        <v>350.82497460907001</v>
      </c>
      <c r="I6212" s="3">
        <v>16.257792999999999</v>
      </c>
      <c r="J6212" s="3">
        <v>16.266681999999999</v>
      </c>
      <c r="K6212" s="3">
        <v>16.106684000000001</v>
      </c>
      <c r="L6212" s="3">
        <v>350.82497460907001</v>
      </c>
    </row>
    <row r="6213" spans="1:12" ht="15" customHeight="1" x14ac:dyDescent="0.2">
      <c r="A6213" s="2">
        <v>37029</v>
      </c>
      <c r="B6213" s="3">
        <v>16.248905000000001</v>
      </c>
      <c r="C6213" s="1">
        <v>488024.54</v>
      </c>
      <c r="D6213" s="3">
        <v>-0.46222099999999899</v>
      </c>
      <c r="E6213" s="3">
        <v>-2.7659476686370401</v>
      </c>
      <c r="F6213" s="3">
        <v>-2.7659476686370401</v>
      </c>
      <c r="G6213" s="3">
        <v>16.248905000000001</v>
      </c>
      <c r="H6213" s="3">
        <v>352.80667374448802</v>
      </c>
      <c r="I6213" s="3">
        <v>16.706683999999999</v>
      </c>
      <c r="J6213" s="3">
        <v>16.733350000000002</v>
      </c>
      <c r="K6213" s="3">
        <v>16.248905000000001</v>
      </c>
      <c r="L6213" s="3">
        <v>352.80667374448802</v>
      </c>
    </row>
    <row r="6214" spans="1:12" ht="15" customHeight="1" x14ac:dyDescent="0.2">
      <c r="A6214" s="2">
        <v>37028</v>
      </c>
      <c r="B6214" s="3">
        <v>16.711126</v>
      </c>
      <c r="C6214" s="1">
        <v>789749.27</v>
      </c>
      <c r="D6214" s="3">
        <v>-0.13333899999999901</v>
      </c>
      <c r="E6214" s="3">
        <v>-0.79158940340342498</v>
      </c>
      <c r="F6214" s="3">
        <v>-0.79158940340342498</v>
      </c>
      <c r="G6214" s="3">
        <v>16.711126</v>
      </c>
      <c r="H6214" s="3">
        <v>365.68734192150401</v>
      </c>
      <c r="I6214" s="3">
        <v>16.882238000000001</v>
      </c>
      <c r="J6214" s="3">
        <v>16.942236000000001</v>
      </c>
      <c r="K6214" s="3">
        <v>16.333349999999999</v>
      </c>
      <c r="L6214" s="3">
        <v>365.68734192150401</v>
      </c>
    </row>
    <row r="6215" spans="1:12" ht="15" customHeight="1" x14ac:dyDescent="0.2">
      <c r="A6215" s="2">
        <v>37027</v>
      </c>
      <c r="B6215" s="3">
        <v>16.844465</v>
      </c>
      <c r="C6215" s="1">
        <v>505574.52</v>
      </c>
      <c r="D6215" s="3">
        <v>0.177779999999998</v>
      </c>
      <c r="E6215" s="3">
        <v>1.0666788266532701</v>
      </c>
      <c r="F6215" s="3">
        <v>1.0666788266532701</v>
      </c>
      <c r="G6215" s="3">
        <v>16.844465</v>
      </c>
      <c r="H6215" s="3">
        <v>369.40308701758403</v>
      </c>
      <c r="I6215" s="3">
        <v>16.488904999999999</v>
      </c>
      <c r="J6215" s="3">
        <v>17.142239</v>
      </c>
      <c r="K6215" s="3">
        <v>16.422236999999999</v>
      </c>
      <c r="L6215" s="3">
        <v>369.40308701758403</v>
      </c>
    </row>
    <row r="6216" spans="1:12" ht="15" customHeight="1" x14ac:dyDescent="0.2">
      <c r="A6216" s="2">
        <v>37026</v>
      </c>
      <c r="B6216" s="3">
        <v>16.666685000000001</v>
      </c>
      <c r="C6216" s="1">
        <v>422999.63</v>
      </c>
      <c r="D6216" s="3">
        <v>0.67555900000000102</v>
      </c>
      <c r="E6216" s="3">
        <v>4.22458681146031</v>
      </c>
      <c r="F6216" s="3">
        <v>4.22458681146031</v>
      </c>
      <c r="G6216" s="3">
        <v>16.666685000000001</v>
      </c>
      <c r="H6216" s="3">
        <v>364.44890884629802</v>
      </c>
      <c r="I6216" s="3">
        <v>16.000015000000001</v>
      </c>
      <c r="J6216" s="3">
        <v>16.871527</v>
      </c>
      <c r="K6216" s="3">
        <v>16.000015000000001</v>
      </c>
      <c r="L6216" s="3">
        <v>364.44890884629802</v>
      </c>
    </row>
    <row r="6217" spans="1:12" ht="15" customHeight="1" x14ac:dyDescent="0.2">
      <c r="A6217" s="2">
        <v>37025</v>
      </c>
      <c r="B6217" s="3">
        <v>15.991126</v>
      </c>
      <c r="C6217" s="1">
        <v>482174.53</v>
      </c>
      <c r="D6217" s="3">
        <v>-0.20444200000000201</v>
      </c>
      <c r="E6217" s="3">
        <v>-1.26233300369583</v>
      </c>
      <c r="F6217" s="3">
        <v>-1.26233300369583</v>
      </c>
      <c r="G6217" s="3">
        <v>15.991126</v>
      </c>
      <c r="H6217" s="3">
        <v>345.62317112993202</v>
      </c>
      <c r="I6217" s="3">
        <v>16.106684000000001</v>
      </c>
      <c r="J6217" s="3">
        <v>16.200016000000002</v>
      </c>
      <c r="K6217" s="3">
        <v>15.977793999999999</v>
      </c>
      <c r="L6217" s="3">
        <v>345.62317112993202</v>
      </c>
    </row>
    <row r="6218" spans="1:12" ht="15" customHeight="1" x14ac:dyDescent="0.2">
      <c r="A6218" s="2">
        <v>37022</v>
      </c>
      <c r="B6218" s="3">
        <v>16.195568000000002</v>
      </c>
      <c r="C6218" s="1">
        <v>2270472.6999999899</v>
      </c>
      <c r="D6218" s="3">
        <v>-0.58222399999999996</v>
      </c>
      <c r="E6218" s="3">
        <v>-3.4702063298913202</v>
      </c>
      <c r="F6218" s="3">
        <v>-3.4702063298913202</v>
      </c>
      <c r="G6218" s="3">
        <v>16.195568000000002</v>
      </c>
      <c r="H6218" s="3">
        <v>351.32033669239098</v>
      </c>
      <c r="I6218" s="3">
        <v>16.666685000000001</v>
      </c>
      <c r="J6218" s="3">
        <v>16.666685000000001</v>
      </c>
      <c r="K6218" s="3">
        <v>16.000015000000001</v>
      </c>
      <c r="L6218" s="3">
        <v>351.32033669239098</v>
      </c>
    </row>
    <row r="6219" spans="1:12" ht="15" customHeight="1" x14ac:dyDescent="0.2">
      <c r="A6219" s="2">
        <v>37021</v>
      </c>
      <c r="B6219" s="3">
        <v>16.777792000000002</v>
      </c>
      <c r="C6219" s="1">
        <v>446849.55</v>
      </c>
      <c r="D6219" s="3">
        <v>6.6666000000001405E-2</v>
      </c>
      <c r="E6219" s="3">
        <v>0.39893182541979</v>
      </c>
      <c r="F6219" s="3">
        <v>0.39893182541979</v>
      </c>
      <c r="G6219" s="3">
        <v>16.777792000000002</v>
      </c>
      <c r="H6219" s="3">
        <v>367.54511693538001</v>
      </c>
      <c r="I6219" s="3">
        <v>16.768906000000001</v>
      </c>
      <c r="J6219" s="3">
        <v>16.933350000000001</v>
      </c>
      <c r="K6219" s="3">
        <v>16.720015</v>
      </c>
      <c r="L6219" s="3">
        <v>367.54511693538001</v>
      </c>
    </row>
    <row r="6220" spans="1:12" ht="15" customHeight="1" x14ac:dyDescent="0.2">
      <c r="A6220" s="2">
        <v>37020</v>
      </c>
      <c r="B6220" s="3">
        <v>16.711126</v>
      </c>
      <c r="C6220" s="1">
        <v>600074.46</v>
      </c>
      <c r="D6220" s="3">
        <v>-0.222224</v>
      </c>
      <c r="E6220" s="3">
        <v>-1.3123451650146001</v>
      </c>
      <c r="F6220" s="3">
        <v>-1.3123451650146001</v>
      </c>
      <c r="G6220" s="3">
        <v>16.711126</v>
      </c>
      <c r="H6220" s="3">
        <v>365.68734192150401</v>
      </c>
      <c r="I6220" s="3">
        <v>16.762238</v>
      </c>
      <c r="J6220" s="3">
        <v>16.800015999999999</v>
      </c>
      <c r="K6220" s="3">
        <v>16.595572000000001</v>
      </c>
      <c r="L6220" s="3">
        <v>365.68734192150401</v>
      </c>
    </row>
    <row r="6221" spans="1:12" ht="15" customHeight="1" x14ac:dyDescent="0.2">
      <c r="A6221" s="2">
        <v>37019</v>
      </c>
      <c r="B6221" s="3">
        <v>16.933350000000001</v>
      </c>
      <c r="C6221" s="1">
        <v>686699.46</v>
      </c>
      <c r="D6221" s="3">
        <v>0.13333400000000101</v>
      </c>
      <c r="E6221" s="3">
        <v>0.79365400604380898</v>
      </c>
      <c r="F6221" s="3">
        <v>0.79365400604380898</v>
      </c>
      <c r="G6221" s="3">
        <v>16.933350000000001</v>
      </c>
      <c r="H6221" s="3">
        <v>371.88003676870699</v>
      </c>
      <c r="I6221" s="3">
        <v>16.888905000000001</v>
      </c>
      <c r="J6221" s="3">
        <v>16.937794</v>
      </c>
      <c r="K6221" s="3">
        <v>16.777792000000002</v>
      </c>
      <c r="L6221" s="3">
        <v>371.88003676870699</v>
      </c>
    </row>
    <row r="6222" spans="1:12" ht="15" customHeight="1" x14ac:dyDescent="0.2">
      <c r="A6222" s="2">
        <v>37018</v>
      </c>
      <c r="B6222" s="3">
        <v>16.800015999999999</v>
      </c>
      <c r="C6222" s="1">
        <v>310949.7</v>
      </c>
      <c r="D6222" s="3">
        <v>-2.2223000000000302E-2</v>
      </c>
      <c r="E6222" s="3">
        <v>-0.13210488805919199</v>
      </c>
      <c r="F6222" s="3">
        <v>-0.13210488805919199</v>
      </c>
      <c r="G6222" s="3">
        <v>16.800015999999999</v>
      </c>
      <c r="H6222" s="3">
        <v>368.16443100714702</v>
      </c>
      <c r="I6222" s="3">
        <v>16.840015000000001</v>
      </c>
      <c r="J6222" s="3">
        <v>16.933350000000001</v>
      </c>
      <c r="K6222" s="3">
        <v>16.733350000000002</v>
      </c>
      <c r="L6222" s="3">
        <v>368.16443100714702</v>
      </c>
    </row>
    <row r="6223" spans="1:12" ht="15" customHeight="1" x14ac:dyDescent="0.2">
      <c r="A6223" s="2">
        <v>37015</v>
      </c>
      <c r="B6223" s="3">
        <v>16.822239</v>
      </c>
      <c r="C6223" s="1">
        <v>495674.53</v>
      </c>
      <c r="D6223" s="3">
        <v>-4.44430000000011E-2</v>
      </c>
      <c r="E6223" s="3">
        <v>-0.26349580788919102</v>
      </c>
      <c r="F6223" s="3">
        <v>-0.26349580788919102</v>
      </c>
      <c r="G6223" s="3">
        <v>16.822239</v>
      </c>
      <c r="H6223" s="3">
        <v>368.78371721200898</v>
      </c>
      <c r="I6223" s="3">
        <v>16.755572999999998</v>
      </c>
      <c r="J6223" s="3">
        <v>16.866682000000001</v>
      </c>
      <c r="K6223" s="3">
        <v>16.480017</v>
      </c>
      <c r="L6223" s="3">
        <v>368.78371721200898</v>
      </c>
    </row>
    <row r="6224" spans="1:12" ht="15" customHeight="1" x14ac:dyDescent="0.2">
      <c r="A6224" s="2">
        <v>37014</v>
      </c>
      <c r="B6224" s="3">
        <v>16.866682000000001</v>
      </c>
      <c r="C6224" s="1">
        <v>741599.24</v>
      </c>
      <c r="D6224" s="3">
        <v>-0.61778100000000002</v>
      </c>
      <c r="E6224" s="3">
        <v>-3.5333141200847802</v>
      </c>
      <c r="F6224" s="3">
        <v>-3.5333141200847802</v>
      </c>
      <c r="G6224" s="3">
        <v>16.866682000000001</v>
      </c>
      <c r="H6224" s="3">
        <v>370.02220602102301</v>
      </c>
      <c r="I6224" s="3">
        <v>17.480018999999999</v>
      </c>
      <c r="J6224" s="3">
        <v>17.506682999999999</v>
      </c>
      <c r="K6224" s="3">
        <v>16.791125999999998</v>
      </c>
      <c r="L6224" s="3">
        <v>370.02220602102301</v>
      </c>
    </row>
    <row r="6225" spans="1:12" ht="15" customHeight="1" x14ac:dyDescent="0.2">
      <c r="A6225" s="2">
        <v>37013</v>
      </c>
      <c r="B6225" s="3">
        <v>17.484463000000002</v>
      </c>
      <c r="C6225" s="1">
        <v>719999.299999999</v>
      </c>
      <c r="D6225" s="3">
        <v>0.244445999999999</v>
      </c>
      <c r="E6225" s="3">
        <v>1.4178988338584499</v>
      </c>
      <c r="F6225" s="3">
        <v>1.4178988338584499</v>
      </c>
      <c r="G6225" s="3">
        <v>17.484463000000002</v>
      </c>
      <c r="H6225" s="3">
        <v>387.237849765173</v>
      </c>
      <c r="I6225" s="3">
        <v>17.262238</v>
      </c>
      <c r="J6225" s="3">
        <v>17.866682000000001</v>
      </c>
      <c r="K6225" s="3">
        <v>17.088902999999998</v>
      </c>
      <c r="L6225" s="3">
        <v>387.237849765173</v>
      </c>
    </row>
    <row r="6226" spans="1:12" ht="15" customHeight="1" x14ac:dyDescent="0.2">
      <c r="A6226" s="2">
        <v>37012</v>
      </c>
      <c r="B6226" s="3">
        <v>17.240017000000002</v>
      </c>
      <c r="C6226" s="1">
        <v>560699.46</v>
      </c>
      <c r="D6226" s="3">
        <v>0.32444600000000101</v>
      </c>
      <c r="E6226" s="3">
        <v>1.91803161714139</v>
      </c>
      <c r="F6226" s="3">
        <v>1.91803161714139</v>
      </c>
      <c r="G6226" s="3">
        <v>17.240017000000002</v>
      </c>
      <c r="H6226" s="3">
        <v>380.425896580011</v>
      </c>
      <c r="I6226" s="3">
        <v>16.897797000000001</v>
      </c>
      <c r="J6226" s="3">
        <v>17.24446</v>
      </c>
      <c r="K6226" s="3">
        <v>16.755572999999998</v>
      </c>
      <c r="L6226" s="3">
        <v>380.425896580011</v>
      </c>
    </row>
    <row r="6227" spans="1:12" ht="15" customHeight="1" x14ac:dyDescent="0.2">
      <c r="A6227" s="2">
        <v>37011</v>
      </c>
      <c r="B6227" s="3">
        <v>16.915571</v>
      </c>
      <c r="C6227" s="1">
        <v>751274.23</v>
      </c>
      <c r="D6227" s="3">
        <v>0.56000099999999897</v>
      </c>
      <c r="E6227" s="3">
        <v>3.4239161337697102</v>
      </c>
      <c r="F6227" s="3">
        <v>3.4239161337697102</v>
      </c>
      <c r="G6227" s="3">
        <v>16.915571</v>
      </c>
      <c r="H6227" s="3">
        <v>371.38459108467498</v>
      </c>
      <c r="I6227" s="3">
        <v>16.355571999999999</v>
      </c>
      <c r="J6227" s="3">
        <v>17.177795</v>
      </c>
      <c r="K6227" s="3">
        <v>16.311126999999999</v>
      </c>
      <c r="L6227" s="3">
        <v>371.38459108467498</v>
      </c>
    </row>
    <row r="6228" spans="1:12" ht="15" customHeight="1" x14ac:dyDescent="0.2">
      <c r="A6228" s="2">
        <v>37008</v>
      </c>
      <c r="B6228" s="3">
        <v>16.35557</v>
      </c>
      <c r="C6228" s="1">
        <v>288674.69999999902</v>
      </c>
      <c r="D6228" s="3">
        <v>8.8888000000000703E-2</v>
      </c>
      <c r="E6228" s="3">
        <v>0.54644210786194403</v>
      </c>
      <c r="F6228" s="3">
        <v>0.54644210786194403</v>
      </c>
      <c r="G6228" s="3">
        <v>16.35557</v>
      </c>
      <c r="H6228" s="3">
        <v>355.77909704654797</v>
      </c>
      <c r="I6228" s="3">
        <v>16.431128000000001</v>
      </c>
      <c r="J6228" s="3">
        <v>16.444459999999999</v>
      </c>
      <c r="K6228" s="3">
        <v>15.848903999999999</v>
      </c>
      <c r="L6228" s="3">
        <v>355.77909704654797</v>
      </c>
    </row>
    <row r="6229" spans="1:12" ht="15" customHeight="1" x14ac:dyDescent="0.2">
      <c r="A6229" s="2">
        <v>37007</v>
      </c>
      <c r="B6229" s="3">
        <v>16.266681999999999</v>
      </c>
      <c r="C6229" s="1">
        <v>607049.43999999994</v>
      </c>
      <c r="D6229" s="3">
        <v>-0.55555699999999997</v>
      </c>
      <c r="E6229" s="3">
        <v>-3.30251520026555</v>
      </c>
      <c r="F6229" s="3">
        <v>-3.30251520026555</v>
      </c>
      <c r="G6229" s="3">
        <v>16.266681999999999</v>
      </c>
      <c r="H6229" s="3">
        <v>353.30206369471301</v>
      </c>
      <c r="I6229" s="3">
        <v>16.844465</v>
      </c>
      <c r="J6229" s="3">
        <v>16.911128999999999</v>
      </c>
      <c r="K6229" s="3">
        <v>16.173349999999999</v>
      </c>
      <c r="L6229" s="3">
        <v>353.30206369471301</v>
      </c>
    </row>
    <row r="6230" spans="1:12" ht="15" customHeight="1" x14ac:dyDescent="0.2">
      <c r="A6230" s="2">
        <v>37006</v>
      </c>
      <c r="B6230" s="3">
        <v>16.822239</v>
      </c>
      <c r="C6230" s="1">
        <v>911249.15</v>
      </c>
      <c r="D6230" s="3">
        <v>1.19555699999999</v>
      </c>
      <c r="E6230" s="3">
        <v>7.6507412130099004</v>
      </c>
      <c r="F6230" s="3">
        <v>7.6507412130099004</v>
      </c>
      <c r="G6230" s="3">
        <v>16.822239</v>
      </c>
      <c r="H6230" s="3">
        <v>368.78371721200898</v>
      </c>
      <c r="I6230" s="3">
        <v>15.671125999999999</v>
      </c>
      <c r="J6230" s="3">
        <v>16.844465</v>
      </c>
      <c r="K6230" s="3">
        <v>15.662236999999999</v>
      </c>
      <c r="L6230" s="3">
        <v>368.78371721200898</v>
      </c>
    </row>
    <row r="6231" spans="1:12" ht="15" customHeight="1" x14ac:dyDescent="0.2">
      <c r="A6231" s="2">
        <v>37005</v>
      </c>
      <c r="B6231" s="3">
        <v>15.626682000000001</v>
      </c>
      <c r="C6231" s="1">
        <v>532349.5</v>
      </c>
      <c r="D6231" s="3">
        <v>-0.16444399999999901</v>
      </c>
      <c r="E6231" s="3">
        <v>-1.0413696907997501</v>
      </c>
      <c r="F6231" s="3">
        <v>-1.0413696907997501</v>
      </c>
      <c r="G6231" s="3">
        <v>15.626682000000001</v>
      </c>
      <c r="H6231" s="3">
        <v>335.46724521331498</v>
      </c>
      <c r="I6231" s="3">
        <v>15.782237</v>
      </c>
      <c r="J6231" s="3">
        <v>15.786682000000001</v>
      </c>
      <c r="K6231" s="3">
        <v>15.488903000000001</v>
      </c>
      <c r="L6231" s="3">
        <v>335.46724521331498</v>
      </c>
    </row>
    <row r="6232" spans="1:12" ht="15" customHeight="1" x14ac:dyDescent="0.2">
      <c r="A6232" s="2">
        <v>37004</v>
      </c>
      <c r="B6232" s="3">
        <v>15.791126</v>
      </c>
      <c r="C6232" s="1">
        <v>892349.1</v>
      </c>
      <c r="D6232" s="3">
        <v>0.106666</v>
      </c>
      <c r="E6232" s="3">
        <v>0.68007441760826703</v>
      </c>
      <c r="F6232" s="3">
        <v>0.68007441760826703</v>
      </c>
      <c r="G6232" s="3">
        <v>15.791126</v>
      </c>
      <c r="H6232" s="3">
        <v>340.04979035449497</v>
      </c>
      <c r="I6232" s="3">
        <v>15.566682</v>
      </c>
      <c r="J6232" s="3">
        <v>15.866683</v>
      </c>
      <c r="K6232" s="3">
        <v>15.555569999999999</v>
      </c>
      <c r="L6232" s="3">
        <v>340.04979035449497</v>
      </c>
    </row>
    <row r="6233" spans="1:12" ht="15" customHeight="1" x14ac:dyDescent="0.2">
      <c r="A6233" s="2">
        <v>37001</v>
      </c>
      <c r="B6233" s="3">
        <v>15.68446</v>
      </c>
      <c r="C6233" s="1">
        <v>2905647.1999999899</v>
      </c>
      <c r="D6233" s="3">
        <v>0.57333399999999901</v>
      </c>
      <c r="E6233" s="3">
        <v>3.7941183205010498</v>
      </c>
      <c r="F6233" s="3">
        <v>3.7941183205010498</v>
      </c>
      <c r="G6233" s="3">
        <v>15.68446</v>
      </c>
      <c r="H6233" s="3">
        <v>337.077339185531</v>
      </c>
      <c r="I6233" s="3">
        <v>15.777793000000001</v>
      </c>
      <c r="J6233" s="3">
        <v>15.888904999999999</v>
      </c>
      <c r="K6233" s="3">
        <v>15.466680999999999</v>
      </c>
      <c r="L6233" s="3">
        <v>337.077339185531</v>
      </c>
    </row>
    <row r="6234" spans="1:12" ht="15" customHeight="1" x14ac:dyDescent="0.2">
      <c r="A6234" s="2">
        <v>37000</v>
      </c>
      <c r="B6234" s="3">
        <v>15.111126000000001</v>
      </c>
      <c r="C6234" s="1">
        <v>1476223.5</v>
      </c>
      <c r="D6234" s="3">
        <v>-0.43111099999999902</v>
      </c>
      <c r="E6234" s="3">
        <v>-2.7738027672593</v>
      </c>
      <c r="F6234" s="3">
        <v>-2.7738027672593</v>
      </c>
      <c r="G6234" s="3">
        <v>15.111126000000001</v>
      </c>
      <c r="H6234" s="3">
        <v>321.10029571800999</v>
      </c>
      <c r="I6234" s="3">
        <v>15.551126500000001</v>
      </c>
      <c r="J6234" s="3">
        <v>15.804460000000001</v>
      </c>
      <c r="K6234" s="3">
        <v>14.8400135</v>
      </c>
      <c r="L6234" s="3">
        <v>321.10029571800999</v>
      </c>
    </row>
    <row r="6235" spans="1:12" ht="15" customHeight="1" x14ac:dyDescent="0.2">
      <c r="A6235" s="2">
        <v>36999</v>
      </c>
      <c r="B6235" s="3">
        <v>15.542237</v>
      </c>
      <c r="C6235" s="1">
        <v>2186322.7999999998</v>
      </c>
      <c r="D6235" s="3">
        <v>0.69777799999999901</v>
      </c>
      <c r="E6235" s="3">
        <v>4.7005956902841497</v>
      </c>
      <c r="F6235" s="3">
        <v>4.7005956902841497</v>
      </c>
      <c r="G6235" s="3">
        <v>15.542237</v>
      </c>
      <c r="H6235" s="3">
        <v>333.11402451540698</v>
      </c>
      <c r="I6235" s="3">
        <v>14.857792999999999</v>
      </c>
      <c r="J6235" s="3">
        <v>16.000015000000001</v>
      </c>
      <c r="K6235" s="3">
        <v>14.822236</v>
      </c>
      <c r="L6235" s="3">
        <v>333.11402451540698</v>
      </c>
    </row>
    <row r="6236" spans="1:12" ht="15" customHeight="1" x14ac:dyDescent="0.2">
      <c r="A6236" s="2">
        <v>36998</v>
      </c>
      <c r="B6236" s="3">
        <v>14.844459000000001</v>
      </c>
      <c r="C6236" s="1">
        <v>452474.55</v>
      </c>
      <c r="D6236" s="3">
        <v>0.13333400000000101</v>
      </c>
      <c r="E6236" s="3">
        <v>0.90634808690701596</v>
      </c>
      <c r="F6236" s="3">
        <v>0.90634808690701596</v>
      </c>
      <c r="G6236" s="3">
        <v>14.844459000000001</v>
      </c>
      <c r="H6236" s="3">
        <v>313.66911206179299</v>
      </c>
      <c r="I6236" s="3">
        <v>14.666681000000001</v>
      </c>
      <c r="J6236" s="3">
        <v>14.977793</v>
      </c>
      <c r="K6236" s="3">
        <v>14.666681000000001</v>
      </c>
      <c r="L6236" s="3">
        <v>313.66911206179299</v>
      </c>
    </row>
    <row r="6237" spans="1:12" ht="15" customHeight="1" x14ac:dyDescent="0.2">
      <c r="A6237" s="2">
        <v>36997</v>
      </c>
      <c r="B6237" s="3">
        <v>14.711124999999999</v>
      </c>
      <c r="C6237" s="1">
        <v>990674.1</v>
      </c>
      <c r="D6237" s="3">
        <v>-0.37916699999999998</v>
      </c>
      <c r="E6237" s="3">
        <v>-2.5126551560433699</v>
      </c>
      <c r="F6237" s="3">
        <v>-2.5126551560433699</v>
      </c>
      <c r="G6237" s="3">
        <v>14.711124999999999</v>
      </c>
      <c r="H6237" s="3">
        <v>309.95350630023302</v>
      </c>
      <c r="I6237" s="3">
        <v>15.088905</v>
      </c>
      <c r="J6237" s="3">
        <v>15.111126000000001</v>
      </c>
      <c r="K6237" s="3">
        <v>14.608903</v>
      </c>
      <c r="L6237" s="3">
        <v>309.95350630023302</v>
      </c>
    </row>
    <row r="6238" spans="1:12" ht="15" customHeight="1" x14ac:dyDescent="0.2">
      <c r="A6238" s="2">
        <v>36993</v>
      </c>
      <c r="B6238" s="3">
        <v>15.090292</v>
      </c>
      <c r="C6238" s="1">
        <v>1295323.7</v>
      </c>
      <c r="D6238" s="3">
        <v>-0.189723</v>
      </c>
      <c r="E6238" s="3">
        <v>-1.2416414512682099</v>
      </c>
      <c r="F6238" s="3">
        <v>-1.2416414512682099</v>
      </c>
      <c r="G6238" s="3">
        <v>15.090292</v>
      </c>
      <c r="H6238" s="3">
        <v>320.519716642633</v>
      </c>
      <c r="I6238" s="3">
        <v>15.200013999999999</v>
      </c>
      <c r="J6238" s="3">
        <v>15.222237</v>
      </c>
      <c r="K6238" s="3">
        <v>14.955571000000001</v>
      </c>
      <c r="L6238" s="3">
        <v>320.519716642633</v>
      </c>
    </row>
    <row r="6239" spans="1:12" ht="15" customHeight="1" x14ac:dyDescent="0.2">
      <c r="A6239" s="2">
        <v>36992</v>
      </c>
      <c r="B6239" s="3">
        <v>15.280015000000001</v>
      </c>
      <c r="C6239" s="1">
        <v>382499.63</v>
      </c>
      <c r="D6239" s="3">
        <v>-0.56444549999999905</v>
      </c>
      <c r="E6239" s="3">
        <v>-3.5624153943266101</v>
      </c>
      <c r="F6239" s="3">
        <v>-3.5624153943266101</v>
      </c>
      <c r="G6239" s="3">
        <v>15.280015000000001</v>
      </c>
      <c r="H6239" s="3">
        <v>325.80670924692402</v>
      </c>
      <c r="I6239" s="3">
        <v>15.737793</v>
      </c>
      <c r="J6239" s="3">
        <v>16.088902999999998</v>
      </c>
      <c r="K6239" s="3">
        <v>15.257792999999999</v>
      </c>
      <c r="L6239" s="3">
        <v>325.80670924692402</v>
      </c>
    </row>
    <row r="6240" spans="1:12" ht="15" customHeight="1" x14ac:dyDescent="0.2">
      <c r="A6240" s="2">
        <v>36991</v>
      </c>
      <c r="B6240" s="3">
        <v>15.8444605</v>
      </c>
      <c r="C6240" s="1">
        <v>1015424.1</v>
      </c>
      <c r="D6240" s="3">
        <v>0.96000099999999999</v>
      </c>
      <c r="E6240" s="3">
        <v>6.4496866681655396</v>
      </c>
      <c r="F6240" s="3">
        <v>6.4496866681655396</v>
      </c>
      <c r="G6240" s="3">
        <v>15.8444605</v>
      </c>
      <c r="H6240" s="3">
        <v>341.53605773933299</v>
      </c>
      <c r="I6240" s="3">
        <v>14.933346999999999</v>
      </c>
      <c r="J6240" s="3">
        <v>15.946681999999999</v>
      </c>
      <c r="K6240" s="3">
        <v>14.928903999999999</v>
      </c>
      <c r="L6240" s="3">
        <v>341.53605773933299</v>
      </c>
    </row>
    <row r="6241" spans="1:12" ht="15" customHeight="1" x14ac:dyDescent="0.2">
      <c r="A6241" s="2">
        <v>36990</v>
      </c>
      <c r="B6241" s="3">
        <v>14.8844595</v>
      </c>
      <c r="C6241" s="1">
        <v>761174.26</v>
      </c>
      <c r="D6241" s="3">
        <v>-0.33777749999999901</v>
      </c>
      <c r="E6241" s="3">
        <v>-2.2189741231857001</v>
      </c>
      <c r="F6241" s="3">
        <v>-2.2189741231857001</v>
      </c>
      <c r="G6241" s="3">
        <v>14.8844595</v>
      </c>
      <c r="H6241" s="3">
        <v>314.78380215033201</v>
      </c>
      <c r="I6241" s="3">
        <v>15.333348000000001</v>
      </c>
      <c r="J6241" s="3">
        <v>15.92446</v>
      </c>
      <c r="K6241" s="3">
        <v>14.866681</v>
      </c>
      <c r="L6241" s="3">
        <v>314.78380215033201</v>
      </c>
    </row>
    <row r="6242" spans="1:12" ht="15" customHeight="1" x14ac:dyDescent="0.2">
      <c r="A6242" s="2">
        <v>36987</v>
      </c>
      <c r="B6242" s="3">
        <v>15.222237</v>
      </c>
      <c r="C6242" s="1">
        <v>521999.5</v>
      </c>
      <c r="D6242" s="3">
        <v>-0.36111100000000101</v>
      </c>
      <c r="E6242" s="3">
        <v>-2.31728765859557</v>
      </c>
      <c r="F6242" s="3">
        <v>-2.31728765859557</v>
      </c>
      <c r="G6242" s="3">
        <v>15.222237</v>
      </c>
      <c r="H6242" s="3">
        <v>324.19661527470799</v>
      </c>
      <c r="I6242" s="3">
        <v>15.555569999999999</v>
      </c>
      <c r="J6242" s="3">
        <v>15.555569999999999</v>
      </c>
      <c r="K6242" s="3">
        <v>14.833348000000001</v>
      </c>
      <c r="L6242" s="3">
        <v>324.19661527470799</v>
      </c>
    </row>
    <row r="6243" spans="1:12" ht="15" customHeight="1" x14ac:dyDescent="0.2">
      <c r="A6243" s="2">
        <v>36986</v>
      </c>
      <c r="B6243" s="3">
        <v>15.583348000000001</v>
      </c>
      <c r="C6243" s="1">
        <v>996074.03999999899</v>
      </c>
      <c r="D6243" s="3">
        <v>0.58333300000000099</v>
      </c>
      <c r="E6243" s="3">
        <v>3.8888827777838899</v>
      </c>
      <c r="F6243" s="3">
        <v>3.8888827777838899</v>
      </c>
      <c r="G6243" s="3">
        <v>15.583348000000001</v>
      </c>
      <c r="H6243" s="3">
        <v>334.259660800701</v>
      </c>
      <c r="I6243" s="3">
        <v>15.305569999999999</v>
      </c>
      <c r="J6243" s="3">
        <v>15.916682</v>
      </c>
      <c r="K6243" s="3">
        <v>15.277792</v>
      </c>
      <c r="L6243" s="3">
        <v>334.259660800701</v>
      </c>
    </row>
    <row r="6244" spans="1:12" ht="15" customHeight="1" x14ac:dyDescent="0.2">
      <c r="A6244" s="2">
        <v>36985</v>
      </c>
      <c r="B6244" s="3">
        <v>15.000014999999999</v>
      </c>
      <c r="C6244" s="1">
        <v>1912723.0999999901</v>
      </c>
      <c r="D6244" s="3">
        <v>0.111111999999998</v>
      </c>
      <c r="E6244" s="3">
        <v>0.74627391957620104</v>
      </c>
      <c r="F6244" s="3">
        <v>0.74627391957620104</v>
      </c>
      <c r="G6244" s="3">
        <v>15.000014999999999</v>
      </c>
      <c r="H6244" s="3">
        <v>318.00397616131198</v>
      </c>
      <c r="I6244" s="3">
        <v>14.805569999999999</v>
      </c>
      <c r="J6244" s="3">
        <v>15.222237</v>
      </c>
      <c r="K6244" s="3">
        <v>14.805569999999999</v>
      </c>
      <c r="L6244" s="3">
        <v>318.00397616131198</v>
      </c>
    </row>
    <row r="6245" spans="1:12" ht="15" customHeight="1" x14ac:dyDescent="0.2">
      <c r="A6245" s="2">
        <v>36984</v>
      </c>
      <c r="B6245" s="3">
        <v>14.888903000000001</v>
      </c>
      <c r="C6245" s="1">
        <v>1428748.7</v>
      </c>
      <c r="D6245" s="3">
        <v>-0.83333499999999905</v>
      </c>
      <c r="E6245" s="3">
        <v>-5.3003586385093504</v>
      </c>
      <c r="F6245" s="3">
        <v>-5.3003586385093504</v>
      </c>
      <c r="G6245" s="3">
        <v>14.888903000000001</v>
      </c>
      <c r="H6245" s="3">
        <v>314.90762873771098</v>
      </c>
      <c r="I6245" s="3">
        <v>15.791682</v>
      </c>
      <c r="J6245" s="3">
        <v>15.791682</v>
      </c>
      <c r="K6245" s="3">
        <v>14.388903000000001</v>
      </c>
      <c r="L6245" s="3">
        <v>314.90762873771098</v>
      </c>
    </row>
    <row r="6246" spans="1:12" ht="15" customHeight="1" x14ac:dyDescent="0.2">
      <c r="A6246" s="2">
        <v>36983</v>
      </c>
      <c r="B6246" s="3">
        <v>15.722238000000001</v>
      </c>
      <c r="C6246" s="1">
        <v>483974.51999999897</v>
      </c>
      <c r="D6246" s="3">
        <v>-0.63888799999999701</v>
      </c>
      <c r="E6246" s="3">
        <v>-3.9049146128450798</v>
      </c>
      <c r="F6246" s="3">
        <v>-3.9049146128450798</v>
      </c>
      <c r="G6246" s="3">
        <v>15.722238000000001</v>
      </c>
      <c r="H6246" s="3">
        <v>338.130095080204</v>
      </c>
      <c r="I6246" s="3">
        <v>16.361125999999999</v>
      </c>
      <c r="J6246" s="3">
        <v>16.388905000000001</v>
      </c>
      <c r="K6246" s="3">
        <v>15.722238000000001</v>
      </c>
      <c r="L6246" s="3">
        <v>338.130095080204</v>
      </c>
    </row>
    <row r="6247" spans="1:12" ht="15" customHeight="1" x14ac:dyDescent="0.2">
      <c r="A6247" s="2">
        <v>36980</v>
      </c>
      <c r="B6247" s="3">
        <v>16.361125999999999</v>
      </c>
      <c r="C6247" s="1">
        <v>651599.37</v>
      </c>
      <c r="D6247" s="3">
        <v>0.30555700000000002</v>
      </c>
      <c r="E6247" s="3">
        <v>1.90312158977361</v>
      </c>
      <c r="F6247" s="3">
        <v>1.90312158977361</v>
      </c>
      <c r="G6247" s="3">
        <v>16.361125999999999</v>
      </c>
      <c r="H6247" s="3">
        <v>355.93392556448998</v>
      </c>
      <c r="I6247" s="3">
        <v>16.000015000000001</v>
      </c>
      <c r="J6247" s="3">
        <v>16.444459999999999</v>
      </c>
      <c r="K6247" s="3">
        <v>15.444459</v>
      </c>
      <c r="L6247" s="3">
        <v>355.93392556448998</v>
      </c>
    </row>
    <row r="6248" spans="1:12" ht="15" customHeight="1" x14ac:dyDescent="0.2">
      <c r="A6248" s="2">
        <v>36979</v>
      </c>
      <c r="B6248" s="3">
        <v>16.055568999999998</v>
      </c>
      <c r="C6248" s="1">
        <v>884024.2</v>
      </c>
      <c r="D6248" s="3">
        <v>0.19444299999999701</v>
      </c>
      <c r="E6248" s="3">
        <v>1.2259091819836601</v>
      </c>
      <c r="F6248" s="3">
        <v>1.2259091819836601</v>
      </c>
      <c r="G6248" s="3">
        <v>16.055568999999998</v>
      </c>
      <c r="H6248" s="3">
        <v>347.41899801648901</v>
      </c>
      <c r="I6248" s="3">
        <v>15.923626000000001</v>
      </c>
      <c r="J6248" s="3">
        <v>16.527792000000002</v>
      </c>
      <c r="K6248" s="3">
        <v>15.916682</v>
      </c>
      <c r="L6248" s="3">
        <v>347.41899801648901</v>
      </c>
    </row>
    <row r="6249" spans="1:12" ht="15" customHeight="1" x14ac:dyDescent="0.2">
      <c r="A6249" s="2">
        <v>36978</v>
      </c>
      <c r="B6249" s="3">
        <v>15.861126000000001</v>
      </c>
      <c r="C6249" s="1">
        <v>652274.35</v>
      </c>
      <c r="D6249" s="3">
        <v>0.27777799999999903</v>
      </c>
      <c r="E6249" s="3">
        <v>1.7825309426446601</v>
      </c>
      <c r="F6249" s="3">
        <v>1.7825309426446601</v>
      </c>
      <c r="G6249" s="3">
        <v>15.861126000000001</v>
      </c>
      <c r="H6249" s="3">
        <v>342.000473625898</v>
      </c>
      <c r="I6249" s="3">
        <v>15.555569999999999</v>
      </c>
      <c r="J6249" s="3">
        <v>15.944459</v>
      </c>
      <c r="K6249" s="3">
        <v>15.333348000000001</v>
      </c>
      <c r="L6249" s="3">
        <v>342.000473625898</v>
      </c>
    </row>
    <row r="6250" spans="1:12" ht="15" customHeight="1" x14ac:dyDescent="0.2">
      <c r="A6250" s="2">
        <v>36977</v>
      </c>
      <c r="B6250" s="3">
        <v>15.583348000000001</v>
      </c>
      <c r="C6250" s="1">
        <v>1372723.9</v>
      </c>
      <c r="D6250" s="3">
        <v>0.30555600000000099</v>
      </c>
      <c r="E6250" s="3">
        <v>2.00000104727176</v>
      </c>
      <c r="F6250" s="3">
        <v>2.00000104727176</v>
      </c>
      <c r="G6250" s="3">
        <v>15.583348000000001</v>
      </c>
      <c r="H6250" s="3">
        <v>334.259660800701</v>
      </c>
      <c r="I6250" s="3">
        <v>15.305569999999999</v>
      </c>
      <c r="J6250" s="3">
        <v>15.944459</v>
      </c>
      <c r="K6250" s="3">
        <v>15.166681000000001</v>
      </c>
      <c r="L6250" s="3">
        <v>334.259660800701</v>
      </c>
    </row>
    <row r="6251" spans="1:12" ht="15" customHeight="1" x14ac:dyDescent="0.2">
      <c r="A6251" s="2">
        <v>36976</v>
      </c>
      <c r="B6251" s="3">
        <v>15.277792</v>
      </c>
      <c r="C6251" s="1">
        <v>462824.52</v>
      </c>
      <c r="D6251" s="3">
        <v>-0.31944600000000101</v>
      </c>
      <c r="E6251" s="3">
        <v>-2.0480933867906699</v>
      </c>
      <c r="F6251" s="3">
        <v>-2.0480933867906699</v>
      </c>
      <c r="G6251" s="3">
        <v>15.277792</v>
      </c>
      <c r="H6251" s="3">
        <v>325.74476111960502</v>
      </c>
      <c r="I6251" s="3">
        <v>15.562514999999999</v>
      </c>
      <c r="J6251" s="3">
        <v>15.638904999999999</v>
      </c>
      <c r="K6251" s="3">
        <v>15.250014999999999</v>
      </c>
      <c r="L6251" s="3">
        <v>325.74476111960502</v>
      </c>
    </row>
    <row r="6252" spans="1:12" ht="15" customHeight="1" x14ac:dyDescent="0.2">
      <c r="A6252" s="2">
        <v>36973</v>
      </c>
      <c r="B6252" s="3">
        <v>15.597238000000001</v>
      </c>
      <c r="C6252" s="1">
        <v>1295998.8</v>
      </c>
      <c r="D6252" s="3">
        <v>0.45833499999999899</v>
      </c>
      <c r="E6252" s="3">
        <v>3.0275311229618098</v>
      </c>
      <c r="F6252" s="3">
        <v>3.0275311229618098</v>
      </c>
      <c r="G6252" s="3">
        <v>15.597238000000001</v>
      </c>
      <c r="H6252" s="3">
        <v>334.64673209555599</v>
      </c>
      <c r="I6252" s="3">
        <v>15.180569999999999</v>
      </c>
      <c r="J6252" s="3">
        <v>15.694459</v>
      </c>
      <c r="K6252" s="3">
        <v>15.166681000000001</v>
      </c>
      <c r="L6252" s="3">
        <v>334.64673209555599</v>
      </c>
    </row>
    <row r="6253" spans="1:12" ht="15" customHeight="1" x14ac:dyDescent="0.2">
      <c r="A6253" s="2">
        <v>36972</v>
      </c>
      <c r="B6253" s="3">
        <v>15.138903000000001</v>
      </c>
      <c r="C6253" s="1">
        <v>1336723.8</v>
      </c>
      <c r="D6253" s="3">
        <v>0.16666700000000001</v>
      </c>
      <c r="E6253" s="3">
        <v>1.11317374372137</v>
      </c>
      <c r="F6253" s="3">
        <v>1.11317374372137</v>
      </c>
      <c r="G6253" s="3">
        <v>15.138903000000001</v>
      </c>
      <c r="H6253" s="3">
        <v>321.874354707007</v>
      </c>
      <c r="I6253" s="3">
        <v>15.013903000000001</v>
      </c>
      <c r="J6253" s="3">
        <v>15.388903000000001</v>
      </c>
      <c r="K6253" s="3">
        <v>14.722236000000001</v>
      </c>
      <c r="L6253" s="3">
        <v>321.874354707007</v>
      </c>
    </row>
    <row r="6254" spans="1:12" ht="15" customHeight="1" x14ac:dyDescent="0.2">
      <c r="A6254" s="2">
        <v>36971</v>
      </c>
      <c r="B6254" s="3">
        <v>14.972236000000001</v>
      </c>
      <c r="C6254" s="1">
        <v>1055024</v>
      </c>
      <c r="D6254" s="3">
        <v>0.36111100000000101</v>
      </c>
      <c r="E6254" s="3">
        <v>2.4714797799622001</v>
      </c>
      <c r="F6254" s="3">
        <v>2.4714797799622001</v>
      </c>
      <c r="G6254" s="3">
        <v>14.972236000000001</v>
      </c>
      <c r="H6254" s="3">
        <v>317.22986143850801</v>
      </c>
      <c r="I6254" s="3">
        <v>14.416679999999999</v>
      </c>
      <c r="J6254" s="3">
        <v>15.111126000000001</v>
      </c>
      <c r="K6254" s="3">
        <v>14.388903000000001</v>
      </c>
      <c r="L6254" s="3">
        <v>317.22986143850801</v>
      </c>
    </row>
    <row r="6255" spans="1:12" ht="15" customHeight="1" x14ac:dyDescent="0.2">
      <c r="A6255" s="2">
        <v>36970</v>
      </c>
      <c r="B6255" s="3">
        <v>14.611124999999999</v>
      </c>
      <c r="C6255" s="1">
        <v>660374.4</v>
      </c>
      <c r="D6255" s="3">
        <v>-0.19444499999999901</v>
      </c>
      <c r="E6255" s="3">
        <v>-1.31332329657014</v>
      </c>
      <c r="F6255" s="3">
        <v>-1.31332329657014</v>
      </c>
      <c r="G6255" s="3">
        <v>14.611124999999999</v>
      </c>
      <c r="H6255" s="3">
        <v>307.16681591251398</v>
      </c>
      <c r="I6255" s="3">
        <v>14.784739</v>
      </c>
      <c r="J6255" s="3">
        <v>15.222237</v>
      </c>
      <c r="K6255" s="3">
        <v>14.527792</v>
      </c>
      <c r="L6255" s="3">
        <v>307.16681591251398</v>
      </c>
    </row>
    <row r="6256" spans="1:12" ht="15" customHeight="1" x14ac:dyDescent="0.2">
      <c r="A6256" s="2">
        <v>36969</v>
      </c>
      <c r="B6256" s="3">
        <v>14.805569999999999</v>
      </c>
      <c r="C6256" s="1">
        <v>1584673.5</v>
      </c>
      <c r="D6256" s="3">
        <v>0.13888899999999799</v>
      </c>
      <c r="E6256" s="3">
        <v>0.94696952909796295</v>
      </c>
      <c r="F6256" s="3">
        <v>0.94696952909796295</v>
      </c>
      <c r="G6256" s="3">
        <v>14.805569999999999</v>
      </c>
      <c r="H6256" s="3">
        <v>312.58539603691298</v>
      </c>
      <c r="I6256" s="3">
        <v>14.680569999999999</v>
      </c>
      <c r="J6256" s="3">
        <v>14.833348000000001</v>
      </c>
      <c r="K6256" s="3">
        <v>14.638903000000001</v>
      </c>
      <c r="L6256" s="3">
        <v>312.58539603691298</v>
      </c>
    </row>
    <row r="6257" spans="1:12" ht="15" customHeight="1" x14ac:dyDescent="0.2">
      <c r="A6257" s="2">
        <v>36966</v>
      </c>
      <c r="B6257" s="3">
        <v>14.666681000000001</v>
      </c>
      <c r="C6257" s="1">
        <v>901349.1</v>
      </c>
      <c r="D6257" s="3">
        <v>-0.13888899999999799</v>
      </c>
      <c r="E6257" s="3">
        <v>-0.93808613920300898</v>
      </c>
      <c r="F6257" s="3">
        <v>-0.93808613920300898</v>
      </c>
      <c r="G6257" s="3">
        <v>14.666681000000001</v>
      </c>
      <c r="H6257" s="3">
        <v>308.71498962431502</v>
      </c>
      <c r="I6257" s="3">
        <v>14.868069999999999</v>
      </c>
      <c r="J6257" s="3">
        <v>14.944459</v>
      </c>
      <c r="K6257" s="3">
        <v>14.277792</v>
      </c>
      <c r="L6257" s="3">
        <v>308.71498962431502</v>
      </c>
    </row>
    <row r="6258" spans="1:12" ht="15" customHeight="1" x14ac:dyDescent="0.2">
      <c r="A6258" s="2">
        <v>36965</v>
      </c>
      <c r="B6258" s="3">
        <v>14.805569999999999</v>
      </c>
      <c r="C6258" s="1">
        <v>1400623.5</v>
      </c>
      <c r="D6258" s="3">
        <v>-1.2222219999999999</v>
      </c>
      <c r="E6258" s="3">
        <v>-7.6256417602624298</v>
      </c>
      <c r="F6258" s="3">
        <v>-7.6256417602624298</v>
      </c>
      <c r="G6258" s="3">
        <v>14.805569999999999</v>
      </c>
      <c r="H6258" s="3">
        <v>312.58539603691298</v>
      </c>
      <c r="I6258" s="3">
        <v>16.055572999999999</v>
      </c>
      <c r="J6258" s="3">
        <v>16.159738999999998</v>
      </c>
      <c r="K6258" s="3">
        <v>14.500012999999999</v>
      </c>
      <c r="L6258" s="3">
        <v>312.58539603691298</v>
      </c>
    </row>
    <row r="6259" spans="1:12" ht="15" customHeight="1" x14ac:dyDescent="0.2">
      <c r="A6259" s="2">
        <v>36964</v>
      </c>
      <c r="B6259" s="3">
        <v>16.027792000000002</v>
      </c>
      <c r="C6259" s="1">
        <v>1508173.5</v>
      </c>
      <c r="D6259" s="3">
        <v>-0.61111299999999902</v>
      </c>
      <c r="E6259" s="3">
        <v>-3.6727957759239498</v>
      </c>
      <c r="F6259" s="3">
        <v>-3.6727957759239498</v>
      </c>
      <c r="G6259" s="3">
        <v>16.027792000000002</v>
      </c>
      <c r="H6259" s="3">
        <v>346.64493902749302</v>
      </c>
      <c r="I6259" s="3">
        <v>16.222238999999998</v>
      </c>
      <c r="J6259" s="3">
        <v>16.277792000000002</v>
      </c>
      <c r="K6259" s="3">
        <v>15.888904999999999</v>
      </c>
      <c r="L6259" s="3">
        <v>346.64493902749302</v>
      </c>
    </row>
    <row r="6260" spans="1:12" ht="15" customHeight="1" x14ac:dyDescent="0.2">
      <c r="A6260" s="2">
        <v>36963</v>
      </c>
      <c r="B6260" s="3">
        <v>16.638905000000001</v>
      </c>
      <c r="C6260" s="1">
        <v>1559023.6</v>
      </c>
      <c r="D6260" s="3">
        <v>-0.36110999999999999</v>
      </c>
      <c r="E6260" s="3">
        <v>-2.1241745963165299</v>
      </c>
      <c r="F6260" s="3">
        <v>-2.1241745963165299</v>
      </c>
      <c r="G6260" s="3">
        <v>16.638905000000001</v>
      </c>
      <c r="H6260" s="3">
        <v>363.67476625658998</v>
      </c>
      <c r="I6260" s="3">
        <v>17.000015000000001</v>
      </c>
      <c r="J6260" s="3">
        <v>17.055572999999999</v>
      </c>
      <c r="K6260" s="3">
        <v>16.222238999999998</v>
      </c>
      <c r="L6260" s="3">
        <v>363.67476625658998</v>
      </c>
    </row>
    <row r="6261" spans="1:12" ht="15" customHeight="1" x14ac:dyDescent="0.2">
      <c r="A6261" s="2">
        <v>36962</v>
      </c>
      <c r="B6261" s="3">
        <v>17.000015000000001</v>
      </c>
      <c r="C6261" s="1">
        <v>1066274</v>
      </c>
      <c r="D6261" s="3">
        <v>-8.3334999999998105E-2</v>
      </c>
      <c r="E6261" s="3">
        <v>-0.48781415823008201</v>
      </c>
      <c r="F6261" s="3">
        <v>-0.48781415823008201</v>
      </c>
      <c r="G6261" s="3">
        <v>17.000015000000001</v>
      </c>
      <c r="H6261" s="3">
        <v>373.73778391567998</v>
      </c>
      <c r="I6261" s="3">
        <v>17.111128000000001</v>
      </c>
      <c r="J6261" s="3">
        <v>17.166682999999999</v>
      </c>
      <c r="K6261" s="3">
        <v>16.833349999999999</v>
      </c>
      <c r="L6261" s="3">
        <v>373.73778391567998</v>
      </c>
    </row>
    <row r="6262" spans="1:12" ht="15" customHeight="1" x14ac:dyDescent="0.2">
      <c r="A6262" s="2">
        <v>36959</v>
      </c>
      <c r="B6262" s="3">
        <v>17.083349999999999</v>
      </c>
      <c r="C6262" s="1">
        <v>589499.44999999995</v>
      </c>
      <c r="D6262" s="3">
        <v>8.3334999999998105E-2</v>
      </c>
      <c r="E6262" s="3">
        <v>0.49020544981870301</v>
      </c>
      <c r="F6262" s="3">
        <v>0.49020544981870301</v>
      </c>
      <c r="G6262" s="3">
        <v>17.083349999999999</v>
      </c>
      <c r="H6262" s="3">
        <v>376.060072350285</v>
      </c>
      <c r="I6262" s="3">
        <v>17.000015000000001</v>
      </c>
      <c r="J6262" s="3">
        <v>17.138905000000001</v>
      </c>
      <c r="K6262" s="3">
        <v>16.833349999999999</v>
      </c>
      <c r="L6262" s="3">
        <v>376.060072350285</v>
      </c>
    </row>
    <row r="6263" spans="1:12" ht="15" customHeight="1" x14ac:dyDescent="0.2">
      <c r="A6263" s="2">
        <v>36958</v>
      </c>
      <c r="B6263" s="3">
        <v>17.000015000000001</v>
      </c>
      <c r="C6263" s="1">
        <v>303974.73</v>
      </c>
      <c r="D6263" s="3">
        <v>8.3332000000002099E-2</v>
      </c>
      <c r="E6263" s="3">
        <v>0.49260248004885299</v>
      </c>
      <c r="F6263" s="3">
        <v>0.49260248004885299</v>
      </c>
      <c r="G6263" s="3">
        <v>17.000015000000001</v>
      </c>
      <c r="H6263" s="3">
        <v>373.73778391567998</v>
      </c>
      <c r="I6263" s="3">
        <v>16.923628000000001</v>
      </c>
      <c r="J6263" s="3">
        <v>17.222239999999999</v>
      </c>
      <c r="K6263" s="3">
        <v>16.916682999999999</v>
      </c>
      <c r="L6263" s="3">
        <v>373.73778391567998</v>
      </c>
    </row>
    <row r="6264" spans="1:12" ht="15" customHeight="1" x14ac:dyDescent="0.2">
      <c r="A6264" s="2">
        <v>36957</v>
      </c>
      <c r="B6264" s="3">
        <v>16.916682999999999</v>
      </c>
      <c r="C6264" s="1">
        <v>789074.3</v>
      </c>
      <c r="D6264" s="3">
        <v>0.19444099999999701</v>
      </c>
      <c r="E6264" s="3">
        <v>1.1627687244329901</v>
      </c>
      <c r="F6264" s="3">
        <v>1.1627687244329901</v>
      </c>
      <c r="G6264" s="3">
        <v>16.916682999999999</v>
      </c>
      <c r="H6264" s="3">
        <v>371.41557908178601</v>
      </c>
      <c r="I6264" s="3">
        <v>16.763905000000001</v>
      </c>
      <c r="J6264" s="3">
        <v>17.111128000000001</v>
      </c>
      <c r="K6264" s="3">
        <v>16.750015000000001</v>
      </c>
      <c r="L6264" s="3">
        <v>371.41557908178601</v>
      </c>
    </row>
    <row r="6265" spans="1:12" ht="15" customHeight="1" x14ac:dyDescent="0.2">
      <c r="A6265" s="2">
        <v>36956</v>
      </c>
      <c r="B6265" s="3">
        <v>16.722242000000001</v>
      </c>
      <c r="C6265" s="1">
        <v>687149.4</v>
      </c>
      <c r="D6265" s="3">
        <v>-0.16666299999999901</v>
      </c>
      <c r="E6265" s="3">
        <v>-0.98681945336301902</v>
      </c>
      <c r="F6265" s="3">
        <v>-0.98681945336301902</v>
      </c>
      <c r="G6265" s="3">
        <v>16.722242000000001</v>
      </c>
      <c r="H6265" s="3">
        <v>365.99711042500297</v>
      </c>
      <c r="I6265" s="3">
        <v>17.083349999999999</v>
      </c>
      <c r="J6265" s="3">
        <v>17.250015000000001</v>
      </c>
      <c r="K6265" s="3">
        <v>16.638905000000001</v>
      </c>
      <c r="L6265" s="3">
        <v>365.99711042500297</v>
      </c>
    </row>
    <row r="6266" spans="1:12" ht="15" customHeight="1" x14ac:dyDescent="0.2">
      <c r="A6266" s="2">
        <v>36955</v>
      </c>
      <c r="B6266" s="3">
        <v>16.888905000000001</v>
      </c>
      <c r="C6266" s="1">
        <v>609974.39999999898</v>
      </c>
      <c r="D6266" s="3">
        <v>-2.7777999999997801E-2</v>
      </c>
      <c r="E6266" s="3">
        <v>-0.164204767565823</v>
      </c>
      <c r="F6266" s="3">
        <v>-0.164204767565823</v>
      </c>
      <c r="G6266" s="3">
        <v>16.888905000000001</v>
      </c>
      <c r="H6266" s="3">
        <v>370.641492225886</v>
      </c>
      <c r="I6266" s="3">
        <v>16.840294</v>
      </c>
      <c r="J6266" s="3">
        <v>17.000015000000001</v>
      </c>
      <c r="K6266" s="3">
        <v>16.583349999999999</v>
      </c>
      <c r="L6266" s="3">
        <v>370.641492225886</v>
      </c>
    </row>
    <row r="6267" spans="1:12" ht="15" customHeight="1" x14ac:dyDescent="0.2">
      <c r="A6267" s="2">
        <v>36952</v>
      </c>
      <c r="B6267" s="3">
        <v>16.916682999999999</v>
      </c>
      <c r="C6267" s="1">
        <v>496349.51999999897</v>
      </c>
      <c r="D6267" s="3">
        <v>-0.30555700000000002</v>
      </c>
      <c r="E6267" s="3">
        <v>-1.7742001040515001</v>
      </c>
      <c r="F6267" s="3">
        <v>-1.7742001040515001</v>
      </c>
      <c r="G6267" s="3">
        <v>16.916682999999999</v>
      </c>
      <c r="H6267" s="3">
        <v>371.41557908178601</v>
      </c>
      <c r="I6267" s="3">
        <v>17.222239999999999</v>
      </c>
      <c r="J6267" s="3">
        <v>17.277792000000002</v>
      </c>
      <c r="K6267" s="3">
        <v>16.833349999999999</v>
      </c>
      <c r="L6267" s="3">
        <v>371.41557908178601</v>
      </c>
    </row>
    <row r="6268" spans="1:12" ht="15" customHeight="1" x14ac:dyDescent="0.2">
      <c r="A6268" s="2">
        <v>36951</v>
      </c>
      <c r="B6268" s="3">
        <v>17.222239999999999</v>
      </c>
      <c r="C6268" s="1">
        <v>442349.58</v>
      </c>
      <c r="D6268" s="3">
        <v>-0.36111100000000101</v>
      </c>
      <c r="E6268" s="3">
        <v>-2.0537097848982202</v>
      </c>
      <c r="F6268" s="3">
        <v>-2.0537097848982202</v>
      </c>
      <c r="G6268" s="3">
        <v>17.222239999999999</v>
      </c>
      <c r="H6268" s="3">
        <v>379.93050662978698</v>
      </c>
      <c r="I6268" s="3">
        <v>17.555574</v>
      </c>
      <c r="J6268" s="3">
        <v>17.666682999999999</v>
      </c>
      <c r="K6268" s="3">
        <v>17.055572999999999</v>
      </c>
      <c r="L6268" s="3">
        <v>379.93050662978698</v>
      </c>
    </row>
    <row r="6269" spans="1:12" ht="15" customHeight="1" x14ac:dyDescent="0.2">
      <c r="A6269" s="2">
        <v>36950</v>
      </c>
      <c r="B6269" s="3">
        <v>17.583351</v>
      </c>
      <c r="C6269" s="1">
        <v>421199.62</v>
      </c>
      <c r="D6269" s="3">
        <v>-0.25</v>
      </c>
      <c r="E6269" s="3">
        <v>-1.4018677701122899</v>
      </c>
      <c r="F6269" s="3">
        <v>-1.4018677701122899</v>
      </c>
      <c r="G6269" s="3">
        <v>17.583351</v>
      </c>
      <c r="H6269" s="3">
        <v>389.99355215577998</v>
      </c>
      <c r="I6269" s="3">
        <v>17.944462000000001</v>
      </c>
      <c r="J6269" s="3">
        <v>18.000017</v>
      </c>
      <c r="K6269" s="3">
        <v>17.583351</v>
      </c>
      <c r="L6269" s="3">
        <v>389.99355215577998</v>
      </c>
    </row>
    <row r="6270" spans="1:12" ht="15" customHeight="1" x14ac:dyDescent="0.2">
      <c r="A6270" s="2">
        <v>36949</v>
      </c>
      <c r="B6270" s="3">
        <v>17.833351</v>
      </c>
      <c r="C6270" s="1">
        <v>656999.4</v>
      </c>
      <c r="D6270" s="3">
        <v>-0.38889100000000099</v>
      </c>
      <c r="E6270" s="3">
        <v>-2.1341556104896502</v>
      </c>
      <c r="F6270" s="3">
        <v>-2.1341556104896502</v>
      </c>
      <c r="G6270" s="3">
        <v>17.833351</v>
      </c>
      <c r="H6270" s="3">
        <v>396.960278125076</v>
      </c>
      <c r="I6270" s="3">
        <v>18.250017</v>
      </c>
      <c r="J6270" s="3">
        <v>18.277794</v>
      </c>
      <c r="K6270" s="3">
        <v>17.722239999999999</v>
      </c>
      <c r="L6270" s="3">
        <v>396.960278125076</v>
      </c>
    </row>
    <row r="6271" spans="1:12" ht="15" customHeight="1" x14ac:dyDescent="0.2">
      <c r="A6271" s="2">
        <v>36948</v>
      </c>
      <c r="B6271" s="3">
        <v>18.222242000000001</v>
      </c>
      <c r="C6271" s="1">
        <v>270899.71999999997</v>
      </c>
      <c r="D6271" s="3">
        <v>-0.13888599999999901</v>
      </c>
      <c r="E6271" s="3">
        <v>-0.75641322254275101</v>
      </c>
      <c r="F6271" s="3">
        <v>-0.75641322254275101</v>
      </c>
      <c r="G6271" s="3">
        <v>18.222242000000001</v>
      </c>
      <c r="H6271" s="3">
        <v>407.79746624077802</v>
      </c>
      <c r="I6271" s="3">
        <v>18.222242000000001</v>
      </c>
      <c r="J6271" s="3">
        <v>18.500017</v>
      </c>
      <c r="K6271" s="3">
        <v>18.166685000000001</v>
      </c>
      <c r="L6271" s="3">
        <v>407.79746624077802</v>
      </c>
    </row>
    <row r="6272" spans="1:12" ht="15" customHeight="1" x14ac:dyDescent="0.2">
      <c r="A6272" s="2">
        <v>36945</v>
      </c>
      <c r="B6272" s="3">
        <v>18.361128000000001</v>
      </c>
      <c r="C6272" s="1">
        <v>249749.77</v>
      </c>
      <c r="D6272" s="3">
        <v>-2.7777999999997801E-2</v>
      </c>
      <c r="E6272" s="3">
        <v>-0.15105846970993</v>
      </c>
      <c r="F6272" s="3">
        <v>-0.15105846970993</v>
      </c>
      <c r="G6272" s="3">
        <v>18.361128000000001</v>
      </c>
      <c r="H6272" s="3">
        <v>411.667789052665</v>
      </c>
      <c r="I6272" s="3">
        <v>18.118074</v>
      </c>
      <c r="J6272" s="3">
        <v>18.472242000000001</v>
      </c>
      <c r="K6272" s="3">
        <v>17.916681000000001</v>
      </c>
      <c r="L6272" s="3">
        <v>411.667789052665</v>
      </c>
    </row>
    <row r="6273" spans="1:12" ht="15" customHeight="1" x14ac:dyDescent="0.2">
      <c r="A6273" s="2">
        <v>36944</v>
      </c>
      <c r="B6273" s="3">
        <v>18.388905999999999</v>
      </c>
      <c r="C6273" s="1">
        <v>467324.52</v>
      </c>
      <c r="D6273" s="3">
        <v>0.27777799999999703</v>
      </c>
      <c r="E6273" s="3">
        <v>1.5337421280441299</v>
      </c>
      <c r="F6273" s="3">
        <v>1.5337421280441299</v>
      </c>
      <c r="G6273" s="3">
        <v>18.388905999999999</v>
      </c>
      <c r="H6273" s="3">
        <v>412.44187590856501</v>
      </c>
      <c r="I6273" s="3">
        <v>17.951405000000001</v>
      </c>
      <c r="J6273" s="3">
        <v>18.388905999999999</v>
      </c>
      <c r="K6273" s="3">
        <v>17.638905000000001</v>
      </c>
      <c r="L6273" s="3">
        <v>412.44187590856501</v>
      </c>
    </row>
    <row r="6274" spans="1:12" ht="15" customHeight="1" x14ac:dyDescent="0.2">
      <c r="A6274" s="2">
        <v>36943</v>
      </c>
      <c r="B6274" s="3">
        <v>18.111128000000001</v>
      </c>
      <c r="C6274" s="1">
        <v>254699.77</v>
      </c>
      <c r="D6274" s="3">
        <v>-0.27777799999999703</v>
      </c>
      <c r="E6274" s="3">
        <v>-1.51057382097661</v>
      </c>
      <c r="F6274" s="3">
        <v>-1.51057382097661</v>
      </c>
      <c r="G6274" s="3">
        <v>18.111128000000001</v>
      </c>
      <c r="H6274" s="3">
        <v>404.70106308336898</v>
      </c>
      <c r="I6274" s="3">
        <v>18.194464</v>
      </c>
      <c r="J6274" s="3">
        <v>18.250017</v>
      </c>
      <c r="K6274" s="3">
        <v>18.111128000000001</v>
      </c>
      <c r="L6274" s="3">
        <v>404.70106308336898</v>
      </c>
    </row>
    <row r="6275" spans="1:12" ht="15" customHeight="1" x14ac:dyDescent="0.2">
      <c r="A6275" s="2">
        <v>36942</v>
      </c>
      <c r="B6275" s="3">
        <v>18.388905999999999</v>
      </c>
      <c r="C6275" s="1">
        <v>366974.67</v>
      </c>
      <c r="D6275" s="3">
        <v>0.16666399999999701</v>
      </c>
      <c r="E6275" s="3">
        <v>0.91461851949938799</v>
      </c>
      <c r="F6275" s="3">
        <v>0.91461851949938799</v>
      </c>
      <c r="G6275" s="3">
        <v>18.388905999999999</v>
      </c>
      <c r="H6275" s="3">
        <v>412.44187590856501</v>
      </c>
      <c r="I6275" s="3">
        <v>18.208351</v>
      </c>
      <c r="J6275" s="3">
        <v>18.500017</v>
      </c>
      <c r="K6275" s="3">
        <v>18.173628000000001</v>
      </c>
      <c r="L6275" s="3">
        <v>412.44187590856501</v>
      </c>
    </row>
    <row r="6276" spans="1:12" ht="15" customHeight="1" x14ac:dyDescent="0.2">
      <c r="A6276" s="2">
        <v>36938</v>
      </c>
      <c r="B6276" s="3">
        <v>18.222242000000001</v>
      </c>
      <c r="C6276" s="1">
        <v>506474.51999999903</v>
      </c>
      <c r="D6276" s="3">
        <v>0.19444800000000101</v>
      </c>
      <c r="E6276" s="3">
        <v>1.07860118659</v>
      </c>
      <c r="F6276" s="3">
        <v>1.07860118659</v>
      </c>
      <c r="G6276" s="3">
        <v>18.222242000000001</v>
      </c>
      <c r="H6276" s="3">
        <v>407.79746624077802</v>
      </c>
      <c r="I6276" s="3">
        <v>18.090295999999999</v>
      </c>
      <c r="J6276" s="3">
        <v>18.277794</v>
      </c>
      <c r="K6276" s="3">
        <v>17.833351</v>
      </c>
      <c r="L6276" s="3">
        <v>407.79746624077802</v>
      </c>
    </row>
    <row r="6277" spans="1:12" ht="15" customHeight="1" x14ac:dyDescent="0.2">
      <c r="A6277" s="2">
        <v>36937</v>
      </c>
      <c r="B6277" s="3">
        <v>18.027794</v>
      </c>
      <c r="C6277" s="1">
        <v>805949.3</v>
      </c>
      <c r="D6277" s="3">
        <v>0.25</v>
      </c>
      <c r="E6277" s="3">
        <v>1.40624871679804</v>
      </c>
      <c r="F6277" s="3">
        <v>1.40624871679804</v>
      </c>
      <c r="G6277" s="3">
        <v>18.027794</v>
      </c>
      <c r="H6277" s="3">
        <v>402.37880251566799</v>
      </c>
      <c r="I6277" s="3">
        <v>17.805574</v>
      </c>
      <c r="J6277" s="3">
        <v>18.166685000000001</v>
      </c>
      <c r="K6277" s="3">
        <v>17.722239999999999</v>
      </c>
      <c r="L6277" s="3">
        <v>402.37880251566799</v>
      </c>
    </row>
    <row r="6278" spans="1:12" ht="15" customHeight="1" x14ac:dyDescent="0.2">
      <c r="A6278" s="2">
        <v>36936</v>
      </c>
      <c r="B6278" s="3">
        <v>17.777794</v>
      </c>
      <c r="C6278" s="1">
        <v>1122073.8999999999</v>
      </c>
      <c r="D6278" s="3"/>
      <c r="E6278" s="3"/>
      <c r="F6278" s="3"/>
      <c r="G6278" s="3">
        <v>17.777794</v>
      </c>
      <c r="H6278" s="3">
        <v>395.41207654637202</v>
      </c>
      <c r="I6278" s="3">
        <v>17.638905000000001</v>
      </c>
      <c r="J6278" s="3">
        <v>17.888905000000001</v>
      </c>
      <c r="K6278" s="3">
        <v>17.333349999999999</v>
      </c>
      <c r="L6278" s="3">
        <v>395.41207654637202</v>
      </c>
    </row>
    <row r="6279" spans="1:12" ht="15" customHeight="1" x14ac:dyDescent="0.2">
      <c r="A6279" s="2">
        <v>36935</v>
      </c>
      <c r="B6279" s="3">
        <v>17.777794</v>
      </c>
      <c r="C6279" s="1">
        <v>952424.1</v>
      </c>
      <c r="D6279" s="3">
        <v>0.41666599999999898</v>
      </c>
      <c r="E6279" s="3">
        <v>2.39999382528599</v>
      </c>
      <c r="F6279" s="3">
        <v>2.39999382528599</v>
      </c>
      <c r="G6279" s="3">
        <v>17.777794</v>
      </c>
      <c r="H6279" s="3">
        <v>395.41207654637202</v>
      </c>
      <c r="I6279" s="3">
        <v>17.444462000000001</v>
      </c>
      <c r="J6279" s="3">
        <v>17.916681000000001</v>
      </c>
      <c r="K6279" s="3">
        <v>17.277792000000002</v>
      </c>
      <c r="L6279" s="3">
        <v>395.41207654637202</v>
      </c>
    </row>
    <row r="6280" spans="1:12" ht="15" customHeight="1" x14ac:dyDescent="0.2">
      <c r="A6280" s="2">
        <v>36934</v>
      </c>
      <c r="B6280" s="3">
        <v>17.361128000000001</v>
      </c>
      <c r="C6280" s="1">
        <v>607724.39999999898</v>
      </c>
      <c r="D6280" s="3">
        <v>-0.19444499999999801</v>
      </c>
      <c r="E6280" s="3">
        <v>-1.10759700067891</v>
      </c>
      <c r="F6280" s="3">
        <v>-1.10759700067891</v>
      </c>
      <c r="G6280" s="3">
        <v>17.361128000000001</v>
      </c>
      <c r="H6280" s="3">
        <v>383.80088517548103</v>
      </c>
      <c r="I6280" s="3">
        <v>17.486128000000001</v>
      </c>
      <c r="J6280" s="3">
        <v>17.555572999999999</v>
      </c>
      <c r="K6280" s="3">
        <v>17.222239999999999</v>
      </c>
      <c r="L6280" s="3">
        <v>383.80088517548103</v>
      </c>
    </row>
    <row r="6281" spans="1:12" ht="15" customHeight="1" x14ac:dyDescent="0.2">
      <c r="A6281" s="2">
        <v>36931</v>
      </c>
      <c r="B6281" s="3">
        <v>17.555572999999999</v>
      </c>
      <c r="C6281" s="1">
        <v>1310848.8</v>
      </c>
      <c r="D6281" s="3">
        <v>-0.25</v>
      </c>
      <c r="E6281" s="3">
        <v>-1.4040547866670701</v>
      </c>
      <c r="F6281" s="3">
        <v>-1.4040547866670701</v>
      </c>
      <c r="G6281" s="3">
        <v>17.555572999999999</v>
      </c>
      <c r="H6281" s="3">
        <v>389.21946529988003</v>
      </c>
      <c r="I6281" s="3">
        <v>17.791685000000001</v>
      </c>
      <c r="J6281" s="3">
        <v>17.972238999999998</v>
      </c>
      <c r="K6281" s="3">
        <v>17.222239999999999</v>
      </c>
      <c r="L6281" s="3">
        <v>389.21946529988003</v>
      </c>
    </row>
    <row r="6282" spans="1:12" ht="15" customHeight="1" x14ac:dyDescent="0.2">
      <c r="A6282" s="2">
        <v>36930</v>
      </c>
      <c r="B6282" s="3">
        <v>17.805572999999999</v>
      </c>
      <c r="C6282" s="1">
        <v>2638797.6</v>
      </c>
      <c r="D6282" s="3">
        <v>-1.1944440000000001</v>
      </c>
      <c r="E6282" s="3">
        <v>-6.28654174362054</v>
      </c>
      <c r="F6282" s="3">
        <v>-6.28654174362054</v>
      </c>
      <c r="G6282" s="3">
        <v>17.805572999999999</v>
      </c>
      <c r="H6282" s="3">
        <v>396.18619126917599</v>
      </c>
      <c r="I6282" s="3">
        <v>19.111128000000001</v>
      </c>
      <c r="J6282" s="3">
        <v>19.111128000000001</v>
      </c>
      <c r="K6282" s="3">
        <v>17.638905000000001</v>
      </c>
      <c r="L6282" s="3">
        <v>396.18619126917599</v>
      </c>
    </row>
    <row r="6283" spans="1:12" ht="15" customHeight="1" x14ac:dyDescent="0.2">
      <c r="A6283" s="2">
        <v>36929</v>
      </c>
      <c r="B6283" s="3">
        <v>19.000017</v>
      </c>
      <c r="C6283" s="1">
        <v>762974.24</v>
      </c>
      <c r="D6283" s="3">
        <v>-0.33333400000000002</v>
      </c>
      <c r="E6283" s="3">
        <v>-1.72413980380328</v>
      </c>
      <c r="F6283" s="3">
        <v>-1.72413980380328</v>
      </c>
      <c r="G6283" s="3">
        <v>19.000017</v>
      </c>
      <c r="H6283" s="3">
        <v>429.471647403855</v>
      </c>
      <c r="I6283" s="3">
        <v>19.263905999999999</v>
      </c>
      <c r="J6283" s="3">
        <v>19.666685000000001</v>
      </c>
      <c r="K6283" s="3">
        <v>18.944462000000001</v>
      </c>
      <c r="L6283" s="3">
        <v>429.471647403855</v>
      </c>
    </row>
    <row r="6284" spans="1:12" ht="15" customHeight="1" x14ac:dyDescent="0.2">
      <c r="A6284" s="2">
        <v>36928</v>
      </c>
      <c r="B6284" s="3">
        <v>19.333351</v>
      </c>
      <c r="C6284" s="1">
        <v>605699.46</v>
      </c>
      <c r="D6284" s="3">
        <v>1.63888899999999</v>
      </c>
      <c r="E6284" s="3">
        <v>9.2621578435105807</v>
      </c>
      <c r="F6284" s="3">
        <v>9.2621578435105807</v>
      </c>
      <c r="G6284" s="3">
        <v>19.333351</v>
      </c>
      <c r="H6284" s="3">
        <v>438.76063394085202</v>
      </c>
      <c r="I6284" s="3">
        <v>17.888905000000001</v>
      </c>
      <c r="J6284" s="3">
        <v>19.361129999999999</v>
      </c>
      <c r="K6284" s="3">
        <v>17.777794</v>
      </c>
      <c r="L6284" s="3">
        <v>438.76063394085202</v>
      </c>
    </row>
    <row r="6285" spans="1:12" ht="15" customHeight="1" x14ac:dyDescent="0.2">
      <c r="A6285" s="2">
        <v>36927</v>
      </c>
      <c r="B6285" s="3">
        <v>17.694462000000001</v>
      </c>
      <c r="C6285" s="1">
        <v>765224.24</v>
      </c>
      <c r="D6285" s="3">
        <v>-0.19444299999999901</v>
      </c>
      <c r="E6285" s="3">
        <v>-1.0869474682771201</v>
      </c>
      <c r="F6285" s="3">
        <v>-1.0869474682771201</v>
      </c>
      <c r="G6285" s="3">
        <v>17.694462000000001</v>
      </c>
      <c r="H6285" s="3">
        <v>393.08987171247799</v>
      </c>
      <c r="I6285" s="3">
        <v>18.083351</v>
      </c>
      <c r="J6285" s="3">
        <v>18.500017</v>
      </c>
      <c r="K6285" s="3">
        <v>17.611128000000001</v>
      </c>
      <c r="L6285" s="3">
        <v>393.08987171247799</v>
      </c>
    </row>
    <row r="6286" spans="1:12" ht="15" customHeight="1" x14ac:dyDescent="0.2">
      <c r="A6286" s="2">
        <v>36924</v>
      </c>
      <c r="B6286" s="3">
        <v>17.888905000000001</v>
      </c>
      <c r="C6286" s="1">
        <v>651374.4</v>
      </c>
      <c r="D6286" s="3">
        <v>-1.4722249999999899</v>
      </c>
      <c r="E6286" s="3">
        <v>-7.6040241452848996</v>
      </c>
      <c r="F6286" s="3">
        <v>-7.6040241452848996</v>
      </c>
      <c r="G6286" s="3">
        <v>17.888905000000001</v>
      </c>
      <c r="H6286" s="3">
        <v>398.508396103069</v>
      </c>
      <c r="I6286" s="3">
        <v>19.333351</v>
      </c>
      <c r="J6286" s="3">
        <v>19.444464</v>
      </c>
      <c r="K6286" s="3">
        <v>17.833351</v>
      </c>
      <c r="L6286" s="3">
        <v>398.508396103069</v>
      </c>
    </row>
    <row r="6287" spans="1:12" ht="15" customHeight="1" x14ac:dyDescent="0.2">
      <c r="A6287" s="2">
        <v>36923</v>
      </c>
      <c r="B6287" s="3">
        <v>19.361129999999999</v>
      </c>
      <c r="C6287" s="1">
        <v>183599.82</v>
      </c>
      <c r="D6287" s="3">
        <v>8.3335999999999105E-2</v>
      </c>
      <c r="E6287" s="3">
        <v>0.43229012614203199</v>
      </c>
      <c r="F6287" s="3">
        <v>0.43229012614203199</v>
      </c>
      <c r="G6287" s="3">
        <v>19.361129999999999</v>
      </c>
      <c r="H6287" s="3">
        <v>439.53474866365599</v>
      </c>
      <c r="I6287" s="3">
        <v>19.381965999999998</v>
      </c>
      <c r="J6287" s="3">
        <v>19.472242000000001</v>
      </c>
      <c r="K6287" s="3">
        <v>18.888905000000001</v>
      </c>
      <c r="L6287" s="3">
        <v>439.53474866365599</v>
      </c>
    </row>
    <row r="6288" spans="1:12" ht="15" customHeight="1" x14ac:dyDescent="0.2">
      <c r="A6288" s="2">
        <v>36922</v>
      </c>
      <c r="B6288" s="3">
        <v>19.277794</v>
      </c>
      <c r="C6288" s="1">
        <v>366974.67</v>
      </c>
      <c r="D6288" s="3">
        <v>-0.27777999999999903</v>
      </c>
      <c r="E6288" s="3">
        <v>-1.4204645693345499</v>
      </c>
      <c r="F6288" s="3">
        <v>-1.4204645693345499</v>
      </c>
      <c r="G6288" s="3">
        <v>19.277794</v>
      </c>
      <c r="H6288" s="3">
        <v>437.21243236214701</v>
      </c>
      <c r="I6288" s="3">
        <v>19.388908000000001</v>
      </c>
      <c r="J6288" s="3">
        <v>19.888908000000001</v>
      </c>
      <c r="K6288" s="3">
        <v>19.277794</v>
      </c>
      <c r="L6288" s="3">
        <v>437.21243236214701</v>
      </c>
    </row>
    <row r="6289" spans="1:12" ht="15" customHeight="1" x14ac:dyDescent="0.2">
      <c r="A6289" s="2">
        <v>36921</v>
      </c>
      <c r="B6289" s="3">
        <v>19.555574</v>
      </c>
      <c r="C6289" s="1">
        <v>655874.4</v>
      </c>
      <c r="D6289" s="3">
        <v>0.44444599999999901</v>
      </c>
      <c r="E6289" s="3">
        <v>2.3255874797133802</v>
      </c>
      <c r="F6289" s="3">
        <v>2.3255874797133802</v>
      </c>
      <c r="G6289" s="3">
        <v>19.555574</v>
      </c>
      <c r="H6289" s="3">
        <v>444.95330092115103</v>
      </c>
      <c r="I6289" s="3">
        <v>19.111128000000001</v>
      </c>
      <c r="J6289" s="3">
        <v>19.833351</v>
      </c>
      <c r="K6289" s="3">
        <v>19.083351</v>
      </c>
      <c r="L6289" s="3">
        <v>444.95330092115103</v>
      </c>
    </row>
    <row r="6290" spans="1:12" ht="15" customHeight="1" x14ac:dyDescent="0.2">
      <c r="A6290" s="2">
        <v>36920</v>
      </c>
      <c r="B6290" s="3">
        <v>19.111128000000001</v>
      </c>
      <c r="C6290" s="1">
        <v>308699.7</v>
      </c>
      <c r="D6290" s="3">
        <v>0.13888599999999901</v>
      </c>
      <c r="E6290" s="3">
        <v>0.73204843159810895</v>
      </c>
      <c r="F6290" s="3">
        <v>0.73204843159810895</v>
      </c>
      <c r="G6290" s="3">
        <v>19.111128000000001</v>
      </c>
      <c r="H6290" s="3">
        <v>432.56796696055198</v>
      </c>
      <c r="I6290" s="3">
        <v>19.083351</v>
      </c>
      <c r="J6290" s="3">
        <v>19.250017</v>
      </c>
      <c r="K6290" s="3">
        <v>18.972242000000001</v>
      </c>
      <c r="L6290" s="3">
        <v>432.56796696055198</v>
      </c>
    </row>
    <row r="6291" spans="1:12" ht="15" customHeight="1" x14ac:dyDescent="0.2">
      <c r="A6291" s="2">
        <v>36917</v>
      </c>
      <c r="B6291" s="3">
        <v>18.972242000000001</v>
      </c>
      <c r="C6291" s="1">
        <v>513674.56</v>
      </c>
      <c r="D6291" s="3">
        <v>-0.41666599999999898</v>
      </c>
      <c r="E6291" s="3">
        <v>-2.14899157807133</v>
      </c>
      <c r="F6291" s="3">
        <v>-2.14899157807133</v>
      </c>
      <c r="G6291" s="3">
        <v>18.972242000000001</v>
      </c>
      <c r="H6291" s="3">
        <v>428.69764414866597</v>
      </c>
      <c r="I6291" s="3">
        <v>19.222242000000001</v>
      </c>
      <c r="J6291" s="3">
        <v>19.381964</v>
      </c>
      <c r="K6291" s="3">
        <v>18.777794</v>
      </c>
      <c r="L6291" s="3">
        <v>428.69764414866597</v>
      </c>
    </row>
    <row r="6292" spans="1:12" ht="15" customHeight="1" x14ac:dyDescent="0.2">
      <c r="A6292" s="2">
        <v>36916</v>
      </c>
      <c r="B6292" s="3">
        <v>19.388908000000001</v>
      </c>
      <c r="C6292" s="1">
        <v>495899.54</v>
      </c>
      <c r="D6292" s="3">
        <v>-0.16666599999999901</v>
      </c>
      <c r="E6292" s="3">
        <v>-0.85226851433765005</v>
      </c>
      <c r="F6292" s="3">
        <v>-0.85226851433765005</v>
      </c>
      <c r="G6292" s="3">
        <v>19.388908000000001</v>
      </c>
      <c r="H6292" s="3">
        <v>440.308835519556</v>
      </c>
      <c r="I6292" s="3">
        <v>19.333351</v>
      </c>
      <c r="J6292" s="3">
        <v>19.694464</v>
      </c>
      <c r="K6292" s="3">
        <v>19.222242000000001</v>
      </c>
      <c r="L6292" s="3">
        <v>440.308835519556</v>
      </c>
    </row>
    <row r="6293" spans="1:12" ht="15" customHeight="1" x14ac:dyDescent="0.2">
      <c r="A6293" s="2">
        <v>36915</v>
      </c>
      <c r="B6293" s="3">
        <v>19.555574</v>
      </c>
      <c r="C6293" s="1">
        <v>546299.43999999994</v>
      </c>
      <c r="D6293" s="3">
        <v>0.63888899999999804</v>
      </c>
      <c r="E6293" s="3">
        <v>3.3773835109058399</v>
      </c>
      <c r="F6293" s="3">
        <v>3.3773835109058399</v>
      </c>
      <c r="G6293" s="3">
        <v>19.555574</v>
      </c>
      <c r="H6293" s="3">
        <v>444.95330092115103</v>
      </c>
      <c r="I6293" s="3">
        <v>18.916685000000001</v>
      </c>
      <c r="J6293" s="3">
        <v>19.611129999999999</v>
      </c>
      <c r="K6293" s="3">
        <v>18.722242000000001</v>
      </c>
      <c r="L6293" s="3">
        <v>444.95330092115103</v>
      </c>
    </row>
    <row r="6294" spans="1:12" ht="15" customHeight="1" x14ac:dyDescent="0.2">
      <c r="A6294" s="2">
        <v>36914</v>
      </c>
      <c r="B6294" s="3">
        <v>18.916685000000001</v>
      </c>
      <c r="C6294" s="1">
        <v>558899.4</v>
      </c>
      <c r="D6294" s="3">
        <v>0.30555700000000002</v>
      </c>
      <c r="E6294" s="3">
        <v>1.6417973161003401</v>
      </c>
      <c r="F6294" s="3">
        <v>1.6417973161003401</v>
      </c>
      <c r="G6294" s="3">
        <v>18.916685000000001</v>
      </c>
      <c r="H6294" s="3">
        <v>427.14944256996102</v>
      </c>
      <c r="I6294" s="3">
        <v>18.444464</v>
      </c>
      <c r="J6294" s="3">
        <v>18.916685000000001</v>
      </c>
      <c r="K6294" s="3">
        <v>18.138905999999999</v>
      </c>
      <c r="L6294" s="3">
        <v>427.14944256996102</v>
      </c>
    </row>
    <row r="6295" spans="1:12" ht="15" customHeight="1" x14ac:dyDescent="0.2">
      <c r="A6295" s="2">
        <v>36913</v>
      </c>
      <c r="B6295" s="3">
        <v>18.611128000000001</v>
      </c>
      <c r="C6295" s="1">
        <v>234224.76</v>
      </c>
      <c r="D6295" s="3">
        <v>-5.5557000000000301E-2</v>
      </c>
      <c r="E6295" s="3">
        <v>-0.29762649340254699</v>
      </c>
      <c r="F6295" s="3">
        <v>-0.29762649340254699</v>
      </c>
      <c r="G6295" s="3">
        <v>18.611128000000001</v>
      </c>
      <c r="H6295" s="3">
        <v>418.63451502196102</v>
      </c>
      <c r="I6295" s="3">
        <v>18.291685000000001</v>
      </c>
      <c r="J6295" s="3">
        <v>18.611128000000001</v>
      </c>
      <c r="K6295" s="3">
        <v>18.250017</v>
      </c>
      <c r="L6295" s="3">
        <v>418.63451502196102</v>
      </c>
    </row>
    <row r="6296" spans="1:12" ht="15" customHeight="1" x14ac:dyDescent="0.2">
      <c r="A6296" s="2">
        <v>36910</v>
      </c>
      <c r="B6296" s="3">
        <v>18.666685000000001</v>
      </c>
      <c r="C6296" s="1">
        <v>456974.55</v>
      </c>
      <c r="D6296" s="3">
        <v>0.16666800000000101</v>
      </c>
      <c r="E6296" s="3">
        <v>0.90090728024736499</v>
      </c>
      <c r="F6296" s="3">
        <v>0.90090728024736499</v>
      </c>
      <c r="G6296" s="3">
        <v>18.666685000000001</v>
      </c>
      <c r="H6296" s="3">
        <v>420.182716600665</v>
      </c>
      <c r="I6296" s="3">
        <v>18.500017</v>
      </c>
      <c r="J6296" s="3">
        <v>18.916685000000001</v>
      </c>
      <c r="K6296" s="3">
        <v>18.166685000000001</v>
      </c>
      <c r="L6296" s="3">
        <v>420.182716600665</v>
      </c>
    </row>
    <row r="6297" spans="1:12" ht="15" customHeight="1" x14ac:dyDescent="0.2">
      <c r="A6297" s="2">
        <v>36909</v>
      </c>
      <c r="B6297" s="3">
        <v>18.500017</v>
      </c>
      <c r="C6297" s="1">
        <v>331199.68</v>
      </c>
      <c r="D6297" s="3">
        <v>0.55555499999999802</v>
      </c>
      <c r="E6297" s="3">
        <v>3.0959691073491</v>
      </c>
      <c r="F6297" s="3">
        <v>3.0959691073491</v>
      </c>
      <c r="G6297" s="3">
        <v>18.500017</v>
      </c>
      <c r="H6297" s="3">
        <v>415.53819546526302</v>
      </c>
      <c r="I6297" s="3">
        <v>17.944462000000001</v>
      </c>
      <c r="J6297" s="3">
        <v>18.500017</v>
      </c>
      <c r="K6297" s="3">
        <v>17.833351</v>
      </c>
      <c r="L6297" s="3">
        <v>415.53819546526302</v>
      </c>
    </row>
    <row r="6298" spans="1:12" ht="15" customHeight="1" x14ac:dyDescent="0.2">
      <c r="A6298" s="2">
        <v>36908</v>
      </c>
      <c r="B6298" s="3">
        <v>17.944462000000001</v>
      </c>
      <c r="C6298" s="1">
        <v>470924.53</v>
      </c>
      <c r="D6298" s="3">
        <v>0.55555699999999997</v>
      </c>
      <c r="E6298" s="3">
        <v>3.1948935254980202</v>
      </c>
      <c r="F6298" s="3">
        <v>3.1948935254980202</v>
      </c>
      <c r="G6298" s="3">
        <v>17.944462000000001</v>
      </c>
      <c r="H6298" s="3">
        <v>400.05659768177401</v>
      </c>
      <c r="I6298" s="3">
        <v>17.444462000000001</v>
      </c>
      <c r="J6298" s="3">
        <v>18.305574</v>
      </c>
      <c r="K6298" s="3">
        <v>17.444462000000001</v>
      </c>
      <c r="L6298" s="3">
        <v>400.05659768177401</v>
      </c>
    </row>
    <row r="6299" spans="1:12" ht="15" customHeight="1" x14ac:dyDescent="0.2">
      <c r="A6299" s="2">
        <v>36907</v>
      </c>
      <c r="B6299" s="3">
        <v>17.388905000000001</v>
      </c>
      <c r="C6299" s="1">
        <v>1041974.09999999</v>
      </c>
      <c r="D6299" s="3">
        <v>0.41666500000000101</v>
      </c>
      <c r="E6299" s="3">
        <v>2.4549794252261399</v>
      </c>
      <c r="F6299" s="3">
        <v>2.4549794252261399</v>
      </c>
      <c r="G6299" s="3">
        <v>17.388905000000001</v>
      </c>
      <c r="H6299" s="3">
        <v>384.57494416447798</v>
      </c>
      <c r="I6299" s="3">
        <v>16.944462000000001</v>
      </c>
      <c r="J6299" s="3">
        <v>18.097242000000001</v>
      </c>
      <c r="K6299" s="3">
        <v>16.944462000000001</v>
      </c>
      <c r="L6299" s="3">
        <v>384.57494416447798</v>
      </c>
    </row>
    <row r="6300" spans="1:12" ht="15" customHeight="1" x14ac:dyDescent="0.2">
      <c r="A6300" s="2">
        <v>36903</v>
      </c>
      <c r="B6300" s="3">
        <v>16.972239999999999</v>
      </c>
      <c r="C6300" s="1">
        <v>501074.52</v>
      </c>
      <c r="D6300" s="3">
        <v>-0.41666500000000101</v>
      </c>
      <c r="E6300" s="3">
        <v>-2.39615432944169</v>
      </c>
      <c r="F6300" s="3">
        <v>-2.39615432944169</v>
      </c>
      <c r="G6300" s="3">
        <v>16.972239999999999</v>
      </c>
      <c r="H6300" s="3">
        <v>372.96378066049101</v>
      </c>
      <c r="I6300" s="3">
        <v>17.493074</v>
      </c>
      <c r="J6300" s="3">
        <v>17.583351</v>
      </c>
      <c r="K6300" s="3">
        <v>16.916682999999999</v>
      </c>
      <c r="L6300" s="3">
        <v>372.96378066049101</v>
      </c>
    </row>
    <row r="6301" spans="1:12" ht="15" customHeight="1" x14ac:dyDescent="0.2">
      <c r="A6301" s="2">
        <v>36902</v>
      </c>
      <c r="B6301" s="3">
        <v>17.388905000000001</v>
      </c>
      <c r="C6301" s="1">
        <v>812474.24</v>
      </c>
      <c r="D6301" s="3">
        <v>8.3332000000002099E-2</v>
      </c>
      <c r="E6301" s="3">
        <v>0.48153274092688197</v>
      </c>
      <c r="F6301" s="3">
        <v>0.48153274092688197</v>
      </c>
      <c r="G6301" s="3">
        <v>17.388905000000001</v>
      </c>
      <c r="H6301" s="3">
        <v>384.57494416447798</v>
      </c>
      <c r="I6301" s="3">
        <v>17.833351</v>
      </c>
      <c r="J6301" s="3">
        <v>17.833351</v>
      </c>
      <c r="K6301" s="3">
        <v>17.277792000000002</v>
      </c>
      <c r="L6301" s="3">
        <v>384.57494416447798</v>
      </c>
    </row>
    <row r="6302" spans="1:12" ht="15" customHeight="1" x14ac:dyDescent="0.2">
      <c r="A6302" s="2">
        <v>36901</v>
      </c>
      <c r="B6302" s="3">
        <v>17.305572999999999</v>
      </c>
      <c r="C6302" s="1">
        <v>980549.1</v>
      </c>
      <c r="D6302" s="3">
        <v>0.91666799999999704</v>
      </c>
      <c r="E6302" s="3">
        <v>5.5932229761536698</v>
      </c>
      <c r="F6302" s="3">
        <v>5.5932229761536698</v>
      </c>
      <c r="G6302" s="3">
        <v>17.305572999999999</v>
      </c>
      <c r="H6302" s="3">
        <v>382.25273933058401</v>
      </c>
      <c r="I6302" s="3">
        <v>16.305572999999999</v>
      </c>
      <c r="J6302" s="3">
        <v>17.361128000000001</v>
      </c>
      <c r="K6302" s="3">
        <v>16.222238999999998</v>
      </c>
      <c r="L6302" s="3">
        <v>382.25273933058401</v>
      </c>
    </row>
    <row r="6303" spans="1:12" ht="15" customHeight="1" x14ac:dyDescent="0.2">
      <c r="A6303" s="2">
        <v>36900</v>
      </c>
      <c r="B6303" s="3">
        <v>16.388905000000001</v>
      </c>
      <c r="C6303" s="1">
        <v>691649.23</v>
      </c>
      <c r="D6303" s="3">
        <v>-0.27777999999999903</v>
      </c>
      <c r="E6303" s="3">
        <v>-1.66667816665401</v>
      </c>
      <c r="F6303" s="3">
        <v>-1.66667816665401</v>
      </c>
      <c r="G6303" s="3">
        <v>16.388905000000001</v>
      </c>
      <c r="H6303" s="3">
        <v>356.70804028729401</v>
      </c>
      <c r="I6303" s="3">
        <v>16.777794</v>
      </c>
      <c r="J6303" s="3">
        <v>17.166682999999999</v>
      </c>
      <c r="K6303" s="3">
        <v>16.277792000000002</v>
      </c>
      <c r="L6303" s="3">
        <v>356.70804028729401</v>
      </c>
    </row>
    <row r="6304" spans="1:12" ht="15" customHeight="1" x14ac:dyDescent="0.2">
      <c r="A6304" s="2">
        <v>36899</v>
      </c>
      <c r="B6304" s="3">
        <v>16.666685000000001</v>
      </c>
      <c r="C6304" s="1">
        <v>635624.44999999995</v>
      </c>
      <c r="D6304" s="3">
        <v>0.111115000000001</v>
      </c>
      <c r="E6304" s="3">
        <v>0.67116384395102802</v>
      </c>
      <c r="F6304" s="3">
        <v>0.67116384395102802</v>
      </c>
      <c r="G6304" s="3">
        <v>16.666685000000001</v>
      </c>
      <c r="H6304" s="3">
        <v>364.44890884629802</v>
      </c>
      <c r="I6304" s="3">
        <v>16.638905000000001</v>
      </c>
      <c r="J6304" s="3">
        <v>16.833349999999999</v>
      </c>
      <c r="K6304" s="3">
        <v>16.333349999999999</v>
      </c>
      <c r="L6304" s="3">
        <v>364.44890884629802</v>
      </c>
    </row>
    <row r="6305" spans="1:12" ht="15" customHeight="1" x14ac:dyDescent="0.2">
      <c r="A6305" s="2">
        <v>36896</v>
      </c>
      <c r="B6305" s="3">
        <v>16.555569999999999</v>
      </c>
      <c r="C6305" s="1">
        <v>815849.24</v>
      </c>
      <c r="D6305" s="3">
        <v>-0.38889200000000201</v>
      </c>
      <c r="E6305" s="3">
        <v>-2.2950979499968902</v>
      </c>
      <c r="F6305" s="3">
        <v>-2.2950979499968902</v>
      </c>
      <c r="G6305" s="3">
        <v>16.555569999999999</v>
      </c>
      <c r="H6305" s="3">
        <v>361.35247782198502</v>
      </c>
      <c r="I6305" s="3">
        <v>16.888905000000001</v>
      </c>
      <c r="J6305" s="3">
        <v>17.055572999999999</v>
      </c>
      <c r="K6305" s="3">
        <v>16.111125999999999</v>
      </c>
      <c r="L6305" s="3">
        <v>361.35247782198502</v>
      </c>
    </row>
    <row r="6306" spans="1:12" ht="15" customHeight="1" x14ac:dyDescent="0.2">
      <c r="A6306" s="2">
        <v>36895</v>
      </c>
      <c r="B6306" s="3">
        <v>16.944462000000001</v>
      </c>
      <c r="C6306" s="1">
        <v>871649.2</v>
      </c>
      <c r="D6306" s="3"/>
      <c r="E6306" s="3"/>
      <c r="F6306" s="3"/>
      <c r="G6306" s="3">
        <v>16.944462000000001</v>
      </c>
      <c r="H6306" s="3">
        <v>372.18969380458998</v>
      </c>
      <c r="I6306" s="3">
        <v>17.111128000000001</v>
      </c>
      <c r="J6306" s="3">
        <v>17.333349999999999</v>
      </c>
      <c r="K6306" s="3">
        <v>16.777792000000002</v>
      </c>
      <c r="L6306" s="3">
        <v>372.18969380458998</v>
      </c>
    </row>
    <row r="6307" spans="1:12" ht="15" customHeight="1" x14ac:dyDescent="0.2">
      <c r="A6307" s="2">
        <v>36894</v>
      </c>
      <c r="B6307" s="3">
        <v>16.944462000000001</v>
      </c>
      <c r="C6307" s="1">
        <v>1122748.8999999999</v>
      </c>
      <c r="D6307" s="3">
        <v>0.63889300000000304</v>
      </c>
      <c r="E6307" s="3">
        <v>3.9182502616130899</v>
      </c>
      <c r="F6307" s="3">
        <v>3.9182502616130899</v>
      </c>
      <c r="G6307" s="3">
        <v>16.944462000000001</v>
      </c>
      <c r="H6307" s="3">
        <v>372.18969380458998</v>
      </c>
      <c r="I6307" s="3">
        <v>16.125015000000001</v>
      </c>
      <c r="J6307" s="3">
        <v>17.472239999999999</v>
      </c>
      <c r="K6307" s="3">
        <v>15.833348000000001</v>
      </c>
      <c r="L6307" s="3">
        <v>372.18969380458998</v>
      </c>
    </row>
    <row r="6308" spans="1:12" ht="15" customHeight="1" x14ac:dyDescent="0.2">
      <c r="A6308" s="2">
        <v>36893</v>
      </c>
      <c r="B6308" s="3">
        <v>16.305568999999998</v>
      </c>
      <c r="C6308" s="1">
        <v>1343248.8</v>
      </c>
      <c r="D6308" s="3">
        <v>-0.750004</v>
      </c>
      <c r="E6308" s="3">
        <v>-4.3974130918967003</v>
      </c>
      <c r="F6308" s="3">
        <v>-4.3974130918967003</v>
      </c>
      <c r="G6308" s="3">
        <v>16.305568999999998</v>
      </c>
      <c r="H6308" s="3">
        <v>354.38572398578498</v>
      </c>
      <c r="I6308" s="3">
        <v>17.111128000000001</v>
      </c>
      <c r="J6308" s="3">
        <v>17.222239999999999</v>
      </c>
      <c r="K6308" s="3">
        <v>15.555569999999999</v>
      </c>
      <c r="L6308" s="3">
        <v>354.38572398578498</v>
      </c>
    </row>
    <row r="6309" spans="1:12" ht="15" customHeight="1" x14ac:dyDescent="0.2">
      <c r="A6309" s="2">
        <v>36889</v>
      </c>
      <c r="B6309" s="3">
        <v>17.055572999999999</v>
      </c>
      <c r="C6309" s="1">
        <v>409949.62</v>
      </c>
      <c r="D6309" s="3">
        <v>-0.472221000000001</v>
      </c>
      <c r="E6309" s="3">
        <v>-2.6941268250870598</v>
      </c>
      <c r="F6309" s="3">
        <v>-2.6941268250870598</v>
      </c>
      <c r="G6309" s="3">
        <v>17.055572999999999</v>
      </c>
      <c r="H6309" s="3">
        <v>375.28601336128798</v>
      </c>
      <c r="I6309" s="3">
        <v>17.555574</v>
      </c>
      <c r="J6309" s="3">
        <v>17.750017</v>
      </c>
      <c r="K6309" s="3">
        <v>17.027792000000002</v>
      </c>
      <c r="L6309" s="3">
        <v>375.28601336128798</v>
      </c>
    </row>
    <row r="6310" spans="1:12" ht="15" customHeight="1" x14ac:dyDescent="0.2">
      <c r="A6310" s="2">
        <v>36888</v>
      </c>
      <c r="B6310" s="3">
        <v>17.527794</v>
      </c>
      <c r="C6310" s="1">
        <v>720449.34</v>
      </c>
      <c r="D6310" s="3">
        <v>-0.19444599999999901</v>
      </c>
      <c r="E6310" s="3">
        <v>-1.09718636018922</v>
      </c>
      <c r="F6310" s="3">
        <v>-1.09718636018922</v>
      </c>
      <c r="G6310" s="3">
        <v>17.527794</v>
      </c>
      <c r="H6310" s="3">
        <v>388.445350577076</v>
      </c>
      <c r="I6310" s="3">
        <v>17.527794</v>
      </c>
      <c r="J6310" s="3">
        <v>17.777794</v>
      </c>
      <c r="K6310" s="3">
        <v>17.416682999999999</v>
      </c>
      <c r="L6310" s="3">
        <v>388.445350577076</v>
      </c>
    </row>
    <row r="6311" spans="1:12" ht="15" customHeight="1" x14ac:dyDescent="0.2">
      <c r="A6311" s="2">
        <v>36887</v>
      </c>
      <c r="B6311" s="3">
        <v>17.722239999999999</v>
      </c>
      <c r="C6311" s="1">
        <v>409499.63</v>
      </c>
      <c r="D6311" s="3">
        <v>0.5</v>
      </c>
      <c r="E6311" s="3">
        <v>2.9032228095764401</v>
      </c>
      <c r="F6311" s="3">
        <v>2.9032228095764401</v>
      </c>
      <c r="G6311" s="3">
        <v>17.722239999999999</v>
      </c>
      <c r="H6311" s="3">
        <v>393.86395856837902</v>
      </c>
      <c r="I6311" s="3">
        <v>17.222239999999999</v>
      </c>
      <c r="J6311" s="3">
        <v>17.777794</v>
      </c>
      <c r="K6311" s="3">
        <v>17.027792000000002</v>
      </c>
      <c r="L6311" s="3">
        <v>393.86395856837902</v>
      </c>
    </row>
    <row r="6312" spans="1:12" ht="15" customHeight="1" x14ac:dyDescent="0.2">
      <c r="A6312" s="2">
        <v>36886</v>
      </c>
      <c r="B6312" s="3">
        <v>17.222239999999999</v>
      </c>
      <c r="C6312" s="1">
        <v>919349.06</v>
      </c>
      <c r="D6312" s="3">
        <v>-0.52777700000000005</v>
      </c>
      <c r="E6312" s="3">
        <v>-2.9733887015432199</v>
      </c>
      <c r="F6312" s="3">
        <v>-2.9733887015432199</v>
      </c>
      <c r="G6312" s="3">
        <v>17.222239999999999</v>
      </c>
      <c r="H6312" s="3">
        <v>379.93050662978698</v>
      </c>
      <c r="I6312" s="3">
        <v>17.555574</v>
      </c>
      <c r="J6312" s="3">
        <v>17.611128000000001</v>
      </c>
      <c r="K6312" s="3">
        <v>16.944462000000001</v>
      </c>
      <c r="L6312" s="3">
        <v>379.93050662978698</v>
      </c>
    </row>
    <row r="6313" spans="1:12" ht="15" customHeight="1" x14ac:dyDescent="0.2">
      <c r="A6313" s="2">
        <v>36882</v>
      </c>
      <c r="B6313" s="3">
        <v>17.750017</v>
      </c>
      <c r="C6313" s="1">
        <v>485324.52</v>
      </c>
      <c r="D6313" s="3">
        <v>0.44444400000000001</v>
      </c>
      <c r="E6313" s="3">
        <v>2.56821314151227</v>
      </c>
      <c r="F6313" s="3">
        <v>2.56821314151227</v>
      </c>
      <c r="G6313" s="3">
        <v>17.750017</v>
      </c>
      <c r="H6313" s="3">
        <v>394.63801755737501</v>
      </c>
      <c r="I6313" s="3">
        <v>17.444462000000001</v>
      </c>
      <c r="J6313" s="3">
        <v>18.111128000000001</v>
      </c>
      <c r="K6313" s="3">
        <v>17.361128000000001</v>
      </c>
      <c r="L6313" s="3">
        <v>394.63801755737501</v>
      </c>
    </row>
    <row r="6314" spans="1:12" ht="15" customHeight="1" x14ac:dyDescent="0.2">
      <c r="A6314" s="2">
        <v>36881</v>
      </c>
      <c r="B6314" s="3">
        <v>17.305572999999999</v>
      </c>
      <c r="C6314" s="1">
        <v>1318273.8</v>
      </c>
      <c r="D6314" s="3">
        <v>-0.722221000000001</v>
      </c>
      <c r="E6314" s="3">
        <v>-4.0061529436158398</v>
      </c>
      <c r="F6314" s="3">
        <v>-4.0061529436158398</v>
      </c>
      <c r="G6314" s="3">
        <v>17.305572999999999</v>
      </c>
      <c r="H6314" s="3">
        <v>382.25273933058401</v>
      </c>
      <c r="I6314" s="3">
        <v>17.951405000000001</v>
      </c>
      <c r="J6314" s="3">
        <v>18.055572999999999</v>
      </c>
      <c r="K6314" s="3">
        <v>17.222239999999999</v>
      </c>
      <c r="L6314" s="3">
        <v>382.25273933058401</v>
      </c>
    </row>
    <row r="6315" spans="1:12" ht="15" customHeight="1" x14ac:dyDescent="0.2">
      <c r="A6315" s="2">
        <v>36880</v>
      </c>
      <c r="B6315" s="3">
        <v>18.027794</v>
      </c>
      <c r="C6315" s="1">
        <v>1483873.5</v>
      </c>
      <c r="D6315" s="3">
        <v>-1.1666699999999901</v>
      </c>
      <c r="E6315" s="3">
        <v>-6.0781587857832298</v>
      </c>
      <c r="F6315" s="3">
        <v>-6.0781587857832298</v>
      </c>
      <c r="G6315" s="3">
        <v>18.027794</v>
      </c>
      <c r="H6315" s="3">
        <v>402.37880251566799</v>
      </c>
      <c r="I6315" s="3">
        <v>18.777795999999999</v>
      </c>
      <c r="J6315" s="3">
        <v>19.138905999999999</v>
      </c>
      <c r="K6315" s="3">
        <v>17.777794</v>
      </c>
      <c r="L6315" s="3">
        <v>402.37880251566799</v>
      </c>
    </row>
    <row r="6316" spans="1:12" ht="15" customHeight="1" x14ac:dyDescent="0.2">
      <c r="A6316" s="2">
        <v>36879</v>
      </c>
      <c r="B6316" s="3">
        <v>19.194464</v>
      </c>
      <c r="C6316" s="1">
        <v>611999.44999999995</v>
      </c>
      <c r="D6316" s="3">
        <v>5.5558000000001301E-2</v>
      </c>
      <c r="E6316" s="3">
        <v>0.290288274575356</v>
      </c>
      <c r="F6316" s="3">
        <v>0.290288274575356</v>
      </c>
      <c r="G6316" s="3">
        <v>19.194464</v>
      </c>
      <c r="H6316" s="3">
        <v>434.89028326206102</v>
      </c>
      <c r="I6316" s="3">
        <v>19.194464</v>
      </c>
      <c r="J6316" s="3">
        <v>19.388908000000001</v>
      </c>
      <c r="K6316" s="3">
        <v>19.111128000000001</v>
      </c>
      <c r="L6316" s="3">
        <v>434.89028326206102</v>
      </c>
    </row>
    <row r="6317" spans="1:12" ht="15" customHeight="1" x14ac:dyDescent="0.2">
      <c r="A6317" s="2">
        <v>36878</v>
      </c>
      <c r="B6317" s="3">
        <v>19.138905999999999</v>
      </c>
      <c r="C6317" s="1">
        <v>1018799.1</v>
      </c>
      <c r="D6317" s="3">
        <v>0.94444399999999695</v>
      </c>
      <c r="E6317" s="3">
        <v>5.1908322433496403</v>
      </c>
      <c r="F6317" s="3">
        <v>5.1908322433496403</v>
      </c>
      <c r="G6317" s="3">
        <v>19.138905999999999</v>
      </c>
      <c r="H6317" s="3">
        <v>433.34205381645302</v>
      </c>
      <c r="I6317" s="3">
        <v>18.333351</v>
      </c>
      <c r="J6317" s="3">
        <v>19.388908000000001</v>
      </c>
      <c r="K6317" s="3">
        <v>18.222242000000001</v>
      </c>
      <c r="L6317" s="3">
        <v>433.34205381645302</v>
      </c>
    </row>
    <row r="6318" spans="1:12" ht="15" customHeight="1" x14ac:dyDescent="0.2">
      <c r="A6318" s="2">
        <v>36875</v>
      </c>
      <c r="B6318" s="3">
        <v>18.194462000000001</v>
      </c>
      <c r="C6318" s="1">
        <v>1205548.8</v>
      </c>
      <c r="D6318" s="3">
        <v>0.38888900000000198</v>
      </c>
      <c r="E6318" s="3">
        <v>2.1840858477286802</v>
      </c>
      <c r="F6318" s="3">
        <v>2.1840858477286802</v>
      </c>
      <c r="G6318" s="3">
        <v>18.194462000000001</v>
      </c>
      <c r="H6318" s="3">
        <v>407.02332365106997</v>
      </c>
      <c r="I6318" s="3">
        <v>17.972238999999998</v>
      </c>
      <c r="J6318" s="3">
        <v>18.500017</v>
      </c>
      <c r="K6318" s="3">
        <v>17.694462000000001</v>
      </c>
      <c r="L6318" s="3">
        <v>407.02332365106997</v>
      </c>
    </row>
    <row r="6319" spans="1:12" ht="15" customHeight="1" x14ac:dyDescent="0.2">
      <c r="A6319" s="2">
        <v>36874</v>
      </c>
      <c r="B6319" s="3">
        <v>17.805572999999999</v>
      </c>
      <c r="C6319" s="1">
        <v>792224.24</v>
      </c>
      <c r="D6319" s="3">
        <v>-1.1944440000000001</v>
      </c>
      <c r="E6319" s="3">
        <v>-6.28654174362054</v>
      </c>
      <c r="F6319" s="3">
        <v>-6.28654174362054</v>
      </c>
      <c r="G6319" s="3">
        <v>17.805572999999999</v>
      </c>
      <c r="H6319" s="3">
        <v>396.18619126917599</v>
      </c>
      <c r="I6319" s="3">
        <v>19.000017</v>
      </c>
      <c r="J6319" s="3">
        <v>19.000017</v>
      </c>
      <c r="K6319" s="3">
        <v>17.305572999999999</v>
      </c>
      <c r="L6319" s="3">
        <v>396.18619126917599</v>
      </c>
    </row>
    <row r="6320" spans="1:12" ht="15" customHeight="1" x14ac:dyDescent="0.2">
      <c r="A6320" s="2">
        <v>36873</v>
      </c>
      <c r="B6320" s="3">
        <v>19.000017</v>
      </c>
      <c r="C6320" s="1">
        <v>432674.6</v>
      </c>
      <c r="D6320" s="3">
        <v>-0.94444700000000004</v>
      </c>
      <c r="E6320" s="3">
        <v>-4.7353842148879002</v>
      </c>
      <c r="F6320" s="3">
        <v>-4.7353842148879002</v>
      </c>
      <c r="G6320" s="3">
        <v>19.000017</v>
      </c>
      <c r="H6320" s="3">
        <v>429.471647403855</v>
      </c>
      <c r="I6320" s="3">
        <v>19.902798000000001</v>
      </c>
      <c r="J6320" s="3">
        <v>19.916685000000001</v>
      </c>
      <c r="K6320" s="3">
        <v>18.805574</v>
      </c>
      <c r="L6320" s="3">
        <v>429.471647403855</v>
      </c>
    </row>
    <row r="6321" spans="1:12" ht="15" customHeight="1" x14ac:dyDescent="0.2">
      <c r="A6321" s="2">
        <v>36872</v>
      </c>
      <c r="B6321" s="3">
        <v>19.944464</v>
      </c>
      <c r="C6321" s="1">
        <v>399149.63</v>
      </c>
      <c r="D6321" s="3">
        <v>0.222221999999998</v>
      </c>
      <c r="E6321" s="3">
        <v>1.12675830668744</v>
      </c>
      <c r="F6321" s="3">
        <v>1.12675830668744</v>
      </c>
      <c r="G6321" s="3">
        <v>19.944464</v>
      </c>
      <c r="H6321" s="3">
        <v>455.79046116994903</v>
      </c>
      <c r="I6321" s="3">
        <v>19.777798000000001</v>
      </c>
      <c r="J6321" s="3">
        <v>20.083352999999999</v>
      </c>
      <c r="K6321" s="3">
        <v>19.611129999999999</v>
      </c>
      <c r="L6321" s="3">
        <v>455.79046116994903</v>
      </c>
    </row>
    <row r="6322" spans="1:12" ht="15" customHeight="1" x14ac:dyDescent="0.2">
      <c r="A6322" s="2">
        <v>36871</v>
      </c>
      <c r="B6322" s="3">
        <v>19.722242000000001</v>
      </c>
      <c r="C6322" s="1">
        <v>529874.5</v>
      </c>
      <c r="D6322" s="3">
        <v>0.222221000000001</v>
      </c>
      <c r="E6322" s="3">
        <v>1.13959364454019</v>
      </c>
      <c r="F6322" s="3">
        <v>1.13959364454019</v>
      </c>
      <c r="G6322" s="3">
        <v>19.722242000000001</v>
      </c>
      <c r="H6322" s="3">
        <v>449.59782205655398</v>
      </c>
      <c r="I6322" s="3">
        <v>19.500021</v>
      </c>
      <c r="J6322" s="3">
        <v>20.000019999999999</v>
      </c>
      <c r="K6322" s="3">
        <v>19.472242000000001</v>
      </c>
      <c r="L6322" s="3">
        <v>449.59782205655398</v>
      </c>
    </row>
    <row r="6323" spans="1:12" ht="15" customHeight="1" x14ac:dyDescent="0.2">
      <c r="A6323" s="2">
        <v>36868</v>
      </c>
      <c r="B6323" s="3">
        <v>19.500021</v>
      </c>
      <c r="C6323" s="1">
        <v>778274.23</v>
      </c>
      <c r="D6323" s="3">
        <v>0.13889099999999999</v>
      </c>
      <c r="E6323" s="3">
        <v>0.71737031877787605</v>
      </c>
      <c r="F6323" s="3">
        <v>0.71737031877787605</v>
      </c>
      <c r="G6323" s="3">
        <v>19.500021</v>
      </c>
      <c r="H6323" s="3">
        <v>443.40521081006199</v>
      </c>
      <c r="I6323" s="3">
        <v>19.402798000000001</v>
      </c>
      <c r="J6323" s="3">
        <v>19.583351</v>
      </c>
      <c r="K6323" s="3">
        <v>19.305574</v>
      </c>
      <c r="L6323" s="3">
        <v>443.40521081006199</v>
      </c>
    </row>
    <row r="6324" spans="1:12" ht="15" customHeight="1" x14ac:dyDescent="0.2">
      <c r="A6324" s="2">
        <v>36867</v>
      </c>
      <c r="B6324" s="3">
        <v>19.361129999999999</v>
      </c>
      <c r="C6324" s="1">
        <v>633599.39999999898</v>
      </c>
      <c r="D6324" s="3">
        <v>2.7778999999998801E-2</v>
      </c>
      <c r="E6324" s="3">
        <v>0.143684351460837</v>
      </c>
      <c r="F6324" s="3">
        <v>0.143684351460837</v>
      </c>
      <c r="G6324" s="3">
        <v>19.361129999999999</v>
      </c>
      <c r="H6324" s="3">
        <v>439.53474866365599</v>
      </c>
      <c r="I6324" s="3">
        <v>19.305574</v>
      </c>
      <c r="J6324" s="3">
        <v>19.555574</v>
      </c>
      <c r="K6324" s="3">
        <v>19.277794</v>
      </c>
      <c r="L6324" s="3">
        <v>439.53474866365599</v>
      </c>
    </row>
    <row r="6325" spans="1:12" ht="15" customHeight="1" x14ac:dyDescent="0.2">
      <c r="A6325" s="2">
        <v>36866</v>
      </c>
      <c r="B6325" s="3">
        <v>19.333351</v>
      </c>
      <c r="C6325" s="1">
        <v>519524.54</v>
      </c>
      <c r="D6325" s="3">
        <v>-1.0833359999999901</v>
      </c>
      <c r="E6325" s="3">
        <v>-5.3061302257315299</v>
      </c>
      <c r="F6325" s="3">
        <v>-5.3061302257315299</v>
      </c>
      <c r="G6325" s="3">
        <v>19.333351</v>
      </c>
      <c r="H6325" s="3">
        <v>438.76063394085202</v>
      </c>
      <c r="I6325" s="3">
        <v>20.111129999999999</v>
      </c>
      <c r="J6325" s="3">
        <v>20.388908000000001</v>
      </c>
      <c r="K6325" s="3">
        <v>19.083351</v>
      </c>
      <c r="L6325" s="3">
        <v>438.76063394085202</v>
      </c>
    </row>
    <row r="6326" spans="1:12" ht="15" customHeight="1" x14ac:dyDescent="0.2">
      <c r="A6326" s="2">
        <v>36865</v>
      </c>
      <c r="B6326" s="3">
        <v>20.416687</v>
      </c>
      <c r="C6326" s="1">
        <v>802799.26</v>
      </c>
      <c r="D6326" s="3">
        <v>0.33333400000000002</v>
      </c>
      <c r="E6326" s="3">
        <v>1.6597527315284499</v>
      </c>
      <c r="F6326" s="3">
        <v>1.6597527315284499</v>
      </c>
      <c r="G6326" s="3">
        <v>20.416687</v>
      </c>
      <c r="H6326" s="3">
        <v>468.949854119544</v>
      </c>
      <c r="I6326" s="3">
        <v>20.437519999999999</v>
      </c>
      <c r="J6326" s="3">
        <v>20.472244</v>
      </c>
      <c r="K6326" s="3">
        <v>20.166687</v>
      </c>
      <c r="L6326" s="3">
        <v>468.949854119544</v>
      </c>
    </row>
    <row r="6327" spans="1:12" ht="15" customHeight="1" x14ac:dyDescent="0.2">
      <c r="A6327" s="2">
        <v>36864</v>
      </c>
      <c r="B6327" s="3">
        <v>20.083352999999999</v>
      </c>
      <c r="C6327" s="1">
        <v>401399.63</v>
      </c>
      <c r="D6327" s="3">
        <v>0.33333299999999899</v>
      </c>
      <c r="E6327" s="3">
        <v>1.68776031619208</v>
      </c>
      <c r="F6327" s="3">
        <v>1.68776031619208</v>
      </c>
      <c r="G6327" s="3">
        <v>20.083352999999999</v>
      </c>
      <c r="H6327" s="3">
        <v>459.66086758254698</v>
      </c>
      <c r="I6327" s="3">
        <v>19.888908000000001</v>
      </c>
      <c r="J6327" s="3">
        <v>20.277795999999999</v>
      </c>
      <c r="K6327" s="3">
        <v>19.638908000000001</v>
      </c>
      <c r="L6327" s="3">
        <v>459.66086758254698</v>
      </c>
    </row>
    <row r="6328" spans="1:12" ht="15" customHeight="1" x14ac:dyDescent="0.2">
      <c r="A6328" s="2">
        <v>36861</v>
      </c>
      <c r="B6328" s="3">
        <v>19.750019999999999</v>
      </c>
      <c r="C6328" s="1">
        <v>522449.49999999901</v>
      </c>
      <c r="D6328" s="3">
        <v>0.50000299999999898</v>
      </c>
      <c r="E6328" s="3">
        <v>2.59741588799635</v>
      </c>
      <c r="F6328" s="3">
        <v>2.59741588799635</v>
      </c>
      <c r="G6328" s="3">
        <v>19.750019999999999</v>
      </c>
      <c r="H6328" s="3">
        <v>450.37190891245399</v>
      </c>
      <c r="I6328" s="3">
        <v>19.166687</v>
      </c>
      <c r="J6328" s="3">
        <v>20.416687</v>
      </c>
      <c r="K6328" s="3">
        <v>19.138905999999999</v>
      </c>
      <c r="L6328" s="3">
        <v>450.37190891245399</v>
      </c>
    </row>
    <row r="6329" spans="1:12" ht="15" customHeight="1" x14ac:dyDescent="0.2">
      <c r="A6329" s="2">
        <v>36860</v>
      </c>
      <c r="B6329" s="3">
        <v>19.250017</v>
      </c>
      <c r="C6329" s="1">
        <v>357974.67</v>
      </c>
      <c r="D6329" s="3">
        <v>-0.22222500000000101</v>
      </c>
      <c r="E6329" s="3">
        <v>-1.1412399250173699</v>
      </c>
      <c r="F6329" s="3">
        <v>-1.1412399250173699</v>
      </c>
      <c r="G6329" s="3">
        <v>19.250017</v>
      </c>
      <c r="H6329" s="3">
        <v>436.43837337315102</v>
      </c>
      <c r="I6329" s="3">
        <v>19.319464</v>
      </c>
      <c r="J6329" s="3">
        <v>19.555574</v>
      </c>
      <c r="K6329" s="3">
        <v>19.166685000000001</v>
      </c>
      <c r="L6329" s="3">
        <v>436.43837337315102</v>
      </c>
    </row>
    <row r="6330" spans="1:12" ht="15" customHeight="1" x14ac:dyDescent="0.2">
      <c r="A6330" s="2">
        <v>36859</v>
      </c>
      <c r="B6330" s="3">
        <v>19.472242000000001</v>
      </c>
      <c r="C6330" s="1">
        <v>1013174.1</v>
      </c>
      <c r="D6330" s="3">
        <v>0.5</v>
      </c>
      <c r="E6330" s="3">
        <v>2.6354291706799802</v>
      </c>
      <c r="F6330" s="3">
        <v>2.6354291706799802</v>
      </c>
      <c r="G6330" s="3">
        <v>19.472242000000001</v>
      </c>
      <c r="H6330" s="3">
        <v>442.63109608725802</v>
      </c>
      <c r="I6330" s="3">
        <v>19.000017</v>
      </c>
      <c r="J6330" s="3">
        <v>19.666685000000001</v>
      </c>
      <c r="K6330" s="3">
        <v>18.972242000000001</v>
      </c>
      <c r="L6330" s="3">
        <v>442.63109608725802</v>
      </c>
    </row>
    <row r="6331" spans="1:12" ht="15" customHeight="1" x14ac:dyDescent="0.2">
      <c r="A6331" s="2">
        <v>36858</v>
      </c>
      <c r="B6331" s="3">
        <v>18.972242000000001</v>
      </c>
      <c r="C6331" s="1">
        <v>483299.53</v>
      </c>
      <c r="D6331" s="3">
        <v>0.41666800000000098</v>
      </c>
      <c r="E6331" s="3">
        <v>2.24551393559693</v>
      </c>
      <c r="F6331" s="3">
        <v>2.24551393559693</v>
      </c>
      <c r="G6331" s="3">
        <v>18.972242000000001</v>
      </c>
      <c r="H6331" s="3">
        <v>428.69764414866597</v>
      </c>
      <c r="I6331" s="3">
        <v>18.590298000000001</v>
      </c>
      <c r="J6331" s="3">
        <v>19.027794</v>
      </c>
      <c r="K6331" s="3">
        <v>18.416685000000001</v>
      </c>
      <c r="L6331" s="3">
        <v>428.69764414866597</v>
      </c>
    </row>
    <row r="6332" spans="1:12" ht="15" customHeight="1" x14ac:dyDescent="0.2">
      <c r="A6332" s="2">
        <v>36857</v>
      </c>
      <c r="B6332" s="3">
        <v>18.555574</v>
      </c>
      <c r="C6332" s="1">
        <v>561599.39999999898</v>
      </c>
      <c r="D6332" s="3">
        <v>-1.0277769999999999</v>
      </c>
      <c r="E6332" s="3">
        <v>-5.2482182441605598</v>
      </c>
      <c r="F6332" s="3">
        <v>-5.2482182441605598</v>
      </c>
      <c r="G6332" s="3">
        <v>18.555574</v>
      </c>
      <c r="H6332" s="3">
        <v>417.086397043967</v>
      </c>
      <c r="I6332" s="3">
        <v>19.791687</v>
      </c>
      <c r="J6332" s="3">
        <v>19.833351</v>
      </c>
      <c r="K6332" s="3">
        <v>18.000017</v>
      </c>
      <c r="L6332" s="3">
        <v>417.086397043967</v>
      </c>
    </row>
    <row r="6333" spans="1:12" ht="15" customHeight="1" x14ac:dyDescent="0.2">
      <c r="A6333" s="2">
        <v>36854</v>
      </c>
      <c r="B6333" s="3">
        <v>19.583351</v>
      </c>
      <c r="C6333" s="1">
        <v>509399.54</v>
      </c>
      <c r="D6333" s="3">
        <v>0.55555699999999997</v>
      </c>
      <c r="E6333" s="3">
        <v>2.9197131312226698</v>
      </c>
      <c r="F6333" s="3">
        <v>2.9197131312226698</v>
      </c>
      <c r="G6333" s="3">
        <v>19.583351</v>
      </c>
      <c r="H6333" s="3">
        <v>445.72735991014798</v>
      </c>
      <c r="I6333" s="3">
        <v>19.000017</v>
      </c>
      <c r="J6333" s="3">
        <v>19.611129999999999</v>
      </c>
      <c r="K6333" s="3">
        <v>19.000017</v>
      </c>
      <c r="L6333" s="3">
        <v>445.72735991014798</v>
      </c>
    </row>
    <row r="6334" spans="1:12" ht="15" customHeight="1" x14ac:dyDescent="0.2">
      <c r="A6334" s="2">
        <v>36852</v>
      </c>
      <c r="B6334" s="3">
        <v>19.027794</v>
      </c>
      <c r="C6334" s="1">
        <v>655424.4</v>
      </c>
      <c r="D6334" s="3">
        <v>-0.72222599999999904</v>
      </c>
      <c r="E6334" s="3">
        <v>-3.6568368032032299</v>
      </c>
      <c r="F6334" s="3">
        <v>-3.6568368032032299</v>
      </c>
      <c r="G6334" s="3">
        <v>19.027794</v>
      </c>
      <c r="H6334" s="3">
        <v>430.24570639285099</v>
      </c>
      <c r="I6334" s="3">
        <v>19.777798000000001</v>
      </c>
      <c r="J6334" s="3">
        <v>19.777794</v>
      </c>
      <c r="K6334" s="3">
        <v>18.888905000000001</v>
      </c>
      <c r="L6334" s="3">
        <v>430.24570639285099</v>
      </c>
    </row>
    <row r="6335" spans="1:12" ht="15" customHeight="1" x14ac:dyDescent="0.2">
      <c r="A6335" s="2">
        <v>36851</v>
      </c>
      <c r="B6335" s="3">
        <v>19.750019999999999</v>
      </c>
      <c r="C6335" s="1">
        <v>254924.75999999899</v>
      </c>
      <c r="D6335" s="3">
        <v>-0.19444400000000001</v>
      </c>
      <c r="E6335" s="3">
        <v>-0.97492717778728799</v>
      </c>
      <c r="F6335" s="3">
        <v>-0.97492717778728799</v>
      </c>
      <c r="G6335" s="3">
        <v>19.750019999999999</v>
      </c>
      <c r="H6335" s="3">
        <v>450.37190891245399</v>
      </c>
      <c r="I6335" s="3">
        <v>19.888908000000001</v>
      </c>
      <c r="J6335" s="3">
        <v>20.055574</v>
      </c>
      <c r="K6335" s="3">
        <v>19.555574</v>
      </c>
      <c r="L6335" s="3">
        <v>450.37190891245399</v>
      </c>
    </row>
    <row r="6336" spans="1:12" ht="15" customHeight="1" x14ac:dyDescent="0.2">
      <c r="A6336" s="2">
        <v>36850</v>
      </c>
      <c r="B6336" s="3">
        <v>19.944464</v>
      </c>
      <c r="C6336" s="1">
        <v>311174.69999999902</v>
      </c>
      <c r="D6336" s="3">
        <v>-0.88888899999999804</v>
      </c>
      <c r="E6336" s="3">
        <v>-4.2666631722699497</v>
      </c>
      <c r="F6336" s="3">
        <v>-4.2666631722699497</v>
      </c>
      <c r="G6336" s="3">
        <v>19.944464</v>
      </c>
      <c r="H6336" s="3">
        <v>455.79046116994903</v>
      </c>
      <c r="I6336" s="3">
        <v>20.833352999999999</v>
      </c>
      <c r="J6336" s="3">
        <v>20.861132000000001</v>
      </c>
      <c r="K6336" s="3">
        <v>19.888908000000001</v>
      </c>
      <c r="L6336" s="3">
        <v>455.79046116994903</v>
      </c>
    </row>
    <row r="6337" spans="1:12" ht="15" customHeight="1" x14ac:dyDescent="0.2">
      <c r="A6337" s="2">
        <v>36847</v>
      </c>
      <c r="B6337" s="3">
        <v>20.833352999999999</v>
      </c>
      <c r="C6337" s="1">
        <v>279449.7</v>
      </c>
      <c r="D6337" s="3">
        <v>0.25</v>
      </c>
      <c r="E6337" s="3">
        <v>1.2145737383020001</v>
      </c>
      <c r="F6337" s="3">
        <v>1.2145737383020001</v>
      </c>
      <c r="G6337" s="3">
        <v>20.833352999999999</v>
      </c>
      <c r="H6337" s="3">
        <v>480.56104549043499</v>
      </c>
      <c r="I6337" s="3">
        <v>20.722244</v>
      </c>
      <c r="J6337" s="3">
        <v>20.888908000000001</v>
      </c>
      <c r="K6337" s="3">
        <v>20.388908000000001</v>
      </c>
      <c r="L6337" s="3">
        <v>480.56104549043499</v>
      </c>
    </row>
    <row r="6338" spans="1:12" ht="15" customHeight="1" x14ac:dyDescent="0.2">
      <c r="A6338" s="2">
        <v>36846</v>
      </c>
      <c r="B6338" s="3">
        <v>20.583352999999999</v>
      </c>
      <c r="C6338" s="1">
        <v>230399.77</v>
      </c>
      <c r="D6338" s="3">
        <v>-0.777779000000002</v>
      </c>
      <c r="E6338" s="3">
        <v>-3.6410944888126702</v>
      </c>
      <c r="F6338" s="3">
        <v>-3.6410944888126702</v>
      </c>
      <c r="G6338" s="3">
        <v>20.583352999999999</v>
      </c>
      <c r="H6338" s="3">
        <v>473.59431952113903</v>
      </c>
      <c r="I6338" s="3">
        <v>21.388909999999999</v>
      </c>
      <c r="J6338" s="3">
        <v>21.416687</v>
      </c>
      <c r="K6338" s="3">
        <v>20.500017</v>
      </c>
      <c r="L6338" s="3">
        <v>473.59431952113903</v>
      </c>
    </row>
    <row r="6339" spans="1:12" ht="15" customHeight="1" x14ac:dyDescent="0.2">
      <c r="A6339" s="2">
        <v>36845</v>
      </c>
      <c r="B6339" s="3">
        <v>21.361132000000001</v>
      </c>
      <c r="C6339" s="1">
        <v>638099.39999999898</v>
      </c>
      <c r="D6339" s="3">
        <v>0.94444500000000098</v>
      </c>
      <c r="E6339" s="3">
        <v>4.6258484542570599</v>
      </c>
      <c r="F6339" s="3">
        <v>4.6258484542570599</v>
      </c>
      <c r="G6339" s="3">
        <v>21.361132000000001</v>
      </c>
      <c r="H6339" s="3">
        <v>495.26861215183101</v>
      </c>
      <c r="I6339" s="3">
        <v>20.527798000000001</v>
      </c>
      <c r="J6339" s="3">
        <v>21.361132000000001</v>
      </c>
      <c r="K6339" s="3">
        <v>20.333352999999999</v>
      </c>
      <c r="L6339" s="3">
        <v>495.26861215183101</v>
      </c>
    </row>
    <row r="6340" spans="1:12" ht="15" customHeight="1" x14ac:dyDescent="0.2">
      <c r="A6340" s="2">
        <v>36844</v>
      </c>
      <c r="B6340" s="3">
        <v>20.416687</v>
      </c>
      <c r="C6340" s="1">
        <v>887624.15</v>
      </c>
      <c r="D6340" s="3">
        <v>0.13889099999999999</v>
      </c>
      <c r="E6340" s="3">
        <v>0.68494130229932404</v>
      </c>
      <c r="F6340" s="3">
        <v>0.68494130229932404</v>
      </c>
      <c r="G6340" s="3">
        <v>20.416687</v>
      </c>
      <c r="H6340" s="3">
        <v>468.949854119544</v>
      </c>
      <c r="I6340" s="3">
        <v>20.333352999999999</v>
      </c>
      <c r="J6340" s="3">
        <v>20.750021</v>
      </c>
      <c r="K6340" s="3">
        <v>20.222244</v>
      </c>
      <c r="L6340" s="3">
        <v>468.949854119544</v>
      </c>
    </row>
    <row r="6341" spans="1:12" ht="15" customHeight="1" x14ac:dyDescent="0.2">
      <c r="A6341" s="2">
        <v>36843</v>
      </c>
      <c r="B6341" s="3">
        <v>20.277795999999999</v>
      </c>
      <c r="C6341" s="1">
        <v>644849.37</v>
      </c>
      <c r="D6341" s="3">
        <v>0.33333199999999802</v>
      </c>
      <c r="E6341" s="3">
        <v>1.67130086825095</v>
      </c>
      <c r="F6341" s="3">
        <v>1.67130086825095</v>
      </c>
      <c r="G6341" s="3">
        <v>20.277795999999999</v>
      </c>
      <c r="H6341" s="3">
        <v>465.079391973138</v>
      </c>
      <c r="I6341" s="3">
        <v>20.013908000000001</v>
      </c>
      <c r="J6341" s="3">
        <v>20.333352999999999</v>
      </c>
      <c r="K6341" s="3">
        <v>19.694464</v>
      </c>
      <c r="L6341" s="3">
        <v>465.079391973138</v>
      </c>
    </row>
    <row r="6342" spans="1:12" ht="15" customHeight="1" x14ac:dyDescent="0.2">
      <c r="A6342" s="2">
        <v>36840</v>
      </c>
      <c r="B6342" s="3">
        <v>19.944464</v>
      </c>
      <c r="C6342" s="1">
        <v>212624.82</v>
      </c>
      <c r="D6342" s="3">
        <v>-0.16666599999999901</v>
      </c>
      <c r="E6342" s="3">
        <v>-0.82872518849015298</v>
      </c>
      <c r="F6342" s="3">
        <v>-0.82872518849015298</v>
      </c>
      <c r="G6342" s="3">
        <v>19.944464</v>
      </c>
      <c r="H6342" s="3">
        <v>455.79046116994903</v>
      </c>
      <c r="I6342" s="3">
        <v>19.944465999999998</v>
      </c>
      <c r="J6342" s="3">
        <v>20.527795999999999</v>
      </c>
      <c r="K6342" s="3">
        <v>19.944464</v>
      </c>
      <c r="L6342" s="3">
        <v>455.79046116994903</v>
      </c>
    </row>
    <row r="6343" spans="1:12" ht="15" customHeight="1" x14ac:dyDescent="0.2">
      <c r="A6343" s="2">
        <v>36839</v>
      </c>
      <c r="B6343" s="3">
        <v>20.111129999999999</v>
      </c>
      <c r="C6343" s="1">
        <v>426374.6</v>
      </c>
      <c r="D6343" s="3">
        <v>-0.38888699999999998</v>
      </c>
      <c r="E6343" s="3">
        <v>-1.8970081829688199</v>
      </c>
      <c r="F6343" s="3">
        <v>-1.8970081829688199</v>
      </c>
      <c r="G6343" s="3">
        <v>20.111129999999999</v>
      </c>
      <c r="H6343" s="3">
        <v>460.434926571544</v>
      </c>
      <c r="I6343" s="3">
        <v>20.444465999999998</v>
      </c>
      <c r="J6343" s="3">
        <v>20.472244</v>
      </c>
      <c r="K6343" s="3">
        <v>19.555574</v>
      </c>
      <c r="L6343" s="3">
        <v>460.434926571544</v>
      </c>
    </row>
    <row r="6344" spans="1:12" ht="15" customHeight="1" x14ac:dyDescent="0.2">
      <c r="A6344" s="2">
        <v>36838</v>
      </c>
      <c r="B6344" s="3">
        <v>20.500017</v>
      </c>
      <c r="C6344" s="1">
        <v>344024.72</v>
      </c>
      <c r="D6344" s="3">
        <v>0.16666400000000001</v>
      </c>
      <c r="E6344" s="3">
        <v>0.819658223609254</v>
      </c>
      <c r="F6344" s="3">
        <v>0.819658223609254</v>
      </c>
      <c r="G6344" s="3">
        <v>20.500017</v>
      </c>
      <c r="H6344" s="3">
        <v>471.27200321962999</v>
      </c>
      <c r="I6344" s="3">
        <v>20.430575999999999</v>
      </c>
      <c r="J6344" s="3">
        <v>20.666687</v>
      </c>
      <c r="K6344" s="3">
        <v>19.944464</v>
      </c>
      <c r="L6344" s="3">
        <v>471.27200321962999</v>
      </c>
    </row>
    <row r="6345" spans="1:12" ht="15" customHeight="1" x14ac:dyDescent="0.2">
      <c r="A6345" s="2">
        <v>36837</v>
      </c>
      <c r="B6345" s="3">
        <v>20.333352999999999</v>
      </c>
      <c r="C6345" s="1">
        <v>391724.64</v>
      </c>
      <c r="D6345" s="3">
        <v>0.111108999999999</v>
      </c>
      <c r="E6345" s="3">
        <v>0.54943951818600101</v>
      </c>
      <c r="F6345" s="3">
        <v>0.54943951818600101</v>
      </c>
      <c r="G6345" s="3">
        <v>20.333352999999999</v>
      </c>
      <c r="H6345" s="3">
        <v>466.62759355184301</v>
      </c>
      <c r="I6345" s="3">
        <v>20.326408000000001</v>
      </c>
      <c r="J6345" s="3">
        <v>20.444464</v>
      </c>
      <c r="K6345" s="3">
        <v>20.083352999999999</v>
      </c>
      <c r="L6345" s="3">
        <v>466.62759355184301</v>
      </c>
    </row>
    <row r="6346" spans="1:12" ht="15" customHeight="1" x14ac:dyDescent="0.2">
      <c r="A6346" s="2">
        <v>36836</v>
      </c>
      <c r="B6346" s="3">
        <v>20.222244</v>
      </c>
      <c r="C6346" s="1">
        <v>640574.4</v>
      </c>
      <c r="D6346" s="3">
        <v>0.41666999999999899</v>
      </c>
      <c r="E6346" s="3">
        <v>2.10380168734316</v>
      </c>
      <c r="F6346" s="3">
        <v>2.10380168734316</v>
      </c>
      <c r="G6346" s="3">
        <v>20.222244</v>
      </c>
      <c r="H6346" s="3">
        <v>463.53132972895298</v>
      </c>
      <c r="I6346" s="3">
        <v>19.888908000000001</v>
      </c>
      <c r="J6346" s="3">
        <v>20.444464</v>
      </c>
      <c r="K6346" s="3">
        <v>19.861129999999999</v>
      </c>
      <c r="L6346" s="3">
        <v>463.53132972895298</v>
      </c>
    </row>
    <row r="6347" spans="1:12" ht="15" customHeight="1" x14ac:dyDescent="0.2">
      <c r="A6347" s="2">
        <v>36833</v>
      </c>
      <c r="B6347" s="3">
        <v>19.805574</v>
      </c>
      <c r="C6347" s="1">
        <v>1894723.0999999901</v>
      </c>
      <c r="D6347" s="3">
        <v>-0.111111000000001</v>
      </c>
      <c r="E6347" s="3">
        <v>-0.55787898437917804</v>
      </c>
      <c r="F6347" s="3">
        <v>-0.55787898437917804</v>
      </c>
      <c r="G6347" s="3">
        <v>19.805574</v>
      </c>
      <c r="H6347" s="3">
        <v>451.92002689044699</v>
      </c>
      <c r="I6347" s="3">
        <v>20.152798000000001</v>
      </c>
      <c r="J6347" s="3">
        <v>21.527799999999999</v>
      </c>
      <c r="K6347" s="3">
        <v>19.333351</v>
      </c>
      <c r="L6347" s="3">
        <v>451.92002689044699</v>
      </c>
    </row>
    <row r="6348" spans="1:12" ht="15" customHeight="1" x14ac:dyDescent="0.2">
      <c r="A6348" s="2">
        <v>36832</v>
      </c>
      <c r="B6348" s="3">
        <v>19.916685000000001</v>
      </c>
      <c r="C6348" s="1">
        <v>1074374</v>
      </c>
      <c r="D6348" s="3">
        <v>0.55555500000000102</v>
      </c>
      <c r="E6348" s="3">
        <v>2.8694347902214501</v>
      </c>
      <c r="F6348" s="3">
        <v>2.8694347902214501</v>
      </c>
      <c r="G6348" s="3">
        <v>19.916685000000001</v>
      </c>
      <c r="H6348" s="3">
        <v>455.016346447145</v>
      </c>
      <c r="I6348" s="3">
        <v>19.500021</v>
      </c>
      <c r="J6348" s="3">
        <v>20.055574</v>
      </c>
      <c r="K6348" s="3">
        <v>19.388908000000001</v>
      </c>
      <c r="L6348" s="3">
        <v>455.016346447145</v>
      </c>
    </row>
    <row r="6349" spans="1:12" ht="15" customHeight="1" x14ac:dyDescent="0.2">
      <c r="A6349" s="2">
        <v>36831</v>
      </c>
      <c r="B6349" s="3">
        <v>19.361129999999999</v>
      </c>
      <c r="C6349" s="1">
        <v>945899.05</v>
      </c>
      <c r="D6349" s="3">
        <v>-0.33333400000000002</v>
      </c>
      <c r="E6349" s="3">
        <v>-1.69252638711061</v>
      </c>
      <c r="F6349" s="3">
        <v>-1.69252638711061</v>
      </c>
      <c r="G6349" s="3">
        <v>19.361129999999999</v>
      </c>
      <c r="H6349" s="3">
        <v>439.53474866365599</v>
      </c>
      <c r="I6349" s="3">
        <v>19.722242000000001</v>
      </c>
      <c r="J6349" s="3">
        <v>19.722242000000001</v>
      </c>
      <c r="K6349" s="3">
        <v>19.361129999999999</v>
      </c>
      <c r="L6349" s="3">
        <v>439.53474866365599</v>
      </c>
    </row>
    <row r="6350" spans="1:12" ht="15" customHeight="1" x14ac:dyDescent="0.2">
      <c r="A6350" s="2">
        <v>36830</v>
      </c>
      <c r="B6350" s="3">
        <v>19.694464</v>
      </c>
      <c r="C6350" s="1">
        <v>710774.3</v>
      </c>
      <c r="D6350" s="3">
        <v>2.7778999999998801E-2</v>
      </c>
      <c r="E6350" s="3">
        <v>0.14124902086956001</v>
      </c>
      <c r="F6350" s="3">
        <v>0.14124902086956001</v>
      </c>
      <c r="G6350" s="3">
        <v>19.694464</v>
      </c>
      <c r="H6350" s="3">
        <v>448.823735200653</v>
      </c>
      <c r="I6350" s="3">
        <v>19.750019999999999</v>
      </c>
      <c r="J6350" s="3">
        <v>19.777794</v>
      </c>
      <c r="K6350" s="3">
        <v>19.222242000000001</v>
      </c>
      <c r="L6350" s="3">
        <v>448.823735200653</v>
      </c>
    </row>
    <row r="6351" spans="1:12" ht="15" customHeight="1" x14ac:dyDescent="0.2">
      <c r="A6351" s="2">
        <v>36829</v>
      </c>
      <c r="B6351" s="3">
        <v>19.666685000000001</v>
      </c>
      <c r="C6351" s="1">
        <v>515024.54</v>
      </c>
      <c r="D6351" s="3">
        <v>0.30555500000000102</v>
      </c>
      <c r="E6351" s="3">
        <v>1.57818784337484</v>
      </c>
      <c r="F6351" s="3">
        <v>1.57818784337484</v>
      </c>
      <c r="G6351" s="3">
        <v>19.666685000000001</v>
      </c>
      <c r="H6351" s="3">
        <v>448.04962047784898</v>
      </c>
      <c r="I6351" s="3">
        <v>19.486129999999999</v>
      </c>
      <c r="J6351" s="3">
        <v>20.055574</v>
      </c>
      <c r="K6351" s="3">
        <v>18.805574</v>
      </c>
      <c r="L6351" s="3">
        <v>448.04962047784898</v>
      </c>
    </row>
    <row r="6352" spans="1:12" ht="15" customHeight="1" x14ac:dyDescent="0.2">
      <c r="A6352" s="2">
        <v>36826</v>
      </c>
      <c r="B6352" s="3">
        <v>19.361129999999999</v>
      </c>
      <c r="C6352" s="1">
        <v>471824.52</v>
      </c>
      <c r="D6352" s="3">
        <v>0.83333599999999897</v>
      </c>
      <c r="E6352" s="3">
        <v>4.4977615791712502</v>
      </c>
      <c r="F6352" s="3">
        <v>4.4977615791712502</v>
      </c>
      <c r="G6352" s="3">
        <v>19.361129999999999</v>
      </c>
      <c r="H6352" s="3">
        <v>439.53474866365599</v>
      </c>
      <c r="I6352" s="3">
        <v>19.076405000000001</v>
      </c>
      <c r="J6352" s="3">
        <v>19.381964</v>
      </c>
      <c r="K6352" s="3">
        <v>18.444462000000001</v>
      </c>
      <c r="L6352" s="3">
        <v>439.53474866365599</v>
      </c>
    </row>
    <row r="6353" spans="1:12" ht="15" customHeight="1" x14ac:dyDescent="0.2">
      <c r="A6353" s="2">
        <v>36825</v>
      </c>
      <c r="B6353" s="3">
        <v>18.527794</v>
      </c>
      <c r="C6353" s="1">
        <v>627299.43999999994</v>
      </c>
      <c r="D6353" s="3">
        <v>-0.19444800000000101</v>
      </c>
      <c r="E6353" s="3">
        <v>-1.0385935616044299</v>
      </c>
      <c r="F6353" s="3">
        <v>-1.0385935616044299</v>
      </c>
      <c r="G6353" s="3">
        <v>18.527794</v>
      </c>
      <c r="H6353" s="3">
        <v>416.312254454259</v>
      </c>
      <c r="I6353" s="3">
        <v>18.666685000000001</v>
      </c>
      <c r="J6353" s="3">
        <v>19.166685000000001</v>
      </c>
      <c r="K6353" s="3">
        <v>17.166682999999999</v>
      </c>
      <c r="L6353" s="3">
        <v>416.312254454259</v>
      </c>
    </row>
    <row r="6354" spans="1:12" ht="15" customHeight="1" x14ac:dyDescent="0.2">
      <c r="A6354" s="2">
        <v>36824</v>
      </c>
      <c r="B6354" s="3">
        <v>18.722242000000001</v>
      </c>
      <c r="C6354" s="1">
        <v>418274.63</v>
      </c>
      <c r="D6354" s="3"/>
      <c r="E6354" s="3"/>
      <c r="F6354" s="3"/>
      <c r="G6354" s="3">
        <v>18.722242000000001</v>
      </c>
      <c r="H6354" s="3">
        <v>421.73091817937001</v>
      </c>
      <c r="I6354" s="3">
        <v>18.451405999999999</v>
      </c>
      <c r="J6354" s="3">
        <v>18.861128000000001</v>
      </c>
      <c r="K6354" s="3">
        <v>18.388905999999999</v>
      </c>
      <c r="L6354" s="3">
        <v>421.73091817937001</v>
      </c>
    </row>
    <row r="6355" spans="1:12" ht="15" customHeight="1" x14ac:dyDescent="0.2">
      <c r="A6355" s="2">
        <v>36823</v>
      </c>
      <c r="B6355" s="3">
        <v>18.722242000000001</v>
      </c>
      <c r="C6355" s="1">
        <v>932624.1</v>
      </c>
      <c r="D6355" s="3"/>
      <c r="E6355" s="3"/>
      <c r="F6355" s="3"/>
      <c r="G6355" s="3">
        <v>18.722242000000001</v>
      </c>
      <c r="H6355" s="3">
        <v>421.73091817937001</v>
      </c>
      <c r="I6355" s="3">
        <v>18.722242000000001</v>
      </c>
      <c r="J6355" s="3">
        <v>19.333351</v>
      </c>
      <c r="K6355" s="3">
        <v>18.555574</v>
      </c>
      <c r="L6355" s="3">
        <v>421.73091817937001</v>
      </c>
    </row>
    <row r="6356" spans="1:12" ht="15" customHeight="1" x14ac:dyDescent="0.2">
      <c r="A6356" s="2">
        <v>36822</v>
      </c>
      <c r="B6356" s="3">
        <v>18.722242000000001</v>
      </c>
      <c r="C6356" s="1">
        <v>505349.51999999903</v>
      </c>
      <c r="D6356" s="3">
        <v>0.94444800000000095</v>
      </c>
      <c r="E6356" s="3">
        <v>5.3125151523299303</v>
      </c>
      <c r="F6356" s="3">
        <v>5.3125151523299303</v>
      </c>
      <c r="G6356" s="3">
        <v>18.722242000000001</v>
      </c>
      <c r="H6356" s="3">
        <v>421.73091817937001</v>
      </c>
      <c r="I6356" s="3">
        <v>17.861128000000001</v>
      </c>
      <c r="J6356" s="3">
        <v>18.722242000000001</v>
      </c>
      <c r="K6356" s="3">
        <v>17.722239999999999</v>
      </c>
      <c r="L6356" s="3">
        <v>421.73091817937001</v>
      </c>
    </row>
    <row r="6357" spans="1:12" ht="15" customHeight="1" x14ac:dyDescent="0.2">
      <c r="A6357" s="2">
        <v>36819</v>
      </c>
      <c r="B6357" s="3">
        <v>17.777794</v>
      </c>
      <c r="C6357" s="1">
        <v>427499.6</v>
      </c>
      <c r="D6357" s="3">
        <v>0.66666599999999898</v>
      </c>
      <c r="E6357" s="3">
        <v>3.8960961545024801</v>
      </c>
      <c r="F6357" s="3">
        <v>3.8960961545024801</v>
      </c>
      <c r="G6357" s="3">
        <v>17.777794</v>
      </c>
      <c r="H6357" s="3">
        <v>395.41207654637202</v>
      </c>
      <c r="I6357" s="3">
        <v>17.111128000000001</v>
      </c>
      <c r="J6357" s="3">
        <v>17.833351</v>
      </c>
      <c r="K6357" s="3">
        <v>17.083349999999999</v>
      </c>
      <c r="L6357" s="3">
        <v>395.41207654637202</v>
      </c>
    </row>
    <row r="6358" spans="1:12" ht="15" customHeight="1" x14ac:dyDescent="0.2">
      <c r="A6358" s="2">
        <v>36818</v>
      </c>
      <c r="B6358" s="3">
        <v>17.111128000000001</v>
      </c>
      <c r="C6358" s="1">
        <v>243674.75999999899</v>
      </c>
      <c r="D6358" s="3">
        <v>0.25</v>
      </c>
      <c r="E6358" s="3">
        <v>1.4827003270481101</v>
      </c>
      <c r="F6358" s="3">
        <v>1.4827003270481101</v>
      </c>
      <c r="G6358" s="3">
        <v>17.111128000000001</v>
      </c>
      <c r="H6358" s="3">
        <v>376.83415920618501</v>
      </c>
      <c r="I6358" s="3">
        <v>16.930572999999999</v>
      </c>
      <c r="J6358" s="3">
        <v>17.138905000000001</v>
      </c>
      <c r="K6358" s="3">
        <v>16.722242000000001</v>
      </c>
      <c r="L6358" s="3">
        <v>376.83415920618501</v>
      </c>
    </row>
    <row r="6359" spans="1:12" ht="15" customHeight="1" x14ac:dyDescent="0.2">
      <c r="A6359" s="2">
        <v>36817</v>
      </c>
      <c r="B6359" s="3">
        <v>16.861128000000001</v>
      </c>
      <c r="C6359" s="1">
        <v>309374.73</v>
      </c>
      <c r="D6359" s="3">
        <v>8.3335999999999105E-2</v>
      </c>
      <c r="E6359" s="3">
        <v>0.49670421471430498</v>
      </c>
      <c r="F6359" s="3">
        <v>0.49670421471430498</v>
      </c>
      <c r="G6359" s="3">
        <v>16.861128000000001</v>
      </c>
      <c r="H6359" s="3">
        <v>369.86743323688898</v>
      </c>
      <c r="I6359" s="3">
        <v>16.555572999999999</v>
      </c>
      <c r="J6359" s="3">
        <v>17.166682999999999</v>
      </c>
      <c r="K6359" s="3">
        <v>16.388905000000001</v>
      </c>
      <c r="L6359" s="3">
        <v>369.86743323688898</v>
      </c>
    </row>
    <row r="6360" spans="1:12" ht="15" customHeight="1" x14ac:dyDescent="0.2">
      <c r="A6360" s="2">
        <v>36816</v>
      </c>
      <c r="B6360" s="3">
        <v>16.777792000000002</v>
      </c>
      <c r="C6360" s="1">
        <v>593099.39999999898</v>
      </c>
      <c r="D6360" s="3">
        <v>-0.44444799999999701</v>
      </c>
      <c r="E6360" s="3">
        <v>-2.5806631425412601</v>
      </c>
      <c r="F6360" s="3">
        <v>-2.5806631425412601</v>
      </c>
      <c r="G6360" s="3">
        <v>16.777792000000002</v>
      </c>
      <c r="H6360" s="3">
        <v>367.54511693538001</v>
      </c>
      <c r="I6360" s="3">
        <v>17.250015000000001</v>
      </c>
      <c r="J6360" s="3">
        <v>17.361128000000001</v>
      </c>
      <c r="K6360" s="3">
        <v>16.055568999999998</v>
      </c>
      <c r="L6360" s="3">
        <v>367.54511693538001</v>
      </c>
    </row>
    <row r="6361" spans="1:12" ht="15" customHeight="1" x14ac:dyDescent="0.2">
      <c r="A6361" s="2">
        <v>36815</v>
      </c>
      <c r="B6361" s="3">
        <v>17.222239999999999</v>
      </c>
      <c r="C6361" s="1">
        <v>456749.57</v>
      </c>
      <c r="D6361" s="3">
        <v>-0.11111</v>
      </c>
      <c r="E6361" s="3">
        <v>-0.64101861440517505</v>
      </c>
      <c r="F6361" s="3">
        <v>-0.64101861440517505</v>
      </c>
      <c r="G6361" s="3">
        <v>17.222239999999999</v>
      </c>
      <c r="H6361" s="3">
        <v>379.93050662978698</v>
      </c>
      <c r="I6361" s="3">
        <v>17.291685000000001</v>
      </c>
      <c r="J6361" s="3">
        <v>17.555572999999999</v>
      </c>
      <c r="K6361" s="3">
        <v>16.611128000000001</v>
      </c>
      <c r="L6361" s="3">
        <v>379.93050662978698</v>
      </c>
    </row>
    <row r="6362" spans="1:12" ht="15" customHeight="1" x14ac:dyDescent="0.2">
      <c r="A6362" s="2">
        <v>36812</v>
      </c>
      <c r="B6362" s="3">
        <v>17.333349999999999</v>
      </c>
      <c r="C6362" s="1">
        <v>735974.299999999</v>
      </c>
      <c r="D6362" s="3">
        <v>1.111111</v>
      </c>
      <c r="E6362" s="3">
        <v>6.8493072996890199</v>
      </c>
      <c r="F6362" s="3">
        <v>6.8493072996890199</v>
      </c>
      <c r="G6362" s="3">
        <v>17.333349999999999</v>
      </c>
      <c r="H6362" s="3">
        <v>383.02679831958102</v>
      </c>
      <c r="I6362" s="3">
        <v>16.208349999999999</v>
      </c>
      <c r="J6362" s="3">
        <v>17.527794</v>
      </c>
      <c r="K6362" s="3">
        <v>16.111125999999999</v>
      </c>
      <c r="L6362" s="3">
        <v>383.02679831958102</v>
      </c>
    </row>
    <row r="6363" spans="1:12" ht="15" customHeight="1" x14ac:dyDescent="0.2">
      <c r="A6363" s="2">
        <v>36811</v>
      </c>
      <c r="B6363" s="3">
        <v>16.222238999999998</v>
      </c>
      <c r="C6363" s="1">
        <v>926774.05</v>
      </c>
      <c r="D6363" s="3">
        <v>-1.6111120000000001</v>
      </c>
      <c r="E6363" s="3">
        <v>-9.0342639473646908</v>
      </c>
      <c r="F6363" s="3">
        <v>-9.0342639473646908</v>
      </c>
      <c r="G6363" s="3">
        <v>16.222238999999998</v>
      </c>
      <c r="H6363" s="3">
        <v>352.06357488569898</v>
      </c>
      <c r="I6363" s="3">
        <v>17.833351</v>
      </c>
      <c r="J6363" s="3">
        <v>18.083351</v>
      </c>
      <c r="K6363" s="3">
        <v>16.194459999999999</v>
      </c>
      <c r="L6363" s="3">
        <v>352.06357488569898</v>
      </c>
    </row>
    <row r="6364" spans="1:12" ht="15" customHeight="1" x14ac:dyDescent="0.2">
      <c r="A6364" s="2">
        <v>36810</v>
      </c>
      <c r="B6364" s="3">
        <v>17.833351</v>
      </c>
      <c r="C6364" s="1">
        <v>486899.54</v>
      </c>
      <c r="D6364" s="3">
        <v>-0.55555499999999802</v>
      </c>
      <c r="E6364" s="3">
        <v>-3.0211422038918299</v>
      </c>
      <c r="F6364" s="3">
        <v>-3.0211422038918299</v>
      </c>
      <c r="G6364" s="3">
        <v>17.833351</v>
      </c>
      <c r="H6364" s="3">
        <v>396.960278125076</v>
      </c>
      <c r="I6364" s="3">
        <v>18.277798000000001</v>
      </c>
      <c r="J6364" s="3">
        <v>18.611128000000001</v>
      </c>
      <c r="K6364" s="3">
        <v>17.555572999999999</v>
      </c>
      <c r="L6364" s="3">
        <v>396.960278125076</v>
      </c>
    </row>
    <row r="6365" spans="1:12" ht="15" customHeight="1" x14ac:dyDescent="0.2">
      <c r="A6365" s="2">
        <v>36809</v>
      </c>
      <c r="B6365" s="3">
        <v>18.388905999999999</v>
      </c>
      <c r="C6365" s="1">
        <v>963449.03999999899</v>
      </c>
      <c r="D6365" s="3">
        <v>0.222220999999997</v>
      </c>
      <c r="E6365" s="3">
        <v>1.2232336279293501</v>
      </c>
      <c r="F6365" s="3">
        <v>1.2232336279293501</v>
      </c>
      <c r="G6365" s="3">
        <v>18.388905999999999</v>
      </c>
      <c r="H6365" s="3">
        <v>412.44187590856501</v>
      </c>
      <c r="I6365" s="3">
        <v>18.041685000000001</v>
      </c>
      <c r="J6365" s="3">
        <v>18.638905999999999</v>
      </c>
      <c r="K6365" s="3">
        <v>18.027794</v>
      </c>
      <c r="L6365" s="3">
        <v>412.44187590856501</v>
      </c>
    </row>
    <row r="6366" spans="1:12" ht="15" customHeight="1" x14ac:dyDescent="0.2">
      <c r="A6366" s="2">
        <v>36808</v>
      </c>
      <c r="B6366" s="3">
        <v>18.166685000000001</v>
      </c>
      <c r="C6366" s="1">
        <v>377999.63</v>
      </c>
      <c r="D6366" s="3">
        <v>0.33333400000000002</v>
      </c>
      <c r="E6366" s="3">
        <v>1.86916076513046</v>
      </c>
      <c r="F6366" s="3">
        <v>1.86916076513046</v>
      </c>
      <c r="G6366" s="3">
        <v>18.166685000000001</v>
      </c>
      <c r="H6366" s="3">
        <v>406.24926466207302</v>
      </c>
      <c r="I6366" s="3">
        <v>18.027795999999999</v>
      </c>
      <c r="J6366" s="3">
        <v>18.611128000000001</v>
      </c>
      <c r="K6366" s="3">
        <v>17.944462000000001</v>
      </c>
      <c r="L6366" s="3">
        <v>406.24926466207302</v>
      </c>
    </row>
    <row r="6367" spans="1:12" ht="15" customHeight="1" x14ac:dyDescent="0.2">
      <c r="A6367" s="2">
        <v>36805</v>
      </c>
      <c r="B6367" s="3">
        <v>17.833351</v>
      </c>
      <c r="C6367" s="1">
        <v>814049.26</v>
      </c>
      <c r="D6367" s="3">
        <v>-0.77777700000000005</v>
      </c>
      <c r="E6367" s="3">
        <v>-4.1790965061333099</v>
      </c>
      <c r="F6367" s="3">
        <v>-4.1790965061333099</v>
      </c>
      <c r="G6367" s="3">
        <v>17.833351</v>
      </c>
      <c r="H6367" s="3">
        <v>396.960278125076</v>
      </c>
      <c r="I6367" s="3">
        <v>18.638905999999999</v>
      </c>
      <c r="J6367" s="3">
        <v>19.138905999999999</v>
      </c>
      <c r="K6367" s="3">
        <v>17.333349999999999</v>
      </c>
      <c r="L6367" s="3">
        <v>396.960278125076</v>
      </c>
    </row>
    <row r="6368" spans="1:12" ht="15" customHeight="1" x14ac:dyDescent="0.2">
      <c r="A6368" s="2">
        <v>36804</v>
      </c>
      <c r="B6368" s="3">
        <v>18.611128000000001</v>
      </c>
      <c r="C6368" s="1">
        <v>647099.37</v>
      </c>
      <c r="D6368" s="3">
        <v>0.111111000000001</v>
      </c>
      <c r="E6368" s="3">
        <v>0.60059944809780497</v>
      </c>
      <c r="F6368" s="3">
        <v>0.60059944809780497</v>
      </c>
      <c r="G6368" s="3">
        <v>18.611128000000001</v>
      </c>
      <c r="H6368" s="3">
        <v>418.63451502196102</v>
      </c>
      <c r="I6368" s="3">
        <v>18.611128000000001</v>
      </c>
      <c r="J6368" s="3">
        <v>18.638905999999999</v>
      </c>
      <c r="K6368" s="3">
        <v>17.527794</v>
      </c>
      <c r="L6368" s="3">
        <v>418.63451502196102</v>
      </c>
    </row>
    <row r="6369" spans="1:12" ht="15" customHeight="1" x14ac:dyDescent="0.2">
      <c r="A6369" s="2">
        <v>36803</v>
      </c>
      <c r="B6369" s="3">
        <v>18.500017</v>
      </c>
      <c r="C6369" s="1">
        <v>1299373.8</v>
      </c>
      <c r="D6369" s="3">
        <v>0.91666599999999898</v>
      </c>
      <c r="E6369" s="3">
        <v>5.21326111274238</v>
      </c>
      <c r="F6369" s="3">
        <v>5.21326111274238</v>
      </c>
      <c r="G6369" s="3">
        <v>18.500017</v>
      </c>
      <c r="H6369" s="3">
        <v>415.53819546526302</v>
      </c>
      <c r="I6369" s="3">
        <v>17.777794</v>
      </c>
      <c r="J6369" s="3">
        <v>18.805574</v>
      </c>
      <c r="K6369" s="3">
        <v>17.750017</v>
      </c>
      <c r="L6369" s="3">
        <v>415.53819546526302</v>
      </c>
    </row>
    <row r="6370" spans="1:12" ht="15" customHeight="1" x14ac:dyDescent="0.2">
      <c r="A6370" s="2">
        <v>36802</v>
      </c>
      <c r="B6370" s="3">
        <v>17.583351</v>
      </c>
      <c r="C6370" s="1">
        <v>714824.34</v>
      </c>
      <c r="D6370" s="3">
        <v>-1.5277769999999999</v>
      </c>
      <c r="E6370" s="3">
        <v>-7.9941749121244898</v>
      </c>
      <c r="F6370" s="3">
        <v>-7.9941749121244898</v>
      </c>
      <c r="G6370" s="3">
        <v>17.583351</v>
      </c>
      <c r="H6370" s="3">
        <v>389.99355215577998</v>
      </c>
      <c r="I6370" s="3">
        <v>19.041685000000001</v>
      </c>
      <c r="J6370" s="3">
        <v>19.333351</v>
      </c>
      <c r="K6370" s="3">
        <v>17.416682999999999</v>
      </c>
      <c r="L6370" s="3">
        <v>389.99355215577998</v>
      </c>
    </row>
    <row r="6371" spans="1:12" ht="15" customHeight="1" x14ac:dyDescent="0.2">
      <c r="A6371" s="2">
        <v>36801</v>
      </c>
      <c r="B6371" s="3">
        <v>19.111128000000001</v>
      </c>
      <c r="C6371" s="1">
        <v>535274.5</v>
      </c>
      <c r="D6371" s="3">
        <v>-0.111114</v>
      </c>
      <c r="E6371" s="3">
        <v>-0.57804911622691901</v>
      </c>
      <c r="F6371" s="3">
        <v>-0.57804911622691901</v>
      </c>
      <c r="G6371" s="3">
        <v>19.111128000000001</v>
      </c>
      <c r="H6371" s="3">
        <v>432.56796696055198</v>
      </c>
      <c r="I6371" s="3">
        <v>19.194464</v>
      </c>
      <c r="J6371" s="3">
        <v>19.500021</v>
      </c>
      <c r="K6371" s="3">
        <v>18.833351</v>
      </c>
      <c r="L6371" s="3">
        <v>432.56796696055198</v>
      </c>
    </row>
    <row r="6372" spans="1:12" ht="15" customHeight="1" x14ac:dyDescent="0.2">
      <c r="A6372" s="2">
        <v>36798</v>
      </c>
      <c r="B6372" s="3">
        <v>19.222242000000001</v>
      </c>
      <c r="C6372" s="1">
        <v>695249.27</v>
      </c>
      <c r="D6372" s="3">
        <v>0.75</v>
      </c>
      <c r="E6372" s="3">
        <v>4.0601460288361304</v>
      </c>
      <c r="F6372" s="3">
        <v>4.0601460288361304</v>
      </c>
      <c r="G6372" s="3">
        <v>19.222242000000001</v>
      </c>
      <c r="H6372" s="3">
        <v>435.66437011796199</v>
      </c>
      <c r="I6372" s="3">
        <v>18.611128000000001</v>
      </c>
      <c r="J6372" s="3">
        <v>19.250017</v>
      </c>
      <c r="K6372" s="3">
        <v>18.444462000000001</v>
      </c>
      <c r="L6372" s="3">
        <v>435.66437011796199</v>
      </c>
    </row>
    <row r="6373" spans="1:12" ht="15" customHeight="1" x14ac:dyDescent="0.2">
      <c r="A6373" s="2">
        <v>36797</v>
      </c>
      <c r="B6373" s="3">
        <v>18.472242000000001</v>
      </c>
      <c r="C6373" s="1">
        <v>568124.44999999995</v>
      </c>
      <c r="D6373" s="3">
        <v>0.88889100000000099</v>
      </c>
      <c r="E6373" s="3">
        <v>5.0552991861448904</v>
      </c>
      <c r="F6373" s="3">
        <v>5.0552991861448904</v>
      </c>
      <c r="G6373" s="3">
        <v>18.472242000000001</v>
      </c>
      <c r="H6373" s="3">
        <v>414.76419221007399</v>
      </c>
      <c r="I6373" s="3">
        <v>17.722239999999999</v>
      </c>
      <c r="J6373" s="3">
        <v>18.722242000000001</v>
      </c>
      <c r="K6373" s="3">
        <v>17.694462000000001</v>
      </c>
      <c r="L6373" s="3">
        <v>414.76419221007399</v>
      </c>
    </row>
    <row r="6374" spans="1:12" ht="15" customHeight="1" x14ac:dyDescent="0.2">
      <c r="A6374" s="2">
        <v>36796</v>
      </c>
      <c r="B6374" s="3">
        <v>17.583351</v>
      </c>
      <c r="C6374" s="1">
        <v>380024.63</v>
      </c>
      <c r="D6374" s="3">
        <v>5.5557000000000301E-2</v>
      </c>
      <c r="E6374" s="3">
        <v>0.31696515830799099</v>
      </c>
      <c r="F6374" s="3">
        <v>0.31696515830799099</v>
      </c>
      <c r="G6374" s="3">
        <v>17.583351</v>
      </c>
      <c r="H6374" s="3">
        <v>389.99355215577998</v>
      </c>
      <c r="I6374" s="3">
        <v>17.569462000000001</v>
      </c>
      <c r="J6374" s="3">
        <v>17.888905000000001</v>
      </c>
      <c r="K6374" s="3">
        <v>17.527794</v>
      </c>
      <c r="L6374" s="3">
        <v>389.99355215577998</v>
      </c>
    </row>
    <row r="6375" spans="1:12" ht="15" customHeight="1" x14ac:dyDescent="0.2">
      <c r="A6375" s="2">
        <v>36795</v>
      </c>
      <c r="B6375" s="3">
        <v>17.527794</v>
      </c>
      <c r="C6375" s="1">
        <v>967049.1</v>
      </c>
      <c r="D6375" s="3">
        <v>-0.44444499999999798</v>
      </c>
      <c r="E6375" s="3">
        <v>-2.47295286914445</v>
      </c>
      <c r="F6375" s="3">
        <v>-2.47295286914445</v>
      </c>
      <c r="G6375" s="3">
        <v>17.527794</v>
      </c>
      <c r="H6375" s="3">
        <v>388.445350577076</v>
      </c>
      <c r="I6375" s="3">
        <v>18.069464</v>
      </c>
      <c r="J6375" s="3">
        <v>18.111128000000001</v>
      </c>
      <c r="K6375" s="3">
        <v>17.444462000000001</v>
      </c>
      <c r="L6375" s="3">
        <v>388.445350577076</v>
      </c>
    </row>
    <row r="6376" spans="1:12" ht="15" customHeight="1" x14ac:dyDescent="0.2">
      <c r="A6376" s="2">
        <v>36794</v>
      </c>
      <c r="B6376" s="3">
        <v>17.972238999999998</v>
      </c>
      <c r="C6376" s="1">
        <v>1474873.5</v>
      </c>
      <c r="D6376" s="3">
        <v>0.77777699999999605</v>
      </c>
      <c r="E6376" s="3">
        <v>4.5234157369971699</v>
      </c>
      <c r="F6376" s="3">
        <v>4.5234157369971699</v>
      </c>
      <c r="G6376" s="3">
        <v>17.972238999999998</v>
      </c>
      <c r="H6376" s="3">
        <v>400.83065667077102</v>
      </c>
      <c r="I6376" s="3">
        <v>17.236128000000001</v>
      </c>
      <c r="J6376" s="3">
        <v>18.166685000000001</v>
      </c>
      <c r="K6376" s="3">
        <v>17.027792000000002</v>
      </c>
      <c r="L6376" s="3">
        <v>400.83065667077102</v>
      </c>
    </row>
    <row r="6377" spans="1:12" ht="15" customHeight="1" x14ac:dyDescent="0.2">
      <c r="A6377" s="2">
        <v>36791</v>
      </c>
      <c r="B6377" s="3">
        <v>17.194462000000001</v>
      </c>
      <c r="C6377" s="1">
        <v>534599.5</v>
      </c>
      <c r="D6377" s="3">
        <v>0.75000200000000194</v>
      </c>
      <c r="E6377" s="3">
        <v>4.5608186586850703</v>
      </c>
      <c r="F6377" s="3">
        <v>4.5608186586850703</v>
      </c>
      <c r="G6377" s="3">
        <v>17.194462000000001</v>
      </c>
      <c r="H6377" s="3">
        <v>379.156419773886</v>
      </c>
      <c r="I6377" s="3">
        <v>16.222238999999998</v>
      </c>
      <c r="J6377" s="3">
        <v>17.222239999999999</v>
      </c>
      <c r="K6377" s="3">
        <v>16.111125999999999</v>
      </c>
      <c r="L6377" s="3">
        <v>379.156419773886</v>
      </c>
    </row>
    <row r="6378" spans="1:12" ht="15" customHeight="1" x14ac:dyDescent="0.2">
      <c r="A6378" s="2">
        <v>36790</v>
      </c>
      <c r="B6378" s="3">
        <v>16.444459999999999</v>
      </c>
      <c r="C6378" s="1">
        <v>356399.66</v>
      </c>
      <c r="D6378" s="3">
        <v>0.277778999999998</v>
      </c>
      <c r="E6378" s="3">
        <v>1.7182190951871901</v>
      </c>
      <c r="F6378" s="3">
        <v>1.7182190951871901</v>
      </c>
      <c r="G6378" s="3">
        <v>16.444459999999999</v>
      </c>
      <c r="H6378" s="3">
        <v>358.25618613219098</v>
      </c>
      <c r="I6378" s="3">
        <v>16.250015000000001</v>
      </c>
      <c r="J6378" s="3">
        <v>16.888905000000001</v>
      </c>
      <c r="K6378" s="3">
        <v>16.166681000000001</v>
      </c>
      <c r="L6378" s="3">
        <v>358.25618613219098</v>
      </c>
    </row>
    <row r="6379" spans="1:12" ht="15" customHeight="1" x14ac:dyDescent="0.2">
      <c r="A6379" s="2">
        <v>36789</v>
      </c>
      <c r="B6379" s="3">
        <v>16.166681000000001</v>
      </c>
      <c r="C6379" s="1">
        <v>690749.27</v>
      </c>
      <c r="D6379" s="3">
        <v>0.33333299999999899</v>
      </c>
      <c r="E6379" s="3">
        <v>2.1052591024968299</v>
      </c>
      <c r="F6379" s="3">
        <v>2.1052591024968299</v>
      </c>
      <c r="G6379" s="3">
        <v>16.166681000000001</v>
      </c>
      <c r="H6379" s="3">
        <v>350.51534544009098</v>
      </c>
      <c r="I6379" s="3">
        <v>15.833348000000001</v>
      </c>
      <c r="J6379" s="3">
        <v>16.361125999999999</v>
      </c>
      <c r="K6379" s="3">
        <v>15.722238000000001</v>
      </c>
      <c r="L6379" s="3">
        <v>350.51534544009098</v>
      </c>
    </row>
    <row r="6380" spans="1:12" ht="15" customHeight="1" x14ac:dyDescent="0.2">
      <c r="A6380" s="2">
        <v>36788</v>
      </c>
      <c r="B6380" s="3">
        <v>15.833348000000001</v>
      </c>
      <c r="C6380" s="1">
        <v>640349.37</v>
      </c>
      <c r="D6380" s="3">
        <v>5.5555E-2</v>
      </c>
      <c r="E6380" s="3">
        <v>0.35210881521896498</v>
      </c>
      <c r="F6380" s="3">
        <v>0.35210881521896498</v>
      </c>
      <c r="G6380" s="3">
        <v>15.833348000000001</v>
      </c>
      <c r="H6380" s="3">
        <v>341.22638676999702</v>
      </c>
      <c r="I6380" s="3">
        <v>16.055572999999999</v>
      </c>
      <c r="J6380" s="3">
        <v>16.166681000000001</v>
      </c>
      <c r="K6380" s="3">
        <v>15.666682</v>
      </c>
      <c r="L6380" s="3">
        <v>341.22638676999702</v>
      </c>
    </row>
    <row r="6381" spans="1:12" ht="15" customHeight="1" x14ac:dyDescent="0.2">
      <c r="A6381" s="2">
        <v>36787</v>
      </c>
      <c r="B6381" s="3">
        <v>15.777793000000001</v>
      </c>
      <c r="C6381" s="1">
        <v>202049.82</v>
      </c>
      <c r="D6381" s="3">
        <v>-0.61111199999999999</v>
      </c>
      <c r="E6381" s="3">
        <v>-3.7288153174357901</v>
      </c>
      <c r="F6381" s="3">
        <v>-3.7288153174357901</v>
      </c>
      <c r="G6381" s="3">
        <v>15.777793000000001</v>
      </c>
      <c r="H6381" s="3">
        <v>339.6782409251</v>
      </c>
      <c r="I6381" s="3">
        <v>16.638905000000001</v>
      </c>
      <c r="J6381" s="3">
        <v>16.722242000000001</v>
      </c>
      <c r="K6381" s="3">
        <v>15.777793000000001</v>
      </c>
      <c r="L6381" s="3">
        <v>339.6782409251</v>
      </c>
    </row>
    <row r="6382" spans="1:12" ht="15" customHeight="1" x14ac:dyDescent="0.2">
      <c r="A6382" s="2">
        <v>36784</v>
      </c>
      <c r="B6382" s="3">
        <v>16.388905000000001</v>
      </c>
      <c r="C6382" s="1">
        <v>386549.62</v>
      </c>
      <c r="D6382" s="3">
        <v>5.5555000000001797E-2</v>
      </c>
      <c r="E6382" s="3">
        <v>0.34013230598746103</v>
      </c>
      <c r="F6382" s="3">
        <v>0.34013230598746103</v>
      </c>
      <c r="G6382" s="3">
        <v>16.388905000000001</v>
      </c>
      <c r="H6382" s="3">
        <v>356.70804028729401</v>
      </c>
      <c r="I6382" s="3">
        <v>16.111125999999999</v>
      </c>
      <c r="J6382" s="3">
        <v>16.833349999999999</v>
      </c>
      <c r="K6382" s="3">
        <v>16.111125999999999</v>
      </c>
      <c r="L6382" s="3">
        <v>356.70804028729401</v>
      </c>
    </row>
    <row r="6383" spans="1:12" ht="15" customHeight="1" x14ac:dyDescent="0.2">
      <c r="A6383" s="2">
        <v>36783</v>
      </c>
      <c r="B6383" s="3">
        <v>16.333349999999999</v>
      </c>
      <c r="C6383" s="1">
        <v>131624.88</v>
      </c>
      <c r="D6383" s="3">
        <v>5.55579999999977E-2</v>
      </c>
      <c r="E6383" s="3">
        <v>0.341311647181608</v>
      </c>
      <c r="F6383" s="3">
        <v>0.341311647181608</v>
      </c>
      <c r="G6383" s="3">
        <v>16.333349999999999</v>
      </c>
      <c r="H6383" s="3">
        <v>355.15989444239699</v>
      </c>
      <c r="I6383" s="3">
        <v>16.388905000000001</v>
      </c>
      <c r="J6383" s="3">
        <v>16.444459999999999</v>
      </c>
      <c r="K6383" s="3">
        <v>15.750014999999999</v>
      </c>
      <c r="L6383" s="3">
        <v>355.15989444239699</v>
      </c>
    </row>
    <row r="6384" spans="1:12" ht="15" customHeight="1" x14ac:dyDescent="0.2">
      <c r="A6384" s="2">
        <v>36782</v>
      </c>
      <c r="B6384" s="3">
        <v>16.277792000000002</v>
      </c>
      <c r="C6384" s="1">
        <v>186524.81</v>
      </c>
      <c r="D6384" s="3">
        <v>0.222223000000003</v>
      </c>
      <c r="E6384" s="3">
        <v>1.3840867302803399</v>
      </c>
      <c r="F6384" s="3">
        <v>1.3840867302803399</v>
      </c>
      <c r="G6384" s="3">
        <v>16.277792000000002</v>
      </c>
      <c r="H6384" s="3">
        <v>353.61166499678802</v>
      </c>
      <c r="I6384" s="3">
        <v>15.972239500000001</v>
      </c>
      <c r="J6384" s="3">
        <v>16.500015000000001</v>
      </c>
      <c r="K6384" s="3">
        <v>15.944459</v>
      </c>
      <c r="L6384" s="3">
        <v>353.61166499678802</v>
      </c>
    </row>
    <row r="6385" spans="1:12" ht="15" customHeight="1" x14ac:dyDescent="0.2">
      <c r="A6385" s="2">
        <v>36781</v>
      </c>
      <c r="B6385" s="3">
        <v>16.055568999999998</v>
      </c>
      <c r="C6385" s="1">
        <v>309374.73</v>
      </c>
      <c r="D6385" s="3">
        <v>0.33333099999999699</v>
      </c>
      <c r="E6385" s="3">
        <v>2.1201243741507798</v>
      </c>
      <c r="F6385" s="3">
        <v>2.1201243741507798</v>
      </c>
      <c r="G6385" s="3">
        <v>16.055568999999998</v>
      </c>
      <c r="H6385" s="3">
        <v>347.41899801648901</v>
      </c>
      <c r="I6385" s="3">
        <v>15.694459</v>
      </c>
      <c r="J6385" s="3">
        <v>16.666685000000001</v>
      </c>
      <c r="K6385" s="3">
        <v>15.680572</v>
      </c>
      <c r="L6385" s="3">
        <v>347.41899801648901</v>
      </c>
    </row>
    <row r="6386" spans="1:12" ht="15" customHeight="1" x14ac:dyDescent="0.2">
      <c r="A6386" s="2">
        <v>36780</v>
      </c>
      <c r="B6386" s="3">
        <v>15.722238000000001</v>
      </c>
      <c r="C6386" s="1">
        <v>610199.46</v>
      </c>
      <c r="D6386" s="3"/>
      <c r="E6386" s="3"/>
      <c r="F6386" s="3"/>
      <c r="G6386" s="3">
        <v>15.722238000000001</v>
      </c>
      <c r="H6386" s="3">
        <v>338.130095080204</v>
      </c>
      <c r="I6386" s="3">
        <v>15.958348000000001</v>
      </c>
      <c r="J6386" s="3">
        <v>16.000015000000001</v>
      </c>
      <c r="K6386" s="3">
        <v>15.611126000000001</v>
      </c>
      <c r="L6386" s="3">
        <v>338.130095080204</v>
      </c>
    </row>
    <row r="6387" spans="1:12" ht="15" customHeight="1" x14ac:dyDescent="0.2">
      <c r="A6387" s="2">
        <v>36777</v>
      </c>
      <c r="B6387" s="3">
        <v>15.722238000000001</v>
      </c>
      <c r="C6387" s="1">
        <v>729224.299999999</v>
      </c>
      <c r="D6387" s="3">
        <v>-1.0555540000000001</v>
      </c>
      <c r="E6387" s="3">
        <v>-6.2913761238665904</v>
      </c>
      <c r="F6387" s="3">
        <v>-6.2913761238665904</v>
      </c>
      <c r="G6387" s="3">
        <v>15.722238000000001</v>
      </c>
      <c r="H6387" s="3">
        <v>338.130095080204</v>
      </c>
      <c r="I6387" s="3">
        <v>16.861128000000001</v>
      </c>
      <c r="J6387" s="3">
        <v>16.888905000000001</v>
      </c>
      <c r="K6387" s="3">
        <v>15.194459</v>
      </c>
      <c r="L6387" s="3">
        <v>338.130095080204</v>
      </c>
    </row>
    <row r="6388" spans="1:12" ht="15" customHeight="1" x14ac:dyDescent="0.2">
      <c r="A6388" s="2">
        <v>36776</v>
      </c>
      <c r="B6388" s="3">
        <v>16.777792000000002</v>
      </c>
      <c r="C6388" s="1">
        <v>434924.6</v>
      </c>
      <c r="D6388" s="3">
        <v>8.3330000000000098E-2</v>
      </c>
      <c r="E6388" s="3">
        <v>0.49914756162852097</v>
      </c>
      <c r="F6388" s="3">
        <v>0.49914756162852097</v>
      </c>
      <c r="G6388" s="3">
        <v>16.777792000000002</v>
      </c>
      <c r="H6388" s="3">
        <v>367.54511693538001</v>
      </c>
      <c r="I6388" s="3">
        <v>16.763905000000001</v>
      </c>
      <c r="J6388" s="3">
        <v>16.777792000000002</v>
      </c>
      <c r="K6388" s="3">
        <v>16.111125999999999</v>
      </c>
      <c r="L6388" s="3">
        <v>367.54511693538001</v>
      </c>
    </row>
    <row r="6389" spans="1:12" ht="15" customHeight="1" x14ac:dyDescent="0.2">
      <c r="A6389" s="2">
        <v>36775</v>
      </c>
      <c r="B6389" s="3">
        <v>16.694462000000001</v>
      </c>
      <c r="C6389" s="1">
        <v>470024.54</v>
      </c>
      <c r="D6389" s="3">
        <v>0.61111200000000199</v>
      </c>
      <c r="E6389" s="3">
        <v>3.7996561661594201</v>
      </c>
      <c r="F6389" s="3">
        <v>3.7996561661594201</v>
      </c>
      <c r="G6389" s="3">
        <v>16.694462000000001</v>
      </c>
      <c r="H6389" s="3">
        <v>365.22296783529498</v>
      </c>
      <c r="I6389" s="3">
        <v>16.041682999999999</v>
      </c>
      <c r="J6389" s="3">
        <v>16.833349999999999</v>
      </c>
      <c r="K6389" s="3">
        <v>16.000015000000001</v>
      </c>
      <c r="L6389" s="3">
        <v>365.22296783529498</v>
      </c>
    </row>
    <row r="6390" spans="1:12" ht="15" customHeight="1" x14ac:dyDescent="0.2">
      <c r="A6390" s="2">
        <v>36774</v>
      </c>
      <c r="B6390" s="3">
        <v>16.083349999999999</v>
      </c>
      <c r="C6390" s="1">
        <v>371699.62</v>
      </c>
      <c r="D6390" s="3">
        <v>0.111111999999998</v>
      </c>
      <c r="E6390" s="3">
        <v>0.69565705194223304</v>
      </c>
      <c r="F6390" s="3">
        <v>0.69565705194223304</v>
      </c>
      <c r="G6390" s="3">
        <v>16.083349999999999</v>
      </c>
      <c r="H6390" s="3">
        <v>348.19316847310103</v>
      </c>
      <c r="I6390" s="3">
        <v>15.944459</v>
      </c>
      <c r="J6390" s="3">
        <v>16.250015000000001</v>
      </c>
      <c r="K6390" s="3">
        <v>15.888904999999999</v>
      </c>
      <c r="L6390" s="3">
        <v>348.19316847310103</v>
      </c>
    </row>
    <row r="6391" spans="1:12" ht="15" customHeight="1" x14ac:dyDescent="0.2">
      <c r="A6391" s="2">
        <v>36770</v>
      </c>
      <c r="B6391" s="3">
        <v>15.972238000000001</v>
      </c>
      <c r="C6391" s="1">
        <v>297224.73</v>
      </c>
      <c r="D6391" s="3">
        <v>-5.55540000000007E-2</v>
      </c>
      <c r="E6391" s="3">
        <v>-0.34661043766976901</v>
      </c>
      <c r="F6391" s="3">
        <v>-0.34661043766976901</v>
      </c>
      <c r="G6391" s="3">
        <v>15.972238000000001</v>
      </c>
      <c r="H6391" s="3">
        <v>345.096821049499</v>
      </c>
      <c r="I6391" s="3">
        <v>16.027792000000002</v>
      </c>
      <c r="J6391" s="3">
        <v>16.027792000000002</v>
      </c>
      <c r="K6391" s="3">
        <v>15.722238000000001</v>
      </c>
      <c r="L6391" s="3">
        <v>345.096821049499</v>
      </c>
    </row>
    <row r="6392" spans="1:12" ht="15" customHeight="1" x14ac:dyDescent="0.2">
      <c r="A6392" s="2">
        <v>36769</v>
      </c>
      <c r="B6392" s="3">
        <v>16.027792000000002</v>
      </c>
      <c r="C6392" s="1">
        <v>607724.39999999898</v>
      </c>
      <c r="D6392" s="3">
        <v>-0.305557999999997</v>
      </c>
      <c r="E6392" s="3">
        <v>-1.87076135636594</v>
      </c>
      <c r="F6392" s="3">
        <v>-1.87076135636594</v>
      </c>
      <c r="G6392" s="3">
        <v>16.027792000000002</v>
      </c>
      <c r="H6392" s="3">
        <v>346.64493902749302</v>
      </c>
      <c r="I6392" s="3">
        <v>16.305572999999999</v>
      </c>
      <c r="J6392" s="3">
        <v>16.500015000000001</v>
      </c>
      <c r="K6392" s="3">
        <v>15.972238000000001</v>
      </c>
      <c r="L6392" s="3">
        <v>346.64493902749302</v>
      </c>
    </row>
    <row r="6393" spans="1:12" ht="15" customHeight="1" x14ac:dyDescent="0.2">
      <c r="A6393" s="2">
        <v>36768</v>
      </c>
      <c r="B6393" s="3">
        <v>16.333349999999999</v>
      </c>
      <c r="C6393" s="1">
        <v>767474.24</v>
      </c>
      <c r="D6393" s="3">
        <v>0.38889099999999899</v>
      </c>
      <c r="E6393" s="3">
        <v>2.4390354040861402</v>
      </c>
      <c r="F6393" s="3">
        <v>2.4390354040861402</v>
      </c>
      <c r="G6393" s="3">
        <v>16.333349999999999</v>
      </c>
      <c r="H6393" s="3">
        <v>355.15989444239699</v>
      </c>
      <c r="I6393" s="3">
        <v>16.069462000000001</v>
      </c>
      <c r="J6393" s="3">
        <v>16.500015000000001</v>
      </c>
      <c r="K6393" s="3">
        <v>16.069459999999999</v>
      </c>
      <c r="L6393" s="3">
        <v>355.15989444239699</v>
      </c>
    </row>
    <row r="6394" spans="1:12" ht="15" customHeight="1" x14ac:dyDescent="0.2">
      <c r="A6394" s="2">
        <v>36767</v>
      </c>
      <c r="B6394" s="3">
        <v>15.944459</v>
      </c>
      <c r="C6394" s="1">
        <v>910574.1</v>
      </c>
      <c r="D6394" s="3">
        <v>0.25</v>
      </c>
      <c r="E6394" s="3">
        <v>1.59291887665575</v>
      </c>
      <c r="F6394" s="3">
        <v>1.59291887665575</v>
      </c>
      <c r="G6394" s="3">
        <v>15.944459</v>
      </c>
      <c r="H6394" s="3">
        <v>344.32270632669503</v>
      </c>
      <c r="I6394" s="3">
        <v>15.708348000000001</v>
      </c>
      <c r="J6394" s="3">
        <v>16.083349999999999</v>
      </c>
      <c r="K6394" s="3">
        <v>15.611126000000001</v>
      </c>
      <c r="L6394" s="3">
        <v>344.32270632669503</v>
      </c>
    </row>
    <row r="6395" spans="1:12" ht="15" customHeight="1" x14ac:dyDescent="0.2">
      <c r="A6395" s="2">
        <v>36766</v>
      </c>
      <c r="B6395" s="3">
        <v>15.694459</v>
      </c>
      <c r="C6395" s="1">
        <v>1016774.05</v>
      </c>
      <c r="D6395" s="3">
        <v>0.305555999999999</v>
      </c>
      <c r="E6395" s="3">
        <v>1.9855606341790499</v>
      </c>
      <c r="F6395" s="3">
        <v>1.9855606341790499</v>
      </c>
      <c r="G6395" s="3">
        <v>15.694459</v>
      </c>
      <c r="H6395" s="3">
        <v>337.35598035739901</v>
      </c>
      <c r="I6395" s="3">
        <v>15.500014999999999</v>
      </c>
      <c r="J6395" s="3">
        <v>15.750014999999999</v>
      </c>
      <c r="K6395" s="3">
        <v>15.333348000000001</v>
      </c>
      <c r="L6395" s="3">
        <v>337.35598035739901</v>
      </c>
    </row>
    <row r="6396" spans="1:12" ht="15" customHeight="1" x14ac:dyDescent="0.2">
      <c r="A6396" s="2">
        <v>36763</v>
      </c>
      <c r="B6396" s="3">
        <v>15.388903000000001</v>
      </c>
      <c r="C6396" s="1">
        <v>295649.71999999997</v>
      </c>
      <c r="D6396" s="3">
        <v>0.13888800000000101</v>
      </c>
      <c r="E6396" s="3">
        <v>0.91074008779663496</v>
      </c>
      <c r="F6396" s="3">
        <v>0.91074008779663496</v>
      </c>
      <c r="G6396" s="3">
        <v>15.388903000000001</v>
      </c>
      <c r="H6396" s="3">
        <v>328.84108067630302</v>
      </c>
      <c r="I6396" s="3">
        <v>15.111126000000001</v>
      </c>
      <c r="J6396" s="3">
        <v>15.500014999999999</v>
      </c>
      <c r="K6396" s="3">
        <v>15.111126000000001</v>
      </c>
      <c r="L6396" s="3">
        <v>328.84108067630302</v>
      </c>
    </row>
    <row r="6397" spans="1:12" ht="15" customHeight="1" x14ac:dyDescent="0.2">
      <c r="A6397" s="2">
        <v>36762</v>
      </c>
      <c r="B6397" s="3">
        <v>15.250014999999999</v>
      </c>
      <c r="C6397" s="1">
        <v>631574.46</v>
      </c>
      <c r="D6397" s="3">
        <v>8.3333999999998895E-2</v>
      </c>
      <c r="E6397" s="3">
        <v>0.54945442579030701</v>
      </c>
      <c r="F6397" s="3">
        <v>0.54945442579030701</v>
      </c>
      <c r="G6397" s="3">
        <v>15.250014999999999</v>
      </c>
      <c r="H6397" s="3">
        <v>324.970702130608</v>
      </c>
      <c r="I6397" s="3">
        <v>15.055569999999999</v>
      </c>
      <c r="J6397" s="3">
        <v>15.444459</v>
      </c>
      <c r="K6397" s="3">
        <v>14.777792</v>
      </c>
      <c r="L6397" s="3">
        <v>324.970702130608</v>
      </c>
    </row>
    <row r="6398" spans="1:12" ht="15" customHeight="1" x14ac:dyDescent="0.2">
      <c r="A6398" s="2">
        <v>36761</v>
      </c>
      <c r="B6398" s="3">
        <v>15.166681000000001</v>
      </c>
      <c r="C6398" s="1">
        <v>709424.3</v>
      </c>
      <c r="D6398" s="3">
        <v>0.75000100000000103</v>
      </c>
      <c r="E6398" s="3">
        <v>5.2023142637555901</v>
      </c>
      <c r="F6398" s="3">
        <v>5.2023142637555901</v>
      </c>
      <c r="G6398" s="3">
        <v>15.166681000000001</v>
      </c>
      <c r="H6398" s="3">
        <v>322.64844156290701</v>
      </c>
      <c r="I6398" s="3">
        <v>14.236124999999999</v>
      </c>
      <c r="J6398" s="3">
        <v>15.333348000000001</v>
      </c>
      <c r="K6398" s="3">
        <v>14.111124999999999</v>
      </c>
      <c r="L6398" s="3">
        <v>322.64844156290701</v>
      </c>
    </row>
    <row r="6399" spans="1:12" ht="15" customHeight="1" x14ac:dyDescent="0.2">
      <c r="A6399" s="2">
        <v>36760</v>
      </c>
      <c r="B6399" s="3">
        <v>14.416679999999999</v>
      </c>
      <c r="C6399" s="1">
        <v>251999.77</v>
      </c>
      <c r="D6399" s="3">
        <v>-0.41666800000000098</v>
      </c>
      <c r="E6399" s="3">
        <v>-2.8089949753757599</v>
      </c>
      <c r="F6399" s="3">
        <v>-2.8089949753757599</v>
      </c>
      <c r="G6399" s="3">
        <v>14.416679999999999</v>
      </c>
      <c r="H6399" s="3">
        <v>301.74823578811498</v>
      </c>
      <c r="I6399" s="3">
        <v>14.833348000000001</v>
      </c>
      <c r="J6399" s="3">
        <v>14.888903000000001</v>
      </c>
      <c r="K6399" s="3">
        <v>14.416679999999999</v>
      </c>
      <c r="L6399" s="3">
        <v>301.74823578811498</v>
      </c>
    </row>
    <row r="6400" spans="1:12" ht="15" customHeight="1" x14ac:dyDescent="0.2">
      <c r="A6400" s="2">
        <v>36759</v>
      </c>
      <c r="B6400" s="3">
        <v>14.833348000000001</v>
      </c>
      <c r="C6400" s="1">
        <v>330749.7</v>
      </c>
      <c r="D6400" s="3">
        <v>-5.5555E-2</v>
      </c>
      <c r="E6400" s="3">
        <v>-0.37313024337656198</v>
      </c>
      <c r="F6400" s="3">
        <v>-0.37313024337656198</v>
      </c>
      <c r="G6400" s="3">
        <v>14.833348000000001</v>
      </c>
      <c r="H6400" s="3">
        <v>313.35948289281401</v>
      </c>
      <c r="I6400" s="3">
        <v>14.958348000000001</v>
      </c>
      <c r="J6400" s="3">
        <v>15.111126000000001</v>
      </c>
      <c r="K6400" s="3">
        <v>14.666681000000001</v>
      </c>
      <c r="L6400" s="3">
        <v>313.35948289281401</v>
      </c>
    </row>
    <row r="6401" spans="1:12" ht="15" customHeight="1" x14ac:dyDescent="0.2">
      <c r="A6401" s="2">
        <v>36756</v>
      </c>
      <c r="B6401" s="3">
        <v>14.888903000000001</v>
      </c>
      <c r="C6401" s="1">
        <v>361799.64999999898</v>
      </c>
      <c r="D6401" s="3">
        <v>-0.52777799999999897</v>
      </c>
      <c r="E6401" s="3">
        <v>-3.4234216820079402</v>
      </c>
      <c r="F6401" s="3">
        <v>-3.4234216820079402</v>
      </c>
      <c r="G6401" s="3">
        <v>14.888903000000001</v>
      </c>
      <c r="H6401" s="3">
        <v>314.90762873771098</v>
      </c>
      <c r="I6401" s="3">
        <v>15.611126000000001</v>
      </c>
      <c r="J6401" s="3">
        <v>15.611126000000001</v>
      </c>
      <c r="K6401" s="3">
        <v>14.722236000000001</v>
      </c>
      <c r="L6401" s="3">
        <v>314.90762873771098</v>
      </c>
    </row>
    <row r="6402" spans="1:12" ht="15" customHeight="1" x14ac:dyDescent="0.2">
      <c r="A6402" s="2">
        <v>36755</v>
      </c>
      <c r="B6402" s="3">
        <v>15.416681000000001</v>
      </c>
      <c r="C6402" s="1">
        <v>443249.57</v>
      </c>
      <c r="D6402" s="3">
        <v>0.47222199999999998</v>
      </c>
      <c r="E6402" s="3">
        <v>3.1598467365061502</v>
      </c>
      <c r="F6402" s="3">
        <v>3.1598467365061502</v>
      </c>
      <c r="G6402" s="3">
        <v>15.416681000000001</v>
      </c>
      <c r="H6402" s="3">
        <v>329.61516753220297</v>
      </c>
      <c r="I6402" s="3">
        <v>14.958348000000001</v>
      </c>
      <c r="J6402" s="3">
        <v>15.611126000000001</v>
      </c>
      <c r="K6402" s="3">
        <v>14.916681000000001</v>
      </c>
      <c r="L6402" s="3">
        <v>329.61516753220297</v>
      </c>
    </row>
    <row r="6403" spans="1:12" ht="15" customHeight="1" x14ac:dyDescent="0.2">
      <c r="A6403" s="2">
        <v>36754</v>
      </c>
      <c r="B6403" s="3">
        <v>14.944459</v>
      </c>
      <c r="C6403" s="1">
        <v>269549.74</v>
      </c>
      <c r="D6403" s="3">
        <v>0.33333400000000002</v>
      </c>
      <c r="E6403" s="3">
        <v>2.2813712154265899</v>
      </c>
      <c r="F6403" s="3">
        <v>2.2813712154265899</v>
      </c>
      <c r="G6403" s="3">
        <v>14.944459</v>
      </c>
      <c r="H6403" s="3">
        <v>316.455802449511</v>
      </c>
      <c r="I6403" s="3">
        <v>14.597238000000001</v>
      </c>
      <c r="J6403" s="3">
        <v>15.194459</v>
      </c>
      <c r="K6403" s="3">
        <v>14.597236000000001</v>
      </c>
      <c r="L6403" s="3">
        <v>316.455802449511</v>
      </c>
    </row>
    <row r="6404" spans="1:12" ht="15" customHeight="1" x14ac:dyDescent="0.2">
      <c r="A6404" s="2">
        <v>36753</v>
      </c>
      <c r="B6404" s="3">
        <v>14.611124999999999</v>
      </c>
      <c r="C6404" s="1">
        <v>1008449.03999999</v>
      </c>
      <c r="D6404" s="3">
        <v>-0.97222300000000095</v>
      </c>
      <c r="E6404" s="3">
        <v>-6.2388582992563597</v>
      </c>
      <c r="F6404" s="3">
        <v>-6.2388582992563597</v>
      </c>
      <c r="G6404" s="3">
        <v>14.611124999999999</v>
      </c>
      <c r="H6404" s="3">
        <v>307.16681591251398</v>
      </c>
      <c r="I6404" s="3">
        <v>15.583348000000001</v>
      </c>
      <c r="J6404" s="3">
        <v>15.833348000000001</v>
      </c>
      <c r="K6404" s="3">
        <v>14.222236000000001</v>
      </c>
      <c r="L6404" s="3">
        <v>307.16681591251398</v>
      </c>
    </row>
    <row r="6405" spans="1:12" ht="15" customHeight="1" x14ac:dyDescent="0.2">
      <c r="A6405" s="2">
        <v>36752</v>
      </c>
      <c r="B6405" s="3">
        <v>15.583348000000001</v>
      </c>
      <c r="C6405" s="1">
        <v>263474.76</v>
      </c>
      <c r="D6405" s="3"/>
      <c r="E6405" s="3"/>
      <c r="F6405" s="3"/>
      <c r="G6405" s="3">
        <v>15.583348000000001</v>
      </c>
      <c r="H6405" s="3">
        <v>334.259660800701</v>
      </c>
      <c r="I6405" s="3">
        <v>15.541681000000001</v>
      </c>
      <c r="J6405" s="3">
        <v>15.666682</v>
      </c>
      <c r="K6405" s="3">
        <v>15.500014999999999</v>
      </c>
      <c r="L6405" s="3">
        <v>334.259660800701</v>
      </c>
    </row>
    <row r="6406" spans="1:12" ht="15" customHeight="1" x14ac:dyDescent="0.2">
      <c r="A6406" s="2">
        <v>36749</v>
      </c>
      <c r="B6406" s="3">
        <v>15.583348000000001</v>
      </c>
      <c r="C6406" s="1">
        <v>378899.63</v>
      </c>
      <c r="D6406" s="3">
        <v>0.16666700000000001</v>
      </c>
      <c r="E6406" s="3">
        <v>1.08108223812894</v>
      </c>
      <c r="F6406" s="3">
        <v>1.08108223812894</v>
      </c>
      <c r="G6406" s="3">
        <v>15.583348000000001</v>
      </c>
      <c r="H6406" s="3">
        <v>334.259660800701</v>
      </c>
      <c r="I6406" s="3">
        <v>15.333348000000001</v>
      </c>
      <c r="J6406" s="3">
        <v>15.611126000000001</v>
      </c>
      <c r="K6406" s="3">
        <v>15.194459</v>
      </c>
      <c r="L6406" s="3">
        <v>334.259660800701</v>
      </c>
    </row>
    <row r="6407" spans="1:12" ht="15" customHeight="1" x14ac:dyDescent="0.2">
      <c r="A6407" s="2">
        <v>36748</v>
      </c>
      <c r="B6407" s="3">
        <v>15.416681000000001</v>
      </c>
      <c r="C6407" s="1">
        <v>185174.82</v>
      </c>
      <c r="D6407" s="3">
        <v>-2.7777999999999602E-2</v>
      </c>
      <c r="E6407" s="3">
        <v>-0.17985738445095401</v>
      </c>
      <c r="F6407" s="3">
        <v>-0.17985738445095401</v>
      </c>
      <c r="G6407" s="3">
        <v>15.416681000000001</v>
      </c>
      <c r="H6407" s="3">
        <v>329.61516753220297</v>
      </c>
      <c r="I6407" s="3">
        <v>15.305569999999999</v>
      </c>
      <c r="J6407" s="3">
        <v>15.611126000000001</v>
      </c>
      <c r="K6407" s="3">
        <v>15.083348000000001</v>
      </c>
      <c r="L6407" s="3">
        <v>329.61516753220297</v>
      </c>
    </row>
    <row r="6408" spans="1:12" ht="15" customHeight="1" x14ac:dyDescent="0.2">
      <c r="A6408" s="2">
        <v>36747</v>
      </c>
      <c r="B6408" s="3">
        <v>15.444459</v>
      </c>
      <c r="C6408" s="1">
        <v>724949.34</v>
      </c>
      <c r="D6408" s="3">
        <v>8.3332999999999602E-2</v>
      </c>
      <c r="E6408" s="3">
        <v>0.54249278340663398</v>
      </c>
      <c r="F6408" s="3">
        <v>0.54249278340663398</v>
      </c>
      <c r="G6408" s="3">
        <v>15.444459</v>
      </c>
      <c r="H6408" s="3">
        <v>330.38925438810298</v>
      </c>
      <c r="I6408" s="3">
        <v>15.472239</v>
      </c>
      <c r="J6408" s="3">
        <v>15.611126000000001</v>
      </c>
      <c r="K6408" s="3">
        <v>15.277792</v>
      </c>
      <c r="L6408" s="3">
        <v>330.38925438810298</v>
      </c>
    </row>
    <row r="6409" spans="1:12" ht="15" customHeight="1" x14ac:dyDescent="0.2">
      <c r="A6409" s="2">
        <v>36746</v>
      </c>
      <c r="B6409" s="3">
        <v>15.361126000000001</v>
      </c>
      <c r="C6409" s="1">
        <v>627299.43999999994</v>
      </c>
      <c r="D6409" s="3">
        <v>-8.3332999999999602E-2</v>
      </c>
      <c r="E6409" s="3">
        <v>-0.53956567853882198</v>
      </c>
      <c r="F6409" s="3">
        <v>-0.53956567853882198</v>
      </c>
      <c r="G6409" s="3">
        <v>15.361126000000001</v>
      </c>
      <c r="H6409" s="3">
        <v>328.06702168730601</v>
      </c>
      <c r="I6409" s="3">
        <v>15.791682</v>
      </c>
      <c r="J6409" s="3">
        <v>15.805572</v>
      </c>
      <c r="K6409" s="3">
        <v>15.194459</v>
      </c>
      <c r="L6409" s="3">
        <v>328.06702168730601</v>
      </c>
    </row>
    <row r="6410" spans="1:12" ht="15" customHeight="1" x14ac:dyDescent="0.2">
      <c r="A6410" s="2">
        <v>36745</v>
      </c>
      <c r="B6410" s="3">
        <v>15.444459</v>
      </c>
      <c r="C6410" s="1">
        <v>1387123.5</v>
      </c>
      <c r="D6410" s="3">
        <v>-0.111110999999999</v>
      </c>
      <c r="E6410" s="3">
        <v>-0.71428433673597003</v>
      </c>
      <c r="F6410" s="3">
        <v>-0.71428433673597003</v>
      </c>
      <c r="G6410" s="3">
        <v>15.444459</v>
      </c>
      <c r="H6410" s="3">
        <v>330.38925438810298</v>
      </c>
      <c r="I6410" s="3">
        <v>15.819459</v>
      </c>
      <c r="J6410" s="3">
        <v>15.861126000000001</v>
      </c>
      <c r="K6410" s="3">
        <v>15.194459</v>
      </c>
      <c r="L6410" s="3">
        <v>330.38925438810298</v>
      </c>
    </row>
    <row r="6411" spans="1:12" ht="15" customHeight="1" x14ac:dyDescent="0.2">
      <c r="A6411" s="2">
        <v>36742</v>
      </c>
      <c r="B6411" s="3">
        <v>15.555569999999999</v>
      </c>
      <c r="C6411" s="1">
        <v>787049.26</v>
      </c>
      <c r="D6411" s="3">
        <v>0.88888899999999804</v>
      </c>
      <c r="E6411" s="3">
        <v>6.0606008953218504</v>
      </c>
      <c r="F6411" s="3">
        <v>6.0606008953218504</v>
      </c>
      <c r="G6411" s="3">
        <v>15.555569999999999</v>
      </c>
      <c r="H6411" s="3">
        <v>333.48557394480099</v>
      </c>
      <c r="I6411" s="3">
        <v>14.527792</v>
      </c>
      <c r="J6411" s="3">
        <v>15.888904999999999</v>
      </c>
      <c r="K6411" s="3">
        <v>14.458346000000001</v>
      </c>
      <c r="L6411" s="3">
        <v>333.48557394480099</v>
      </c>
    </row>
    <row r="6412" spans="1:12" ht="15" customHeight="1" x14ac:dyDescent="0.2">
      <c r="A6412" s="2">
        <v>36741</v>
      </c>
      <c r="B6412" s="3">
        <v>14.666681000000001</v>
      </c>
      <c r="C6412" s="1">
        <v>462149.54</v>
      </c>
      <c r="D6412" s="3">
        <v>0.66666800000000104</v>
      </c>
      <c r="E6412" s="3">
        <v>4.7619098639408497</v>
      </c>
      <c r="F6412" s="3">
        <v>4.7619098639408497</v>
      </c>
      <c r="G6412" s="3">
        <v>14.666681000000001</v>
      </c>
      <c r="H6412" s="3">
        <v>308.71498962431502</v>
      </c>
      <c r="I6412" s="3">
        <v>13.777792</v>
      </c>
      <c r="J6412" s="3">
        <v>14.666681000000001</v>
      </c>
      <c r="K6412" s="3">
        <v>13.722236000000001</v>
      </c>
      <c r="L6412" s="3">
        <v>308.71498962431502</v>
      </c>
    </row>
    <row r="6413" spans="1:12" ht="15" customHeight="1" x14ac:dyDescent="0.2">
      <c r="A6413" s="2">
        <v>36740</v>
      </c>
      <c r="B6413" s="3">
        <v>14.000012999999999</v>
      </c>
      <c r="C6413" s="1">
        <v>636974.39999999898</v>
      </c>
      <c r="D6413" s="3">
        <v>0.472222999999999</v>
      </c>
      <c r="E6413" s="3">
        <v>3.4907623492085502</v>
      </c>
      <c r="F6413" s="3">
        <v>3.4907623492085502</v>
      </c>
      <c r="G6413" s="3">
        <v>14.000012999999999</v>
      </c>
      <c r="H6413" s="3">
        <v>290.13701655032099</v>
      </c>
      <c r="I6413" s="3">
        <v>13.722237</v>
      </c>
      <c r="J6413" s="3">
        <v>14.083346000000001</v>
      </c>
      <c r="K6413" s="3">
        <v>13.638902</v>
      </c>
      <c r="L6413" s="3">
        <v>290.13701655032099</v>
      </c>
    </row>
    <row r="6414" spans="1:12" ht="15" customHeight="1" x14ac:dyDescent="0.2">
      <c r="A6414" s="2">
        <v>36739</v>
      </c>
      <c r="B6414" s="3">
        <v>13.52779</v>
      </c>
      <c r="C6414" s="1">
        <v>1406023.6</v>
      </c>
      <c r="D6414" s="3">
        <v>5.5553999999998903E-2</v>
      </c>
      <c r="E6414" s="3">
        <v>0.41235916591721899</v>
      </c>
      <c r="F6414" s="3">
        <v>0.41235916591721899</v>
      </c>
      <c r="G6414" s="3">
        <v>13.52779</v>
      </c>
      <c r="H6414" s="3">
        <v>276.97762360072602</v>
      </c>
      <c r="I6414" s="3">
        <v>13.444457999999999</v>
      </c>
      <c r="J6414" s="3">
        <v>13.888903000000001</v>
      </c>
      <c r="K6414" s="3">
        <v>13.388902</v>
      </c>
      <c r="L6414" s="3">
        <v>276.97762360072602</v>
      </c>
    </row>
    <row r="6415" spans="1:12" ht="15" customHeight="1" x14ac:dyDescent="0.2">
      <c r="A6415" s="2">
        <v>36738</v>
      </c>
      <c r="B6415" s="3">
        <v>13.472236000000001</v>
      </c>
      <c r="C6415" s="1">
        <v>556199.46</v>
      </c>
      <c r="D6415" s="3">
        <v>-0.63888899999999804</v>
      </c>
      <c r="E6415" s="3">
        <v>-4.52755538626438</v>
      </c>
      <c r="F6415" s="3">
        <v>-4.52755538626438</v>
      </c>
      <c r="G6415" s="3">
        <v>13.472236000000001</v>
      </c>
      <c r="H6415" s="3">
        <v>275.42950562273302</v>
      </c>
      <c r="I6415" s="3">
        <v>14.236124999999999</v>
      </c>
      <c r="J6415" s="3">
        <v>14.250012999999999</v>
      </c>
      <c r="K6415" s="3">
        <v>13.361122999999999</v>
      </c>
      <c r="L6415" s="3">
        <v>275.42950562273302</v>
      </c>
    </row>
    <row r="6416" spans="1:12" ht="15" customHeight="1" x14ac:dyDescent="0.2">
      <c r="A6416" s="2">
        <v>36735</v>
      </c>
      <c r="B6416" s="3">
        <v>14.111124999999999</v>
      </c>
      <c r="C6416" s="1">
        <v>410624.63</v>
      </c>
      <c r="D6416" s="3">
        <v>0.16666700000000001</v>
      </c>
      <c r="E6416" s="3">
        <v>1.1952203520567</v>
      </c>
      <c r="F6416" s="3">
        <v>1.1952203520567</v>
      </c>
      <c r="G6416" s="3">
        <v>14.111124999999999</v>
      </c>
      <c r="H6416" s="3">
        <v>293.23336397392302</v>
      </c>
      <c r="I6416" s="3">
        <v>14.111124999999999</v>
      </c>
      <c r="J6416" s="3">
        <v>14.277792</v>
      </c>
      <c r="K6416" s="3">
        <v>13.722236000000001</v>
      </c>
      <c r="L6416" s="3">
        <v>293.23336397392302</v>
      </c>
    </row>
    <row r="6417" spans="1:12" ht="15" customHeight="1" x14ac:dyDescent="0.2">
      <c r="A6417" s="2">
        <v>36734</v>
      </c>
      <c r="B6417" s="3">
        <v>13.944457999999999</v>
      </c>
      <c r="C6417" s="1">
        <v>1416598.6</v>
      </c>
      <c r="D6417" s="3">
        <v>-0.47222199999999998</v>
      </c>
      <c r="E6417" s="3">
        <v>-3.2755252943118598</v>
      </c>
      <c r="F6417" s="3">
        <v>-3.2755252943118598</v>
      </c>
      <c r="G6417" s="3">
        <v>13.944457999999999</v>
      </c>
      <c r="H6417" s="3">
        <v>288.58887070542397</v>
      </c>
      <c r="I6417" s="3">
        <v>14.444459</v>
      </c>
      <c r="J6417" s="3">
        <v>14.583346000000001</v>
      </c>
      <c r="K6417" s="3">
        <v>13.888903000000001</v>
      </c>
      <c r="L6417" s="3">
        <v>288.58887070542397</v>
      </c>
    </row>
    <row r="6418" spans="1:12" ht="15" customHeight="1" x14ac:dyDescent="0.2">
      <c r="A6418" s="2">
        <v>36733</v>
      </c>
      <c r="B6418" s="3">
        <v>14.416679999999999</v>
      </c>
      <c r="C6418" s="1">
        <v>1428748.7</v>
      </c>
      <c r="D6418" s="3">
        <v>-0.16666600000000101</v>
      </c>
      <c r="E6418" s="3">
        <v>-1.1428515787803399</v>
      </c>
      <c r="F6418" s="3">
        <v>-1.1428515787803399</v>
      </c>
      <c r="G6418" s="3">
        <v>14.416679999999999</v>
      </c>
      <c r="H6418" s="3">
        <v>301.74823578811498</v>
      </c>
      <c r="I6418" s="3">
        <v>14.541679999999999</v>
      </c>
      <c r="J6418" s="3">
        <v>14.666681000000001</v>
      </c>
      <c r="K6418" s="3">
        <v>13.500012</v>
      </c>
      <c r="L6418" s="3">
        <v>301.74823578811498</v>
      </c>
    </row>
    <row r="6419" spans="1:12" ht="15" customHeight="1" x14ac:dyDescent="0.2">
      <c r="A6419" s="2">
        <v>36732</v>
      </c>
      <c r="B6419" s="3">
        <v>14.583346000000001</v>
      </c>
      <c r="C6419" s="1">
        <v>635399.4</v>
      </c>
      <c r="D6419" s="3">
        <v>0.36110999999999999</v>
      </c>
      <c r="E6419" s="3">
        <v>2.53905222779315</v>
      </c>
      <c r="F6419" s="3">
        <v>2.53905222779315</v>
      </c>
      <c r="G6419" s="3">
        <v>14.583346000000001</v>
      </c>
      <c r="H6419" s="3">
        <v>306.39270118971001</v>
      </c>
      <c r="I6419" s="3">
        <v>14.527792</v>
      </c>
      <c r="J6419" s="3">
        <v>14.888903000000001</v>
      </c>
      <c r="K6419" s="3">
        <v>14.277792</v>
      </c>
      <c r="L6419" s="3">
        <v>306.39270118971001</v>
      </c>
    </row>
    <row r="6420" spans="1:12" ht="15" customHeight="1" x14ac:dyDescent="0.2">
      <c r="A6420" s="2">
        <v>36731</v>
      </c>
      <c r="B6420" s="3">
        <v>14.222236000000001</v>
      </c>
      <c r="C6420" s="1">
        <v>624599.39999999898</v>
      </c>
      <c r="D6420" s="3">
        <v>-8.3332999999999602E-2</v>
      </c>
      <c r="E6420" s="3">
        <v>-0.58252139429056904</v>
      </c>
      <c r="F6420" s="3">
        <v>-0.58252139429056904</v>
      </c>
      <c r="G6420" s="3">
        <v>14.222236000000001</v>
      </c>
      <c r="H6420" s="3">
        <v>296.32968353062</v>
      </c>
      <c r="I6420" s="3">
        <v>14.472238000000001</v>
      </c>
      <c r="J6420" s="3">
        <v>15.388903000000001</v>
      </c>
      <c r="K6420" s="3">
        <v>13.77779</v>
      </c>
      <c r="L6420" s="3">
        <v>296.32968353062</v>
      </c>
    </row>
    <row r="6421" spans="1:12" ht="15" customHeight="1" x14ac:dyDescent="0.2">
      <c r="A6421" s="2">
        <v>36728</v>
      </c>
      <c r="B6421" s="3">
        <v>14.305569</v>
      </c>
      <c r="C6421" s="1">
        <v>209924.82</v>
      </c>
      <c r="D6421" s="3">
        <v>8.3332999999999602E-2</v>
      </c>
      <c r="E6421" s="3">
        <v>0.58593458862585801</v>
      </c>
      <c r="F6421" s="3">
        <v>0.58593458862585801</v>
      </c>
      <c r="G6421" s="3">
        <v>14.305569</v>
      </c>
      <c r="H6421" s="3">
        <v>298.651916231418</v>
      </c>
      <c r="I6421" s="3">
        <v>14.055569</v>
      </c>
      <c r="J6421" s="3">
        <v>14.527792</v>
      </c>
      <c r="K6421" s="3">
        <v>14.041679</v>
      </c>
      <c r="L6421" s="3">
        <v>298.651916231418</v>
      </c>
    </row>
    <row r="6422" spans="1:12" ht="15" customHeight="1" x14ac:dyDescent="0.2">
      <c r="A6422" s="2">
        <v>36727</v>
      </c>
      <c r="B6422" s="3">
        <v>14.222236000000001</v>
      </c>
      <c r="C6422" s="1">
        <v>188774.81</v>
      </c>
      <c r="D6422" s="3">
        <v>0.58333400000000002</v>
      </c>
      <c r="E6422" s="3">
        <v>4.2769865198826196</v>
      </c>
      <c r="F6422" s="3">
        <v>4.2769865198826196</v>
      </c>
      <c r="G6422" s="3">
        <v>14.222236000000001</v>
      </c>
      <c r="H6422" s="3">
        <v>296.32968353062</v>
      </c>
      <c r="I6422" s="3">
        <v>13.416679</v>
      </c>
      <c r="J6422" s="3">
        <v>14.222236000000001</v>
      </c>
      <c r="K6422" s="3">
        <v>13.305569</v>
      </c>
      <c r="L6422" s="3">
        <v>296.32968353062</v>
      </c>
    </row>
    <row r="6423" spans="1:12" ht="15" customHeight="1" x14ac:dyDescent="0.2">
      <c r="A6423" s="2">
        <v>36726</v>
      </c>
      <c r="B6423" s="3">
        <v>13.638902</v>
      </c>
      <c r="C6423" s="1">
        <v>718874.299999999</v>
      </c>
      <c r="D6423" s="3">
        <v>0.277779</v>
      </c>
      <c r="E6423" s="3">
        <v>2.07900937668188</v>
      </c>
      <c r="F6423" s="3">
        <v>2.07900937668188</v>
      </c>
      <c r="G6423" s="3">
        <v>13.638902</v>
      </c>
      <c r="H6423" s="3">
        <v>280.07397102432702</v>
      </c>
      <c r="I6423" s="3">
        <v>13.347237</v>
      </c>
      <c r="J6423" s="3">
        <v>13.805569</v>
      </c>
      <c r="K6423" s="3">
        <v>12.944456000000001</v>
      </c>
      <c r="L6423" s="3">
        <v>280.07397102432702</v>
      </c>
    </row>
    <row r="6424" spans="1:12" ht="15" customHeight="1" x14ac:dyDescent="0.2">
      <c r="A6424" s="2">
        <v>36725</v>
      </c>
      <c r="B6424" s="3">
        <v>13.361122999999999</v>
      </c>
      <c r="C6424" s="1">
        <v>458324.55</v>
      </c>
      <c r="D6424" s="3">
        <v>-0.33333400000000002</v>
      </c>
      <c r="E6424" s="3">
        <v>-2.4340797156104901</v>
      </c>
      <c r="F6424" s="3">
        <v>-2.4340797156104901</v>
      </c>
      <c r="G6424" s="3">
        <v>13.361122999999999</v>
      </c>
      <c r="H6424" s="3">
        <v>272.33313033222697</v>
      </c>
      <c r="I6424" s="3">
        <v>13.833346000000001</v>
      </c>
      <c r="J6424" s="3">
        <v>13.833346000000001</v>
      </c>
      <c r="K6424" s="3">
        <v>13.305569</v>
      </c>
      <c r="L6424" s="3">
        <v>272.33313033222697</v>
      </c>
    </row>
    <row r="6425" spans="1:12" ht="15" customHeight="1" x14ac:dyDescent="0.2">
      <c r="A6425" s="2">
        <v>36724</v>
      </c>
      <c r="B6425" s="3">
        <v>13.694457</v>
      </c>
      <c r="C6425" s="1">
        <v>404549.62</v>
      </c>
      <c r="D6425" s="3"/>
      <c r="E6425" s="3"/>
      <c r="F6425" s="3"/>
      <c r="G6425" s="3">
        <v>13.694457</v>
      </c>
      <c r="H6425" s="3">
        <v>281.62211686922399</v>
      </c>
      <c r="I6425" s="3">
        <v>13.708346000000001</v>
      </c>
      <c r="J6425" s="3">
        <v>14.000012999999999</v>
      </c>
      <c r="K6425" s="3">
        <v>13.666679</v>
      </c>
      <c r="L6425" s="3">
        <v>281.62211686922399</v>
      </c>
    </row>
    <row r="6426" spans="1:12" ht="15" customHeight="1" x14ac:dyDescent="0.2">
      <c r="A6426" s="2">
        <v>36721</v>
      </c>
      <c r="B6426" s="3">
        <v>13.694457</v>
      </c>
      <c r="C6426" s="1">
        <v>1230073.8999999999</v>
      </c>
      <c r="D6426" s="3"/>
      <c r="E6426" s="3"/>
      <c r="F6426" s="3"/>
      <c r="G6426" s="3">
        <v>13.694457</v>
      </c>
      <c r="H6426" s="3">
        <v>281.62211686922399</v>
      </c>
      <c r="I6426" s="3">
        <v>13.888903000000001</v>
      </c>
      <c r="J6426" s="3">
        <v>13.944457999999999</v>
      </c>
      <c r="K6426" s="3">
        <v>13.361122999999999</v>
      </c>
      <c r="L6426" s="3">
        <v>281.62211686922399</v>
      </c>
    </row>
    <row r="6427" spans="1:12" ht="15" customHeight="1" x14ac:dyDescent="0.2">
      <c r="A6427" s="2">
        <v>36720</v>
      </c>
      <c r="B6427" s="3">
        <v>13.694457</v>
      </c>
      <c r="C6427" s="1">
        <v>1097098.8999999999</v>
      </c>
      <c r="D6427" s="3">
        <v>-1.4444459999999999</v>
      </c>
      <c r="E6427" s="3">
        <v>-9.5412857853703201</v>
      </c>
      <c r="F6427" s="3">
        <v>-9.5412857853703201</v>
      </c>
      <c r="G6427" s="3">
        <v>13.694457</v>
      </c>
      <c r="H6427" s="3">
        <v>281.62211686922399</v>
      </c>
      <c r="I6427" s="3">
        <v>15.111126000000001</v>
      </c>
      <c r="J6427" s="3">
        <v>15.388903000000001</v>
      </c>
      <c r="K6427" s="3">
        <v>13.611122999999999</v>
      </c>
      <c r="L6427" s="3">
        <v>281.62211686922399</v>
      </c>
    </row>
    <row r="6428" spans="1:12" ht="15" customHeight="1" x14ac:dyDescent="0.2">
      <c r="A6428" s="2">
        <v>36719</v>
      </c>
      <c r="B6428" s="3">
        <v>15.138903000000001</v>
      </c>
      <c r="C6428" s="1">
        <v>827324.3</v>
      </c>
      <c r="D6428" s="3">
        <v>0.19444400000000001</v>
      </c>
      <c r="E6428" s="3">
        <v>1.3011110004049</v>
      </c>
      <c r="F6428" s="3">
        <v>1.3011110004049</v>
      </c>
      <c r="G6428" s="3">
        <v>15.138903000000001</v>
      </c>
      <c r="H6428" s="3">
        <v>321.874354707007</v>
      </c>
      <c r="I6428" s="3">
        <v>14.930569999999999</v>
      </c>
      <c r="J6428" s="3">
        <v>15.222237</v>
      </c>
      <c r="K6428" s="3">
        <v>14.777792</v>
      </c>
      <c r="L6428" s="3">
        <v>321.874354707007</v>
      </c>
    </row>
    <row r="6429" spans="1:12" ht="15" customHeight="1" x14ac:dyDescent="0.2">
      <c r="A6429" s="2">
        <v>36718</v>
      </c>
      <c r="B6429" s="3">
        <v>14.944459</v>
      </c>
      <c r="C6429" s="1">
        <v>981449.03999999899</v>
      </c>
      <c r="D6429" s="3">
        <v>0.83333400000000002</v>
      </c>
      <c r="E6429" s="3">
        <v>5.9055107229225099</v>
      </c>
      <c r="F6429" s="3">
        <v>5.9055107229225099</v>
      </c>
      <c r="G6429" s="3">
        <v>14.944459</v>
      </c>
      <c r="H6429" s="3">
        <v>316.455802449511</v>
      </c>
      <c r="I6429" s="3">
        <v>14.111124999999999</v>
      </c>
      <c r="J6429" s="3">
        <v>15.333348000000001</v>
      </c>
      <c r="K6429" s="3">
        <v>14.111124999999999</v>
      </c>
      <c r="L6429" s="3">
        <v>316.455802449511</v>
      </c>
    </row>
    <row r="6430" spans="1:12" ht="15" customHeight="1" x14ac:dyDescent="0.2">
      <c r="A6430" s="2">
        <v>36717</v>
      </c>
      <c r="B6430" s="3">
        <v>14.111124999999999</v>
      </c>
      <c r="C6430" s="1">
        <v>451349.55</v>
      </c>
      <c r="D6430" s="3">
        <v>0.222221999999998</v>
      </c>
      <c r="E6430" s="3">
        <v>1.5999967744032499</v>
      </c>
      <c r="F6430" s="3">
        <v>1.5999967744032499</v>
      </c>
      <c r="G6430" s="3">
        <v>14.111124999999999</v>
      </c>
      <c r="H6430" s="3">
        <v>293.23336397392302</v>
      </c>
      <c r="I6430" s="3">
        <v>13.944457999999999</v>
      </c>
      <c r="J6430" s="3">
        <v>14.222236000000001</v>
      </c>
      <c r="K6430" s="3">
        <v>13.611122999999999</v>
      </c>
      <c r="L6430" s="3">
        <v>293.23336397392302</v>
      </c>
    </row>
    <row r="6431" spans="1:12" ht="15" customHeight="1" x14ac:dyDescent="0.2">
      <c r="A6431" s="2">
        <v>36714</v>
      </c>
      <c r="B6431" s="3">
        <v>13.888903000000001</v>
      </c>
      <c r="C6431" s="1">
        <v>652499.4</v>
      </c>
      <c r="D6431" s="3">
        <v>0.69444600000000101</v>
      </c>
      <c r="E6431" s="3">
        <v>5.2631646758938198</v>
      </c>
      <c r="F6431" s="3">
        <v>5.2631646758938198</v>
      </c>
      <c r="G6431" s="3">
        <v>13.888903000000001</v>
      </c>
      <c r="H6431" s="3">
        <v>287.04072486052701</v>
      </c>
      <c r="I6431" s="3">
        <v>13.055569</v>
      </c>
      <c r="J6431" s="3">
        <v>14.194457999999999</v>
      </c>
      <c r="K6431" s="3">
        <v>13.02779</v>
      </c>
      <c r="L6431" s="3">
        <v>287.04072486052701</v>
      </c>
    </row>
    <row r="6432" spans="1:12" ht="15" customHeight="1" x14ac:dyDescent="0.2">
      <c r="A6432" s="2">
        <v>36713</v>
      </c>
      <c r="B6432" s="3">
        <v>13.194457</v>
      </c>
      <c r="C6432" s="1">
        <v>270899.71999999997</v>
      </c>
      <c r="D6432" s="3">
        <v>0.86111199999999999</v>
      </c>
      <c r="E6432" s="3">
        <v>6.9819825846110604</v>
      </c>
      <c r="F6432" s="3">
        <v>6.9819825846110604</v>
      </c>
      <c r="G6432" s="3">
        <v>13.194457</v>
      </c>
      <c r="H6432" s="3">
        <v>267.688664930632</v>
      </c>
      <c r="I6432" s="3">
        <v>12.472237</v>
      </c>
      <c r="J6432" s="3">
        <v>13.222236000000001</v>
      </c>
      <c r="K6432" s="3">
        <v>12.458345</v>
      </c>
      <c r="L6432" s="3">
        <v>267.688664930632</v>
      </c>
    </row>
    <row r="6433" spans="1:12" ht="15" customHeight="1" x14ac:dyDescent="0.2">
      <c r="A6433" s="2">
        <v>36712</v>
      </c>
      <c r="B6433" s="3">
        <v>12.333345</v>
      </c>
      <c r="C6433" s="1">
        <v>162674.85</v>
      </c>
      <c r="D6433" s="3"/>
      <c r="E6433" s="3"/>
      <c r="F6433" s="3"/>
      <c r="G6433" s="3">
        <v>12.333345</v>
      </c>
      <c r="H6433" s="3">
        <v>243.69213959914299</v>
      </c>
      <c r="I6433" s="3">
        <v>12.444457999999999</v>
      </c>
      <c r="J6433" s="3">
        <v>12.77779</v>
      </c>
      <c r="K6433" s="3">
        <v>12.222234</v>
      </c>
      <c r="L6433" s="3">
        <v>243.69213959914299</v>
      </c>
    </row>
    <row r="6434" spans="1:12" ht="15" customHeight="1" x14ac:dyDescent="0.2">
      <c r="A6434" s="2">
        <v>36710</v>
      </c>
      <c r="B6434" s="3">
        <v>12.333345</v>
      </c>
      <c r="C6434" s="1">
        <v>94949.904999999999</v>
      </c>
      <c r="D6434" s="3">
        <v>0.111110999999999</v>
      </c>
      <c r="E6434" s="3">
        <v>0.90908912396865305</v>
      </c>
      <c r="F6434" s="3">
        <v>0.90908912396865305</v>
      </c>
      <c r="G6434" s="3">
        <v>12.333345</v>
      </c>
      <c r="H6434" s="3">
        <v>243.69213959914299</v>
      </c>
      <c r="I6434" s="3">
        <v>12.277791000000001</v>
      </c>
      <c r="J6434" s="3">
        <v>12.388901000000001</v>
      </c>
      <c r="K6434" s="3">
        <v>12.277789</v>
      </c>
      <c r="L6434" s="3">
        <v>243.69213959914299</v>
      </c>
    </row>
    <row r="6435" spans="1:12" ht="15" customHeight="1" x14ac:dyDescent="0.2">
      <c r="A6435" s="2">
        <v>36707</v>
      </c>
      <c r="B6435" s="3">
        <v>12.222234</v>
      </c>
      <c r="C6435" s="1">
        <v>470924.53</v>
      </c>
      <c r="D6435" s="3">
        <v>-0.61111099999999896</v>
      </c>
      <c r="E6435" s="3">
        <v>-4.7618995671042796</v>
      </c>
      <c r="F6435" s="3">
        <v>-4.7618995671042796</v>
      </c>
      <c r="G6435" s="3">
        <v>12.222234</v>
      </c>
      <c r="H6435" s="3">
        <v>240.59582004244501</v>
      </c>
      <c r="I6435" s="3">
        <v>12.888902</v>
      </c>
      <c r="J6435" s="3">
        <v>12.888902</v>
      </c>
      <c r="K6435" s="3">
        <v>11.944456000000001</v>
      </c>
      <c r="L6435" s="3">
        <v>240.59582004244501</v>
      </c>
    </row>
    <row r="6436" spans="1:12" ht="15" customHeight="1" x14ac:dyDescent="0.2">
      <c r="A6436" s="2">
        <v>36706</v>
      </c>
      <c r="B6436" s="3">
        <v>12.833345</v>
      </c>
      <c r="C6436" s="1">
        <v>480599.51999999903</v>
      </c>
      <c r="D6436" s="3">
        <v>0.36111099999999902</v>
      </c>
      <c r="E6436" s="3">
        <v>2.8953193148877698</v>
      </c>
      <c r="F6436" s="3">
        <v>2.8953193148877698</v>
      </c>
      <c r="G6436" s="3">
        <v>12.833345</v>
      </c>
      <c r="H6436" s="3">
        <v>257.62559153773498</v>
      </c>
      <c r="I6436" s="3">
        <v>12.347237</v>
      </c>
      <c r="J6436" s="3">
        <v>13.083346000000001</v>
      </c>
      <c r="K6436" s="3">
        <v>12.222234</v>
      </c>
      <c r="L6436" s="3">
        <v>257.62559153773498</v>
      </c>
    </row>
    <row r="6437" spans="1:12" ht="15" customHeight="1" x14ac:dyDescent="0.2">
      <c r="A6437" s="2">
        <v>36705</v>
      </c>
      <c r="B6437" s="3">
        <v>12.472234</v>
      </c>
      <c r="C6437" s="1">
        <v>423224.64</v>
      </c>
      <c r="D6437" s="3">
        <v>0.111111000000001</v>
      </c>
      <c r="E6437" s="3">
        <v>0.89887464108238102</v>
      </c>
      <c r="F6437" s="3">
        <v>0.89887464108238102</v>
      </c>
      <c r="G6437" s="3">
        <v>12.472234</v>
      </c>
      <c r="H6437" s="3">
        <v>247.56254601174101</v>
      </c>
      <c r="I6437" s="3">
        <v>12.444457999999999</v>
      </c>
      <c r="J6437" s="3">
        <v>12.472234</v>
      </c>
      <c r="K6437" s="3">
        <v>12.166677999999999</v>
      </c>
      <c r="L6437" s="3">
        <v>247.56254601174101</v>
      </c>
    </row>
    <row r="6438" spans="1:12" ht="15" customHeight="1" x14ac:dyDescent="0.2">
      <c r="A6438" s="2">
        <v>36704</v>
      </c>
      <c r="B6438" s="3">
        <v>12.361122999999999</v>
      </c>
      <c r="C6438" s="1">
        <v>534599.5</v>
      </c>
      <c r="D6438" s="3">
        <v>-8.3333000000001406E-2</v>
      </c>
      <c r="E6438" s="3">
        <v>-0.66963955676327902</v>
      </c>
      <c r="F6438" s="3">
        <v>-0.66963955676327902</v>
      </c>
      <c r="G6438" s="3">
        <v>12.361122999999999</v>
      </c>
      <c r="H6438" s="3">
        <v>244.466226455043</v>
      </c>
      <c r="I6438" s="3">
        <v>12.444457999999999</v>
      </c>
      <c r="J6438" s="3">
        <v>12.52779</v>
      </c>
      <c r="K6438" s="3">
        <v>12.166677999999999</v>
      </c>
      <c r="L6438" s="3">
        <v>244.466226455043</v>
      </c>
    </row>
    <row r="6439" spans="1:12" ht="15" customHeight="1" x14ac:dyDescent="0.2">
      <c r="A6439" s="2">
        <v>36703</v>
      </c>
      <c r="B6439" s="3">
        <v>12.444456000000001</v>
      </c>
      <c r="C6439" s="1">
        <v>540899.4</v>
      </c>
      <c r="D6439" s="3">
        <v>1.0555559999999999</v>
      </c>
      <c r="E6439" s="3">
        <v>9.2682875431341092</v>
      </c>
      <c r="F6439" s="3">
        <v>9.2682875431341092</v>
      </c>
      <c r="G6439" s="3">
        <v>12.444456000000001</v>
      </c>
      <c r="H6439" s="3">
        <v>246.788459155841</v>
      </c>
      <c r="I6439" s="3">
        <v>11.416677</v>
      </c>
      <c r="J6439" s="3">
        <v>12.666679</v>
      </c>
      <c r="K6439" s="3">
        <v>11.416677</v>
      </c>
      <c r="L6439" s="3">
        <v>246.788459155841</v>
      </c>
    </row>
    <row r="6440" spans="1:12" ht="15" customHeight="1" x14ac:dyDescent="0.2">
      <c r="A6440" s="2">
        <v>36700</v>
      </c>
      <c r="B6440" s="3">
        <v>11.3889</v>
      </c>
      <c r="C6440" s="1">
        <v>1143673.8</v>
      </c>
      <c r="D6440" s="3">
        <v>-0.1111105</v>
      </c>
      <c r="E6440" s="3">
        <v>-0.966177378707611</v>
      </c>
      <c r="F6440" s="3">
        <v>-0.966177378707611</v>
      </c>
      <c r="G6440" s="3">
        <v>11.3889</v>
      </c>
      <c r="H6440" s="3">
        <v>217.37338156685601</v>
      </c>
      <c r="I6440" s="3">
        <v>11.722235</v>
      </c>
      <c r="J6440" s="3">
        <v>12.083345</v>
      </c>
      <c r="K6440" s="3">
        <v>11.277789</v>
      </c>
      <c r="L6440" s="3">
        <v>217.37338156685601</v>
      </c>
    </row>
    <row r="6441" spans="1:12" ht="15" customHeight="1" x14ac:dyDescent="0.2">
      <c r="A6441" s="2">
        <v>36699</v>
      </c>
      <c r="B6441" s="3">
        <v>11.5000105</v>
      </c>
      <c r="C6441" s="1">
        <v>329849.7</v>
      </c>
      <c r="D6441" s="3">
        <v>-0.44444549999999999</v>
      </c>
      <c r="E6441" s="3">
        <v>-3.7209354699787101</v>
      </c>
      <c r="F6441" s="3">
        <v>-3.7209354699787101</v>
      </c>
      <c r="G6441" s="3">
        <v>11.5000105</v>
      </c>
      <c r="H6441" s="3">
        <v>220.46968719010201</v>
      </c>
      <c r="I6441" s="3">
        <v>12.055567</v>
      </c>
      <c r="J6441" s="3">
        <v>12.055567</v>
      </c>
      <c r="K6441" s="3">
        <v>11.472232999999999</v>
      </c>
      <c r="L6441" s="3">
        <v>220.46968719010201</v>
      </c>
    </row>
    <row r="6442" spans="1:12" ht="15" customHeight="1" x14ac:dyDescent="0.2">
      <c r="A6442" s="2">
        <v>36698</v>
      </c>
      <c r="B6442" s="3">
        <v>11.944456000000001</v>
      </c>
      <c r="C6442" s="1">
        <v>1054574</v>
      </c>
      <c r="D6442" s="3">
        <v>-0.61111099999999896</v>
      </c>
      <c r="E6442" s="3">
        <v>-4.8672513156912602</v>
      </c>
      <c r="F6442" s="3">
        <v>-4.8672513156912602</v>
      </c>
      <c r="G6442" s="3">
        <v>11.944456000000001</v>
      </c>
      <c r="H6442" s="3">
        <v>232.85500721724901</v>
      </c>
      <c r="I6442" s="3">
        <v>12.277791000000001</v>
      </c>
      <c r="J6442" s="3">
        <v>12.305567</v>
      </c>
      <c r="K6442" s="3">
        <v>11.777789</v>
      </c>
      <c r="L6442" s="3">
        <v>232.85500721724901</v>
      </c>
    </row>
    <row r="6443" spans="1:12" ht="15" customHeight="1" x14ac:dyDescent="0.2">
      <c r="A6443" s="2">
        <v>36697</v>
      </c>
      <c r="B6443" s="3">
        <v>12.555567</v>
      </c>
      <c r="C6443" s="1">
        <v>923624.1</v>
      </c>
      <c r="D6443" s="3">
        <v>0.61111099999999896</v>
      </c>
      <c r="E6443" s="3">
        <v>5.1162731898380196</v>
      </c>
      <c r="F6443" s="3">
        <v>5.1162731898380196</v>
      </c>
      <c r="G6443" s="3">
        <v>12.555567</v>
      </c>
      <c r="H6443" s="3">
        <v>249.884778712539</v>
      </c>
      <c r="I6443" s="3">
        <v>12.083345</v>
      </c>
      <c r="J6443" s="3">
        <v>12.583345</v>
      </c>
      <c r="K6443" s="3">
        <v>12.0000105</v>
      </c>
      <c r="L6443" s="3">
        <v>249.884778712539</v>
      </c>
    </row>
    <row r="6444" spans="1:12" ht="15" customHeight="1" x14ac:dyDescent="0.2">
      <c r="A6444" s="2">
        <v>36696</v>
      </c>
      <c r="B6444" s="3">
        <v>11.944456000000001</v>
      </c>
      <c r="C6444" s="1">
        <v>699974.24</v>
      </c>
      <c r="D6444" s="3">
        <v>0.38888899999999998</v>
      </c>
      <c r="E6444" s="3">
        <v>3.3653822439002798</v>
      </c>
      <c r="F6444" s="3">
        <v>3.3653822439002798</v>
      </c>
      <c r="G6444" s="3">
        <v>11.944456000000001</v>
      </c>
      <c r="H6444" s="3">
        <v>232.85500721724901</v>
      </c>
      <c r="I6444" s="3">
        <v>11.277789</v>
      </c>
      <c r="J6444" s="3">
        <v>12.083345</v>
      </c>
      <c r="K6444" s="3">
        <v>11.166677</v>
      </c>
      <c r="L6444" s="3">
        <v>232.85500721724901</v>
      </c>
    </row>
    <row r="6445" spans="1:12" ht="15" customHeight="1" x14ac:dyDescent="0.2">
      <c r="A6445" s="2">
        <v>36693</v>
      </c>
      <c r="B6445" s="3">
        <v>11.555567</v>
      </c>
      <c r="C6445" s="1">
        <v>1740598.4</v>
      </c>
      <c r="D6445" s="3">
        <v>-0.222222</v>
      </c>
      <c r="E6445" s="3">
        <v>-1.8867887682484299</v>
      </c>
      <c r="F6445" s="3">
        <v>-1.8867887682484299</v>
      </c>
      <c r="G6445" s="3">
        <v>11.555567</v>
      </c>
      <c r="H6445" s="3">
        <v>222.017874835355</v>
      </c>
      <c r="I6445" s="3">
        <v>12.027791000000001</v>
      </c>
      <c r="J6445" s="3">
        <v>12.250012</v>
      </c>
      <c r="K6445" s="3">
        <v>11.305567</v>
      </c>
      <c r="L6445" s="3">
        <v>222.017874835355</v>
      </c>
    </row>
    <row r="6446" spans="1:12" ht="15" customHeight="1" x14ac:dyDescent="0.2">
      <c r="A6446" s="2">
        <v>36692</v>
      </c>
      <c r="B6446" s="3">
        <v>11.777789</v>
      </c>
      <c r="C6446" s="1">
        <v>1734523.3</v>
      </c>
      <c r="D6446" s="3">
        <v>-0.38888899999999799</v>
      </c>
      <c r="E6446" s="3">
        <v>-3.1963449677882401</v>
      </c>
      <c r="F6446" s="3">
        <v>-3.1963449677882401</v>
      </c>
      <c r="G6446" s="3">
        <v>11.777789</v>
      </c>
      <c r="H6446" s="3">
        <v>228.21051394874999</v>
      </c>
      <c r="I6446" s="3">
        <v>12.083345</v>
      </c>
      <c r="J6446" s="3">
        <v>12.166677999999999</v>
      </c>
      <c r="K6446" s="3">
        <v>11.666677</v>
      </c>
      <c r="L6446" s="3">
        <v>228.21051394874999</v>
      </c>
    </row>
    <row r="6447" spans="1:12" ht="15" customHeight="1" x14ac:dyDescent="0.2">
      <c r="A6447" s="2">
        <v>36691</v>
      </c>
      <c r="B6447" s="3">
        <v>12.166677999999999</v>
      </c>
      <c r="C6447" s="1">
        <v>349199.62</v>
      </c>
      <c r="D6447" s="3">
        <v>-0.38888899999999998</v>
      </c>
      <c r="E6447" s="3">
        <v>-3.0973431944570899</v>
      </c>
      <c r="F6447" s="3">
        <v>-3.0973431944570899</v>
      </c>
      <c r="G6447" s="3">
        <v>12.166677999999999</v>
      </c>
      <c r="H6447" s="3">
        <v>239.047646330644</v>
      </c>
      <c r="I6447" s="3">
        <v>12.583345</v>
      </c>
      <c r="J6447" s="3">
        <v>12.972235</v>
      </c>
      <c r="K6447" s="3">
        <v>12.1389</v>
      </c>
      <c r="L6447" s="3">
        <v>239.047646330644</v>
      </c>
    </row>
    <row r="6448" spans="1:12" ht="15" customHeight="1" x14ac:dyDescent="0.2">
      <c r="A6448" s="2">
        <v>36690</v>
      </c>
      <c r="B6448" s="3">
        <v>12.555567</v>
      </c>
      <c r="C6448" s="1">
        <v>371024.63</v>
      </c>
      <c r="D6448" s="3">
        <v>5.5555E-2</v>
      </c>
      <c r="E6448" s="3">
        <v>0.44443957333801798</v>
      </c>
      <c r="F6448" s="3">
        <v>0.44443957333801798</v>
      </c>
      <c r="G6448" s="3">
        <v>12.555567</v>
      </c>
      <c r="H6448" s="3">
        <v>249.884778712539</v>
      </c>
      <c r="I6448" s="3">
        <v>12.472237</v>
      </c>
      <c r="J6448" s="3">
        <v>12.555567</v>
      </c>
      <c r="K6448" s="3">
        <v>11.972234</v>
      </c>
      <c r="L6448" s="3">
        <v>249.884778712539</v>
      </c>
    </row>
    <row r="6449" spans="1:12" ht="15" customHeight="1" x14ac:dyDescent="0.2">
      <c r="A6449" s="2">
        <v>36689</v>
      </c>
      <c r="B6449" s="3">
        <v>12.500012</v>
      </c>
      <c r="C6449" s="1">
        <v>386774.63</v>
      </c>
      <c r="D6449" s="3">
        <v>-0.75</v>
      </c>
      <c r="E6449" s="3">
        <v>-5.6603722321157104</v>
      </c>
      <c r="F6449" s="3">
        <v>-5.6603722321157104</v>
      </c>
      <c r="G6449" s="3">
        <v>12.500012</v>
      </c>
      <c r="H6449" s="3">
        <v>248.33663286764201</v>
      </c>
      <c r="I6449" s="3">
        <v>13.361124999999999</v>
      </c>
      <c r="J6449" s="3">
        <v>13.444457</v>
      </c>
      <c r="K6449" s="3">
        <v>12.444456000000001</v>
      </c>
      <c r="L6449" s="3">
        <v>248.33663286764201</v>
      </c>
    </row>
    <row r="6450" spans="1:12" ht="15" customHeight="1" x14ac:dyDescent="0.2">
      <c r="A6450" s="2">
        <v>36686</v>
      </c>
      <c r="B6450" s="3">
        <v>13.250012</v>
      </c>
      <c r="C6450" s="1">
        <v>288224.73</v>
      </c>
      <c r="D6450" s="3">
        <v>0.24999199999999999</v>
      </c>
      <c r="E6450" s="3">
        <v>1.9230124261347199</v>
      </c>
      <c r="F6450" s="3">
        <v>1.9230124261347199</v>
      </c>
      <c r="G6450" s="3">
        <v>13.250012</v>
      </c>
      <c r="H6450" s="3">
        <v>269.23681077552902</v>
      </c>
      <c r="I6450" s="3">
        <v>13.027791000000001</v>
      </c>
      <c r="J6450" s="3">
        <v>13.833346000000001</v>
      </c>
      <c r="K6450" s="3">
        <v>12.888902</v>
      </c>
      <c r="L6450" s="3">
        <v>269.23681077552902</v>
      </c>
    </row>
    <row r="6451" spans="1:12" ht="15" customHeight="1" x14ac:dyDescent="0.2">
      <c r="A6451" s="2">
        <v>36685</v>
      </c>
      <c r="B6451" s="3">
        <v>13.000019999999999</v>
      </c>
      <c r="C6451" s="1">
        <v>451574.37</v>
      </c>
      <c r="D6451" s="3">
        <v>-0.203703</v>
      </c>
      <c r="E6451" s="3">
        <v>-1.54276941435381</v>
      </c>
      <c r="F6451" s="3">
        <v>-1.54276941435381</v>
      </c>
      <c r="G6451" s="3">
        <v>13.000019999999999</v>
      </c>
      <c r="H6451" s="3">
        <v>262.27030774146402</v>
      </c>
      <c r="I6451" s="3">
        <v>13.222243000000001</v>
      </c>
      <c r="J6451" s="3">
        <v>13.481503</v>
      </c>
      <c r="K6451" s="3">
        <v>12.907425999999999</v>
      </c>
      <c r="L6451" s="3">
        <v>262.27030774146402</v>
      </c>
    </row>
    <row r="6452" spans="1:12" ht="15" customHeight="1" x14ac:dyDescent="0.2">
      <c r="A6452" s="2">
        <v>36684</v>
      </c>
      <c r="B6452" s="3">
        <v>13.203723</v>
      </c>
      <c r="C6452" s="1">
        <v>817761.2</v>
      </c>
      <c r="D6452" s="3">
        <v>9.25930000000008E-2</v>
      </c>
      <c r="E6452" s="3">
        <v>0.70621677917921399</v>
      </c>
      <c r="F6452" s="3">
        <v>0.70621677917921399</v>
      </c>
      <c r="G6452" s="3">
        <v>13.203723</v>
      </c>
      <c r="H6452" s="3">
        <v>267.94687966195801</v>
      </c>
      <c r="I6452" s="3">
        <v>13.185204499999999</v>
      </c>
      <c r="J6452" s="3">
        <v>13.222239999999999</v>
      </c>
      <c r="K6452" s="3">
        <v>12.759277000000001</v>
      </c>
      <c r="L6452" s="3">
        <v>267.94687966195801</v>
      </c>
    </row>
    <row r="6453" spans="1:12" ht="15" customHeight="1" x14ac:dyDescent="0.2">
      <c r="A6453" s="2">
        <v>36683</v>
      </c>
      <c r="B6453" s="3">
        <v>13.111129999999999</v>
      </c>
      <c r="C6453" s="1">
        <v>584886.80000000005</v>
      </c>
      <c r="D6453" s="3">
        <v>0.22222349999999999</v>
      </c>
      <c r="E6453" s="3">
        <v>1.7241454889908601</v>
      </c>
      <c r="F6453" s="3">
        <v>1.7241454889908601</v>
      </c>
      <c r="G6453" s="3">
        <v>13.111129999999999</v>
      </c>
      <c r="H6453" s="3">
        <v>265.36659943125801</v>
      </c>
      <c r="I6453" s="3">
        <v>12.907425999999999</v>
      </c>
      <c r="J6453" s="3">
        <v>13.407425999999999</v>
      </c>
      <c r="K6453" s="3">
        <v>12.814835</v>
      </c>
      <c r="L6453" s="3">
        <v>265.36659943125801</v>
      </c>
    </row>
    <row r="6454" spans="1:12" ht="15" customHeight="1" x14ac:dyDescent="0.2">
      <c r="A6454" s="2">
        <v>36682</v>
      </c>
      <c r="B6454" s="3">
        <v>12.888906499999999</v>
      </c>
      <c r="C6454" s="1">
        <v>371249.48</v>
      </c>
      <c r="D6454" s="3">
        <v>0.33333349999999801</v>
      </c>
      <c r="E6454" s="3">
        <v>2.6548648954531902</v>
      </c>
      <c r="F6454" s="3">
        <v>2.6548648954531902</v>
      </c>
      <c r="G6454" s="3">
        <v>12.888906499999999</v>
      </c>
      <c r="H6454" s="3">
        <v>259.17391851750699</v>
      </c>
      <c r="I6454" s="3">
        <v>12.574094000000001</v>
      </c>
      <c r="J6454" s="3">
        <v>13.092612000000001</v>
      </c>
      <c r="K6454" s="3">
        <v>12.574090999999999</v>
      </c>
      <c r="L6454" s="3">
        <v>259.17391851750699</v>
      </c>
    </row>
    <row r="6455" spans="1:12" ht="15" customHeight="1" x14ac:dyDescent="0.2">
      <c r="A6455" s="2">
        <v>36679</v>
      </c>
      <c r="B6455" s="3">
        <v>12.555573000000001</v>
      </c>
      <c r="C6455" s="1">
        <v>931498.65999999898</v>
      </c>
      <c r="D6455" s="3">
        <v>0.53703800000000002</v>
      </c>
      <c r="E6455" s="3">
        <v>4.4684148275975399</v>
      </c>
      <c r="F6455" s="3">
        <v>4.4684148275975399</v>
      </c>
      <c r="G6455" s="3">
        <v>12.555573000000001</v>
      </c>
      <c r="H6455" s="3">
        <v>249.88494591396201</v>
      </c>
      <c r="I6455" s="3">
        <v>12.037055000000001</v>
      </c>
      <c r="J6455" s="3">
        <v>12.592608999999999</v>
      </c>
      <c r="K6455" s="3">
        <v>12.037053999999999</v>
      </c>
      <c r="L6455" s="3">
        <v>249.88494591396201</v>
      </c>
    </row>
    <row r="6456" spans="1:12" ht="15" customHeight="1" x14ac:dyDescent="0.2">
      <c r="A6456" s="2">
        <v>36678</v>
      </c>
      <c r="B6456" s="3">
        <v>12.018535</v>
      </c>
      <c r="C6456" s="1">
        <v>336487</v>
      </c>
      <c r="D6456" s="3">
        <v>0.222222</v>
      </c>
      <c r="E6456" s="3">
        <v>1.8838259039074301</v>
      </c>
      <c r="F6456" s="3">
        <v>1.8838259039074301</v>
      </c>
      <c r="G6456" s="3">
        <v>12.018535</v>
      </c>
      <c r="H6456" s="3">
        <v>234.91935958956699</v>
      </c>
      <c r="I6456" s="3">
        <v>11.96298</v>
      </c>
      <c r="J6456" s="3">
        <v>12.074090999999999</v>
      </c>
      <c r="K6456" s="3">
        <v>11.814833</v>
      </c>
      <c r="L6456" s="3">
        <v>234.91935958956699</v>
      </c>
    </row>
    <row r="6457" spans="1:12" ht="15" customHeight="1" x14ac:dyDescent="0.2">
      <c r="A6457" s="2">
        <v>36677</v>
      </c>
      <c r="B6457" s="3">
        <v>11.796313</v>
      </c>
      <c r="C6457" s="1">
        <v>947698.67</v>
      </c>
      <c r="D6457" s="3">
        <v>-0.796295999999999</v>
      </c>
      <c r="E6457" s="3">
        <v>-6.3235188196504701</v>
      </c>
      <c r="F6457" s="3">
        <v>-6.3235188196504701</v>
      </c>
      <c r="G6457" s="3">
        <v>11.796313</v>
      </c>
      <c r="H6457" s="3">
        <v>228.72672047617101</v>
      </c>
      <c r="I6457" s="3">
        <v>12.592608999999999</v>
      </c>
      <c r="J6457" s="3">
        <v>12.592608999999999</v>
      </c>
      <c r="K6457" s="3">
        <v>11.703721</v>
      </c>
      <c r="L6457" s="3">
        <v>228.72672047617101</v>
      </c>
    </row>
    <row r="6458" spans="1:12" ht="15" customHeight="1" x14ac:dyDescent="0.2">
      <c r="A6458" s="2">
        <v>36676</v>
      </c>
      <c r="B6458" s="3">
        <v>12.592608999999999</v>
      </c>
      <c r="C6458" s="1">
        <v>990223.6</v>
      </c>
      <c r="D6458" s="3">
        <v>0.70370250000000001</v>
      </c>
      <c r="E6458" s="3">
        <v>5.9189842228130898</v>
      </c>
      <c r="F6458" s="3">
        <v>5.9189842228130898</v>
      </c>
      <c r="G6458" s="3">
        <v>12.592608999999999</v>
      </c>
      <c r="H6458" s="3">
        <v>250.91702456595701</v>
      </c>
      <c r="I6458" s="3">
        <v>12.018537</v>
      </c>
      <c r="J6458" s="3">
        <v>12.722239999999999</v>
      </c>
      <c r="K6458" s="3">
        <v>11.981498</v>
      </c>
      <c r="L6458" s="3">
        <v>250.91702456595701</v>
      </c>
    </row>
    <row r="6459" spans="1:12" ht="15" customHeight="1" x14ac:dyDescent="0.2">
      <c r="A6459" s="2">
        <v>36672</v>
      </c>
      <c r="B6459" s="3">
        <v>11.888906499999999</v>
      </c>
      <c r="C6459" s="1">
        <v>652049.1</v>
      </c>
      <c r="D6459" s="3">
        <v>-0.1851845</v>
      </c>
      <c r="E6459" s="3">
        <v>-1.5337345063905801</v>
      </c>
      <c r="F6459" s="3">
        <v>-1.5337345063905801</v>
      </c>
      <c r="G6459" s="3">
        <v>11.888906499999999</v>
      </c>
      <c r="H6459" s="3">
        <v>231.30701464032299</v>
      </c>
      <c r="I6459" s="3">
        <v>12.194463000000001</v>
      </c>
      <c r="J6459" s="3">
        <v>12.203722000000001</v>
      </c>
      <c r="K6459" s="3">
        <v>11.851869000000001</v>
      </c>
      <c r="L6459" s="3">
        <v>231.30701464032299</v>
      </c>
    </row>
    <row r="6460" spans="1:12" ht="15" customHeight="1" x14ac:dyDescent="0.2">
      <c r="A6460" s="2">
        <v>36671</v>
      </c>
      <c r="B6460" s="3">
        <v>12.074090999999999</v>
      </c>
      <c r="C6460" s="1">
        <v>844423.77</v>
      </c>
      <c r="D6460" s="3">
        <v>-0.55555600000000105</v>
      </c>
      <c r="E6460" s="3">
        <v>-4.3988244485376402</v>
      </c>
      <c r="F6460" s="3">
        <v>-4.3988244485376402</v>
      </c>
      <c r="G6460" s="3">
        <v>12.074090999999999</v>
      </c>
      <c r="H6460" s="3">
        <v>236.46753330136801</v>
      </c>
      <c r="I6460" s="3">
        <v>12.518537</v>
      </c>
      <c r="J6460" s="3">
        <v>12.518535999999999</v>
      </c>
      <c r="K6460" s="3">
        <v>12.074090999999999</v>
      </c>
      <c r="L6460" s="3">
        <v>236.46753330136801</v>
      </c>
    </row>
    <row r="6461" spans="1:12" ht="15" customHeight="1" x14ac:dyDescent="0.2">
      <c r="A6461" s="2">
        <v>36670</v>
      </c>
      <c r="B6461" s="3">
        <v>12.629647</v>
      </c>
      <c r="C6461" s="1">
        <v>1487360.4</v>
      </c>
      <c r="D6461" s="3">
        <v>0.48147899999999999</v>
      </c>
      <c r="E6461" s="3">
        <v>3.9633877305615002</v>
      </c>
      <c r="F6461" s="3">
        <v>3.9633877305615002</v>
      </c>
      <c r="G6461" s="3">
        <v>12.629647</v>
      </c>
      <c r="H6461" s="3">
        <v>251.94915895176001</v>
      </c>
      <c r="I6461" s="3">
        <v>12.222242</v>
      </c>
      <c r="J6461" s="3">
        <v>13.148168</v>
      </c>
      <c r="K6461" s="3">
        <v>12.185202</v>
      </c>
      <c r="L6461" s="3">
        <v>251.94915895176001</v>
      </c>
    </row>
    <row r="6462" spans="1:12" ht="15" customHeight="1" x14ac:dyDescent="0.2">
      <c r="A6462" s="2">
        <v>36669</v>
      </c>
      <c r="B6462" s="3">
        <v>12.148168</v>
      </c>
      <c r="C6462" s="1">
        <v>1098898.6000000001</v>
      </c>
      <c r="D6462" s="3">
        <v>0.129633</v>
      </c>
      <c r="E6462" s="3">
        <v>1.0786089985177001</v>
      </c>
      <c r="F6462" s="3">
        <v>1.0786089985177001</v>
      </c>
      <c r="G6462" s="3">
        <v>12.148168</v>
      </c>
      <c r="H6462" s="3">
        <v>238.53182993987801</v>
      </c>
      <c r="I6462" s="3">
        <v>12.037055000000001</v>
      </c>
      <c r="J6462" s="3">
        <v>12.296313</v>
      </c>
      <c r="K6462" s="3">
        <v>11.833349999999999</v>
      </c>
      <c r="L6462" s="3">
        <v>238.53182993987801</v>
      </c>
    </row>
    <row r="6463" spans="1:12" ht="15" customHeight="1" x14ac:dyDescent="0.2">
      <c r="A6463" s="2">
        <v>36668</v>
      </c>
      <c r="B6463" s="3">
        <v>12.018535</v>
      </c>
      <c r="C6463" s="1">
        <v>1750947.5</v>
      </c>
      <c r="D6463" s="3">
        <v>-0.51852099999999901</v>
      </c>
      <c r="E6463" s="3">
        <v>-4.13590718586563</v>
      </c>
      <c r="F6463" s="3">
        <v>-4.13590718586563</v>
      </c>
      <c r="G6463" s="3">
        <v>12.018535</v>
      </c>
      <c r="H6463" s="3">
        <v>234.91935958956699</v>
      </c>
      <c r="I6463" s="3">
        <v>12.518537</v>
      </c>
      <c r="J6463" s="3">
        <v>12.666684</v>
      </c>
      <c r="K6463" s="3">
        <v>11.740758</v>
      </c>
      <c r="L6463" s="3">
        <v>234.91935958956699</v>
      </c>
    </row>
    <row r="6464" spans="1:12" ht="15" customHeight="1" x14ac:dyDescent="0.2">
      <c r="A6464" s="2">
        <v>36665</v>
      </c>
      <c r="B6464" s="3">
        <v>12.537056</v>
      </c>
      <c r="C6464" s="1">
        <v>851511.2</v>
      </c>
      <c r="D6464" s="3">
        <v>-0.59259300000000004</v>
      </c>
      <c r="E6464" s="3">
        <v>-4.5133955980087599</v>
      </c>
      <c r="F6464" s="3">
        <v>-4.5133955980087599</v>
      </c>
      <c r="G6464" s="3">
        <v>12.537056</v>
      </c>
      <c r="H6464" s="3">
        <v>249.368934454868</v>
      </c>
      <c r="I6464" s="3">
        <v>13.111131</v>
      </c>
      <c r="J6464" s="3">
        <v>13.148168</v>
      </c>
      <c r="K6464" s="3">
        <v>12.333351</v>
      </c>
      <c r="L6464" s="3">
        <v>249.368934454868</v>
      </c>
    </row>
    <row r="6465" spans="1:12" ht="15" customHeight="1" x14ac:dyDescent="0.2">
      <c r="A6465" s="2">
        <v>36664</v>
      </c>
      <c r="B6465" s="3">
        <v>13.129649000000001</v>
      </c>
      <c r="C6465" s="1">
        <v>248399.64</v>
      </c>
      <c r="D6465" s="3">
        <v>-0.38888799999999901</v>
      </c>
      <c r="E6465" s="3">
        <v>-2.8767018206185901</v>
      </c>
      <c r="F6465" s="3">
        <v>-2.8767018206185901</v>
      </c>
      <c r="G6465" s="3">
        <v>13.129649000000001</v>
      </c>
      <c r="H6465" s="3">
        <v>265.88266662415998</v>
      </c>
      <c r="I6465" s="3">
        <v>13.62965</v>
      </c>
      <c r="J6465" s="3">
        <v>13.685204000000001</v>
      </c>
      <c r="K6465" s="3">
        <v>13.129649000000001</v>
      </c>
      <c r="L6465" s="3">
        <v>265.88266662415998</v>
      </c>
    </row>
    <row r="6466" spans="1:12" ht="15" customHeight="1" x14ac:dyDescent="0.2">
      <c r="A6466" s="2">
        <v>36663</v>
      </c>
      <c r="B6466" s="3">
        <v>13.518537</v>
      </c>
      <c r="C6466" s="1">
        <v>1201498.2</v>
      </c>
      <c r="D6466" s="3">
        <v>-0.62963249999999904</v>
      </c>
      <c r="E6466" s="3">
        <v>-4.4502753518750202</v>
      </c>
      <c r="F6466" s="3">
        <v>-4.4502753518750202</v>
      </c>
      <c r="G6466" s="3">
        <v>13.518537</v>
      </c>
      <c r="H6466" s="3">
        <v>276.71977113915</v>
      </c>
      <c r="I6466" s="3">
        <v>14.037058999999999</v>
      </c>
      <c r="J6466" s="3">
        <v>14.074096000000001</v>
      </c>
      <c r="K6466" s="3">
        <v>13.518537</v>
      </c>
      <c r="L6466" s="3">
        <v>276.71977113915</v>
      </c>
    </row>
    <row r="6467" spans="1:12" ht="15" customHeight="1" x14ac:dyDescent="0.2">
      <c r="A6467" s="2">
        <v>36662</v>
      </c>
      <c r="B6467" s="3">
        <v>14.1481695</v>
      </c>
      <c r="C6467" s="1">
        <v>819786.25</v>
      </c>
      <c r="D6467" s="3">
        <v>-3.7034500000000699E-2</v>
      </c>
      <c r="E6467" s="3">
        <v>-0.26107837433991798</v>
      </c>
      <c r="F6467" s="3">
        <v>-0.26107837433991798</v>
      </c>
      <c r="G6467" s="3">
        <v>14.1481695</v>
      </c>
      <c r="H6467" s="3">
        <v>294.26567949460099</v>
      </c>
      <c r="I6467" s="3">
        <v>14.25928</v>
      </c>
      <c r="J6467" s="3">
        <v>14.500021</v>
      </c>
      <c r="K6467" s="3">
        <v>13.851870999999999</v>
      </c>
      <c r="L6467" s="3">
        <v>294.26567949460099</v>
      </c>
    </row>
    <row r="6468" spans="1:12" ht="15" customHeight="1" x14ac:dyDescent="0.2">
      <c r="A6468" s="2">
        <v>36661</v>
      </c>
      <c r="B6468" s="3">
        <v>14.185204000000001</v>
      </c>
      <c r="C6468" s="1">
        <v>770848.94</v>
      </c>
      <c r="D6468" s="3">
        <v>0.55555500000000002</v>
      </c>
      <c r="E6468" s="3">
        <v>4.0760770875317398</v>
      </c>
      <c r="F6468" s="3">
        <v>4.0760770875317398</v>
      </c>
      <c r="G6468" s="3">
        <v>14.185204000000001</v>
      </c>
      <c r="H6468" s="3">
        <v>295.29771634624097</v>
      </c>
      <c r="I6468" s="3">
        <v>13.8148365</v>
      </c>
      <c r="J6468" s="3">
        <v>14.185204000000001</v>
      </c>
      <c r="K6468" s="3">
        <v>13.462982</v>
      </c>
      <c r="L6468" s="3">
        <v>295.29771634624097</v>
      </c>
    </row>
    <row r="6469" spans="1:12" ht="15" customHeight="1" x14ac:dyDescent="0.2">
      <c r="A6469" s="2">
        <v>36658</v>
      </c>
      <c r="B6469" s="3">
        <v>13.629649000000001</v>
      </c>
      <c r="C6469" s="1">
        <v>454611.88</v>
      </c>
      <c r="D6469" s="3">
        <v>-0.481482999999999</v>
      </c>
      <c r="E6469" s="3">
        <v>-3.4120792010166001</v>
      </c>
      <c r="F6469" s="3">
        <v>-3.4120792010166001</v>
      </c>
      <c r="G6469" s="3">
        <v>13.629649000000001</v>
      </c>
      <c r="H6469" s="3">
        <v>279.81611856275202</v>
      </c>
      <c r="I6469" s="3">
        <v>13.925945</v>
      </c>
      <c r="J6469" s="3">
        <v>14.180574999999999</v>
      </c>
      <c r="K6469" s="3">
        <v>13.555574999999999</v>
      </c>
      <c r="L6469" s="3">
        <v>279.81611856275202</v>
      </c>
    </row>
    <row r="6470" spans="1:12" ht="15" customHeight="1" x14ac:dyDescent="0.2">
      <c r="A6470" s="2">
        <v>36657</v>
      </c>
      <c r="B6470" s="3">
        <v>14.111132</v>
      </c>
      <c r="C6470" s="1">
        <v>1521447.9</v>
      </c>
      <c r="D6470" s="3">
        <v>9.2594499999998803E-2</v>
      </c>
      <c r="E6470" s="3">
        <v>0.66051469349066505</v>
      </c>
      <c r="F6470" s="3">
        <v>0.66051469349066505</v>
      </c>
      <c r="G6470" s="3">
        <v>14.111132</v>
      </c>
      <c r="H6470" s="3">
        <v>293.23355904225002</v>
      </c>
      <c r="I6470" s="3">
        <v>14.074097</v>
      </c>
      <c r="J6470" s="3">
        <v>14.629651000000001</v>
      </c>
      <c r="K6470" s="3">
        <v>13.851870999999999</v>
      </c>
      <c r="L6470" s="3">
        <v>293.23355904225002</v>
      </c>
    </row>
    <row r="6471" spans="1:12" ht="15" customHeight="1" x14ac:dyDescent="0.2">
      <c r="A6471" s="2">
        <v>36656</v>
      </c>
      <c r="B6471" s="3">
        <v>14.018537500000001</v>
      </c>
      <c r="C6471" s="1">
        <v>2386796.1</v>
      </c>
      <c r="D6471" s="3">
        <v>0.38888850000000003</v>
      </c>
      <c r="E6471" s="3">
        <v>2.8532539612722201</v>
      </c>
      <c r="F6471" s="3">
        <v>2.8532539612722201</v>
      </c>
      <c r="G6471" s="3">
        <v>14.018537500000001</v>
      </c>
      <c r="H6471" s="3">
        <v>290.65323701119399</v>
      </c>
      <c r="I6471" s="3">
        <v>13.592612000000001</v>
      </c>
      <c r="J6471" s="3">
        <v>14.333354</v>
      </c>
      <c r="K6471" s="3">
        <v>13.462982</v>
      </c>
      <c r="L6471" s="3">
        <v>290.65323701119399</v>
      </c>
    </row>
    <row r="6472" spans="1:12" ht="15" customHeight="1" x14ac:dyDescent="0.2">
      <c r="A6472" s="2">
        <v>36655</v>
      </c>
      <c r="B6472" s="3">
        <v>13.629649000000001</v>
      </c>
      <c r="C6472" s="1">
        <v>1987872.1</v>
      </c>
      <c r="D6472" s="3">
        <v>0.92592699999999895</v>
      </c>
      <c r="E6472" s="3">
        <v>7.2886276950959701</v>
      </c>
      <c r="F6472" s="3">
        <v>7.2886276950959701</v>
      </c>
      <c r="G6472" s="3">
        <v>13.629649000000001</v>
      </c>
      <c r="H6472" s="3">
        <v>279.81611856275202</v>
      </c>
      <c r="I6472" s="3">
        <v>12.870388999999999</v>
      </c>
      <c r="J6472" s="3">
        <v>13.703723</v>
      </c>
      <c r="K6472" s="3">
        <v>12.666684</v>
      </c>
      <c r="L6472" s="3">
        <v>279.81611856275202</v>
      </c>
    </row>
    <row r="6473" spans="1:12" ht="15" customHeight="1" x14ac:dyDescent="0.2">
      <c r="A6473" s="2">
        <v>36654</v>
      </c>
      <c r="B6473" s="3">
        <v>12.703722000000001</v>
      </c>
      <c r="C6473" s="1">
        <v>562274.19999999995</v>
      </c>
      <c r="D6473" s="3">
        <v>0.38888800000000101</v>
      </c>
      <c r="E6473" s="3">
        <v>3.1578825991483299</v>
      </c>
      <c r="F6473" s="3">
        <v>3.1578825991483299</v>
      </c>
      <c r="G6473" s="3">
        <v>12.703722000000001</v>
      </c>
      <c r="H6473" s="3">
        <v>254.013399856463</v>
      </c>
      <c r="I6473" s="3">
        <v>12.296315</v>
      </c>
      <c r="J6473" s="3">
        <v>12.796315</v>
      </c>
      <c r="K6473" s="3">
        <v>12.296313</v>
      </c>
      <c r="L6473" s="3">
        <v>254.013399856463</v>
      </c>
    </row>
    <row r="6474" spans="1:12" ht="15" customHeight="1" x14ac:dyDescent="0.2">
      <c r="A6474" s="2">
        <v>36651</v>
      </c>
      <c r="B6474" s="3">
        <v>12.314833999999999</v>
      </c>
      <c r="C6474" s="1">
        <v>458661.87</v>
      </c>
      <c r="D6474" s="3">
        <v>0.407409999999998</v>
      </c>
      <c r="E6474" s="3">
        <v>3.42147890257371</v>
      </c>
      <c r="F6474" s="3">
        <v>3.42147890257371</v>
      </c>
      <c r="G6474" s="3">
        <v>12.314833999999999</v>
      </c>
      <c r="H6474" s="3">
        <v>243.17629534147201</v>
      </c>
      <c r="I6474" s="3">
        <v>11.944463000000001</v>
      </c>
      <c r="J6474" s="3">
        <v>12.314833999999999</v>
      </c>
      <c r="K6474" s="3">
        <v>11.800941999999999</v>
      </c>
      <c r="L6474" s="3">
        <v>243.17629534147201</v>
      </c>
    </row>
    <row r="6475" spans="1:12" ht="15" customHeight="1" x14ac:dyDescent="0.2">
      <c r="A6475" s="2">
        <v>36650</v>
      </c>
      <c r="B6475" s="3">
        <v>11.907424000000001</v>
      </c>
      <c r="C6475" s="1">
        <v>147487.25999999899</v>
      </c>
      <c r="D6475" s="3">
        <v>-0.111110999999999</v>
      </c>
      <c r="E6475" s="3">
        <v>-0.92449703728448795</v>
      </c>
      <c r="F6475" s="3">
        <v>-0.92449703728448795</v>
      </c>
      <c r="G6475" s="3">
        <v>11.907424000000001</v>
      </c>
      <c r="H6475" s="3">
        <v>231.82304003286899</v>
      </c>
      <c r="I6475" s="3">
        <v>12.000017</v>
      </c>
      <c r="J6475" s="3">
        <v>12.000017</v>
      </c>
      <c r="K6475" s="3">
        <v>11.722239500000001</v>
      </c>
      <c r="L6475" s="3">
        <v>231.82304003286899</v>
      </c>
    </row>
    <row r="6476" spans="1:12" ht="15" customHeight="1" x14ac:dyDescent="0.2">
      <c r="A6476" s="2">
        <v>36649</v>
      </c>
      <c r="B6476" s="3">
        <v>12.018535</v>
      </c>
      <c r="C6476" s="1">
        <v>392174.47</v>
      </c>
      <c r="D6476" s="3">
        <v>0.16666599999999901</v>
      </c>
      <c r="E6476" s="3">
        <v>1.4062423403430999</v>
      </c>
      <c r="F6476" s="3">
        <v>1.4062423403430999</v>
      </c>
      <c r="G6476" s="3">
        <v>12.018535</v>
      </c>
      <c r="H6476" s="3">
        <v>234.91935958956699</v>
      </c>
      <c r="I6476" s="3">
        <v>11.740758</v>
      </c>
      <c r="J6476" s="3">
        <v>12.037053999999999</v>
      </c>
      <c r="K6476" s="3">
        <v>11.555572</v>
      </c>
      <c r="L6476" s="3">
        <v>234.91935958956699</v>
      </c>
    </row>
    <row r="6477" spans="1:12" ht="15" customHeight="1" x14ac:dyDescent="0.2">
      <c r="A6477" s="2">
        <v>36648</v>
      </c>
      <c r="B6477" s="3">
        <v>11.851869000000001</v>
      </c>
      <c r="C6477" s="1">
        <v>375299.47</v>
      </c>
      <c r="D6477" s="3">
        <v>-0.203704</v>
      </c>
      <c r="E6477" s="3">
        <v>-1.68970815406285</v>
      </c>
      <c r="F6477" s="3">
        <v>-1.68970815406285</v>
      </c>
      <c r="G6477" s="3">
        <v>11.851869000000001</v>
      </c>
      <c r="H6477" s="3">
        <v>230.274894187972</v>
      </c>
      <c r="I6477" s="3">
        <v>12.074094000000001</v>
      </c>
      <c r="J6477" s="3">
        <v>12.148168</v>
      </c>
      <c r="K6477" s="3">
        <v>11.777794999999999</v>
      </c>
      <c r="L6477" s="3">
        <v>230.274894187972</v>
      </c>
    </row>
    <row r="6478" spans="1:12" ht="15" customHeight="1" x14ac:dyDescent="0.2">
      <c r="A6478" s="2">
        <v>36647</v>
      </c>
      <c r="B6478" s="3">
        <v>12.055573000000001</v>
      </c>
      <c r="C6478" s="1">
        <v>568011.66</v>
      </c>
      <c r="D6478" s="3">
        <v>-7.4073999999999501E-2</v>
      </c>
      <c r="E6478" s="3">
        <v>-0.61068553767474798</v>
      </c>
      <c r="F6478" s="3">
        <v>-0.61068553767474798</v>
      </c>
      <c r="G6478" s="3">
        <v>12.055573000000001</v>
      </c>
      <c r="H6478" s="3">
        <v>235.95149397537</v>
      </c>
      <c r="I6478" s="3">
        <v>12.111129</v>
      </c>
      <c r="J6478" s="3">
        <v>12.296313</v>
      </c>
      <c r="K6478" s="3">
        <v>12.037053999999999</v>
      </c>
      <c r="L6478" s="3">
        <v>235.95149397537</v>
      </c>
    </row>
    <row r="6479" spans="1:12" ht="15" customHeight="1" x14ac:dyDescent="0.2">
      <c r="A6479" s="2">
        <v>36644</v>
      </c>
      <c r="B6479" s="3">
        <v>12.129647</v>
      </c>
      <c r="C6479" s="1">
        <v>1673997.5999999901</v>
      </c>
      <c r="D6479" s="3">
        <v>-0.24074199999999901</v>
      </c>
      <c r="E6479" s="3">
        <v>-1.9461150332459201</v>
      </c>
      <c r="F6479" s="3">
        <v>-1.9461150332459201</v>
      </c>
      <c r="G6479" s="3">
        <v>12.129647</v>
      </c>
      <c r="H6479" s="3">
        <v>238.015707013168</v>
      </c>
      <c r="I6479" s="3">
        <v>12.3518715</v>
      </c>
      <c r="J6479" s="3">
        <v>12.518535999999999</v>
      </c>
      <c r="K6479" s="3">
        <v>11.96298</v>
      </c>
      <c r="L6479" s="3">
        <v>238.015707013168</v>
      </c>
    </row>
    <row r="6480" spans="1:12" ht="15" customHeight="1" x14ac:dyDescent="0.2">
      <c r="A6480" s="2">
        <v>36643</v>
      </c>
      <c r="B6480" s="3">
        <v>12.370388999999999</v>
      </c>
      <c r="C6480" s="1">
        <v>1250098.3</v>
      </c>
      <c r="D6480" s="3">
        <v>-0.62963099999999905</v>
      </c>
      <c r="E6480" s="3">
        <v>-4.8433079333724098</v>
      </c>
      <c r="F6480" s="3">
        <v>-4.8433079333724098</v>
      </c>
      <c r="G6480" s="3">
        <v>12.370388999999999</v>
      </c>
      <c r="H6480" s="3">
        <v>244.72444118636901</v>
      </c>
      <c r="I6480" s="3">
        <v>12.777798000000001</v>
      </c>
      <c r="J6480" s="3">
        <v>12.851869000000001</v>
      </c>
      <c r="K6480" s="3">
        <v>11.833349999999999</v>
      </c>
      <c r="L6480" s="3">
        <v>244.72444118636901</v>
      </c>
    </row>
    <row r="6481" spans="1:12" ht="15" customHeight="1" x14ac:dyDescent="0.2">
      <c r="A6481" s="2">
        <v>36642</v>
      </c>
      <c r="B6481" s="3">
        <v>13.000019999999999</v>
      </c>
      <c r="C6481" s="1">
        <v>1914297.4</v>
      </c>
      <c r="D6481" s="3">
        <v>0.81481799999999804</v>
      </c>
      <c r="E6481" s="3">
        <v>6.6869470034226701</v>
      </c>
      <c r="F6481" s="3">
        <v>6.6869470034226701</v>
      </c>
      <c r="G6481" s="3">
        <v>13.000019999999999</v>
      </c>
      <c r="H6481" s="3">
        <v>262.27030774146402</v>
      </c>
      <c r="I6481" s="3">
        <v>12.296315</v>
      </c>
      <c r="J6481" s="3">
        <v>13.074093</v>
      </c>
      <c r="K6481" s="3">
        <v>12.296313</v>
      </c>
      <c r="L6481" s="3">
        <v>262.27030774146402</v>
      </c>
    </row>
    <row r="6482" spans="1:12" ht="15" customHeight="1" x14ac:dyDescent="0.2">
      <c r="A6482" s="2">
        <v>36641</v>
      </c>
      <c r="B6482" s="3">
        <v>12.185202</v>
      </c>
      <c r="C6482" s="1">
        <v>1250773.2</v>
      </c>
      <c r="D6482" s="3">
        <v>0.33333299999999899</v>
      </c>
      <c r="E6482" s="3">
        <v>2.8124931181740198</v>
      </c>
      <c r="F6482" s="3">
        <v>2.8124931181740198</v>
      </c>
      <c r="G6482" s="3">
        <v>12.185202</v>
      </c>
      <c r="H6482" s="3">
        <v>239.56385285806499</v>
      </c>
      <c r="I6482" s="3">
        <v>11.851869000000001</v>
      </c>
      <c r="J6482" s="3">
        <v>12.240758</v>
      </c>
      <c r="K6482" s="3">
        <v>11.796313</v>
      </c>
      <c r="L6482" s="3">
        <v>239.56385285806499</v>
      </c>
    </row>
    <row r="6483" spans="1:12" ht="15" customHeight="1" x14ac:dyDescent="0.2">
      <c r="A6483" s="2">
        <v>36640</v>
      </c>
      <c r="B6483" s="3">
        <v>11.851869000000001</v>
      </c>
      <c r="C6483" s="1">
        <v>201824.72</v>
      </c>
      <c r="D6483" s="3">
        <v>7.4074000000001305E-2</v>
      </c>
      <c r="E6483" s="3">
        <v>0.62892926901854096</v>
      </c>
      <c r="F6483" s="3">
        <v>0.62892926901854096</v>
      </c>
      <c r="G6483" s="3">
        <v>11.851869000000001</v>
      </c>
      <c r="H6483" s="3">
        <v>230.274894187972</v>
      </c>
      <c r="I6483" s="3">
        <v>11.685202</v>
      </c>
      <c r="J6483" s="3">
        <v>11.851869000000001</v>
      </c>
      <c r="K6483" s="3">
        <v>11.444461</v>
      </c>
      <c r="L6483" s="3">
        <v>230.274894187972</v>
      </c>
    </row>
    <row r="6484" spans="1:12" ht="15" customHeight="1" x14ac:dyDescent="0.2">
      <c r="A6484" s="2">
        <v>36636</v>
      </c>
      <c r="B6484" s="3">
        <v>11.777794999999999</v>
      </c>
      <c r="C6484" s="1">
        <v>344924.47</v>
      </c>
      <c r="D6484" s="3">
        <v>0.37037099999999801</v>
      </c>
      <c r="E6484" s="3">
        <v>3.24675404368242</v>
      </c>
      <c r="F6484" s="3">
        <v>3.24675404368242</v>
      </c>
      <c r="G6484" s="3">
        <v>11.777794999999999</v>
      </c>
      <c r="H6484" s="3">
        <v>228.210681150174</v>
      </c>
      <c r="I6484" s="3">
        <v>11.425941</v>
      </c>
      <c r="J6484" s="3">
        <v>11.888906499999999</v>
      </c>
      <c r="K6484" s="3">
        <v>11.425941</v>
      </c>
      <c r="L6484" s="3">
        <v>228.210681150174</v>
      </c>
    </row>
    <row r="6485" spans="1:12" ht="15" customHeight="1" x14ac:dyDescent="0.2">
      <c r="A6485" s="2">
        <v>36635</v>
      </c>
      <c r="B6485" s="3">
        <v>11.407424000000001</v>
      </c>
      <c r="C6485" s="1">
        <v>510299.35</v>
      </c>
      <c r="D6485" s="3">
        <v>0.12963</v>
      </c>
      <c r="E6485" s="3">
        <v>1.1494269180657199</v>
      </c>
      <c r="F6485" s="3">
        <v>1.1494269180657199</v>
      </c>
      <c r="G6485" s="3">
        <v>11.407424000000001</v>
      </c>
      <c r="H6485" s="3">
        <v>217.889588094277</v>
      </c>
      <c r="I6485" s="3">
        <v>11.277796</v>
      </c>
      <c r="J6485" s="3">
        <v>11.481498999999999</v>
      </c>
      <c r="K6485" s="3">
        <v>11.203720000000001</v>
      </c>
      <c r="L6485" s="3">
        <v>217.889588094277</v>
      </c>
    </row>
    <row r="6486" spans="1:12" ht="15" customHeight="1" x14ac:dyDescent="0.2">
      <c r="A6486" s="2">
        <v>36634</v>
      </c>
      <c r="B6486" s="3">
        <v>11.277794</v>
      </c>
      <c r="C6486" s="1">
        <v>290249.63</v>
      </c>
      <c r="D6486" s="3">
        <v>-7.4073000000000194E-2</v>
      </c>
      <c r="E6486" s="3">
        <v>-0.65251821572610502</v>
      </c>
      <c r="F6486" s="3">
        <v>-0.65251821572610502</v>
      </c>
      <c r="G6486" s="3">
        <v>11.277794</v>
      </c>
      <c r="H6486" s="3">
        <v>214.27720134467799</v>
      </c>
      <c r="I6486" s="3">
        <v>11.425941</v>
      </c>
      <c r="J6486" s="3">
        <v>11.444461</v>
      </c>
      <c r="K6486" s="3">
        <v>11.148167000000001</v>
      </c>
      <c r="L6486" s="3">
        <v>214.27720134467799</v>
      </c>
    </row>
    <row r="6487" spans="1:12" ht="15" customHeight="1" x14ac:dyDescent="0.2">
      <c r="A6487" s="2">
        <v>36633</v>
      </c>
      <c r="B6487" s="3">
        <v>11.351867</v>
      </c>
      <c r="C6487" s="1">
        <v>556199.16</v>
      </c>
      <c r="D6487" s="3">
        <v>0.48148299999999999</v>
      </c>
      <c r="E6487" s="3">
        <v>4.4293099489401699</v>
      </c>
      <c r="F6487" s="3">
        <v>4.4293099489401699</v>
      </c>
      <c r="G6487" s="3">
        <v>11.351867</v>
      </c>
      <c r="H6487" s="3">
        <v>216.34138651557299</v>
      </c>
      <c r="I6487" s="3">
        <v>10.851867</v>
      </c>
      <c r="J6487" s="3">
        <v>11.592608</v>
      </c>
      <c r="K6487" s="3">
        <v>10.814831</v>
      </c>
      <c r="L6487" s="3">
        <v>216.34138651557299</v>
      </c>
    </row>
    <row r="6488" spans="1:12" ht="15" customHeight="1" x14ac:dyDescent="0.2">
      <c r="A6488" s="2">
        <v>36630</v>
      </c>
      <c r="B6488" s="3">
        <v>10.870384</v>
      </c>
      <c r="C6488" s="1">
        <v>398924.44</v>
      </c>
      <c r="D6488" s="3">
        <v>-0.203706999999999</v>
      </c>
      <c r="E6488" s="3">
        <v>-1.8394918372984199</v>
      </c>
      <c r="F6488" s="3">
        <v>-1.8394918372984199</v>
      </c>
      <c r="G6488" s="3">
        <v>10.870384</v>
      </c>
      <c r="H6488" s="3">
        <v>202.92394603607499</v>
      </c>
      <c r="I6488" s="3">
        <v>10.925941</v>
      </c>
      <c r="J6488" s="3">
        <v>11.092608</v>
      </c>
      <c r="K6488" s="3">
        <v>10.592608</v>
      </c>
      <c r="L6488" s="3">
        <v>202.92394603607499</v>
      </c>
    </row>
    <row r="6489" spans="1:12" ht="15" customHeight="1" x14ac:dyDescent="0.2">
      <c r="A6489" s="2">
        <v>36629</v>
      </c>
      <c r="B6489" s="3">
        <v>11.074090999999999</v>
      </c>
      <c r="C6489" s="1">
        <v>250762.15</v>
      </c>
      <c r="D6489" s="3">
        <v>-0.55555500000000002</v>
      </c>
      <c r="E6489" s="3">
        <v>-4.7770585622296604</v>
      </c>
      <c r="F6489" s="3">
        <v>-4.7770585622296604</v>
      </c>
      <c r="G6489" s="3">
        <v>11.074090999999999</v>
      </c>
      <c r="H6489" s="3">
        <v>208.60062942418401</v>
      </c>
      <c r="I6489" s="3">
        <v>11.648167000000001</v>
      </c>
      <c r="J6489" s="3">
        <v>11.648166</v>
      </c>
      <c r="K6489" s="3">
        <v>10.912051</v>
      </c>
      <c r="L6489" s="3">
        <v>208.60062942418401</v>
      </c>
    </row>
    <row r="6490" spans="1:12" ht="15" customHeight="1" x14ac:dyDescent="0.2">
      <c r="A6490" s="2">
        <v>36628</v>
      </c>
      <c r="B6490" s="3">
        <v>11.629645999999999</v>
      </c>
      <c r="C6490" s="1">
        <v>347624.48</v>
      </c>
      <c r="D6490" s="3">
        <v>-0.222223000000001</v>
      </c>
      <c r="E6490" s="3">
        <v>-1.8750038496038099</v>
      </c>
      <c r="F6490" s="3">
        <v>-1.8750038496038099</v>
      </c>
      <c r="G6490" s="3">
        <v>11.629645999999999</v>
      </c>
      <c r="H6490" s="3">
        <v>224.08222720767299</v>
      </c>
      <c r="I6490" s="3">
        <v>11.888906499999999</v>
      </c>
      <c r="J6490" s="3">
        <v>11.925941999999999</v>
      </c>
      <c r="K6490" s="3">
        <v>11.629645999999999</v>
      </c>
      <c r="L6490" s="3">
        <v>224.08222720767299</v>
      </c>
    </row>
    <row r="6491" spans="1:12" ht="15" customHeight="1" x14ac:dyDescent="0.2">
      <c r="A6491" s="2">
        <v>36627</v>
      </c>
      <c r="B6491" s="3">
        <v>11.851869000000001</v>
      </c>
      <c r="C6491" s="1">
        <v>1088098.5</v>
      </c>
      <c r="D6491" s="3">
        <v>0.62963000000000002</v>
      </c>
      <c r="E6491" s="3">
        <v>5.6105559683767101</v>
      </c>
      <c r="F6491" s="3">
        <v>5.6105559683767101</v>
      </c>
      <c r="G6491" s="3">
        <v>11.851869000000001</v>
      </c>
      <c r="H6491" s="3">
        <v>230.274894187972</v>
      </c>
      <c r="I6491" s="3">
        <v>11.259275000000001</v>
      </c>
      <c r="J6491" s="3">
        <v>12.148168</v>
      </c>
      <c r="K6491" s="3">
        <v>10.962978</v>
      </c>
      <c r="L6491" s="3">
        <v>230.274894187972</v>
      </c>
    </row>
    <row r="6492" spans="1:12" ht="15" customHeight="1" x14ac:dyDescent="0.2">
      <c r="A6492" s="2">
        <v>36626</v>
      </c>
      <c r="B6492" s="3">
        <v>11.222239</v>
      </c>
      <c r="C6492" s="1">
        <v>201149.72</v>
      </c>
      <c r="D6492" s="3">
        <v>-1.8518000000000201E-2</v>
      </c>
      <c r="E6492" s="3">
        <v>-0.16473979465974001</v>
      </c>
      <c r="F6492" s="3">
        <v>-0.16473979465974001</v>
      </c>
      <c r="G6492" s="3">
        <v>11.222239</v>
      </c>
      <c r="H6492" s="3">
        <v>212.729055499781</v>
      </c>
      <c r="I6492" s="3">
        <v>11.296313</v>
      </c>
      <c r="J6492" s="3">
        <v>11.611128000000001</v>
      </c>
      <c r="K6492" s="3">
        <v>11.222239</v>
      </c>
      <c r="L6492" s="3">
        <v>212.729055499781</v>
      </c>
    </row>
    <row r="6493" spans="1:12" ht="15" customHeight="1" x14ac:dyDescent="0.2">
      <c r="A6493" s="2">
        <v>36623</v>
      </c>
      <c r="B6493" s="3">
        <v>11.240757</v>
      </c>
      <c r="C6493" s="1">
        <v>233212.16999999899</v>
      </c>
      <c r="D6493" s="3">
        <v>-0.129629999999998</v>
      </c>
      <c r="E6493" s="3">
        <v>-1.1400667365147601</v>
      </c>
      <c r="F6493" s="3">
        <v>-1.1400667365147601</v>
      </c>
      <c r="G6493" s="3">
        <v>11.240757</v>
      </c>
      <c r="H6493" s="3">
        <v>213.24509482577901</v>
      </c>
      <c r="I6493" s="3">
        <v>11.407424000000001</v>
      </c>
      <c r="J6493" s="3">
        <v>11.407424000000001</v>
      </c>
      <c r="K6493" s="3">
        <v>10.962978</v>
      </c>
      <c r="L6493" s="3">
        <v>213.24509482577901</v>
      </c>
    </row>
    <row r="6494" spans="1:12" ht="15" customHeight="1" x14ac:dyDescent="0.2">
      <c r="A6494" s="2">
        <v>36622</v>
      </c>
      <c r="B6494" s="3">
        <v>11.370386999999999</v>
      </c>
      <c r="C6494" s="1">
        <v>507261.84</v>
      </c>
      <c r="D6494" s="3">
        <v>0.111111999999998</v>
      </c>
      <c r="E6494" s="3">
        <v>0.98684862035964804</v>
      </c>
      <c r="F6494" s="3">
        <v>0.98684862035964804</v>
      </c>
      <c r="G6494" s="3">
        <v>11.370386999999999</v>
      </c>
      <c r="H6494" s="3">
        <v>216.85748157537799</v>
      </c>
      <c r="I6494" s="3">
        <v>11.277796</v>
      </c>
      <c r="J6494" s="3">
        <v>11.481498999999999</v>
      </c>
      <c r="K6494" s="3">
        <v>11.259275000000001</v>
      </c>
      <c r="L6494" s="3">
        <v>216.85748157537799</v>
      </c>
    </row>
    <row r="6495" spans="1:12" ht="15" customHeight="1" x14ac:dyDescent="0.2">
      <c r="A6495" s="2">
        <v>36621</v>
      </c>
      <c r="B6495" s="3">
        <v>11.259275000000001</v>
      </c>
      <c r="C6495" s="1">
        <v>1132985.79999999</v>
      </c>
      <c r="D6495" s="3">
        <v>-0.94444700000000004</v>
      </c>
      <c r="E6495" s="3">
        <v>-7.7390078207287898</v>
      </c>
      <c r="F6495" s="3">
        <v>-7.7390078207287898</v>
      </c>
      <c r="G6495" s="3">
        <v>11.259275000000001</v>
      </c>
      <c r="H6495" s="3">
        <v>213.76113415177599</v>
      </c>
      <c r="I6495" s="3">
        <v>11.925941999999999</v>
      </c>
      <c r="J6495" s="3">
        <v>11.925941999999999</v>
      </c>
      <c r="K6495" s="3">
        <v>11.018534000000001</v>
      </c>
      <c r="L6495" s="3">
        <v>213.76113415177599</v>
      </c>
    </row>
    <row r="6496" spans="1:12" ht="15" customHeight="1" x14ac:dyDescent="0.2">
      <c r="A6496" s="2">
        <v>36620</v>
      </c>
      <c r="B6496" s="3">
        <v>12.203722000000001</v>
      </c>
      <c r="C6496" s="1">
        <v>1625735</v>
      </c>
      <c r="D6496" s="3">
        <v>-1.1296299999999899</v>
      </c>
      <c r="E6496" s="3">
        <v>-8.4722131389015907</v>
      </c>
      <c r="F6496" s="3">
        <v>-8.4722131389015907</v>
      </c>
      <c r="G6496" s="3">
        <v>12.203722000000001</v>
      </c>
      <c r="H6496" s="3">
        <v>240.07994791787101</v>
      </c>
      <c r="I6496" s="3">
        <v>13.092612000000001</v>
      </c>
      <c r="J6496" s="3">
        <v>13.092612000000001</v>
      </c>
      <c r="K6496" s="3">
        <v>11.597239500000001</v>
      </c>
      <c r="L6496" s="3">
        <v>240.07994791787101</v>
      </c>
    </row>
    <row r="6497" spans="1:12" ht="15" customHeight="1" x14ac:dyDescent="0.2">
      <c r="A6497" s="2">
        <v>36619</v>
      </c>
      <c r="B6497" s="3">
        <v>13.333352</v>
      </c>
      <c r="C6497" s="1">
        <v>2539346.4</v>
      </c>
      <c r="D6497" s="3">
        <v>1.0000009999999899</v>
      </c>
      <c r="E6497" s="3">
        <v>8.1081046019042091</v>
      </c>
      <c r="F6497" s="3">
        <v>8.1081046019042091</v>
      </c>
      <c r="G6497" s="3">
        <v>13.333352</v>
      </c>
      <c r="H6497" s="3">
        <v>271.55923854465402</v>
      </c>
      <c r="I6497" s="3">
        <v>12.259276</v>
      </c>
      <c r="J6497" s="3">
        <v>13.388908000000001</v>
      </c>
      <c r="K6497" s="3">
        <v>11.925941999999999</v>
      </c>
      <c r="L6497" s="3">
        <v>271.55923854465402</v>
      </c>
    </row>
    <row r="6498" spans="1:12" ht="15" customHeight="1" x14ac:dyDescent="0.2">
      <c r="A6498" s="2">
        <v>36616</v>
      </c>
      <c r="B6498" s="3">
        <v>12.333351</v>
      </c>
      <c r="C6498" s="1">
        <v>2574783.7000000002</v>
      </c>
      <c r="D6498" s="3">
        <v>0.777779</v>
      </c>
      <c r="E6498" s="3">
        <v>6.7307702292885097</v>
      </c>
      <c r="F6498" s="3">
        <v>6.7307702292885097</v>
      </c>
      <c r="G6498" s="3">
        <v>12.333351</v>
      </c>
      <c r="H6498" s="3">
        <v>243.692306800566</v>
      </c>
      <c r="I6498" s="3">
        <v>11.555572</v>
      </c>
      <c r="J6498" s="3">
        <v>12.925945</v>
      </c>
      <c r="K6498" s="3">
        <v>11.555572</v>
      </c>
      <c r="L6498" s="3">
        <v>243.692306800566</v>
      </c>
    </row>
    <row r="6499" spans="1:12" ht="15" customHeight="1" x14ac:dyDescent="0.2">
      <c r="A6499" s="2">
        <v>36615</v>
      </c>
      <c r="B6499" s="3">
        <v>11.555572</v>
      </c>
      <c r="C6499" s="1">
        <v>1148173.5</v>
      </c>
      <c r="D6499" s="3">
        <v>0.777778999999998</v>
      </c>
      <c r="E6499" s="3">
        <v>7.2164959931963502</v>
      </c>
      <c r="F6499" s="3">
        <v>7.2164959931963502</v>
      </c>
      <c r="G6499" s="3">
        <v>11.555572</v>
      </c>
      <c r="H6499" s="3">
        <v>222.01801416987399</v>
      </c>
      <c r="I6499" s="3">
        <v>10.555571</v>
      </c>
      <c r="J6499" s="3">
        <v>11.703721</v>
      </c>
      <c r="K6499" s="3">
        <v>10.518534000000001</v>
      </c>
      <c r="L6499" s="3">
        <v>222.01801416987399</v>
      </c>
    </row>
    <row r="6500" spans="1:12" ht="15" customHeight="1" x14ac:dyDescent="0.2">
      <c r="A6500" s="2">
        <v>36614</v>
      </c>
      <c r="B6500" s="3">
        <v>10.777793000000001</v>
      </c>
      <c r="C6500" s="1">
        <v>340874.5</v>
      </c>
      <c r="D6500" s="3">
        <v>0.703704</v>
      </c>
      <c r="E6500" s="3">
        <v>6.9852867092994702</v>
      </c>
      <c r="F6500" s="3">
        <v>6.9852867092994702</v>
      </c>
      <c r="G6500" s="3">
        <v>10.777793000000001</v>
      </c>
      <c r="H6500" s="3">
        <v>200.34372153918201</v>
      </c>
      <c r="I6500" s="3">
        <v>10.166681000000001</v>
      </c>
      <c r="J6500" s="3">
        <v>10.814831</v>
      </c>
      <c r="K6500" s="3">
        <v>10.166681000000001</v>
      </c>
      <c r="L6500" s="3">
        <v>200.34372153918201</v>
      </c>
    </row>
    <row r="6501" spans="1:12" ht="15" customHeight="1" x14ac:dyDescent="0.2">
      <c r="A6501" s="2">
        <v>36613</v>
      </c>
      <c r="B6501" s="3">
        <v>10.074089000000001</v>
      </c>
      <c r="C6501" s="1">
        <v>1215673.2</v>
      </c>
      <c r="D6501" s="3">
        <v>3.7036000000000499E-2</v>
      </c>
      <c r="E6501" s="3">
        <v>0.36899277108530798</v>
      </c>
      <c r="F6501" s="3">
        <v>0.36899277108530798</v>
      </c>
      <c r="G6501" s="3">
        <v>10.074089000000001</v>
      </c>
      <c r="H6501" s="3">
        <v>180.73366981319299</v>
      </c>
      <c r="I6501" s="3">
        <v>10.037053</v>
      </c>
      <c r="J6501" s="3">
        <v>10.925941</v>
      </c>
      <c r="K6501" s="3">
        <v>10.037053</v>
      </c>
      <c r="L6501" s="3">
        <v>180.73366981319299</v>
      </c>
    </row>
    <row r="6502" spans="1:12" ht="15" customHeight="1" x14ac:dyDescent="0.2">
      <c r="A6502" s="2">
        <v>36612</v>
      </c>
      <c r="B6502" s="3">
        <v>10.037053</v>
      </c>
      <c r="C6502" s="1">
        <v>835311.299999999</v>
      </c>
      <c r="D6502" s="3">
        <v>0.25926100000000002</v>
      </c>
      <c r="E6502" s="3">
        <v>2.6515290977758599</v>
      </c>
      <c r="F6502" s="3">
        <v>2.6515290977758599</v>
      </c>
      <c r="G6502" s="3">
        <v>10.037053</v>
      </c>
      <c r="H6502" s="3">
        <v>179.701591161197</v>
      </c>
      <c r="I6502" s="3">
        <v>9.7777930000000008</v>
      </c>
      <c r="J6502" s="3">
        <v>10.111127</v>
      </c>
      <c r="K6502" s="3">
        <v>9.7777919999999998</v>
      </c>
      <c r="L6502" s="3">
        <v>179.701591161197</v>
      </c>
    </row>
    <row r="6503" spans="1:12" ht="15" customHeight="1" x14ac:dyDescent="0.2">
      <c r="A6503" s="2">
        <v>36609</v>
      </c>
      <c r="B6503" s="3">
        <v>9.7777919999999998</v>
      </c>
      <c r="C6503" s="1">
        <v>906861.27</v>
      </c>
      <c r="D6503" s="3">
        <v>-3.7036999999999702E-2</v>
      </c>
      <c r="E6503" s="3">
        <v>-0.37735756781905799</v>
      </c>
      <c r="F6503" s="3">
        <v>-0.37735756781905799</v>
      </c>
      <c r="G6503" s="3">
        <v>9.7777919999999998</v>
      </c>
      <c r="H6503" s="3">
        <v>172.47678979509499</v>
      </c>
      <c r="I6503" s="3">
        <v>9.7963100000000001</v>
      </c>
      <c r="J6503" s="3">
        <v>9.9259400000000007</v>
      </c>
      <c r="K6503" s="3">
        <v>9.4814950000000007</v>
      </c>
      <c r="L6503" s="3">
        <v>172.47678979509499</v>
      </c>
    </row>
    <row r="6504" spans="1:12" ht="15" customHeight="1" x14ac:dyDescent="0.2">
      <c r="A6504" s="2">
        <v>36608</v>
      </c>
      <c r="B6504" s="3">
        <v>9.8148289999999996</v>
      </c>
      <c r="C6504" s="1">
        <v>438411.87</v>
      </c>
      <c r="D6504" s="3">
        <v>0.203702999999999</v>
      </c>
      <c r="E6504" s="3">
        <v>2.1194498958810799</v>
      </c>
      <c r="F6504" s="3">
        <v>2.1194498958810799</v>
      </c>
      <c r="G6504" s="3">
        <v>9.8148289999999996</v>
      </c>
      <c r="H6504" s="3">
        <v>173.508896313994</v>
      </c>
      <c r="I6504" s="3">
        <v>9.5555690000000002</v>
      </c>
      <c r="J6504" s="3">
        <v>9.9259400000000007</v>
      </c>
      <c r="K6504" s="3">
        <v>9.5555690000000002</v>
      </c>
      <c r="L6504" s="3">
        <v>173.508896313994</v>
      </c>
    </row>
    <row r="6505" spans="1:12" ht="15" customHeight="1" x14ac:dyDescent="0.2">
      <c r="A6505" s="2">
        <v>36607</v>
      </c>
      <c r="B6505" s="3">
        <v>9.6111260000000005</v>
      </c>
      <c r="C6505" s="1">
        <v>1678722.5</v>
      </c>
      <c r="D6505" s="3">
        <v>-0.52777599999999902</v>
      </c>
      <c r="E6505" s="3">
        <v>-5.20545518637027</v>
      </c>
      <c r="F6505" s="3">
        <v>-5.20545518637027</v>
      </c>
      <c r="G6505" s="3">
        <v>9.6111260000000005</v>
      </c>
      <c r="H6505" s="3">
        <v>167.83232439349999</v>
      </c>
      <c r="I6505" s="3">
        <v>10.111127</v>
      </c>
      <c r="J6505" s="3">
        <v>10.29631</v>
      </c>
      <c r="K6505" s="3">
        <v>9.3009400000000007</v>
      </c>
      <c r="L6505" s="3">
        <v>167.83232439349999</v>
      </c>
    </row>
    <row r="6506" spans="1:12" ht="15" customHeight="1" x14ac:dyDescent="0.2">
      <c r="A6506" s="2">
        <v>36606</v>
      </c>
      <c r="B6506" s="3">
        <v>10.138902</v>
      </c>
      <c r="C6506" s="1">
        <v>341887</v>
      </c>
      <c r="D6506" s="3">
        <v>0.37962800000000002</v>
      </c>
      <c r="E6506" s="3">
        <v>3.8899205002339299</v>
      </c>
      <c r="F6506" s="3">
        <v>3.8899205002339299</v>
      </c>
      <c r="G6506" s="3">
        <v>10.138902</v>
      </c>
      <c r="H6506" s="3">
        <v>182.539807454184</v>
      </c>
      <c r="I6506" s="3">
        <v>9.7407559999999993</v>
      </c>
      <c r="J6506" s="3">
        <v>10.222235</v>
      </c>
      <c r="K6506" s="3">
        <v>9.7037180000000003</v>
      </c>
      <c r="L6506" s="3">
        <v>182.539807454184</v>
      </c>
    </row>
    <row r="6507" spans="1:12" ht="15" customHeight="1" x14ac:dyDescent="0.2">
      <c r="A6507" s="2">
        <v>36605</v>
      </c>
      <c r="B6507" s="3">
        <v>9.7592739999999996</v>
      </c>
      <c r="C6507" s="1">
        <v>331087.03999999998</v>
      </c>
      <c r="D6507" s="3">
        <v>-9.2591999999999702E-2</v>
      </c>
      <c r="E6507" s="3">
        <v>-0.93984225932427501</v>
      </c>
      <c r="F6507" s="3">
        <v>-0.93984225932427501</v>
      </c>
      <c r="G6507" s="3">
        <v>9.7592739999999996</v>
      </c>
      <c r="H6507" s="3">
        <v>171.96075046909701</v>
      </c>
      <c r="I6507" s="3">
        <v>9.8889040000000001</v>
      </c>
      <c r="J6507" s="3">
        <v>9.8889019999999999</v>
      </c>
      <c r="K6507" s="3">
        <v>9.7407559999999993</v>
      </c>
      <c r="L6507" s="3">
        <v>171.96075046909701</v>
      </c>
    </row>
    <row r="6508" spans="1:12" ht="15" customHeight="1" x14ac:dyDescent="0.2">
      <c r="A6508" s="2">
        <v>36602</v>
      </c>
      <c r="B6508" s="3">
        <v>9.8518659999999993</v>
      </c>
      <c r="C6508" s="1">
        <v>428961.88</v>
      </c>
      <c r="D6508" s="3">
        <v>-5.5555E-2</v>
      </c>
      <c r="E6508" s="3">
        <v>-0.56074128675868096</v>
      </c>
      <c r="F6508" s="3">
        <v>-0.56074128675868096</v>
      </c>
      <c r="G6508" s="3">
        <v>9.8518659999999993</v>
      </c>
      <c r="H6508" s="3">
        <v>174.54100283289301</v>
      </c>
      <c r="I6508" s="3">
        <v>9.7592739999999996</v>
      </c>
      <c r="J6508" s="3">
        <v>10.074089000000001</v>
      </c>
      <c r="K6508" s="3">
        <v>9.7037180000000003</v>
      </c>
      <c r="L6508" s="3">
        <v>174.54100283289301</v>
      </c>
    </row>
    <row r="6509" spans="1:12" ht="15" customHeight="1" x14ac:dyDescent="0.2">
      <c r="A6509" s="2">
        <v>36601</v>
      </c>
      <c r="B6509" s="3">
        <v>9.9074209999999994</v>
      </c>
      <c r="C6509" s="1">
        <v>1038823.4</v>
      </c>
      <c r="D6509" s="3">
        <v>0.72222199999999803</v>
      </c>
      <c r="E6509" s="3">
        <v>7.8628889804129098</v>
      </c>
      <c r="F6509" s="3">
        <v>7.8628889804129098</v>
      </c>
      <c r="G6509" s="3">
        <v>9.9074209999999994</v>
      </c>
      <c r="H6509" s="3">
        <v>176.08914867779001</v>
      </c>
      <c r="I6509" s="3">
        <v>9.1666799999999995</v>
      </c>
      <c r="J6509" s="3">
        <v>9.9074209999999994</v>
      </c>
      <c r="K6509" s="3">
        <v>9.0740859999999994</v>
      </c>
      <c r="L6509" s="3">
        <v>176.08914867779001</v>
      </c>
    </row>
    <row r="6510" spans="1:12" ht="15" customHeight="1" x14ac:dyDescent="0.2">
      <c r="A6510" s="2">
        <v>36600</v>
      </c>
      <c r="B6510" s="3">
        <v>9.1851990000000008</v>
      </c>
      <c r="C6510" s="1">
        <v>588936.77</v>
      </c>
      <c r="D6510" s="3">
        <v>0.222224</v>
      </c>
      <c r="E6510" s="3">
        <v>2.47935534797318</v>
      </c>
      <c r="F6510" s="3">
        <v>2.47935534797318</v>
      </c>
      <c r="G6510" s="3">
        <v>9.1851990000000008</v>
      </c>
      <c r="H6510" s="3">
        <v>155.963057625803</v>
      </c>
      <c r="I6510" s="3">
        <v>9.0740879999999997</v>
      </c>
      <c r="J6510" s="3">
        <v>9.1851990000000008</v>
      </c>
      <c r="K6510" s="3">
        <v>8.7777899999999995</v>
      </c>
      <c r="L6510" s="3">
        <v>155.963057625803</v>
      </c>
    </row>
    <row r="6511" spans="1:12" ht="15" customHeight="1" x14ac:dyDescent="0.2">
      <c r="A6511" s="2">
        <v>36599</v>
      </c>
      <c r="B6511" s="3">
        <v>8.9629750000000001</v>
      </c>
      <c r="C6511" s="1">
        <v>337499.5</v>
      </c>
      <c r="D6511" s="3">
        <v>-9.2593999999999996E-2</v>
      </c>
      <c r="E6511" s="3">
        <v>-1.02250891136713</v>
      </c>
      <c r="F6511" s="3">
        <v>-1.02250891136713</v>
      </c>
      <c r="G6511" s="3">
        <v>8.9629750000000001</v>
      </c>
      <c r="H6511" s="3">
        <v>149.7703627786</v>
      </c>
      <c r="I6511" s="3">
        <v>9.0370509999999999</v>
      </c>
      <c r="J6511" s="3">
        <v>9.1481619999999992</v>
      </c>
      <c r="K6511" s="3">
        <v>8.9629750000000001</v>
      </c>
      <c r="L6511" s="3">
        <v>149.7703627786</v>
      </c>
    </row>
    <row r="6512" spans="1:12" ht="15" customHeight="1" x14ac:dyDescent="0.2">
      <c r="A6512" s="2">
        <v>36598</v>
      </c>
      <c r="B6512" s="3">
        <v>9.0555690000000002</v>
      </c>
      <c r="C6512" s="1">
        <v>199799.71</v>
      </c>
      <c r="D6512" s="3">
        <v>-0.25925900000000002</v>
      </c>
      <c r="E6512" s="3">
        <v>-2.7832934757356802</v>
      </c>
      <c r="F6512" s="3">
        <v>-2.7832934757356802</v>
      </c>
      <c r="G6512" s="3">
        <v>9.0555690000000002</v>
      </c>
      <c r="H6512" s="3">
        <v>152.35067087620399</v>
      </c>
      <c r="I6512" s="3">
        <v>9.2314969999999992</v>
      </c>
      <c r="J6512" s="3">
        <v>9.2314950000000007</v>
      </c>
      <c r="K6512" s="3">
        <v>9.0185309999999994</v>
      </c>
      <c r="L6512" s="3">
        <v>152.35067087620399</v>
      </c>
    </row>
    <row r="6513" spans="1:12" ht="15" customHeight="1" x14ac:dyDescent="0.2">
      <c r="A6513" s="2">
        <v>36595</v>
      </c>
      <c r="B6513" s="3">
        <v>9.3148280000000003</v>
      </c>
      <c r="C6513" s="1">
        <v>658461.55000000005</v>
      </c>
      <c r="D6513" s="3">
        <v>-1.8516999999999201E-2</v>
      </c>
      <c r="E6513" s="3">
        <v>-0.19839618057619901</v>
      </c>
      <c r="F6513" s="3">
        <v>-0.19839618057619901</v>
      </c>
      <c r="G6513" s="3">
        <v>9.3148280000000003</v>
      </c>
      <c r="H6513" s="3">
        <v>159.57541650849799</v>
      </c>
      <c r="I6513" s="3">
        <v>9.2222380000000008</v>
      </c>
      <c r="J6513" s="3">
        <v>9.3889019999999999</v>
      </c>
      <c r="K6513" s="3">
        <v>9.2222360000000005</v>
      </c>
      <c r="L6513" s="3">
        <v>159.57541650849799</v>
      </c>
    </row>
    <row r="6514" spans="1:12" ht="15" customHeight="1" x14ac:dyDescent="0.2">
      <c r="A6514" s="2">
        <v>36594</v>
      </c>
      <c r="B6514" s="3">
        <v>9.3333449999999996</v>
      </c>
      <c r="C6514" s="1">
        <v>498486.8</v>
      </c>
      <c r="D6514" s="3">
        <v>0.25925900000000002</v>
      </c>
      <c r="E6514" s="3">
        <v>2.85713624490664</v>
      </c>
      <c r="F6514" s="3">
        <v>2.85713624490664</v>
      </c>
      <c r="G6514" s="3">
        <v>9.3333449999999996</v>
      </c>
      <c r="H6514" s="3">
        <v>160.09142796759201</v>
      </c>
      <c r="I6514" s="3">
        <v>9.0740879999999997</v>
      </c>
      <c r="J6514" s="3">
        <v>9.3333449999999996</v>
      </c>
      <c r="K6514" s="3">
        <v>9.0000119999999999</v>
      </c>
      <c r="L6514" s="3">
        <v>160.09142796759201</v>
      </c>
    </row>
    <row r="6515" spans="1:12" ht="15" customHeight="1" x14ac:dyDescent="0.2">
      <c r="A6515" s="2">
        <v>36593</v>
      </c>
      <c r="B6515" s="3">
        <v>9.0740859999999994</v>
      </c>
      <c r="C6515" s="1">
        <v>974023.6</v>
      </c>
      <c r="D6515" s="3">
        <v>0.277776999999998</v>
      </c>
      <c r="E6515" s="3">
        <v>3.1578813340913601</v>
      </c>
      <c r="F6515" s="3">
        <v>3.1578813340913601</v>
      </c>
      <c r="G6515" s="3">
        <v>9.0740859999999994</v>
      </c>
      <c r="H6515" s="3">
        <v>152.86668233529701</v>
      </c>
      <c r="I6515" s="3">
        <v>8.7963090000000008</v>
      </c>
      <c r="J6515" s="3">
        <v>9.1111249999999995</v>
      </c>
      <c r="K6515" s="3">
        <v>8.7963090000000008</v>
      </c>
      <c r="L6515" s="3">
        <v>152.86668233529701</v>
      </c>
    </row>
    <row r="6516" spans="1:12" ht="15" customHeight="1" x14ac:dyDescent="0.2">
      <c r="A6516" s="2">
        <v>36592</v>
      </c>
      <c r="B6516" s="3">
        <v>8.7963090000000008</v>
      </c>
      <c r="C6516" s="1">
        <v>438074.37</v>
      </c>
      <c r="D6516" s="3">
        <v>-0.35185299999999797</v>
      </c>
      <c r="E6516" s="3">
        <v>-3.8461605730200001</v>
      </c>
      <c r="F6516" s="3">
        <v>-3.8461605730200001</v>
      </c>
      <c r="G6516" s="3">
        <v>8.7963090000000008</v>
      </c>
      <c r="H6516" s="3">
        <v>145.125897377005</v>
      </c>
      <c r="I6516" s="3">
        <v>9.2037180000000003</v>
      </c>
      <c r="J6516" s="3">
        <v>9.2592730000000003</v>
      </c>
      <c r="K6516" s="3">
        <v>8.7963090000000008</v>
      </c>
      <c r="L6516" s="3">
        <v>145.125897377005</v>
      </c>
    </row>
    <row r="6517" spans="1:12" ht="15" customHeight="1" x14ac:dyDescent="0.2">
      <c r="A6517" s="2">
        <v>36591</v>
      </c>
      <c r="B6517" s="3">
        <v>9.1481619999999992</v>
      </c>
      <c r="C6517" s="1">
        <v>360449.45999999897</v>
      </c>
      <c r="D6517" s="3">
        <v>-0.12963</v>
      </c>
      <c r="E6517" s="3">
        <v>-1.39720743901136</v>
      </c>
      <c r="F6517" s="3">
        <v>-1.39720743901136</v>
      </c>
      <c r="G6517" s="3">
        <v>9.1481619999999992</v>
      </c>
      <c r="H6517" s="3">
        <v>154.93095110690399</v>
      </c>
      <c r="I6517" s="3">
        <v>9.2963090000000008</v>
      </c>
      <c r="J6517" s="3">
        <v>9.3703830000000004</v>
      </c>
      <c r="K6517" s="3">
        <v>8.9444569999999999</v>
      </c>
      <c r="L6517" s="3">
        <v>154.93095110690399</v>
      </c>
    </row>
    <row r="6518" spans="1:12" ht="15" customHeight="1" x14ac:dyDescent="0.2">
      <c r="A6518" s="2">
        <v>36588</v>
      </c>
      <c r="B6518" s="3">
        <v>9.2777919999999998</v>
      </c>
      <c r="C6518" s="1">
        <v>775911.44</v>
      </c>
      <c r="D6518" s="3">
        <v>0.70370600000000005</v>
      </c>
      <c r="E6518" s="3">
        <v>8.2073587785333508</v>
      </c>
      <c r="F6518" s="3">
        <v>8.2073587785333508</v>
      </c>
      <c r="G6518" s="3">
        <v>9.2777919999999998</v>
      </c>
      <c r="H6518" s="3">
        <v>158.543337856503</v>
      </c>
      <c r="I6518" s="3">
        <v>8.5185320000000004</v>
      </c>
      <c r="J6518" s="3">
        <v>9.3703830000000004</v>
      </c>
      <c r="K6518" s="3">
        <v>8.5185309999999994</v>
      </c>
      <c r="L6518" s="3">
        <v>158.543337856503</v>
      </c>
    </row>
    <row r="6519" spans="1:12" ht="15" customHeight="1" x14ac:dyDescent="0.2">
      <c r="A6519" s="2">
        <v>36587</v>
      </c>
      <c r="B6519" s="3">
        <v>8.5740859999999994</v>
      </c>
      <c r="C6519" s="1">
        <v>604461.55000000005</v>
      </c>
      <c r="D6519" s="3">
        <v>-0.27777800000000102</v>
      </c>
      <c r="E6519" s="3">
        <v>-3.1380735176229702</v>
      </c>
      <c r="F6519" s="3">
        <v>-3.1380735176229702</v>
      </c>
      <c r="G6519" s="3">
        <v>8.5740859999999994</v>
      </c>
      <c r="H6519" s="3">
        <v>138.933230396705</v>
      </c>
      <c r="I6519" s="3">
        <v>8.8518650000000001</v>
      </c>
      <c r="J6519" s="3">
        <v>8.9259389999999996</v>
      </c>
      <c r="K6519" s="3">
        <v>8.5185309999999994</v>
      </c>
      <c r="L6519" s="3">
        <v>138.933230396705</v>
      </c>
    </row>
    <row r="6520" spans="1:12" ht="15" customHeight="1" x14ac:dyDescent="0.2">
      <c r="A6520" s="2">
        <v>36586</v>
      </c>
      <c r="B6520" s="3">
        <v>8.8518640000000008</v>
      </c>
      <c r="C6520" s="1">
        <v>145124.82</v>
      </c>
      <c r="D6520" s="3">
        <v>3.7037000000001499E-2</v>
      </c>
      <c r="E6520" s="3">
        <v>0.42016706623966199</v>
      </c>
      <c r="F6520" s="3">
        <v>0.42016706623966199</v>
      </c>
      <c r="G6520" s="3">
        <v>8.8518640000000008</v>
      </c>
      <c r="H6520" s="3">
        <v>146.674043221902</v>
      </c>
      <c r="I6520" s="3">
        <v>8.7963090000000008</v>
      </c>
      <c r="J6520" s="3">
        <v>8.9629750000000001</v>
      </c>
      <c r="K6520" s="3">
        <v>8.7777899999999995</v>
      </c>
      <c r="L6520" s="3">
        <v>146.674043221902</v>
      </c>
    </row>
    <row r="6521" spans="1:12" ht="15" customHeight="1" x14ac:dyDescent="0.2">
      <c r="A6521" s="2">
        <v>36585</v>
      </c>
      <c r="B6521" s="3">
        <v>8.8148269999999993</v>
      </c>
      <c r="C6521" s="1">
        <v>367874.48</v>
      </c>
      <c r="D6521" s="3">
        <v>0.398147999999999</v>
      </c>
      <c r="E6521" s="3">
        <v>4.7304643553591497</v>
      </c>
      <c r="F6521" s="3">
        <v>4.7304643553591497</v>
      </c>
      <c r="G6521" s="3">
        <v>8.8148269999999993</v>
      </c>
      <c r="H6521" s="3">
        <v>145.64193670300301</v>
      </c>
      <c r="I6521" s="3">
        <v>8.3889010000000006</v>
      </c>
      <c r="J6521" s="3">
        <v>8.8333449999999996</v>
      </c>
      <c r="K6521" s="3">
        <v>8.3888999999999996</v>
      </c>
      <c r="L6521" s="3">
        <v>145.64193670300301</v>
      </c>
    </row>
    <row r="6522" spans="1:12" ht="15" customHeight="1" x14ac:dyDescent="0.2">
      <c r="A6522" s="2">
        <v>36584</v>
      </c>
      <c r="B6522" s="3">
        <v>8.4166790000000002</v>
      </c>
      <c r="C6522" s="1">
        <v>355386.95999999897</v>
      </c>
      <c r="D6522" s="3">
        <v>-0.26851899999999901</v>
      </c>
      <c r="E6522" s="3">
        <v>-3.0916854169588199</v>
      </c>
      <c r="F6522" s="3">
        <v>-3.0916854169588199</v>
      </c>
      <c r="G6522" s="3">
        <v>8.4166790000000002</v>
      </c>
      <c r="H6522" s="3">
        <v>134.54678465811</v>
      </c>
      <c r="I6522" s="3">
        <v>8.6852</v>
      </c>
      <c r="J6522" s="3">
        <v>8.6851979999999998</v>
      </c>
      <c r="K6522" s="3">
        <v>8.4074190000000009</v>
      </c>
      <c r="L6522" s="3">
        <v>134.54678465811</v>
      </c>
    </row>
    <row r="6523" spans="1:12" ht="15" customHeight="1" x14ac:dyDescent="0.2">
      <c r="A6523" s="2">
        <v>36581</v>
      </c>
      <c r="B6523" s="3">
        <v>8.6851979999999998</v>
      </c>
      <c r="C6523" s="1">
        <v>727986.45</v>
      </c>
      <c r="D6523" s="3">
        <v>0.111112</v>
      </c>
      <c r="E6523" s="3">
        <v>1.2959048929530099</v>
      </c>
      <c r="F6523" s="3">
        <v>1.2959048929530099</v>
      </c>
      <c r="G6523" s="3">
        <v>8.6851979999999998</v>
      </c>
      <c r="H6523" s="3">
        <v>142.029577820307</v>
      </c>
      <c r="I6523" s="3">
        <v>8.6111240000000002</v>
      </c>
      <c r="J6523" s="3">
        <v>8.703716</v>
      </c>
      <c r="K6523" s="3">
        <v>8.4444569999999999</v>
      </c>
      <c r="L6523" s="3">
        <v>142.029577820307</v>
      </c>
    </row>
    <row r="6524" spans="1:12" ht="15" customHeight="1" x14ac:dyDescent="0.2">
      <c r="A6524" s="2">
        <v>36580</v>
      </c>
      <c r="B6524" s="3">
        <v>8.5740859999999994</v>
      </c>
      <c r="C6524" s="1">
        <v>1094848.5</v>
      </c>
      <c r="D6524" s="3">
        <v>-0.33333300000000099</v>
      </c>
      <c r="E6524" s="3">
        <v>-3.74219512970032</v>
      </c>
      <c r="F6524" s="3">
        <v>-3.74219512970032</v>
      </c>
      <c r="G6524" s="3">
        <v>8.5740859999999994</v>
      </c>
      <c r="H6524" s="3">
        <v>138.933230396705</v>
      </c>
      <c r="I6524" s="3">
        <v>8.8148289999999996</v>
      </c>
      <c r="J6524" s="3">
        <v>9.0370509999999999</v>
      </c>
      <c r="K6524" s="3">
        <v>8.4814930000000004</v>
      </c>
      <c r="L6524" s="3">
        <v>138.933230396705</v>
      </c>
    </row>
    <row r="6525" spans="1:12" ht="15" customHeight="1" x14ac:dyDescent="0.2">
      <c r="A6525" s="2">
        <v>36579</v>
      </c>
      <c r="B6525" s="3">
        <v>8.9074190000000009</v>
      </c>
      <c r="C6525" s="1">
        <v>1322998.2</v>
      </c>
      <c r="D6525" s="3">
        <v>3.7036000000000499E-2</v>
      </c>
      <c r="E6525" s="3">
        <v>0.41752424895295998</v>
      </c>
      <c r="F6525" s="3">
        <v>0.41752424895295998</v>
      </c>
      <c r="G6525" s="3">
        <v>8.9074190000000009</v>
      </c>
      <c r="H6525" s="3">
        <v>148.22218906679899</v>
      </c>
      <c r="I6525" s="3">
        <v>8.8333469999999998</v>
      </c>
      <c r="J6525" s="3">
        <v>9.3148280000000003</v>
      </c>
      <c r="K6525" s="3">
        <v>8.7777899999999995</v>
      </c>
      <c r="L6525" s="3">
        <v>148.22218906679899</v>
      </c>
    </row>
    <row r="6526" spans="1:12" ht="15" customHeight="1" x14ac:dyDescent="0.2">
      <c r="A6526" s="2">
        <v>36578</v>
      </c>
      <c r="B6526" s="3">
        <v>8.8703830000000004</v>
      </c>
      <c r="C6526" s="1">
        <v>422549.38</v>
      </c>
      <c r="D6526" s="3">
        <v>9.25930000000008E-2</v>
      </c>
      <c r="E6526" s="3">
        <v>1.0548554932392</v>
      </c>
      <c r="F6526" s="3">
        <v>1.0548554932392</v>
      </c>
      <c r="G6526" s="3">
        <v>8.8703830000000004</v>
      </c>
      <c r="H6526" s="3">
        <v>147.190110414803</v>
      </c>
      <c r="I6526" s="3">
        <v>8.7407540000000008</v>
      </c>
      <c r="J6526" s="3">
        <v>8.9259389999999996</v>
      </c>
      <c r="K6526" s="3">
        <v>8.5185309999999994</v>
      </c>
      <c r="L6526" s="3">
        <v>147.190110414803</v>
      </c>
    </row>
    <row r="6527" spans="1:12" ht="15" customHeight="1" x14ac:dyDescent="0.2">
      <c r="A6527" s="2">
        <v>36574</v>
      </c>
      <c r="B6527" s="3">
        <v>8.7777899999999995</v>
      </c>
      <c r="C6527" s="1">
        <v>202837.19</v>
      </c>
      <c r="D6527" s="3">
        <v>0.111110999999999</v>
      </c>
      <c r="E6527" s="3">
        <v>1.28204817554682</v>
      </c>
      <c r="F6527" s="3">
        <v>1.28204817554682</v>
      </c>
      <c r="G6527" s="3">
        <v>8.7777899999999995</v>
      </c>
      <c r="H6527" s="3">
        <v>144.609830184103</v>
      </c>
      <c r="I6527" s="3">
        <v>8.6852</v>
      </c>
      <c r="J6527" s="3">
        <v>8.8518640000000008</v>
      </c>
      <c r="K6527" s="3">
        <v>8.6296420000000005</v>
      </c>
      <c r="L6527" s="3">
        <v>144.609830184103</v>
      </c>
    </row>
    <row r="6528" spans="1:12" ht="15" customHeight="1" x14ac:dyDescent="0.2">
      <c r="A6528" s="2">
        <v>36573</v>
      </c>
      <c r="B6528" s="3">
        <v>8.6666790000000002</v>
      </c>
      <c r="C6528" s="1">
        <v>575436.77</v>
      </c>
      <c r="D6528" s="3">
        <v>7.4073000000000194E-2</v>
      </c>
      <c r="E6528" s="3">
        <v>0.86205512041399501</v>
      </c>
      <c r="F6528" s="3">
        <v>0.86205512041399501</v>
      </c>
      <c r="G6528" s="3">
        <v>8.6666790000000002</v>
      </c>
      <c r="H6528" s="3">
        <v>141.51351062740599</v>
      </c>
      <c r="I6528" s="3">
        <v>8.6296429999999997</v>
      </c>
      <c r="J6528" s="3">
        <v>8.703716</v>
      </c>
      <c r="K6528" s="3">
        <v>8.5555679999999992</v>
      </c>
      <c r="L6528" s="3">
        <v>141.51351062740599</v>
      </c>
    </row>
    <row r="6529" spans="1:12" ht="15" customHeight="1" x14ac:dyDescent="0.2">
      <c r="A6529" s="2">
        <v>36572</v>
      </c>
      <c r="B6529" s="3">
        <v>8.592606</v>
      </c>
      <c r="C6529" s="1">
        <v>301049.53000000003</v>
      </c>
      <c r="D6529" s="3">
        <v>-0.25925799999999999</v>
      </c>
      <c r="E6529" s="3">
        <v>-2.9288520474331801</v>
      </c>
      <c r="F6529" s="3">
        <v>-2.9288520474331801</v>
      </c>
      <c r="G6529" s="3">
        <v>8.592606</v>
      </c>
      <c r="H6529" s="3">
        <v>139.44932545651099</v>
      </c>
      <c r="I6529" s="3">
        <v>8.8889019999999999</v>
      </c>
      <c r="J6529" s="3">
        <v>8.8889010000000006</v>
      </c>
      <c r="K6529" s="3">
        <v>8.5370500000000007</v>
      </c>
      <c r="L6529" s="3">
        <v>139.44932545651099</v>
      </c>
    </row>
    <row r="6530" spans="1:12" ht="15" customHeight="1" x14ac:dyDescent="0.2">
      <c r="A6530" s="2">
        <v>36571</v>
      </c>
      <c r="B6530" s="3">
        <v>8.8518640000000008</v>
      </c>
      <c r="C6530" s="1">
        <v>257849.67</v>
      </c>
      <c r="D6530" s="3">
        <v>0.33333300000000099</v>
      </c>
      <c r="E6530" s="3">
        <v>3.9130338317721902</v>
      </c>
      <c r="F6530" s="3">
        <v>3.9130338317721902</v>
      </c>
      <c r="G6530" s="3">
        <v>8.8518640000000008</v>
      </c>
      <c r="H6530" s="3">
        <v>146.674043221902</v>
      </c>
      <c r="I6530" s="3">
        <v>8.6481619999999992</v>
      </c>
      <c r="J6530" s="3">
        <v>8.9814950000000007</v>
      </c>
      <c r="K6530" s="3">
        <v>8.6203830000000004</v>
      </c>
      <c r="L6530" s="3">
        <v>146.674043221902</v>
      </c>
    </row>
    <row r="6531" spans="1:12" ht="15" customHeight="1" x14ac:dyDescent="0.2">
      <c r="A6531" s="2">
        <v>36570</v>
      </c>
      <c r="B6531" s="3">
        <v>8.5185309999999994</v>
      </c>
      <c r="C6531" s="1">
        <v>439761.87</v>
      </c>
      <c r="D6531" s="3">
        <v>-0.31481399999999998</v>
      </c>
      <c r="E6531" s="3">
        <v>-3.5639273683978101</v>
      </c>
      <c r="F6531" s="3">
        <v>-3.5639273683978101</v>
      </c>
      <c r="G6531" s="3">
        <v>8.5185309999999994</v>
      </c>
      <c r="H6531" s="3">
        <v>137.385084551809</v>
      </c>
      <c r="I6531" s="3">
        <v>8.8703830000000004</v>
      </c>
      <c r="J6531" s="3">
        <v>8.8889010000000006</v>
      </c>
      <c r="K6531" s="3">
        <v>8.4444569999999999</v>
      </c>
      <c r="L6531" s="3">
        <v>137.385084551809</v>
      </c>
    </row>
    <row r="6532" spans="1:12" ht="15" customHeight="1" x14ac:dyDescent="0.2">
      <c r="A6532" s="2">
        <v>36567</v>
      </c>
      <c r="B6532" s="3">
        <v>8.8333449999999996</v>
      </c>
      <c r="C6532" s="1">
        <v>1059073.5</v>
      </c>
      <c r="D6532" s="3">
        <v>-0.148150000000001</v>
      </c>
      <c r="E6532" s="3">
        <v>-1.64950267188258</v>
      </c>
      <c r="F6532" s="3">
        <v>-1.64950267188258</v>
      </c>
      <c r="G6532" s="3">
        <v>8.8333449999999996</v>
      </c>
      <c r="H6532" s="3">
        <v>146.157976029</v>
      </c>
      <c r="I6532" s="3">
        <v>8.9629759999999994</v>
      </c>
      <c r="J6532" s="3">
        <v>9.1481619999999992</v>
      </c>
      <c r="K6532" s="3">
        <v>8.7963090000000008</v>
      </c>
      <c r="L6532" s="3">
        <v>146.157976029</v>
      </c>
    </row>
    <row r="6533" spans="1:12" ht="15" customHeight="1" x14ac:dyDescent="0.2">
      <c r="A6533" s="2">
        <v>36566</v>
      </c>
      <c r="B6533" s="3">
        <v>8.9814950000000007</v>
      </c>
      <c r="C6533" s="1">
        <v>654411.56000000006</v>
      </c>
      <c r="D6533" s="3">
        <v>-0.27777799999999903</v>
      </c>
      <c r="E6533" s="3">
        <v>-2.9999979480030401</v>
      </c>
      <c r="F6533" s="3">
        <v>-2.9999979480030401</v>
      </c>
      <c r="G6533" s="3">
        <v>8.9814950000000007</v>
      </c>
      <c r="H6533" s="3">
        <v>150.286457838405</v>
      </c>
      <c r="I6533" s="3">
        <v>9.2407540000000008</v>
      </c>
      <c r="J6533" s="3">
        <v>9.2963090000000008</v>
      </c>
      <c r="K6533" s="3">
        <v>8.8889010000000006</v>
      </c>
      <c r="L6533" s="3">
        <v>150.286457838405</v>
      </c>
    </row>
    <row r="6534" spans="1:12" ht="15" customHeight="1" x14ac:dyDescent="0.2">
      <c r="A6534" s="2">
        <v>36565</v>
      </c>
      <c r="B6534" s="3">
        <v>9.2592730000000003</v>
      </c>
      <c r="C6534" s="1">
        <v>957148.7</v>
      </c>
      <c r="D6534" s="3">
        <v>-0.38888999999999901</v>
      </c>
      <c r="E6534" s="3">
        <v>-4.0307154843880504</v>
      </c>
      <c r="F6534" s="3">
        <v>-4.0307154843880504</v>
      </c>
      <c r="G6534" s="3">
        <v>9.2592730000000003</v>
      </c>
      <c r="H6534" s="3">
        <v>158.027270663601</v>
      </c>
      <c r="I6534" s="3">
        <v>9.7407559999999993</v>
      </c>
      <c r="J6534" s="3">
        <v>9.8518659999999993</v>
      </c>
      <c r="K6534" s="3">
        <v>9.1851990000000008</v>
      </c>
      <c r="L6534" s="3">
        <v>158.027270663601</v>
      </c>
    </row>
    <row r="6535" spans="1:12" ht="15" customHeight="1" x14ac:dyDescent="0.2">
      <c r="A6535" s="2">
        <v>36564</v>
      </c>
      <c r="B6535" s="3">
        <v>9.6481630000000003</v>
      </c>
      <c r="C6535" s="1">
        <v>2915658.1999999899</v>
      </c>
      <c r="D6535" s="3">
        <v>0.59259399999999995</v>
      </c>
      <c r="E6535" s="3">
        <v>6.5439731064939002</v>
      </c>
      <c r="F6535" s="3">
        <v>6.5439731064939002</v>
      </c>
      <c r="G6535" s="3">
        <v>9.6481630000000003</v>
      </c>
      <c r="H6535" s="3">
        <v>168.864430912399</v>
      </c>
      <c r="I6535" s="3">
        <v>9.2963090000000008</v>
      </c>
      <c r="J6535" s="3">
        <v>9.7777919999999998</v>
      </c>
      <c r="K6535" s="3">
        <v>9.1851990000000008</v>
      </c>
      <c r="L6535" s="3">
        <v>168.864430912399</v>
      </c>
    </row>
    <row r="6536" spans="1:12" ht="15" customHeight="1" x14ac:dyDescent="0.2">
      <c r="A6536" s="2">
        <v>36563</v>
      </c>
      <c r="B6536" s="3">
        <v>9.0555690000000002</v>
      </c>
      <c r="C6536" s="1">
        <v>476549.35</v>
      </c>
      <c r="D6536" s="3">
        <v>-2.7777000000000301E-2</v>
      </c>
      <c r="E6536" s="3">
        <v>-0.30580140842373299</v>
      </c>
      <c r="F6536" s="3">
        <v>-0.30580140842373299</v>
      </c>
      <c r="G6536" s="3">
        <v>9.0555690000000002</v>
      </c>
      <c r="H6536" s="3">
        <v>152.35067087620399</v>
      </c>
      <c r="I6536" s="3">
        <v>9.0370509999999999</v>
      </c>
      <c r="J6536" s="3">
        <v>9.1111249999999995</v>
      </c>
      <c r="K6536" s="3">
        <v>8.8148269999999993</v>
      </c>
      <c r="L6536" s="3">
        <v>152.35067087620399</v>
      </c>
    </row>
    <row r="6537" spans="1:12" ht="15" customHeight="1" x14ac:dyDescent="0.2">
      <c r="A6537" s="2">
        <v>36560</v>
      </c>
      <c r="B6537" s="3">
        <v>9.0833460000000006</v>
      </c>
      <c r="C6537" s="1">
        <v>477899.35</v>
      </c>
      <c r="D6537" s="3">
        <v>0.175926999999999</v>
      </c>
      <c r="E6537" s="3">
        <v>1.97506146280981</v>
      </c>
      <c r="F6537" s="3">
        <v>1.97506146280981</v>
      </c>
      <c r="G6537" s="3">
        <v>9.0833460000000006</v>
      </c>
      <c r="H6537" s="3">
        <v>153.12472986520001</v>
      </c>
      <c r="I6537" s="3">
        <v>8.8518650000000001</v>
      </c>
      <c r="J6537" s="3">
        <v>9.1111249999999995</v>
      </c>
      <c r="K6537" s="3">
        <v>8.8333449999999996</v>
      </c>
      <c r="L6537" s="3">
        <v>153.12472986520001</v>
      </c>
    </row>
    <row r="6538" spans="1:12" ht="15" customHeight="1" x14ac:dyDescent="0.2">
      <c r="A6538" s="2">
        <v>36559</v>
      </c>
      <c r="B6538" s="3">
        <v>8.9074190000000009</v>
      </c>
      <c r="C6538" s="1">
        <v>164362.25999999899</v>
      </c>
      <c r="D6538" s="3">
        <v>9.2592000000001506E-2</v>
      </c>
      <c r="E6538" s="3">
        <v>1.05041199333806</v>
      </c>
      <c r="F6538" s="3">
        <v>1.05041199333806</v>
      </c>
      <c r="G6538" s="3">
        <v>8.9074190000000009</v>
      </c>
      <c r="H6538" s="3">
        <v>148.22218906679899</v>
      </c>
      <c r="I6538" s="3">
        <v>8.7592739999999996</v>
      </c>
      <c r="J6538" s="3">
        <v>8.9629750000000001</v>
      </c>
      <c r="K6538" s="3">
        <v>8.7592719999999993</v>
      </c>
      <c r="L6538" s="3">
        <v>148.22218906679899</v>
      </c>
    </row>
    <row r="6539" spans="1:12" ht="15" customHeight="1" x14ac:dyDescent="0.2">
      <c r="A6539" s="2">
        <v>36558</v>
      </c>
      <c r="B6539" s="3">
        <v>8.8148269999999993</v>
      </c>
      <c r="C6539" s="1">
        <v>322987.03000000003</v>
      </c>
      <c r="D6539" s="3">
        <v>0.148147999999999</v>
      </c>
      <c r="E6539" s="3">
        <v>1.70939756739576</v>
      </c>
      <c r="F6539" s="3">
        <v>1.70939756739576</v>
      </c>
      <c r="G6539" s="3">
        <v>8.8148269999999993</v>
      </c>
      <c r="H6539" s="3">
        <v>145.64193670300301</v>
      </c>
      <c r="I6539" s="3">
        <v>8.7314950000000007</v>
      </c>
      <c r="J6539" s="3">
        <v>8.9629750000000001</v>
      </c>
      <c r="K6539" s="3">
        <v>8.6666790000000002</v>
      </c>
      <c r="L6539" s="3">
        <v>145.64193670300301</v>
      </c>
    </row>
    <row r="6540" spans="1:12" ht="15" customHeight="1" x14ac:dyDescent="0.2">
      <c r="A6540" s="2">
        <v>36557</v>
      </c>
      <c r="B6540" s="3">
        <v>8.6666790000000002</v>
      </c>
      <c r="C6540" s="1">
        <v>251099.639999999</v>
      </c>
      <c r="D6540" s="3">
        <v>0.18518599999999899</v>
      </c>
      <c r="E6540" s="3">
        <v>2.1834127552778599</v>
      </c>
      <c r="F6540" s="3">
        <v>2.1834127552778599</v>
      </c>
      <c r="G6540" s="3">
        <v>8.6666790000000002</v>
      </c>
      <c r="H6540" s="3">
        <v>141.51351062740599</v>
      </c>
      <c r="I6540" s="3">
        <v>8.5555679999999992</v>
      </c>
      <c r="J6540" s="3">
        <v>8.9629750000000001</v>
      </c>
      <c r="K6540" s="3">
        <v>8.5092719999999993</v>
      </c>
      <c r="L6540" s="3">
        <v>141.51351062740599</v>
      </c>
    </row>
    <row r="6541" spans="1:12" ht="15" customHeight="1" x14ac:dyDescent="0.2">
      <c r="A6541" s="2">
        <v>36556</v>
      </c>
      <c r="B6541" s="3">
        <v>8.4814930000000004</v>
      </c>
      <c r="C6541" s="1">
        <v>718536.44</v>
      </c>
      <c r="D6541" s="3">
        <v>-0.37037100000000001</v>
      </c>
      <c r="E6541" s="3">
        <v>-4.1841017891824803</v>
      </c>
      <c r="F6541" s="3">
        <v>-4.1841017891824803</v>
      </c>
      <c r="G6541" s="3">
        <v>8.4814930000000004</v>
      </c>
      <c r="H6541" s="3">
        <v>136.352950166005</v>
      </c>
      <c r="I6541" s="3">
        <v>8.7963090000000008</v>
      </c>
      <c r="J6541" s="3">
        <v>8.8518640000000008</v>
      </c>
      <c r="K6541" s="3">
        <v>8.2222340000000003</v>
      </c>
      <c r="L6541" s="3">
        <v>136.352950166005</v>
      </c>
    </row>
    <row r="6542" spans="1:12" ht="15" customHeight="1" x14ac:dyDescent="0.2">
      <c r="A6542" s="2">
        <v>36553</v>
      </c>
      <c r="B6542" s="3">
        <v>8.8518640000000008</v>
      </c>
      <c r="C6542" s="1">
        <v>229162.19</v>
      </c>
      <c r="D6542" s="3">
        <v>-0.111110999999999</v>
      </c>
      <c r="E6542" s="3">
        <v>-1.23966651697677</v>
      </c>
      <c r="F6542" s="3">
        <v>-1.23966651697677</v>
      </c>
      <c r="G6542" s="3">
        <v>8.8518640000000008</v>
      </c>
      <c r="H6542" s="3">
        <v>146.674043221902</v>
      </c>
      <c r="I6542" s="3">
        <v>8.9629759999999994</v>
      </c>
      <c r="J6542" s="3">
        <v>9.0185309999999994</v>
      </c>
      <c r="K6542" s="3">
        <v>8.7407529999999998</v>
      </c>
      <c r="L6542" s="3">
        <v>146.674043221902</v>
      </c>
    </row>
    <row r="6543" spans="1:12" ht="15" customHeight="1" x14ac:dyDescent="0.2">
      <c r="A6543" s="2">
        <v>36552</v>
      </c>
      <c r="B6543" s="3">
        <v>8.9629750000000001</v>
      </c>
      <c r="C6543" s="1">
        <v>107662.34600000001</v>
      </c>
      <c r="D6543" s="3">
        <v>-7.4075999999999795E-2</v>
      </c>
      <c r="E6543" s="3">
        <v>-0.81969217613134804</v>
      </c>
      <c r="F6543" s="3">
        <v>-0.81969217613134804</v>
      </c>
      <c r="G6543" s="3">
        <v>8.9629750000000001</v>
      </c>
      <c r="H6543" s="3">
        <v>149.7703627786</v>
      </c>
      <c r="I6543" s="3">
        <v>9.0000119999999999</v>
      </c>
      <c r="J6543" s="3">
        <v>9.0370509999999999</v>
      </c>
      <c r="K6543" s="3">
        <v>8.9259389999999996</v>
      </c>
      <c r="L6543" s="3">
        <v>149.7703627786</v>
      </c>
    </row>
    <row r="6544" spans="1:12" ht="15" customHeight="1" x14ac:dyDescent="0.2">
      <c r="A6544" s="2">
        <v>36551</v>
      </c>
      <c r="B6544" s="3">
        <v>9.0370509999999999</v>
      </c>
      <c r="C6544" s="1">
        <v>861973.75</v>
      </c>
      <c r="D6544" s="3">
        <v>8.3334999999999895E-2</v>
      </c>
      <c r="E6544" s="3">
        <v>0.93073088313275698</v>
      </c>
      <c r="F6544" s="3">
        <v>0.93073088313275698</v>
      </c>
      <c r="G6544" s="3">
        <v>9.0370509999999999</v>
      </c>
      <c r="H6544" s="3">
        <v>151.83463155020601</v>
      </c>
      <c r="I6544" s="3">
        <v>8.9259389999999996</v>
      </c>
      <c r="J6544" s="3">
        <v>9.0370509999999999</v>
      </c>
      <c r="K6544" s="3">
        <v>8.8518640000000008</v>
      </c>
      <c r="L6544" s="3">
        <v>151.83463155020601</v>
      </c>
    </row>
    <row r="6545" spans="1:12" ht="15" customHeight="1" x14ac:dyDescent="0.2">
      <c r="A6545" s="2">
        <v>36550</v>
      </c>
      <c r="B6545" s="3">
        <v>8.953716</v>
      </c>
      <c r="C6545" s="1">
        <v>417824.37</v>
      </c>
      <c r="D6545" s="3">
        <v>-0.15740899999999899</v>
      </c>
      <c r="E6545" s="3">
        <v>-1.7276571224738899</v>
      </c>
      <c r="F6545" s="3">
        <v>-1.7276571224738899</v>
      </c>
      <c r="G6545" s="3">
        <v>8.953716</v>
      </c>
      <c r="H6545" s="3">
        <v>149.512343115601</v>
      </c>
      <c r="I6545" s="3">
        <v>9.1852</v>
      </c>
      <c r="J6545" s="3">
        <v>9.2222360000000005</v>
      </c>
      <c r="K6545" s="3">
        <v>8.8889010000000006</v>
      </c>
      <c r="L6545" s="3">
        <v>149.512343115601</v>
      </c>
    </row>
    <row r="6546" spans="1:12" ht="15" customHeight="1" x14ac:dyDescent="0.2">
      <c r="A6546" s="2">
        <v>36549</v>
      </c>
      <c r="B6546" s="3">
        <v>9.1111249999999995</v>
      </c>
      <c r="C6546" s="1">
        <v>461699.34</v>
      </c>
      <c r="D6546" s="3">
        <v>0.148149999999999</v>
      </c>
      <c r="E6546" s="3">
        <v>1.65291100332198</v>
      </c>
      <c r="F6546" s="3">
        <v>1.65291100332198</v>
      </c>
      <c r="G6546" s="3">
        <v>9.1111249999999995</v>
      </c>
      <c r="H6546" s="3">
        <v>153.89884458800401</v>
      </c>
      <c r="I6546" s="3">
        <v>9.0000119999999999</v>
      </c>
      <c r="J6546" s="3">
        <v>9.2222360000000005</v>
      </c>
      <c r="K6546" s="3">
        <v>8.9259389999999996</v>
      </c>
      <c r="L6546" s="3">
        <v>153.89884458800401</v>
      </c>
    </row>
    <row r="6547" spans="1:12" ht="15" customHeight="1" x14ac:dyDescent="0.2">
      <c r="A6547" s="2">
        <v>36546</v>
      </c>
      <c r="B6547" s="3">
        <v>8.9629750000000001</v>
      </c>
      <c r="C6547" s="1">
        <v>811348.75</v>
      </c>
      <c r="D6547" s="3">
        <v>9.2591999999999702E-2</v>
      </c>
      <c r="E6547" s="3">
        <v>1.04383316932312</v>
      </c>
      <c r="F6547" s="3">
        <v>1.04383316932312</v>
      </c>
      <c r="G6547" s="3">
        <v>8.9629750000000001</v>
      </c>
      <c r="H6547" s="3">
        <v>149.7703627786</v>
      </c>
      <c r="I6547" s="3">
        <v>8.8518650000000001</v>
      </c>
      <c r="J6547" s="3">
        <v>9.0000119999999999</v>
      </c>
      <c r="K6547" s="3">
        <v>8.8518640000000008</v>
      </c>
      <c r="L6547" s="3">
        <v>149.7703627786</v>
      </c>
    </row>
    <row r="6548" spans="1:12" ht="15" customHeight="1" x14ac:dyDescent="0.2">
      <c r="A6548" s="2">
        <v>36545</v>
      </c>
      <c r="B6548" s="3">
        <v>8.8703830000000004</v>
      </c>
      <c r="C6548" s="1">
        <v>332437</v>
      </c>
      <c r="D6548" s="3">
        <v>3.7038000000000702E-2</v>
      </c>
      <c r="E6548" s="3">
        <v>0.41929755941831898</v>
      </c>
      <c r="F6548" s="3">
        <v>0.41929755941831898</v>
      </c>
      <c r="G6548" s="3">
        <v>8.8703830000000004</v>
      </c>
      <c r="H6548" s="3">
        <v>147.190110414803</v>
      </c>
      <c r="I6548" s="3">
        <v>8.9629759999999994</v>
      </c>
      <c r="J6548" s="3">
        <v>8.9629750000000001</v>
      </c>
      <c r="K6548" s="3">
        <v>8.6666790000000002</v>
      </c>
      <c r="L6548" s="3">
        <v>147.190110414803</v>
      </c>
    </row>
    <row r="6549" spans="1:12" ht="15" customHeight="1" x14ac:dyDescent="0.2">
      <c r="A6549" s="2">
        <v>36544</v>
      </c>
      <c r="B6549" s="3">
        <v>8.8333449999999996</v>
      </c>
      <c r="C6549" s="1">
        <v>309487.06</v>
      </c>
      <c r="D6549" s="3">
        <v>-0.40740900000000102</v>
      </c>
      <c r="E6549" s="3">
        <v>-4.4088285436448196</v>
      </c>
      <c r="F6549" s="3">
        <v>-4.4088285436448196</v>
      </c>
      <c r="G6549" s="3">
        <v>8.8333449999999996</v>
      </c>
      <c r="H6549" s="3">
        <v>146.157976029</v>
      </c>
      <c r="I6549" s="3">
        <v>9.2222380000000008</v>
      </c>
      <c r="J6549" s="3">
        <v>9.2963090000000008</v>
      </c>
      <c r="K6549" s="3">
        <v>8.7777899999999995</v>
      </c>
      <c r="L6549" s="3">
        <v>146.157976029</v>
      </c>
    </row>
    <row r="6550" spans="1:12" ht="15" customHeight="1" x14ac:dyDescent="0.2">
      <c r="A6550" s="2">
        <v>36543</v>
      </c>
      <c r="B6550" s="3">
        <v>9.2407540000000008</v>
      </c>
      <c r="C6550" s="1">
        <v>838686.299999999</v>
      </c>
      <c r="D6550" s="3">
        <v>-5.5555E-2</v>
      </c>
      <c r="E6550" s="3">
        <v>-0.59760276901294995</v>
      </c>
      <c r="F6550" s="3">
        <v>-0.59760276901294995</v>
      </c>
      <c r="G6550" s="3">
        <v>9.2407540000000008</v>
      </c>
      <c r="H6550" s="3">
        <v>157.5112034707</v>
      </c>
      <c r="I6550" s="3">
        <v>9.2963090000000008</v>
      </c>
      <c r="J6550" s="3">
        <v>9.2963090000000008</v>
      </c>
      <c r="K6550" s="3">
        <v>9.092606</v>
      </c>
      <c r="L6550" s="3">
        <v>157.5112034707</v>
      </c>
    </row>
    <row r="6551" spans="1:12" ht="15" customHeight="1" x14ac:dyDescent="0.2">
      <c r="A6551" s="2">
        <v>36539</v>
      </c>
      <c r="B6551" s="3">
        <v>9.2963090000000008</v>
      </c>
      <c r="C6551" s="1">
        <v>748573.9</v>
      </c>
      <c r="D6551" s="3">
        <v>9.25930000000008E-2</v>
      </c>
      <c r="E6551" s="3">
        <v>1.0060392997784899</v>
      </c>
      <c r="F6551" s="3">
        <v>1.0060392997784899</v>
      </c>
      <c r="G6551" s="3">
        <v>9.2963090000000008</v>
      </c>
      <c r="H6551" s="3">
        <v>159.05934931559699</v>
      </c>
      <c r="I6551" s="3">
        <v>9.2129770000000004</v>
      </c>
      <c r="J6551" s="3">
        <v>9.3889019999999999</v>
      </c>
      <c r="K6551" s="3">
        <v>9.1851990000000008</v>
      </c>
      <c r="L6551" s="3">
        <v>159.05934931559699</v>
      </c>
    </row>
    <row r="6552" spans="1:12" ht="15" customHeight="1" x14ac:dyDescent="0.2">
      <c r="A6552" s="2">
        <v>36538</v>
      </c>
      <c r="B6552" s="3">
        <v>9.203716</v>
      </c>
      <c r="C6552" s="1">
        <v>379349.46</v>
      </c>
      <c r="D6552" s="3">
        <v>0.12963</v>
      </c>
      <c r="E6552" s="3">
        <v>1.4285736326501599</v>
      </c>
      <c r="F6552" s="3">
        <v>1.4285736326501599</v>
      </c>
      <c r="G6552" s="3">
        <v>9.203716</v>
      </c>
      <c r="H6552" s="3">
        <v>156.47906908489699</v>
      </c>
      <c r="I6552" s="3">
        <v>9.2037180000000003</v>
      </c>
      <c r="J6552" s="3">
        <v>9.2222360000000005</v>
      </c>
      <c r="K6552" s="3">
        <v>9.1851990000000008</v>
      </c>
      <c r="L6552" s="3">
        <v>156.47906908489699</v>
      </c>
    </row>
    <row r="6553" spans="1:12" ht="15" customHeight="1" x14ac:dyDescent="0.2">
      <c r="A6553" s="2">
        <v>36537</v>
      </c>
      <c r="B6553" s="3">
        <v>9.0740859999999994</v>
      </c>
      <c r="C6553" s="1">
        <v>973348.63</v>
      </c>
      <c r="D6553" s="3">
        <v>-2.7778000000001399E-2</v>
      </c>
      <c r="E6553" s="3">
        <v>-0.30519023356097003</v>
      </c>
      <c r="F6553" s="3">
        <v>-0.30519023356097003</v>
      </c>
      <c r="G6553" s="3">
        <v>9.0740859999999994</v>
      </c>
      <c r="H6553" s="3">
        <v>152.86668233529701</v>
      </c>
      <c r="I6553" s="3">
        <v>9.1389019999999999</v>
      </c>
      <c r="J6553" s="3">
        <v>9.2222360000000005</v>
      </c>
      <c r="K6553" s="3">
        <v>9.0740859999999994</v>
      </c>
      <c r="L6553" s="3">
        <v>152.86668233529701</v>
      </c>
    </row>
    <row r="6554" spans="1:12" ht="15" customHeight="1" x14ac:dyDescent="0.2">
      <c r="A6554" s="2">
        <v>36536</v>
      </c>
      <c r="B6554" s="3">
        <v>9.1018640000000008</v>
      </c>
      <c r="C6554" s="1">
        <v>165374.76999999999</v>
      </c>
      <c r="D6554" s="3">
        <v>-0.22222399999999801</v>
      </c>
      <c r="E6554" s="3">
        <v>-2.38333228944213</v>
      </c>
      <c r="F6554" s="3">
        <v>-2.38333228944213</v>
      </c>
      <c r="G6554" s="3">
        <v>9.1018640000000008</v>
      </c>
      <c r="H6554" s="3">
        <v>153.64076919119799</v>
      </c>
      <c r="I6554" s="3">
        <v>9.2592739999999996</v>
      </c>
      <c r="J6554" s="3">
        <v>9.3703830000000004</v>
      </c>
      <c r="K6554" s="3">
        <v>9.0740859999999994</v>
      </c>
      <c r="L6554" s="3">
        <v>153.64076919119799</v>
      </c>
    </row>
    <row r="6555" spans="1:12" ht="15" customHeight="1" x14ac:dyDescent="0.2">
      <c r="A6555" s="2">
        <v>36535</v>
      </c>
      <c r="B6555" s="3">
        <v>9.3240879999999997</v>
      </c>
      <c r="C6555" s="1">
        <v>706386.4</v>
      </c>
      <c r="D6555" s="3">
        <v>-0.30555500000000002</v>
      </c>
      <c r="E6555" s="3">
        <v>-3.1730667481650099</v>
      </c>
      <c r="F6555" s="3">
        <v>-3.1730667481650099</v>
      </c>
      <c r="G6555" s="3">
        <v>9.3240879999999997</v>
      </c>
      <c r="H6555" s="3">
        <v>159.83346403840099</v>
      </c>
      <c r="I6555" s="3">
        <v>9.6296440000000008</v>
      </c>
      <c r="J6555" s="3">
        <v>9.7222360000000005</v>
      </c>
      <c r="K6555" s="3">
        <v>9.1111249999999995</v>
      </c>
      <c r="L6555" s="3">
        <v>159.83346403840099</v>
      </c>
    </row>
    <row r="6556" spans="1:12" ht="15" customHeight="1" x14ac:dyDescent="0.2">
      <c r="A6556" s="2">
        <v>36532</v>
      </c>
      <c r="B6556" s="3">
        <v>9.6296429999999997</v>
      </c>
      <c r="C6556" s="1">
        <v>65474.9</v>
      </c>
      <c r="D6556" s="3">
        <v>-0.16666700000000001</v>
      </c>
      <c r="E6556" s="3">
        <v>-1.7013242741399499</v>
      </c>
      <c r="F6556" s="3">
        <v>-1.7013242741399499</v>
      </c>
      <c r="G6556" s="3">
        <v>9.6296429999999997</v>
      </c>
      <c r="H6556" s="3">
        <v>168.348335852594</v>
      </c>
      <c r="I6556" s="3">
        <v>9.7963100000000001</v>
      </c>
      <c r="J6556" s="3">
        <v>9.8148289999999996</v>
      </c>
      <c r="K6556" s="3">
        <v>9.6296429999999997</v>
      </c>
      <c r="L6556" s="3">
        <v>168.348335852594</v>
      </c>
    </row>
    <row r="6557" spans="1:12" ht="15" customHeight="1" x14ac:dyDescent="0.2">
      <c r="A6557" s="2">
        <v>36531</v>
      </c>
      <c r="B6557" s="3">
        <v>9.7963100000000001</v>
      </c>
      <c r="C6557" s="1">
        <v>903148.74</v>
      </c>
      <c r="D6557" s="3">
        <v>-1.8518999999999501E-2</v>
      </c>
      <c r="E6557" s="3">
        <v>-0.188683878241791</v>
      </c>
      <c r="F6557" s="3">
        <v>-0.188683878241791</v>
      </c>
      <c r="G6557" s="3">
        <v>9.7963100000000001</v>
      </c>
      <c r="H6557" s="3">
        <v>172.992829121092</v>
      </c>
      <c r="I6557" s="3">
        <v>9.9259400000000007</v>
      </c>
      <c r="J6557" s="3">
        <v>9.9259400000000007</v>
      </c>
      <c r="K6557" s="3">
        <v>9.7407559999999993</v>
      </c>
      <c r="L6557" s="3">
        <v>172.992829121092</v>
      </c>
    </row>
    <row r="6558" spans="1:12" ht="15" customHeight="1" x14ac:dyDescent="0.2">
      <c r="A6558" s="2">
        <v>36530</v>
      </c>
      <c r="B6558" s="3">
        <v>9.8148289999999996</v>
      </c>
      <c r="C6558" s="1">
        <v>219374.69999999899</v>
      </c>
      <c r="D6558" s="3">
        <v>5.5555E-2</v>
      </c>
      <c r="E6558" s="3">
        <v>0.56925340962863302</v>
      </c>
      <c r="F6558" s="3">
        <v>0.56925340962863302</v>
      </c>
      <c r="G6558" s="3">
        <v>9.8148289999999996</v>
      </c>
      <c r="H6558" s="3">
        <v>173.508896313994</v>
      </c>
      <c r="I6558" s="3">
        <v>9.7407559999999993</v>
      </c>
      <c r="J6558" s="3">
        <v>10.166681000000001</v>
      </c>
      <c r="K6558" s="3">
        <v>9.6666799999999995</v>
      </c>
      <c r="L6558" s="3">
        <v>173.508896313994</v>
      </c>
    </row>
    <row r="6559" spans="1:12" ht="15" customHeight="1" x14ac:dyDescent="0.2">
      <c r="A6559" s="2">
        <v>36529</v>
      </c>
      <c r="B6559" s="3">
        <v>9.7592739999999996</v>
      </c>
      <c r="C6559" s="1">
        <v>532236.76</v>
      </c>
      <c r="D6559" s="3">
        <v>-0.20370199999999899</v>
      </c>
      <c r="E6559" s="3">
        <v>-2.0445898896072801</v>
      </c>
      <c r="F6559" s="3">
        <v>-2.0445898896072801</v>
      </c>
      <c r="G6559" s="3">
        <v>9.7592739999999996</v>
      </c>
      <c r="H6559" s="3">
        <v>171.96075046909701</v>
      </c>
      <c r="I6559" s="3">
        <v>9.8889040000000001</v>
      </c>
      <c r="J6559" s="3">
        <v>10.000014999999999</v>
      </c>
      <c r="K6559" s="3">
        <v>9.6296429999999997</v>
      </c>
      <c r="L6559" s="3">
        <v>171.96075046909701</v>
      </c>
    </row>
    <row r="6560" spans="1:12" ht="15" customHeight="1" x14ac:dyDescent="0.2">
      <c r="A6560" s="2">
        <v>36528</v>
      </c>
      <c r="B6560" s="3">
        <v>9.9629759999999994</v>
      </c>
      <c r="C6560" s="1">
        <v>1307473.0999999901</v>
      </c>
      <c r="D6560" s="3">
        <v>-0.40740900000000102</v>
      </c>
      <c r="E6560" s="3">
        <v>-3.9285812436086198</v>
      </c>
      <c r="F6560" s="3">
        <v>-3.9285812436086198</v>
      </c>
      <c r="G6560" s="3">
        <v>9.9629759999999994</v>
      </c>
      <c r="H6560" s="3">
        <v>177.637294522687</v>
      </c>
      <c r="I6560" s="3">
        <v>10.055571</v>
      </c>
      <c r="J6560" s="3">
        <v>10.101865999999999</v>
      </c>
      <c r="K6560" s="3">
        <v>9.8518659999999993</v>
      </c>
      <c r="L6560" s="3">
        <v>177.637294522687</v>
      </c>
    </row>
    <row r="6561" spans="1:12" ht="15" customHeight="1" x14ac:dyDescent="0.2">
      <c r="A6561" s="2">
        <v>36525</v>
      </c>
      <c r="B6561" s="3">
        <v>10.370385000000001</v>
      </c>
      <c r="C6561" s="1">
        <v>373949.45999999897</v>
      </c>
      <c r="D6561" s="3">
        <v>0.68518500000000004</v>
      </c>
      <c r="E6561" s="3">
        <v>7.0745570561268698</v>
      </c>
      <c r="F6561" s="3">
        <v>7.0745570561268698</v>
      </c>
      <c r="G6561" s="3">
        <v>10.370385000000001</v>
      </c>
      <c r="H6561" s="3">
        <v>188.990521964387</v>
      </c>
      <c r="I6561" s="3">
        <v>9.7222380000000008</v>
      </c>
      <c r="J6561" s="3">
        <v>10.518534000000001</v>
      </c>
      <c r="K6561" s="3">
        <v>9.6666799999999995</v>
      </c>
      <c r="L6561" s="3">
        <v>188.990521964387</v>
      </c>
    </row>
    <row r="6562" spans="1:12" ht="15" customHeight="1" x14ac:dyDescent="0.2">
      <c r="A6562" s="2">
        <v>36524</v>
      </c>
      <c r="B6562" s="3">
        <v>9.6852</v>
      </c>
      <c r="C6562" s="1">
        <v>83699.875</v>
      </c>
      <c r="D6562" s="3">
        <v>-0.129628999999999</v>
      </c>
      <c r="E6562" s="3">
        <v>-1.3207463930344501</v>
      </c>
      <c r="F6562" s="3">
        <v>-1.3207463930344501</v>
      </c>
      <c r="G6562" s="3">
        <v>9.6852</v>
      </c>
      <c r="H6562" s="3">
        <v>169.89653743129901</v>
      </c>
      <c r="I6562" s="3">
        <v>9.7963100000000001</v>
      </c>
      <c r="J6562" s="3">
        <v>9.7963100000000001</v>
      </c>
      <c r="K6562" s="3">
        <v>9.6666799999999995</v>
      </c>
      <c r="L6562" s="3">
        <v>169.89653743129901</v>
      </c>
    </row>
    <row r="6563" spans="1:12" ht="15" customHeight="1" x14ac:dyDescent="0.2">
      <c r="A6563" s="2">
        <v>36523</v>
      </c>
      <c r="B6563" s="3">
        <v>9.8148289999999996</v>
      </c>
      <c r="C6563" s="1">
        <v>96187.37</v>
      </c>
      <c r="D6563" s="3">
        <v>0.16666599999999901</v>
      </c>
      <c r="E6563" s="3">
        <v>1.72743764797504</v>
      </c>
      <c r="F6563" s="3">
        <v>1.72743764797504</v>
      </c>
      <c r="G6563" s="3">
        <v>9.8148289999999996</v>
      </c>
      <c r="H6563" s="3">
        <v>173.508896313994</v>
      </c>
      <c r="I6563" s="3">
        <v>9.5555690000000002</v>
      </c>
      <c r="J6563" s="3">
        <v>9.8518659999999993</v>
      </c>
      <c r="K6563" s="3">
        <v>9.4074209999999994</v>
      </c>
      <c r="L6563" s="3">
        <v>173.508896313994</v>
      </c>
    </row>
    <row r="6564" spans="1:12" ht="15" customHeight="1" x14ac:dyDescent="0.2">
      <c r="A6564" s="2">
        <v>36522</v>
      </c>
      <c r="B6564" s="3">
        <v>9.6481630000000003</v>
      </c>
      <c r="C6564" s="1">
        <v>162337.26999999999</v>
      </c>
      <c r="D6564" s="3">
        <v>-5.5555E-2</v>
      </c>
      <c r="E6564" s="3">
        <v>-0.57251251530598901</v>
      </c>
      <c r="F6564" s="3">
        <v>-0.57251251530598901</v>
      </c>
      <c r="G6564" s="3">
        <v>9.6481630000000003</v>
      </c>
      <c r="H6564" s="3">
        <v>168.864430912399</v>
      </c>
      <c r="I6564" s="3">
        <v>9.7407559999999993</v>
      </c>
      <c r="J6564" s="3">
        <v>9.7407559999999993</v>
      </c>
      <c r="K6564" s="3">
        <v>9.5185329999999997</v>
      </c>
      <c r="L6564" s="3">
        <v>168.864430912399</v>
      </c>
    </row>
    <row r="6565" spans="1:12" ht="15" customHeight="1" x14ac:dyDescent="0.2">
      <c r="A6565" s="2">
        <v>36521</v>
      </c>
      <c r="B6565" s="3">
        <v>9.7037180000000003</v>
      </c>
      <c r="C6565" s="1">
        <v>582186.77</v>
      </c>
      <c r="D6565" s="3">
        <v>-7.4073999999999501E-2</v>
      </c>
      <c r="E6565" s="3">
        <v>-0.75757389807432596</v>
      </c>
      <c r="F6565" s="3">
        <v>-0.75757389807432596</v>
      </c>
      <c r="G6565" s="3">
        <v>9.7037180000000003</v>
      </c>
      <c r="H6565" s="3">
        <v>170.41257675729599</v>
      </c>
      <c r="I6565" s="3">
        <v>9.5555690000000002</v>
      </c>
      <c r="J6565" s="3">
        <v>9.7037180000000003</v>
      </c>
      <c r="K6565" s="3">
        <v>9.4444569999999999</v>
      </c>
      <c r="L6565" s="3">
        <v>170.41257675729599</v>
      </c>
    </row>
    <row r="6566" spans="1:12" ht="15" customHeight="1" x14ac:dyDescent="0.2">
      <c r="A6566" s="2">
        <v>36517</v>
      </c>
      <c r="B6566" s="3">
        <v>9.7777919999999998</v>
      </c>
      <c r="C6566" s="1">
        <v>1825872.5999999901</v>
      </c>
      <c r="D6566" s="3">
        <v>1.259261</v>
      </c>
      <c r="E6566" s="3">
        <v>14.782607470701199</v>
      </c>
      <c r="F6566" s="3">
        <v>14.782607470701199</v>
      </c>
      <c r="G6566" s="3">
        <v>9.7777919999999998</v>
      </c>
      <c r="H6566" s="3">
        <v>172.47678979509499</v>
      </c>
      <c r="I6566" s="3">
        <v>8.4074200000000001</v>
      </c>
      <c r="J6566" s="3">
        <v>9.9259400000000007</v>
      </c>
      <c r="K6566" s="3">
        <v>8.4074190000000009</v>
      </c>
      <c r="L6566" s="3">
        <v>172.47678979509499</v>
      </c>
    </row>
    <row r="6567" spans="1:12" ht="15" customHeight="1" x14ac:dyDescent="0.2">
      <c r="A6567" s="2">
        <v>36516</v>
      </c>
      <c r="B6567" s="3">
        <v>8.5185309999999994</v>
      </c>
      <c r="C6567" s="1">
        <v>370236.97</v>
      </c>
      <c r="D6567" s="3">
        <v>0.18518599999999899</v>
      </c>
      <c r="E6567" s="3">
        <v>2.2222288888795498</v>
      </c>
      <c r="F6567" s="3">
        <v>2.2222288888795498</v>
      </c>
      <c r="G6567" s="3">
        <v>8.5185309999999994</v>
      </c>
      <c r="H6567" s="3">
        <v>137.385084551809</v>
      </c>
      <c r="I6567" s="3">
        <v>8.2407529999999998</v>
      </c>
      <c r="J6567" s="3">
        <v>8.6296420000000005</v>
      </c>
      <c r="K6567" s="3">
        <v>8.148161</v>
      </c>
      <c r="L6567" s="3">
        <v>137.385084551809</v>
      </c>
    </row>
    <row r="6568" spans="1:12" ht="15" customHeight="1" x14ac:dyDescent="0.2">
      <c r="A6568" s="2">
        <v>36515</v>
      </c>
      <c r="B6568" s="3">
        <v>8.3333449999999996</v>
      </c>
      <c r="C6568" s="1">
        <v>166387.25</v>
      </c>
      <c r="D6568" s="3">
        <v>0.18518399999999899</v>
      </c>
      <c r="E6568" s="3">
        <v>2.2727091425905601</v>
      </c>
      <c r="F6568" s="3">
        <v>2.2727091425905601</v>
      </c>
      <c r="G6568" s="3">
        <v>8.3333449999999996</v>
      </c>
      <c r="H6568" s="3">
        <v>132.22452409040801</v>
      </c>
      <c r="I6568" s="3">
        <v>8.0740859999999994</v>
      </c>
      <c r="J6568" s="3">
        <v>8.3333449999999996</v>
      </c>
      <c r="K6568" s="3">
        <v>7.9629744999999996</v>
      </c>
      <c r="L6568" s="3">
        <v>132.22452409040801</v>
      </c>
    </row>
    <row r="6569" spans="1:12" ht="15" customHeight="1" x14ac:dyDescent="0.2">
      <c r="A6569" s="2">
        <v>36514</v>
      </c>
      <c r="B6569" s="3">
        <v>8.148161</v>
      </c>
      <c r="C6569" s="1">
        <v>377324.45999999897</v>
      </c>
      <c r="D6569" s="3">
        <v>0.14815049999999899</v>
      </c>
      <c r="E6569" s="3">
        <v>1.8518788194090401</v>
      </c>
      <c r="F6569" s="3">
        <v>1.8518788194090401</v>
      </c>
      <c r="G6569" s="3">
        <v>8.148161</v>
      </c>
      <c r="H6569" s="3">
        <v>127.064019362816</v>
      </c>
      <c r="I6569" s="3">
        <v>7.9629750000000001</v>
      </c>
      <c r="J6569" s="3">
        <v>8.259271</v>
      </c>
      <c r="K6569" s="3">
        <v>7.9259370000000002</v>
      </c>
      <c r="L6569" s="3">
        <v>127.064019362816</v>
      </c>
    </row>
    <row r="6570" spans="1:12" ht="15" customHeight="1" x14ac:dyDescent="0.2">
      <c r="A6570" s="2">
        <v>36511</v>
      </c>
      <c r="B6570" s="3">
        <v>8.0000105000000001</v>
      </c>
      <c r="C6570" s="1">
        <v>472836.85</v>
      </c>
      <c r="D6570" s="3">
        <v>-0.14815049999999899</v>
      </c>
      <c r="E6570" s="3">
        <v>-1.81820781400858</v>
      </c>
      <c r="F6570" s="3">
        <v>-1.81820781400858</v>
      </c>
      <c r="G6570" s="3">
        <v>8.0000105000000001</v>
      </c>
      <c r="H6570" s="3">
        <v>122.935523619959</v>
      </c>
      <c r="I6570" s="3">
        <v>8.2592730000000003</v>
      </c>
      <c r="J6570" s="3">
        <v>8.2963090000000008</v>
      </c>
      <c r="K6570" s="3">
        <v>8.0000105000000001</v>
      </c>
      <c r="L6570" s="3">
        <v>122.935523619959</v>
      </c>
    </row>
    <row r="6571" spans="1:12" ht="15" customHeight="1" x14ac:dyDescent="0.2">
      <c r="A6571" s="2">
        <v>36510</v>
      </c>
      <c r="B6571" s="3">
        <v>8.148161</v>
      </c>
      <c r="C6571" s="1">
        <v>221062.19999999899</v>
      </c>
      <c r="D6571" s="3">
        <v>-1.8515999999999901E-2</v>
      </c>
      <c r="E6571" s="3">
        <v>-0.22672624373414299</v>
      </c>
      <c r="F6571" s="3">
        <v>-0.22672624373414299</v>
      </c>
      <c r="G6571" s="3">
        <v>8.148161</v>
      </c>
      <c r="H6571" s="3">
        <v>127.064019362816</v>
      </c>
      <c r="I6571" s="3">
        <v>8.2037169999999993</v>
      </c>
      <c r="J6571" s="3">
        <v>8.2037150000000008</v>
      </c>
      <c r="K6571" s="3">
        <v>8.0000105000000001</v>
      </c>
      <c r="L6571" s="3">
        <v>127.064019362816</v>
      </c>
    </row>
    <row r="6572" spans="1:12" ht="15" customHeight="1" x14ac:dyDescent="0.2">
      <c r="A6572" s="2">
        <v>36509</v>
      </c>
      <c r="B6572" s="3">
        <v>8.166677</v>
      </c>
      <c r="C6572" s="1">
        <v>392174.47</v>
      </c>
      <c r="D6572" s="3">
        <v>1.8515999999999901E-2</v>
      </c>
      <c r="E6572" s="3">
        <v>0.227241459760052</v>
      </c>
      <c r="F6572" s="3">
        <v>0.227241459760052</v>
      </c>
      <c r="G6572" s="3">
        <v>8.166677</v>
      </c>
      <c r="H6572" s="3">
        <v>127.58000295500599</v>
      </c>
      <c r="I6572" s="3">
        <v>8.1111240000000002</v>
      </c>
      <c r="J6572" s="3">
        <v>8.1851979999999998</v>
      </c>
      <c r="K6572" s="3">
        <v>8.0000105000000001</v>
      </c>
      <c r="L6572" s="3">
        <v>127.58000295500599</v>
      </c>
    </row>
    <row r="6573" spans="1:12" ht="15" customHeight="1" x14ac:dyDescent="0.2">
      <c r="A6573" s="2">
        <v>36508</v>
      </c>
      <c r="B6573" s="3">
        <v>8.148161</v>
      </c>
      <c r="C6573" s="1">
        <v>420524.38</v>
      </c>
      <c r="D6573" s="3">
        <v>0.111110999999999</v>
      </c>
      <c r="E6573" s="3">
        <v>1.3824848669598799</v>
      </c>
      <c r="F6573" s="3">
        <v>1.3824848669598799</v>
      </c>
      <c r="G6573" s="3">
        <v>8.148161</v>
      </c>
      <c r="H6573" s="3">
        <v>127.064019362816</v>
      </c>
      <c r="I6573" s="3">
        <v>8.0370500000000007</v>
      </c>
      <c r="J6573" s="3">
        <v>8.4444569999999999</v>
      </c>
      <c r="K6573" s="3">
        <v>8.0370500000000007</v>
      </c>
      <c r="L6573" s="3">
        <v>127.064019362816</v>
      </c>
    </row>
    <row r="6574" spans="1:12" ht="15" customHeight="1" x14ac:dyDescent="0.2">
      <c r="A6574" s="2">
        <v>36507</v>
      </c>
      <c r="B6574" s="3">
        <v>8.0370500000000007</v>
      </c>
      <c r="C6574" s="1">
        <v>1122860.79999999</v>
      </c>
      <c r="D6574" s="3">
        <v>-0.111110999999999</v>
      </c>
      <c r="E6574" s="3">
        <v>-1.3636328491790799</v>
      </c>
      <c r="F6574" s="3">
        <v>-1.3636328491790799</v>
      </c>
      <c r="G6574" s="3">
        <v>8.0370500000000007</v>
      </c>
      <c r="H6574" s="3">
        <v>123.96769980611801</v>
      </c>
      <c r="I6574" s="3">
        <v>8.148161</v>
      </c>
      <c r="J6574" s="3">
        <v>8.2222340000000003</v>
      </c>
      <c r="K6574" s="3">
        <v>8.0370500000000007</v>
      </c>
      <c r="L6574" s="3">
        <v>123.96769980611801</v>
      </c>
    </row>
    <row r="6575" spans="1:12" ht="15" customHeight="1" x14ac:dyDescent="0.2">
      <c r="A6575" s="2">
        <v>36504</v>
      </c>
      <c r="B6575" s="3">
        <v>8.148161</v>
      </c>
      <c r="C6575" s="1">
        <v>339187</v>
      </c>
      <c r="D6575" s="3">
        <v>7.4075000000000502E-2</v>
      </c>
      <c r="E6575" s="3">
        <v>0.91744130543074398</v>
      </c>
      <c r="F6575" s="3">
        <v>0.91744130543074398</v>
      </c>
      <c r="G6575" s="3">
        <v>8.148161</v>
      </c>
      <c r="H6575" s="3">
        <v>127.064019362816</v>
      </c>
      <c r="I6575" s="3">
        <v>8.0926039999999997</v>
      </c>
      <c r="J6575" s="3">
        <v>8.1851979999999998</v>
      </c>
      <c r="K6575" s="3">
        <v>7.9259370000000002</v>
      </c>
      <c r="L6575" s="3">
        <v>127.064019362816</v>
      </c>
    </row>
    <row r="6576" spans="1:12" ht="15" customHeight="1" x14ac:dyDescent="0.2">
      <c r="A6576" s="2">
        <v>36503</v>
      </c>
      <c r="B6576" s="3">
        <v>8.0740859999999994</v>
      </c>
      <c r="C6576" s="1">
        <v>990898.55999999901</v>
      </c>
      <c r="D6576" s="3">
        <v>-0.79629700000000003</v>
      </c>
      <c r="E6576" s="3">
        <v>-8.9770306423071098</v>
      </c>
      <c r="F6576" s="3">
        <v>-8.9770306423071098</v>
      </c>
      <c r="G6576" s="3">
        <v>8.0740859999999994</v>
      </c>
      <c r="H6576" s="3">
        <v>124.99977845811399</v>
      </c>
      <c r="I6576" s="3">
        <v>8.8148289999999996</v>
      </c>
      <c r="J6576" s="3">
        <v>9.0000119999999999</v>
      </c>
      <c r="K6576" s="3">
        <v>8.0000105000000001</v>
      </c>
      <c r="L6576" s="3">
        <v>124.99977845811399</v>
      </c>
    </row>
    <row r="6577" spans="1:12" ht="15" customHeight="1" x14ac:dyDescent="0.2">
      <c r="A6577" s="2">
        <v>36502</v>
      </c>
      <c r="B6577" s="3">
        <v>8.8703830000000004</v>
      </c>
      <c r="C6577" s="1">
        <v>519749.19999999902</v>
      </c>
      <c r="D6577" s="3">
        <v>-0.37037100000000001</v>
      </c>
      <c r="E6577" s="3">
        <v>-4.0080170947089302</v>
      </c>
      <c r="F6577" s="3">
        <v>-4.0080170947089302</v>
      </c>
      <c r="G6577" s="3">
        <v>8.8703830000000004</v>
      </c>
      <c r="H6577" s="3">
        <v>147.190110414803</v>
      </c>
      <c r="I6577" s="3">
        <v>9.1481619999999992</v>
      </c>
      <c r="J6577" s="3">
        <v>9.2592730000000003</v>
      </c>
      <c r="K6577" s="3">
        <v>8.4444569999999999</v>
      </c>
      <c r="L6577" s="3">
        <v>147.190110414803</v>
      </c>
    </row>
    <row r="6578" spans="1:12" ht="15" customHeight="1" x14ac:dyDescent="0.2">
      <c r="A6578" s="2">
        <v>36501</v>
      </c>
      <c r="B6578" s="3">
        <v>9.2407540000000008</v>
      </c>
      <c r="C6578" s="1">
        <v>115424.83500000001</v>
      </c>
      <c r="D6578" s="3">
        <v>0.31481500000000101</v>
      </c>
      <c r="E6578" s="3">
        <v>3.5269678629889798</v>
      </c>
      <c r="F6578" s="3">
        <v>3.5269678629889798</v>
      </c>
      <c r="G6578" s="3">
        <v>9.2407540000000008</v>
      </c>
      <c r="H6578" s="3">
        <v>157.5112034707</v>
      </c>
      <c r="I6578" s="3">
        <v>8.9259389999999996</v>
      </c>
      <c r="J6578" s="3">
        <v>9.2407540000000008</v>
      </c>
      <c r="K6578" s="3">
        <v>8.9259389999999996</v>
      </c>
      <c r="L6578" s="3">
        <v>157.5112034707</v>
      </c>
    </row>
    <row r="6579" spans="1:12" ht="15" customHeight="1" x14ac:dyDescent="0.2">
      <c r="A6579" s="2">
        <v>36500</v>
      </c>
      <c r="B6579" s="3">
        <v>8.9259389999999996</v>
      </c>
      <c r="C6579" s="1">
        <v>124199.82</v>
      </c>
      <c r="D6579" s="3">
        <v>-1.8518000000000201E-2</v>
      </c>
      <c r="E6579" s="3">
        <v>-0.20703324975457299</v>
      </c>
      <c r="F6579" s="3">
        <v>-0.20703324975457299</v>
      </c>
      <c r="G6579" s="3">
        <v>8.9259389999999996</v>
      </c>
      <c r="H6579" s="3">
        <v>148.73828412660399</v>
      </c>
      <c r="I6579" s="3">
        <v>8.9259389999999996</v>
      </c>
      <c r="J6579" s="3">
        <v>9.0740859999999994</v>
      </c>
      <c r="K6579" s="3">
        <v>8.9074190000000009</v>
      </c>
      <c r="L6579" s="3">
        <v>148.73828412660399</v>
      </c>
    </row>
    <row r="6580" spans="1:12" ht="15" customHeight="1" x14ac:dyDescent="0.2">
      <c r="A6580" s="2">
        <v>36497</v>
      </c>
      <c r="B6580" s="3">
        <v>8.9444569999999999</v>
      </c>
      <c r="C6580" s="1">
        <v>228824.69</v>
      </c>
      <c r="D6580" s="3">
        <v>-0.16666799999999901</v>
      </c>
      <c r="E6580" s="3">
        <v>-1.8292801382924599</v>
      </c>
      <c r="F6580" s="3">
        <v>-1.8292801382924599</v>
      </c>
      <c r="G6580" s="3">
        <v>8.9444569999999999</v>
      </c>
      <c r="H6580" s="3">
        <v>149.25432345260199</v>
      </c>
      <c r="I6580" s="3">
        <v>9.2037180000000003</v>
      </c>
      <c r="J6580" s="3">
        <v>9.4074209999999994</v>
      </c>
      <c r="K6580" s="3">
        <v>8.9444569999999999</v>
      </c>
      <c r="L6580" s="3">
        <v>149.25432345260199</v>
      </c>
    </row>
    <row r="6581" spans="1:12" ht="15" customHeight="1" x14ac:dyDescent="0.2">
      <c r="A6581" s="2">
        <v>36496</v>
      </c>
      <c r="B6581" s="3">
        <v>9.1111249999999995</v>
      </c>
      <c r="C6581" s="1">
        <v>176512.24</v>
      </c>
      <c r="D6581" s="3">
        <v>9.2593999999999996E-2</v>
      </c>
      <c r="E6581" s="3">
        <v>1.0267082299767001</v>
      </c>
      <c r="F6581" s="3">
        <v>1.0267082299767001</v>
      </c>
      <c r="G6581" s="3">
        <v>9.1111249999999995</v>
      </c>
      <c r="H6581" s="3">
        <v>153.89884458800401</v>
      </c>
      <c r="I6581" s="3">
        <v>9.0370509999999999</v>
      </c>
      <c r="J6581" s="3">
        <v>9.1851990000000008</v>
      </c>
      <c r="K6581" s="3">
        <v>8.9629750000000001</v>
      </c>
      <c r="L6581" s="3">
        <v>153.89884458800401</v>
      </c>
    </row>
    <row r="6582" spans="1:12" ht="15" customHeight="1" x14ac:dyDescent="0.2">
      <c r="A6582" s="2">
        <v>36495</v>
      </c>
      <c r="B6582" s="3">
        <v>9.0185309999999994</v>
      </c>
      <c r="C6582" s="1">
        <v>222749.69999999899</v>
      </c>
      <c r="D6582" s="3">
        <v>-0.16666800000000101</v>
      </c>
      <c r="E6582" s="3">
        <v>-1.8145279160527801</v>
      </c>
      <c r="F6582" s="3">
        <v>-1.8145279160527801</v>
      </c>
      <c r="G6582" s="3">
        <v>9.0185309999999994</v>
      </c>
      <c r="H6582" s="3">
        <v>151.31853649039999</v>
      </c>
      <c r="I6582" s="3">
        <v>9.1111249999999995</v>
      </c>
      <c r="J6582" s="3">
        <v>9.2222360000000005</v>
      </c>
      <c r="K6582" s="3">
        <v>8.9259389999999996</v>
      </c>
      <c r="L6582" s="3">
        <v>151.31853649039999</v>
      </c>
    </row>
    <row r="6583" spans="1:12" ht="15" customHeight="1" x14ac:dyDescent="0.2">
      <c r="A6583" s="2">
        <v>36494</v>
      </c>
      <c r="B6583" s="3">
        <v>9.1851990000000008</v>
      </c>
      <c r="C6583" s="1">
        <v>163012.26999999999</v>
      </c>
      <c r="D6583" s="3">
        <v>0.203704</v>
      </c>
      <c r="E6583" s="3">
        <v>2.26804112232985</v>
      </c>
      <c r="F6583" s="3">
        <v>2.26804112232985</v>
      </c>
      <c r="G6583" s="3">
        <v>9.1851990000000008</v>
      </c>
      <c r="H6583" s="3">
        <v>155.963057625803</v>
      </c>
      <c r="I6583" s="3">
        <v>9.0000119999999999</v>
      </c>
      <c r="J6583" s="3">
        <v>9.1851990000000008</v>
      </c>
      <c r="K6583" s="3">
        <v>8.8889010000000006</v>
      </c>
      <c r="L6583" s="3">
        <v>155.963057625803</v>
      </c>
    </row>
    <row r="6584" spans="1:12" ht="15" customHeight="1" x14ac:dyDescent="0.2">
      <c r="A6584" s="2">
        <v>36493</v>
      </c>
      <c r="B6584" s="3">
        <v>8.9814950000000007</v>
      </c>
      <c r="C6584" s="1">
        <v>271012.12</v>
      </c>
      <c r="D6584" s="3">
        <v>0.203705000000001</v>
      </c>
      <c r="E6584" s="3">
        <v>2.3206866420818901</v>
      </c>
      <c r="F6584" s="3">
        <v>2.3206866420818901</v>
      </c>
      <c r="G6584" s="3">
        <v>8.9814950000000007</v>
      </c>
      <c r="H6584" s="3">
        <v>150.286457838405</v>
      </c>
      <c r="I6584" s="3">
        <v>8.592606</v>
      </c>
      <c r="J6584" s="3">
        <v>9.1481619999999992</v>
      </c>
      <c r="K6584" s="3">
        <v>8.592606</v>
      </c>
      <c r="L6584" s="3">
        <v>150.286457838405</v>
      </c>
    </row>
    <row r="6585" spans="1:12" ht="15" customHeight="1" x14ac:dyDescent="0.2">
      <c r="A6585" s="2">
        <v>36490</v>
      </c>
      <c r="B6585" s="3">
        <v>8.7777899999999995</v>
      </c>
      <c r="C6585" s="1">
        <v>220724.69</v>
      </c>
      <c r="D6585" s="3">
        <v>0.40740699999999902</v>
      </c>
      <c r="E6585" s="3">
        <v>4.8672444259718999</v>
      </c>
      <c r="F6585" s="3">
        <v>4.8672444259718999</v>
      </c>
      <c r="G6585" s="3">
        <v>8.7777899999999995</v>
      </c>
      <c r="H6585" s="3">
        <v>144.609830184103</v>
      </c>
      <c r="I6585" s="3">
        <v>8.2963090000000008</v>
      </c>
      <c r="J6585" s="3">
        <v>8.7777899999999995</v>
      </c>
      <c r="K6585" s="3">
        <v>8.2963090000000008</v>
      </c>
      <c r="L6585" s="3">
        <v>144.609830184103</v>
      </c>
    </row>
    <row r="6586" spans="1:12" ht="15" customHeight="1" x14ac:dyDescent="0.2">
      <c r="A6586" s="2">
        <v>36488</v>
      </c>
      <c r="B6586" s="3">
        <v>8.3703830000000004</v>
      </c>
      <c r="C6586" s="1">
        <v>159974.76</v>
      </c>
      <c r="D6586" s="3"/>
      <c r="E6586" s="3"/>
      <c r="F6586" s="3"/>
      <c r="G6586" s="3">
        <v>8.3703830000000004</v>
      </c>
      <c r="H6586" s="3">
        <v>133.25665847621201</v>
      </c>
      <c r="I6586" s="3">
        <v>8.3333460000000006</v>
      </c>
      <c r="J6586" s="3">
        <v>8.4444569999999999</v>
      </c>
      <c r="K6586" s="3">
        <v>8.2963090000000008</v>
      </c>
      <c r="L6586" s="3">
        <v>133.25665847621201</v>
      </c>
    </row>
    <row r="6587" spans="1:12" ht="15" customHeight="1" x14ac:dyDescent="0.2">
      <c r="A6587" s="2">
        <v>36487</v>
      </c>
      <c r="B6587" s="3">
        <v>8.3703830000000004</v>
      </c>
      <c r="C6587" s="1">
        <v>94162.37</v>
      </c>
      <c r="D6587" s="3">
        <v>-0.42592600000000003</v>
      </c>
      <c r="E6587" s="3">
        <v>-4.84209911225265</v>
      </c>
      <c r="F6587" s="3">
        <v>-4.84209911225265</v>
      </c>
      <c r="G6587" s="3">
        <v>8.3703830000000004</v>
      </c>
      <c r="H6587" s="3">
        <v>133.25665847621201</v>
      </c>
      <c r="I6587" s="3">
        <v>8.8240879999999997</v>
      </c>
      <c r="J6587" s="3">
        <v>8.8703830000000004</v>
      </c>
      <c r="K6587" s="3">
        <v>8.2963090000000008</v>
      </c>
      <c r="L6587" s="3">
        <v>133.25665847621201</v>
      </c>
    </row>
    <row r="6588" spans="1:12" ht="15" customHeight="1" x14ac:dyDescent="0.2">
      <c r="A6588" s="2">
        <v>36486</v>
      </c>
      <c r="B6588" s="3">
        <v>8.7963090000000008</v>
      </c>
      <c r="C6588" s="1">
        <v>128924.83999999901</v>
      </c>
      <c r="D6588" s="3">
        <v>-1.85179999999984E-2</v>
      </c>
      <c r="E6588" s="3">
        <v>-0.210077860858737</v>
      </c>
      <c r="F6588" s="3">
        <v>-0.210077860858737</v>
      </c>
      <c r="G6588" s="3">
        <v>8.7963090000000008</v>
      </c>
      <c r="H6588" s="3">
        <v>145.125897377005</v>
      </c>
      <c r="I6588" s="3">
        <v>8.7963090000000008</v>
      </c>
      <c r="J6588" s="3">
        <v>8.8518640000000008</v>
      </c>
      <c r="K6588" s="3">
        <v>8.7407529999999998</v>
      </c>
      <c r="L6588" s="3">
        <v>145.125897377005</v>
      </c>
    </row>
    <row r="6589" spans="1:12" ht="15" customHeight="1" x14ac:dyDescent="0.2">
      <c r="A6589" s="2">
        <v>36483</v>
      </c>
      <c r="B6589" s="3">
        <v>8.8148269999999993</v>
      </c>
      <c r="C6589" s="1">
        <v>110362.34</v>
      </c>
      <c r="D6589" s="3">
        <v>3.7036999999999702E-2</v>
      </c>
      <c r="E6589" s="3">
        <v>0.421939918817826</v>
      </c>
      <c r="F6589" s="3">
        <v>0.421939918817826</v>
      </c>
      <c r="G6589" s="3">
        <v>8.8148269999999993</v>
      </c>
      <c r="H6589" s="3">
        <v>145.64193670300301</v>
      </c>
      <c r="I6589" s="3">
        <v>8.7592739999999996</v>
      </c>
      <c r="J6589" s="3">
        <v>8.8518640000000008</v>
      </c>
      <c r="K6589" s="3">
        <v>8.7222349999999995</v>
      </c>
      <c r="L6589" s="3">
        <v>145.64193670300301</v>
      </c>
    </row>
    <row r="6590" spans="1:12" ht="15" customHeight="1" x14ac:dyDescent="0.2">
      <c r="A6590" s="2">
        <v>36482</v>
      </c>
      <c r="B6590" s="3">
        <v>8.7777899999999995</v>
      </c>
      <c r="C6590" s="1">
        <v>110362.34</v>
      </c>
      <c r="D6590" s="3">
        <v>-0.111111000000001</v>
      </c>
      <c r="E6590" s="3">
        <v>-1.24999704687903</v>
      </c>
      <c r="F6590" s="3">
        <v>-1.24999704687903</v>
      </c>
      <c r="G6590" s="3">
        <v>8.7777899999999995</v>
      </c>
      <c r="H6590" s="3">
        <v>144.609830184103</v>
      </c>
      <c r="I6590" s="3">
        <v>8.8889019999999999</v>
      </c>
      <c r="J6590" s="3">
        <v>8.8889010000000006</v>
      </c>
      <c r="K6590" s="3">
        <v>8.7222349999999995</v>
      </c>
      <c r="L6590" s="3">
        <v>144.609830184103</v>
      </c>
    </row>
    <row r="6591" spans="1:12" ht="15" customHeight="1" x14ac:dyDescent="0.2">
      <c r="A6591" s="2">
        <v>36481</v>
      </c>
      <c r="B6591" s="3">
        <v>8.8889010000000006</v>
      </c>
      <c r="C6591" s="1">
        <v>57712.417999999998</v>
      </c>
      <c r="D6591" s="3">
        <v>-3.7037999999999002E-2</v>
      </c>
      <c r="E6591" s="3">
        <v>-0.41494793993100898</v>
      </c>
      <c r="F6591" s="3">
        <v>-0.41494793993100898</v>
      </c>
      <c r="G6591" s="3">
        <v>8.8889010000000006</v>
      </c>
      <c r="H6591" s="3">
        <v>147.70614974080101</v>
      </c>
      <c r="I6591" s="3">
        <v>8.8889019999999999</v>
      </c>
      <c r="J6591" s="3">
        <v>8.9814950000000007</v>
      </c>
      <c r="K6591" s="3">
        <v>8.8518640000000008</v>
      </c>
      <c r="L6591" s="3">
        <v>147.70614974080101</v>
      </c>
    </row>
    <row r="6592" spans="1:12" ht="15" customHeight="1" x14ac:dyDescent="0.2">
      <c r="A6592" s="2">
        <v>36480</v>
      </c>
      <c r="B6592" s="3">
        <v>8.9259389999999996</v>
      </c>
      <c r="C6592" s="1">
        <v>89099.87</v>
      </c>
      <c r="D6592" s="3">
        <v>0.33333299999999899</v>
      </c>
      <c r="E6592" s="3">
        <v>3.8793004124708999</v>
      </c>
      <c r="F6592" s="3">
        <v>3.8793004124708999</v>
      </c>
      <c r="G6592" s="3">
        <v>8.9259389999999996</v>
      </c>
      <c r="H6592" s="3">
        <v>148.73828412660399</v>
      </c>
      <c r="I6592" s="3">
        <v>8.592606</v>
      </c>
      <c r="J6592" s="3">
        <v>9.0000119999999999</v>
      </c>
      <c r="K6592" s="3">
        <v>8.592606</v>
      </c>
      <c r="L6592" s="3">
        <v>148.73828412660399</v>
      </c>
    </row>
    <row r="6593" spans="1:12" ht="15" customHeight="1" x14ac:dyDescent="0.2">
      <c r="A6593" s="2">
        <v>36479</v>
      </c>
      <c r="B6593" s="3">
        <v>8.592606</v>
      </c>
      <c r="C6593" s="1">
        <v>416474.37</v>
      </c>
      <c r="D6593" s="3">
        <v>-0.18518399999999899</v>
      </c>
      <c r="E6593" s="3">
        <v>-2.1096882016999601</v>
      </c>
      <c r="F6593" s="3">
        <v>-2.1096882016999601</v>
      </c>
      <c r="G6593" s="3">
        <v>8.592606</v>
      </c>
      <c r="H6593" s="3">
        <v>139.44932545651099</v>
      </c>
      <c r="I6593" s="3">
        <v>8.7037169999999993</v>
      </c>
      <c r="J6593" s="3">
        <v>8.7407529999999998</v>
      </c>
      <c r="K6593" s="3">
        <v>8.5555679999999992</v>
      </c>
      <c r="L6593" s="3">
        <v>139.44932545651099</v>
      </c>
    </row>
    <row r="6594" spans="1:12" ht="15" customHeight="1" x14ac:dyDescent="0.2">
      <c r="A6594" s="2">
        <v>36476</v>
      </c>
      <c r="B6594" s="3">
        <v>8.7777899999999995</v>
      </c>
      <c r="C6594" s="1">
        <v>374624.48</v>
      </c>
      <c r="D6594" s="3">
        <v>-0.25926100000000002</v>
      </c>
      <c r="E6594" s="3">
        <v>-2.86886728867636</v>
      </c>
      <c r="F6594" s="3">
        <v>-2.86886728867636</v>
      </c>
      <c r="G6594" s="3">
        <v>8.7777899999999995</v>
      </c>
      <c r="H6594" s="3">
        <v>144.609830184103</v>
      </c>
      <c r="I6594" s="3">
        <v>9.0555690000000002</v>
      </c>
      <c r="J6594" s="3">
        <v>9.0555690000000002</v>
      </c>
      <c r="K6594" s="3">
        <v>8.6666790000000002</v>
      </c>
      <c r="L6594" s="3">
        <v>144.609830184103</v>
      </c>
    </row>
    <row r="6595" spans="1:12" ht="15" customHeight="1" x14ac:dyDescent="0.2">
      <c r="A6595" s="2">
        <v>36475</v>
      </c>
      <c r="B6595" s="3">
        <v>9.0370509999999999</v>
      </c>
      <c r="C6595" s="1">
        <v>275737.12</v>
      </c>
      <c r="D6595" s="3">
        <v>-0.222222</v>
      </c>
      <c r="E6595" s="3">
        <v>-2.3999940384088401</v>
      </c>
      <c r="F6595" s="3">
        <v>-2.3999940384088401</v>
      </c>
      <c r="G6595" s="3">
        <v>9.0370509999999999</v>
      </c>
      <c r="H6595" s="3">
        <v>151.83463155020601</v>
      </c>
      <c r="I6595" s="3">
        <v>9.2592739999999996</v>
      </c>
      <c r="J6595" s="3">
        <v>9.2592730000000003</v>
      </c>
      <c r="K6595" s="3">
        <v>8.9629750000000001</v>
      </c>
      <c r="L6595" s="3">
        <v>151.83463155020601</v>
      </c>
    </row>
    <row r="6596" spans="1:12" ht="15" customHeight="1" x14ac:dyDescent="0.2">
      <c r="A6596" s="2">
        <v>36474</v>
      </c>
      <c r="B6596" s="3">
        <v>9.2592730000000003</v>
      </c>
      <c r="C6596" s="1">
        <v>107662.34600000001</v>
      </c>
      <c r="D6596" s="3">
        <v>0.111111000000001</v>
      </c>
      <c r="E6596" s="3">
        <v>1.21457184514224</v>
      </c>
      <c r="F6596" s="3">
        <v>1.21457184514224</v>
      </c>
      <c r="G6596" s="3">
        <v>9.2592730000000003</v>
      </c>
      <c r="H6596" s="3">
        <v>158.027270663601</v>
      </c>
      <c r="I6596" s="3">
        <v>9.092606</v>
      </c>
      <c r="J6596" s="3">
        <v>9.3333449999999996</v>
      </c>
      <c r="K6596" s="3">
        <v>9.0000119999999999</v>
      </c>
      <c r="L6596" s="3">
        <v>158.027270663601</v>
      </c>
    </row>
    <row r="6597" spans="1:12" ht="15" customHeight="1" x14ac:dyDescent="0.2">
      <c r="A6597" s="2">
        <v>36473</v>
      </c>
      <c r="B6597" s="3">
        <v>9.1481619999999992</v>
      </c>
      <c r="C6597" s="1">
        <v>164699.76999999999</v>
      </c>
      <c r="D6597" s="3">
        <v>0.16666699999999801</v>
      </c>
      <c r="E6597" s="3">
        <v>1.8556710213611201</v>
      </c>
      <c r="F6597" s="3">
        <v>1.8556710213611201</v>
      </c>
      <c r="G6597" s="3">
        <v>9.1481619999999992</v>
      </c>
      <c r="H6597" s="3">
        <v>154.93095110690399</v>
      </c>
      <c r="I6597" s="3">
        <v>9.0370509999999999</v>
      </c>
      <c r="J6597" s="3">
        <v>9.3333449999999996</v>
      </c>
      <c r="K6597" s="3">
        <v>8.8518640000000008</v>
      </c>
      <c r="L6597" s="3">
        <v>154.93095110690399</v>
      </c>
    </row>
    <row r="6598" spans="1:12" ht="15" customHeight="1" x14ac:dyDescent="0.2">
      <c r="A6598" s="2">
        <v>36472</v>
      </c>
      <c r="B6598" s="3">
        <v>8.9814950000000007</v>
      </c>
      <c r="C6598" s="1">
        <v>91799.865999999995</v>
      </c>
      <c r="D6598" s="3">
        <v>-0.351849999999998</v>
      </c>
      <c r="E6598" s="3">
        <v>-3.7698167163005198</v>
      </c>
      <c r="F6598" s="3">
        <v>-3.7698167163005198</v>
      </c>
      <c r="G6598" s="3">
        <v>8.9814950000000007</v>
      </c>
      <c r="H6598" s="3">
        <v>150.286457838405</v>
      </c>
      <c r="I6598" s="3">
        <v>9.2592739999999996</v>
      </c>
      <c r="J6598" s="3">
        <v>9.3703830000000004</v>
      </c>
      <c r="K6598" s="3">
        <v>8.9629750000000001</v>
      </c>
      <c r="L6598" s="3">
        <v>150.286457838405</v>
      </c>
    </row>
    <row r="6599" spans="1:12" ht="15" customHeight="1" x14ac:dyDescent="0.2">
      <c r="A6599" s="2">
        <v>36469</v>
      </c>
      <c r="B6599" s="3">
        <v>9.3333449999999996</v>
      </c>
      <c r="C6599" s="1">
        <v>139724.79999999999</v>
      </c>
      <c r="D6599" s="3">
        <v>0.148145999999998</v>
      </c>
      <c r="E6599" s="3">
        <v>1.6128774128900001</v>
      </c>
      <c r="F6599" s="3">
        <v>1.6128774128900001</v>
      </c>
      <c r="G6599" s="3">
        <v>9.3333449999999996</v>
      </c>
      <c r="H6599" s="3">
        <v>160.09142796759201</v>
      </c>
      <c r="I6599" s="3">
        <v>9.1852</v>
      </c>
      <c r="J6599" s="3">
        <v>9.3703830000000004</v>
      </c>
      <c r="K6599" s="3">
        <v>9.1851990000000008</v>
      </c>
      <c r="L6599" s="3">
        <v>160.09142796759201</v>
      </c>
    </row>
    <row r="6600" spans="1:12" ht="15" customHeight="1" x14ac:dyDescent="0.2">
      <c r="A6600" s="2">
        <v>36468</v>
      </c>
      <c r="B6600" s="3">
        <v>9.1851990000000008</v>
      </c>
      <c r="C6600" s="1">
        <v>174149.73</v>
      </c>
      <c r="D6600" s="3">
        <v>-0.222221999999998</v>
      </c>
      <c r="E6600" s="3">
        <v>-2.3621989491062299</v>
      </c>
      <c r="F6600" s="3">
        <v>-2.3621989491062299</v>
      </c>
      <c r="G6600" s="3">
        <v>9.1851990000000008</v>
      </c>
      <c r="H6600" s="3">
        <v>155.963057625803</v>
      </c>
      <c r="I6600" s="3">
        <v>9.3703830000000004</v>
      </c>
      <c r="J6600" s="3">
        <v>9.4444569999999999</v>
      </c>
      <c r="K6600" s="3">
        <v>9.1851990000000008</v>
      </c>
      <c r="L6600" s="3">
        <v>155.963057625803</v>
      </c>
    </row>
    <row r="6601" spans="1:12" ht="15" customHeight="1" x14ac:dyDescent="0.2">
      <c r="A6601" s="2">
        <v>36467</v>
      </c>
      <c r="B6601" s="3">
        <v>9.4074209999999994</v>
      </c>
      <c r="C6601" s="1">
        <v>954111.2</v>
      </c>
      <c r="D6601" s="3">
        <v>0.59259399999999995</v>
      </c>
      <c r="E6601" s="3">
        <v>6.7226957488785599</v>
      </c>
      <c r="F6601" s="3">
        <v>6.7226957488785599</v>
      </c>
      <c r="G6601" s="3">
        <v>9.4074209999999994</v>
      </c>
      <c r="H6601" s="3">
        <v>162.15569673919799</v>
      </c>
      <c r="I6601" s="3">
        <v>8.7592739999999996</v>
      </c>
      <c r="J6601" s="3">
        <v>9.6666799999999995</v>
      </c>
      <c r="K6601" s="3">
        <v>8.6898269999999993</v>
      </c>
      <c r="L6601" s="3">
        <v>162.15569673919799</v>
      </c>
    </row>
    <row r="6602" spans="1:12" ht="15" customHeight="1" x14ac:dyDescent="0.2">
      <c r="A6602" s="2">
        <v>36466</v>
      </c>
      <c r="B6602" s="3">
        <v>8.8148269999999993</v>
      </c>
      <c r="C6602" s="1">
        <v>192712.23</v>
      </c>
      <c r="D6602" s="3">
        <v>-7.4074000000001305E-2</v>
      </c>
      <c r="E6602" s="3">
        <v>-0.83333136458603096</v>
      </c>
      <c r="F6602" s="3">
        <v>-0.83333136458603096</v>
      </c>
      <c r="G6602" s="3">
        <v>8.8148269999999993</v>
      </c>
      <c r="H6602" s="3">
        <v>145.64193670300301</v>
      </c>
      <c r="I6602" s="3">
        <v>9.0000119999999999</v>
      </c>
      <c r="J6602" s="3">
        <v>9.0000119999999999</v>
      </c>
      <c r="K6602" s="3">
        <v>8.6666790000000002</v>
      </c>
      <c r="L6602" s="3">
        <v>145.64193670300301</v>
      </c>
    </row>
    <row r="6603" spans="1:12" ht="15" customHeight="1" x14ac:dyDescent="0.2">
      <c r="A6603" s="2">
        <v>36465</v>
      </c>
      <c r="B6603" s="3">
        <v>8.8889010000000006</v>
      </c>
      <c r="C6603" s="1">
        <v>262912.08</v>
      </c>
      <c r="D6603" s="3">
        <v>-0.18518499999999799</v>
      </c>
      <c r="E6603" s="3">
        <v>-2.0408116035047299</v>
      </c>
      <c r="F6603" s="3">
        <v>-2.0408116035047299</v>
      </c>
      <c r="G6603" s="3">
        <v>8.8889010000000006</v>
      </c>
      <c r="H6603" s="3">
        <v>147.70614974080101</v>
      </c>
      <c r="I6603" s="3">
        <v>9.1481619999999992</v>
      </c>
      <c r="J6603" s="3">
        <v>9.3333449999999996</v>
      </c>
      <c r="K6603" s="3">
        <v>8.8333449999999996</v>
      </c>
      <c r="L6603" s="3">
        <v>147.70614974080101</v>
      </c>
    </row>
    <row r="6604" spans="1:12" ht="15" customHeight="1" x14ac:dyDescent="0.2">
      <c r="A6604" s="2">
        <v>36462</v>
      </c>
      <c r="B6604" s="3">
        <v>9.0740859999999994</v>
      </c>
      <c r="C6604" s="1">
        <v>278437.09999999998</v>
      </c>
      <c r="D6604" s="3">
        <v>-0.111113000000001</v>
      </c>
      <c r="E6604" s="3">
        <v>-1.2096961644489199</v>
      </c>
      <c r="F6604" s="3">
        <v>-1.2096961644489199</v>
      </c>
      <c r="G6604" s="3">
        <v>9.0740859999999994</v>
      </c>
      <c r="H6604" s="3">
        <v>152.86668233529701</v>
      </c>
      <c r="I6604" s="3">
        <v>9.0740879999999997</v>
      </c>
      <c r="J6604" s="3">
        <v>9.2222360000000005</v>
      </c>
      <c r="K6604" s="3">
        <v>9.0000119999999999</v>
      </c>
      <c r="L6604" s="3">
        <v>152.86668233529701</v>
      </c>
    </row>
    <row r="6605" spans="1:12" ht="15" customHeight="1" x14ac:dyDescent="0.2">
      <c r="A6605" s="2">
        <v>36461</v>
      </c>
      <c r="B6605" s="3">
        <v>9.1851990000000008</v>
      </c>
      <c r="C6605" s="1">
        <v>621674.13</v>
      </c>
      <c r="D6605" s="3"/>
      <c r="E6605" s="3"/>
      <c r="F6605" s="3"/>
      <c r="G6605" s="3">
        <v>9.1851990000000008</v>
      </c>
      <c r="H6605" s="3">
        <v>155.963057625803</v>
      </c>
      <c r="I6605" s="3">
        <v>9.1852</v>
      </c>
      <c r="J6605" s="3">
        <v>9.7037180000000003</v>
      </c>
      <c r="K6605" s="3">
        <v>9.1111249999999995</v>
      </c>
      <c r="L6605" s="3">
        <v>155.963057625803</v>
      </c>
    </row>
    <row r="6606" spans="1:12" ht="15" customHeight="1" x14ac:dyDescent="0.2">
      <c r="A6606" s="2">
        <v>36460</v>
      </c>
      <c r="B6606" s="3">
        <v>9.1851990000000008</v>
      </c>
      <c r="C6606" s="1">
        <v>635511.6</v>
      </c>
      <c r="D6606" s="3">
        <v>0.27777999999999903</v>
      </c>
      <c r="E6606" s="3">
        <v>3.11852400790846</v>
      </c>
      <c r="F6606" s="3">
        <v>3.11852400790846</v>
      </c>
      <c r="G6606" s="3">
        <v>9.1851990000000008</v>
      </c>
      <c r="H6606" s="3">
        <v>155.963057625803</v>
      </c>
      <c r="I6606" s="3">
        <v>8.8889019999999999</v>
      </c>
      <c r="J6606" s="3">
        <v>9.1851990000000008</v>
      </c>
      <c r="K6606" s="3">
        <v>8.7777899999999995</v>
      </c>
      <c r="L6606" s="3">
        <v>155.963057625803</v>
      </c>
    </row>
    <row r="6607" spans="1:12" ht="15" customHeight="1" x14ac:dyDescent="0.2">
      <c r="A6607" s="2">
        <v>36459</v>
      </c>
      <c r="B6607" s="3">
        <v>8.9074190000000009</v>
      </c>
      <c r="C6607" s="1">
        <v>2276771.6999999899</v>
      </c>
      <c r="D6607" s="3">
        <v>0.48148099999999999</v>
      </c>
      <c r="E6607" s="3">
        <v>5.7142718116368796</v>
      </c>
      <c r="F6607" s="3">
        <v>5.7142718116368796</v>
      </c>
      <c r="G6607" s="3">
        <v>8.9074190000000009</v>
      </c>
      <c r="H6607" s="3">
        <v>148.22218906679899</v>
      </c>
      <c r="I6607" s="3">
        <v>8.592606</v>
      </c>
      <c r="J6607" s="3">
        <v>9.2407540000000008</v>
      </c>
      <c r="K6607" s="3">
        <v>8.4814930000000004</v>
      </c>
      <c r="L6607" s="3">
        <v>148.22218906679899</v>
      </c>
    </row>
    <row r="6608" spans="1:12" ht="15" customHeight="1" x14ac:dyDescent="0.2">
      <c r="A6608" s="2">
        <v>36458</v>
      </c>
      <c r="B6608" s="3">
        <v>8.4259380000000004</v>
      </c>
      <c r="C6608" s="1">
        <v>1139398.3</v>
      </c>
      <c r="D6608" s="3">
        <v>0.351852</v>
      </c>
      <c r="E6608" s="3">
        <v>4.3577935632590696</v>
      </c>
      <c r="F6608" s="3">
        <v>4.3577935632590696</v>
      </c>
      <c r="G6608" s="3">
        <v>8.4259380000000004</v>
      </c>
      <c r="H6608" s="3">
        <v>134.804804321109</v>
      </c>
      <c r="I6608" s="3">
        <v>8.148161</v>
      </c>
      <c r="J6608" s="3">
        <v>8.592606</v>
      </c>
      <c r="K6608" s="3">
        <v>7.9629744999999996</v>
      </c>
      <c r="L6608" s="3">
        <v>134.804804321109</v>
      </c>
    </row>
    <row r="6609" spans="1:12" ht="15" customHeight="1" x14ac:dyDescent="0.2">
      <c r="A6609" s="2">
        <v>36455</v>
      </c>
      <c r="B6609" s="3">
        <v>8.0740859999999994</v>
      </c>
      <c r="C6609" s="1">
        <v>475199.34</v>
      </c>
      <c r="D6609" s="3">
        <v>0.22222259999999899</v>
      </c>
      <c r="E6609" s="3">
        <v>2.8301893280517199</v>
      </c>
      <c r="F6609" s="3">
        <v>2.8301893280517199</v>
      </c>
      <c r="G6609" s="3">
        <v>8.0740859999999994</v>
      </c>
      <c r="H6609" s="3">
        <v>124.99977845811399</v>
      </c>
      <c r="I6609" s="3">
        <v>7.9629750000000001</v>
      </c>
      <c r="J6609" s="3">
        <v>8.2963090000000008</v>
      </c>
      <c r="K6609" s="3">
        <v>7.9259370000000002</v>
      </c>
      <c r="L6609" s="3">
        <v>124.99977845811399</v>
      </c>
    </row>
    <row r="6610" spans="1:12" ht="15" customHeight="1" x14ac:dyDescent="0.2">
      <c r="A6610" s="2">
        <v>36454</v>
      </c>
      <c r="B6610" s="3">
        <v>7.8518634</v>
      </c>
      <c r="C6610" s="1">
        <v>530549.26</v>
      </c>
      <c r="D6610" s="3">
        <v>4.6296400000000099E-2</v>
      </c>
      <c r="E6610" s="3">
        <v>0.59312026916173899</v>
      </c>
      <c r="F6610" s="3">
        <v>0.59312026916173899</v>
      </c>
      <c r="G6610" s="3">
        <v>7.8518634</v>
      </c>
      <c r="H6610" s="3">
        <v>118.807122624576</v>
      </c>
      <c r="I6610" s="3">
        <v>7.7870489999999997</v>
      </c>
      <c r="J6610" s="3">
        <v>7.8703820000000002</v>
      </c>
      <c r="K6610" s="3">
        <v>7.2592699999999999</v>
      </c>
      <c r="L6610" s="3">
        <v>118.807122624576</v>
      </c>
    </row>
    <row r="6611" spans="1:12" ht="15" customHeight="1" x14ac:dyDescent="0.2">
      <c r="A6611" s="2">
        <v>36453</v>
      </c>
      <c r="B6611" s="3">
        <v>7.8055669999999999</v>
      </c>
      <c r="C6611" s="1">
        <v>534261.80000000005</v>
      </c>
      <c r="D6611" s="3">
        <v>-7.4074000000000403E-2</v>
      </c>
      <c r="E6611" s="3">
        <v>-0.94006820869123597</v>
      </c>
      <c r="F6611" s="3">
        <v>-0.94006820869123597</v>
      </c>
      <c r="G6611" s="3">
        <v>7.8055669999999999</v>
      </c>
      <c r="H6611" s="3">
        <v>117.516985295916</v>
      </c>
      <c r="I6611" s="3">
        <v>7.9444556000000004</v>
      </c>
      <c r="J6611" s="3">
        <v>7.9444556000000004</v>
      </c>
      <c r="K6611" s="3">
        <v>7.7592699999999999</v>
      </c>
      <c r="L6611" s="3">
        <v>117.516985295916</v>
      </c>
    </row>
    <row r="6612" spans="1:12" ht="15" customHeight="1" x14ac:dyDescent="0.2">
      <c r="A6612" s="2">
        <v>36452</v>
      </c>
      <c r="B6612" s="3">
        <v>7.8796410000000003</v>
      </c>
      <c r="C6612" s="1">
        <v>229499.66</v>
      </c>
      <c r="D6612" s="3">
        <v>2.7777600000000201E-2</v>
      </c>
      <c r="E6612" s="3">
        <v>0.35377080044465198</v>
      </c>
      <c r="F6612" s="3">
        <v>0.35377080044465198</v>
      </c>
      <c r="G6612" s="3">
        <v>7.8796410000000003</v>
      </c>
      <c r="H6612" s="3">
        <v>119.58119833371499</v>
      </c>
      <c r="I6612" s="3">
        <v>7.8333440000000003</v>
      </c>
      <c r="J6612" s="3">
        <v>7.9629744999999996</v>
      </c>
      <c r="K6612" s="3">
        <v>7.8333440000000003</v>
      </c>
      <c r="L6612" s="3">
        <v>119.58119833371499</v>
      </c>
    </row>
    <row r="6613" spans="1:12" ht="15" customHeight="1" x14ac:dyDescent="0.2">
      <c r="A6613" s="2">
        <v>36451</v>
      </c>
      <c r="B6613" s="3">
        <v>7.8518634</v>
      </c>
      <c r="C6613" s="1">
        <v>195412.22999999899</v>
      </c>
      <c r="D6613" s="3">
        <v>-1.85186000000001E-2</v>
      </c>
      <c r="E6613" s="3">
        <v>-0.23529480525850099</v>
      </c>
      <c r="F6613" s="3">
        <v>-0.23529480525850099</v>
      </c>
      <c r="G6613" s="3">
        <v>7.8518634</v>
      </c>
      <c r="H6613" s="3">
        <v>118.807122624576</v>
      </c>
      <c r="I6613" s="3">
        <v>7.9444556000000004</v>
      </c>
      <c r="J6613" s="3">
        <v>8.0000105000000001</v>
      </c>
      <c r="K6613" s="3">
        <v>7.8148260000000001</v>
      </c>
      <c r="L6613" s="3">
        <v>118.807122624576</v>
      </c>
    </row>
    <row r="6614" spans="1:12" ht="15" customHeight="1" x14ac:dyDescent="0.2">
      <c r="A6614" s="2">
        <v>36448</v>
      </c>
      <c r="B6614" s="3">
        <v>7.8703820000000002</v>
      </c>
      <c r="C6614" s="1">
        <v>517049.2</v>
      </c>
      <c r="D6614" s="3"/>
      <c r="E6614" s="3"/>
      <c r="F6614" s="3"/>
      <c r="G6614" s="3">
        <v>7.8703820000000002</v>
      </c>
      <c r="H6614" s="3">
        <v>119.323178670716</v>
      </c>
      <c r="I6614" s="3">
        <v>7.8333440000000003</v>
      </c>
      <c r="J6614" s="3">
        <v>8.0555679999999992</v>
      </c>
      <c r="K6614" s="3">
        <v>7.7407516999999997</v>
      </c>
      <c r="L6614" s="3">
        <v>119.323178670716</v>
      </c>
    </row>
    <row r="6615" spans="1:12" ht="15" customHeight="1" x14ac:dyDescent="0.2">
      <c r="A6615" s="2">
        <v>36447</v>
      </c>
      <c r="B6615" s="3">
        <v>7.8703820000000002</v>
      </c>
      <c r="C6615" s="1">
        <v>249074.65</v>
      </c>
      <c r="D6615" s="3">
        <v>-0.111111</v>
      </c>
      <c r="E6615" s="3">
        <v>-1.3921079677699399</v>
      </c>
      <c r="F6615" s="3">
        <v>-1.3921079677699399</v>
      </c>
      <c r="G6615" s="3">
        <v>7.8703820000000002</v>
      </c>
      <c r="H6615" s="3">
        <v>119.323178670716</v>
      </c>
      <c r="I6615" s="3">
        <v>8.0000105000000001</v>
      </c>
      <c r="J6615" s="3">
        <v>8.0370500000000007</v>
      </c>
      <c r="K6615" s="3">
        <v>7.8148260000000001</v>
      </c>
      <c r="L6615" s="3">
        <v>119.323178670716</v>
      </c>
    </row>
    <row r="6616" spans="1:12" ht="15" customHeight="1" x14ac:dyDescent="0.2">
      <c r="A6616" s="2">
        <v>36446</v>
      </c>
      <c r="B6616" s="3">
        <v>7.9814930000000004</v>
      </c>
      <c r="C6616" s="1">
        <v>123862.319999999</v>
      </c>
      <c r="D6616" s="3">
        <v>0.148149</v>
      </c>
      <c r="E6616" s="3">
        <v>1.8912612544527501</v>
      </c>
      <c r="F6616" s="3">
        <v>1.8912612544527501</v>
      </c>
      <c r="G6616" s="3">
        <v>7.9814930000000004</v>
      </c>
      <c r="H6616" s="3">
        <v>122.419498227414</v>
      </c>
      <c r="I6616" s="3">
        <v>7.8889003000000004</v>
      </c>
      <c r="J6616" s="3">
        <v>8.0370500000000007</v>
      </c>
      <c r="K6616" s="3">
        <v>7.8148260000000001</v>
      </c>
      <c r="L6616" s="3">
        <v>122.419498227414</v>
      </c>
    </row>
    <row r="6617" spans="1:12" ht="15" customHeight="1" x14ac:dyDescent="0.2">
      <c r="A6617" s="2">
        <v>36445</v>
      </c>
      <c r="B6617" s="3">
        <v>7.8333440000000003</v>
      </c>
      <c r="C6617" s="1">
        <v>359774.48</v>
      </c>
      <c r="D6617" s="3"/>
      <c r="E6617" s="3"/>
      <c r="F6617" s="3"/>
      <c r="G6617" s="3">
        <v>7.8333440000000003</v>
      </c>
      <c r="H6617" s="3">
        <v>118.291044284913</v>
      </c>
      <c r="I6617" s="3">
        <v>7.9907526999999998</v>
      </c>
      <c r="J6617" s="3">
        <v>8.0740859999999994</v>
      </c>
      <c r="K6617" s="3">
        <v>7.8148260000000001</v>
      </c>
      <c r="L6617" s="3">
        <v>118.291044284913</v>
      </c>
    </row>
    <row r="6618" spans="1:12" ht="15" customHeight="1" x14ac:dyDescent="0.2">
      <c r="A6618" s="2">
        <v>36444</v>
      </c>
      <c r="B6618" s="3">
        <v>7.8333440000000003</v>
      </c>
      <c r="C6618" s="1">
        <v>540674.26</v>
      </c>
      <c r="D6618" s="3">
        <v>-0.351853999999999</v>
      </c>
      <c r="E6618" s="3">
        <v>-4.2986620482485396</v>
      </c>
      <c r="F6618" s="3">
        <v>-4.2986620482485396</v>
      </c>
      <c r="G6618" s="3">
        <v>7.8333440000000003</v>
      </c>
      <c r="H6618" s="3">
        <v>118.291044284913</v>
      </c>
      <c r="I6618" s="3">
        <v>8.148161</v>
      </c>
      <c r="J6618" s="3">
        <v>8.2222340000000003</v>
      </c>
      <c r="K6618" s="3">
        <v>7.7037149999999999</v>
      </c>
      <c r="L6618" s="3">
        <v>118.291044284913</v>
      </c>
    </row>
    <row r="6619" spans="1:12" ht="15" customHeight="1" x14ac:dyDescent="0.2">
      <c r="A6619" s="2">
        <v>36441</v>
      </c>
      <c r="B6619" s="3">
        <v>8.1851979999999998</v>
      </c>
      <c r="C6619" s="1">
        <v>218024.69</v>
      </c>
      <c r="D6619" s="3">
        <v>0.481482999999999</v>
      </c>
      <c r="E6619" s="3">
        <v>6.2500105468595404</v>
      </c>
      <c r="F6619" s="3">
        <v>6.2500105468595404</v>
      </c>
      <c r="G6619" s="3">
        <v>8.1851979999999998</v>
      </c>
      <c r="H6619" s="3">
        <v>128.09612588171501</v>
      </c>
      <c r="I6619" s="3">
        <v>7.7407516999999997</v>
      </c>
      <c r="J6619" s="3">
        <v>8.2222340000000003</v>
      </c>
      <c r="K6619" s="3">
        <v>7.7407516999999997</v>
      </c>
      <c r="L6619" s="3">
        <v>128.09612588171501</v>
      </c>
    </row>
    <row r="6620" spans="1:12" ht="15" customHeight="1" x14ac:dyDescent="0.2">
      <c r="A6620" s="2">
        <v>36440</v>
      </c>
      <c r="B6620" s="3">
        <v>7.7037149999999999</v>
      </c>
      <c r="C6620" s="1">
        <v>977061.1</v>
      </c>
      <c r="D6620" s="3">
        <v>-0.31481500000000001</v>
      </c>
      <c r="E6620" s="3">
        <v>-3.9260936855009598</v>
      </c>
      <c r="F6620" s="3">
        <v>-3.9260936855009598</v>
      </c>
      <c r="G6620" s="3">
        <v>7.7037149999999999</v>
      </c>
      <c r="H6620" s="3">
        <v>114.678685402217</v>
      </c>
      <c r="I6620" s="3">
        <v>8.0555679999999992</v>
      </c>
      <c r="J6620" s="3">
        <v>8.0555679999999992</v>
      </c>
      <c r="K6620" s="3">
        <v>7.5370483000000004</v>
      </c>
      <c r="L6620" s="3">
        <v>114.678685402217</v>
      </c>
    </row>
    <row r="6621" spans="1:12" ht="15" customHeight="1" x14ac:dyDescent="0.2">
      <c r="A6621" s="2">
        <v>36439</v>
      </c>
      <c r="B6621" s="3">
        <v>8.0185300000000002</v>
      </c>
      <c r="C6621" s="1">
        <v>914286.25</v>
      </c>
      <c r="D6621" s="3">
        <v>-0.28703799999999902</v>
      </c>
      <c r="E6621" s="3">
        <v>-3.4559707415555301</v>
      </c>
      <c r="F6621" s="3">
        <v>-3.4559707415555301</v>
      </c>
      <c r="G6621" s="3">
        <v>8.0185300000000002</v>
      </c>
      <c r="H6621" s="3">
        <v>123.451604746313</v>
      </c>
      <c r="I6621" s="3">
        <v>8.3333460000000006</v>
      </c>
      <c r="J6621" s="3">
        <v>8.3703830000000004</v>
      </c>
      <c r="K6621" s="3">
        <v>8.0000105000000001</v>
      </c>
      <c r="L6621" s="3">
        <v>123.451604746313</v>
      </c>
    </row>
    <row r="6622" spans="1:12" ht="15" customHeight="1" x14ac:dyDescent="0.2">
      <c r="A6622" s="2">
        <v>36438</v>
      </c>
      <c r="B6622" s="3">
        <v>8.3055679999999992</v>
      </c>
      <c r="C6622" s="1">
        <v>374286.96</v>
      </c>
      <c r="D6622" s="3">
        <v>0.56481629999999905</v>
      </c>
      <c r="E6622" s="3">
        <v>7.2966595737723896</v>
      </c>
      <c r="F6622" s="3">
        <v>7.2966595737723896</v>
      </c>
      <c r="G6622" s="3">
        <v>8.3055679999999992</v>
      </c>
      <c r="H6622" s="3">
        <v>131.45046510141199</v>
      </c>
      <c r="I6622" s="3">
        <v>7.7777905000000001</v>
      </c>
      <c r="J6622" s="3">
        <v>8.3333449999999996</v>
      </c>
      <c r="K6622" s="3">
        <v>7.7037149999999999</v>
      </c>
      <c r="L6622" s="3">
        <v>131.45046510141199</v>
      </c>
    </row>
    <row r="6623" spans="1:12" ht="15" customHeight="1" x14ac:dyDescent="0.2">
      <c r="A6623" s="2">
        <v>36437</v>
      </c>
      <c r="B6623" s="3">
        <v>7.7407516999999997</v>
      </c>
      <c r="C6623" s="1">
        <v>1447197.9</v>
      </c>
      <c r="D6623" s="3">
        <v>-0.39814729999999998</v>
      </c>
      <c r="E6623" s="3">
        <v>-4.8919061411131999</v>
      </c>
      <c r="F6623" s="3">
        <v>-4.8919061411131999</v>
      </c>
      <c r="G6623" s="3">
        <v>7.7407516999999997</v>
      </c>
      <c r="H6623" s="3">
        <v>115.71078356104501</v>
      </c>
      <c r="I6623" s="3">
        <v>8.148161</v>
      </c>
      <c r="J6623" s="3">
        <v>8.148161</v>
      </c>
      <c r="K6623" s="3">
        <v>7.2963060000000004</v>
      </c>
      <c r="L6623" s="3">
        <v>115.71078356104501</v>
      </c>
    </row>
    <row r="6624" spans="1:12" ht="15" customHeight="1" x14ac:dyDescent="0.2">
      <c r="A6624" s="2">
        <v>36434</v>
      </c>
      <c r="B6624" s="3">
        <v>8.1388990000000003</v>
      </c>
      <c r="C6624" s="1">
        <v>224099.69</v>
      </c>
      <c r="D6624" s="3">
        <v>-8.3334999999999895E-2</v>
      </c>
      <c r="E6624" s="3">
        <v>-1.0135323319672001</v>
      </c>
      <c r="F6624" s="3">
        <v>-1.0135323319672001</v>
      </c>
      <c r="G6624" s="3">
        <v>8.1388990000000003</v>
      </c>
      <c r="H6624" s="3">
        <v>126.805916099106</v>
      </c>
      <c r="I6624" s="3">
        <v>8.2222360000000005</v>
      </c>
      <c r="J6624" s="3">
        <v>8.2222340000000003</v>
      </c>
      <c r="K6624" s="3">
        <v>8.0000105000000001</v>
      </c>
      <c r="L6624" s="3">
        <v>126.805916099106</v>
      </c>
    </row>
    <row r="6625" spans="1:12" ht="15" customHeight="1" x14ac:dyDescent="0.2">
      <c r="A6625" s="2">
        <v>36433</v>
      </c>
      <c r="B6625" s="3">
        <v>8.2222340000000003</v>
      </c>
      <c r="C6625" s="1">
        <v>499161.77</v>
      </c>
      <c r="D6625" s="3">
        <v>-0.40740799999999999</v>
      </c>
      <c r="E6625" s="3">
        <v>-4.7210301423859704</v>
      </c>
      <c r="F6625" s="3">
        <v>-4.7210301423859704</v>
      </c>
      <c r="G6625" s="3">
        <v>8.2222340000000003</v>
      </c>
      <c r="H6625" s="3">
        <v>129.128204533711</v>
      </c>
      <c r="I6625" s="3">
        <v>8.592606</v>
      </c>
      <c r="J6625" s="3">
        <v>8.6666790000000002</v>
      </c>
      <c r="K6625" s="3">
        <v>7.9814930000000004</v>
      </c>
      <c r="L6625" s="3">
        <v>129.128204533711</v>
      </c>
    </row>
    <row r="6626" spans="1:12" ht="15" customHeight="1" x14ac:dyDescent="0.2">
      <c r="A6626" s="2">
        <v>36432</v>
      </c>
      <c r="B6626" s="3">
        <v>8.6296420000000005</v>
      </c>
      <c r="C6626" s="1">
        <v>164024.76999999999</v>
      </c>
      <c r="D6626" s="3">
        <v>-3.7036999999999702E-2</v>
      </c>
      <c r="E6626" s="3">
        <v>-0.427349391848941</v>
      </c>
      <c r="F6626" s="3">
        <v>-0.427349391848941</v>
      </c>
      <c r="G6626" s="3">
        <v>8.6296420000000005</v>
      </c>
      <c r="H6626" s="3">
        <v>140.48140410850601</v>
      </c>
      <c r="I6626" s="3">
        <v>8.592606</v>
      </c>
      <c r="J6626" s="3">
        <v>8.703716</v>
      </c>
      <c r="K6626" s="3">
        <v>8.5185309999999994</v>
      </c>
      <c r="L6626" s="3">
        <v>140.48140410850601</v>
      </c>
    </row>
    <row r="6627" spans="1:12" ht="15" customHeight="1" x14ac:dyDescent="0.2">
      <c r="A6627" s="2">
        <v>36431</v>
      </c>
      <c r="B6627" s="3">
        <v>8.6666790000000002</v>
      </c>
      <c r="C6627" s="1">
        <v>637199.1</v>
      </c>
      <c r="D6627" s="3">
        <v>0.111111000000001</v>
      </c>
      <c r="E6627" s="3">
        <v>1.2986981109845701</v>
      </c>
      <c r="F6627" s="3">
        <v>1.2986981109845701</v>
      </c>
      <c r="G6627" s="3">
        <v>8.6666790000000002</v>
      </c>
      <c r="H6627" s="3">
        <v>141.51351062740599</v>
      </c>
      <c r="I6627" s="3">
        <v>8.592606</v>
      </c>
      <c r="J6627" s="3">
        <v>9.0370509999999999</v>
      </c>
      <c r="K6627" s="3">
        <v>8.4444569999999999</v>
      </c>
      <c r="L6627" s="3">
        <v>141.51351062740599</v>
      </c>
    </row>
    <row r="6628" spans="1:12" ht="15" customHeight="1" x14ac:dyDescent="0.2">
      <c r="A6628" s="2">
        <v>36430</v>
      </c>
      <c r="B6628" s="3">
        <v>8.5555679999999992</v>
      </c>
      <c r="C6628" s="1">
        <v>317924.56</v>
      </c>
      <c r="D6628" s="3">
        <v>7.4074999999998697E-2</v>
      </c>
      <c r="E6628" s="3">
        <v>0.87337217633733899</v>
      </c>
      <c r="F6628" s="3">
        <v>0.87337217633733899</v>
      </c>
      <c r="G6628" s="3">
        <v>8.5555679999999992</v>
      </c>
      <c r="H6628" s="3">
        <v>138.41719107070799</v>
      </c>
      <c r="I6628" s="3">
        <v>8.4259404999999994</v>
      </c>
      <c r="J6628" s="3">
        <v>8.8518640000000008</v>
      </c>
      <c r="K6628" s="3">
        <v>8.3333449999999996</v>
      </c>
      <c r="L6628" s="3">
        <v>138.41719107070799</v>
      </c>
    </row>
    <row r="6629" spans="1:12" ht="15" customHeight="1" x14ac:dyDescent="0.2">
      <c r="A6629" s="2">
        <v>36427</v>
      </c>
      <c r="B6629" s="3">
        <v>8.4814930000000004</v>
      </c>
      <c r="C6629" s="1">
        <v>330074.52</v>
      </c>
      <c r="D6629" s="3">
        <v>0.12963</v>
      </c>
      <c r="E6629" s="3">
        <v>1.5521087929722901</v>
      </c>
      <c r="F6629" s="3">
        <v>1.5521087929722901</v>
      </c>
      <c r="G6629" s="3">
        <v>8.4814930000000004</v>
      </c>
      <c r="H6629" s="3">
        <v>136.352950166005</v>
      </c>
      <c r="I6629" s="3">
        <v>8.3703830000000004</v>
      </c>
      <c r="J6629" s="3">
        <v>8.4814930000000004</v>
      </c>
      <c r="K6629" s="3">
        <v>8.0740859999999994</v>
      </c>
      <c r="L6629" s="3">
        <v>136.352950166005</v>
      </c>
    </row>
    <row r="6630" spans="1:12" ht="15" customHeight="1" x14ac:dyDescent="0.2">
      <c r="A6630" s="2">
        <v>36426</v>
      </c>
      <c r="B6630" s="3">
        <v>8.3518629999999998</v>
      </c>
      <c r="C6630" s="1">
        <v>112387.344</v>
      </c>
      <c r="D6630" s="3">
        <v>1.8518000000000201E-2</v>
      </c>
      <c r="E6630" s="3">
        <v>0.222215688898042</v>
      </c>
      <c r="F6630" s="3">
        <v>0.222215688898042</v>
      </c>
      <c r="G6630" s="3">
        <v>8.3518629999999998</v>
      </c>
      <c r="H6630" s="3">
        <v>132.74056341640599</v>
      </c>
      <c r="I6630" s="3">
        <v>8.3333460000000006</v>
      </c>
      <c r="J6630" s="3">
        <v>8.4444569999999999</v>
      </c>
      <c r="K6630" s="3">
        <v>8.2963090000000008</v>
      </c>
      <c r="L6630" s="3">
        <v>132.74056341640599</v>
      </c>
    </row>
    <row r="6631" spans="1:12" ht="15" customHeight="1" x14ac:dyDescent="0.2">
      <c r="A6631" s="2">
        <v>36425</v>
      </c>
      <c r="B6631" s="3">
        <v>8.3333449999999996</v>
      </c>
      <c r="C6631" s="1">
        <v>102937.349999999</v>
      </c>
      <c r="D6631" s="3">
        <v>-0.148148</v>
      </c>
      <c r="E6631" s="3">
        <v>-1.7467207719207001</v>
      </c>
      <c r="F6631" s="3">
        <v>-1.7467207719207001</v>
      </c>
      <c r="G6631" s="3">
        <v>8.3333449999999996</v>
      </c>
      <c r="H6631" s="3">
        <v>132.22452409040801</v>
      </c>
      <c r="I6631" s="3">
        <v>8.5185320000000004</v>
      </c>
      <c r="J6631" s="3">
        <v>8.5555679999999992</v>
      </c>
      <c r="K6631" s="3">
        <v>8.2222340000000003</v>
      </c>
      <c r="L6631" s="3">
        <v>132.22452409040801</v>
      </c>
    </row>
    <row r="6632" spans="1:12" ht="15" customHeight="1" x14ac:dyDescent="0.2">
      <c r="A6632" s="2">
        <v>36424</v>
      </c>
      <c r="B6632" s="3">
        <v>8.4814930000000004</v>
      </c>
      <c r="C6632" s="1">
        <v>94162.37</v>
      </c>
      <c r="D6632" s="3">
        <v>0.222222</v>
      </c>
      <c r="E6632" s="3">
        <v>2.6905764443375202</v>
      </c>
      <c r="F6632" s="3">
        <v>2.6905764443375202</v>
      </c>
      <c r="G6632" s="3">
        <v>8.4814930000000004</v>
      </c>
      <c r="H6632" s="3">
        <v>136.352950166005</v>
      </c>
      <c r="I6632" s="3">
        <v>8.2777910000000006</v>
      </c>
      <c r="J6632" s="3">
        <v>8.5555679999999992</v>
      </c>
      <c r="K6632" s="3">
        <v>8.259271</v>
      </c>
      <c r="L6632" s="3">
        <v>136.352950166005</v>
      </c>
    </row>
    <row r="6633" spans="1:12" ht="15" customHeight="1" x14ac:dyDescent="0.2">
      <c r="A6633" s="2">
        <v>36423</v>
      </c>
      <c r="B6633" s="3">
        <v>8.259271</v>
      </c>
      <c r="C6633" s="1">
        <v>303749.57</v>
      </c>
      <c r="D6633" s="3">
        <v>-0.18518599999999899</v>
      </c>
      <c r="E6633" s="3">
        <v>-2.1929888446349999</v>
      </c>
      <c r="F6633" s="3">
        <v>-2.1929888446349999</v>
      </c>
      <c r="G6633" s="3">
        <v>8.259271</v>
      </c>
      <c r="H6633" s="3">
        <v>130.16031105261001</v>
      </c>
      <c r="I6633" s="3">
        <v>8.5000140000000002</v>
      </c>
      <c r="J6633" s="3">
        <v>8.6296420000000005</v>
      </c>
      <c r="K6633" s="3">
        <v>8.2222340000000003</v>
      </c>
      <c r="L6633" s="3">
        <v>130.16031105261001</v>
      </c>
    </row>
    <row r="6634" spans="1:12" ht="15" customHeight="1" x14ac:dyDescent="0.2">
      <c r="A6634" s="2">
        <v>36420</v>
      </c>
      <c r="B6634" s="3">
        <v>8.4444569999999999</v>
      </c>
      <c r="C6634" s="1">
        <v>360111.97</v>
      </c>
      <c r="D6634" s="3">
        <v>-7.4073999999999501E-2</v>
      </c>
      <c r="E6634" s="3">
        <v>-0.86956307372714203</v>
      </c>
      <c r="F6634" s="3">
        <v>-0.86956307372714203</v>
      </c>
      <c r="G6634" s="3">
        <v>8.4444569999999999</v>
      </c>
      <c r="H6634" s="3">
        <v>135.32087151401001</v>
      </c>
      <c r="I6634" s="3">
        <v>8.7037169999999993</v>
      </c>
      <c r="J6634" s="3">
        <v>8.9444569999999999</v>
      </c>
      <c r="K6634" s="3">
        <v>8.2963090000000008</v>
      </c>
      <c r="L6634" s="3">
        <v>135.32087151401001</v>
      </c>
    </row>
    <row r="6635" spans="1:12" ht="15" customHeight="1" x14ac:dyDescent="0.2">
      <c r="A6635" s="2">
        <v>36419</v>
      </c>
      <c r="B6635" s="3">
        <v>8.5185309999999994</v>
      </c>
      <c r="C6635" s="1">
        <v>283162.08</v>
      </c>
      <c r="D6635" s="3">
        <v>-0.222222</v>
      </c>
      <c r="E6635" s="3">
        <v>-2.5423667732059201</v>
      </c>
      <c r="F6635" s="3">
        <v>-2.5423667732059201</v>
      </c>
      <c r="G6635" s="3">
        <v>8.5185309999999994</v>
      </c>
      <c r="H6635" s="3">
        <v>137.385084551809</v>
      </c>
      <c r="I6635" s="3">
        <v>8.7222360000000005</v>
      </c>
      <c r="J6635" s="3">
        <v>8.7777899999999995</v>
      </c>
      <c r="K6635" s="3">
        <v>8.2963090000000008</v>
      </c>
      <c r="L6635" s="3">
        <v>137.385084551809</v>
      </c>
    </row>
    <row r="6636" spans="1:12" ht="15" customHeight="1" x14ac:dyDescent="0.2">
      <c r="A6636" s="2">
        <v>36418</v>
      </c>
      <c r="B6636" s="3">
        <v>8.7407529999999998</v>
      </c>
      <c r="C6636" s="1">
        <v>284174.59999999998</v>
      </c>
      <c r="D6636" s="3">
        <v>-0.37037199999999898</v>
      </c>
      <c r="E6636" s="3">
        <v>-4.0650523398592302</v>
      </c>
      <c r="F6636" s="3">
        <v>-4.0650523398592302</v>
      </c>
      <c r="G6636" s="3">
        <v>8.7407529999999998</v>
      </c>
      <c r="H6636" s="3">
        <v>143.57772366520399</v>
      </c>
      <c r="I6636" s="3">
        <v>9.1111249999999995</v>
      </c>
      <c r="J6636" s="3">
        <v>9.1111249999999995</v>
      </c>
      <c r="K6636" s="3">
        <v>8.2963090000000008</v>
      </c>
      <c r="L6636" s="3">
        <v>143.57772366520399</v>
      </c>
    </row>
    <row r="6637" spans="1:12" ht="15" customHeight="1" x14ac:dyDescent="0.2">
      <c r="A6637" s="2">
        <v>36417</v>
      </c>
      <c r="B6637" s="3">
        <v>9.1111249999999995</v>
      </c>
      <c r="C6637" s="1">
        <v>52312.423999999999</v>
      </c>
      <c r="D6637" s="3">
        <v>7.4073999999999501E-2</v>
      </c>
      <c r="E6637" s="3">
        <v>0.81967004501799501</v>
      </c>
      <c r="F6637" s="3">
        <v>0.81967004501799501</v>
      </c>
      <c r="G6637" s="3">
        <v>9.1111249999999995</v>
      </c>
      <c r="H6637" s="3">
        <v>153.89884458800401</v>
      </c>
      <c r="I6637" s="3">
        <v>9.092606</v>
      </c>
      <c r="J6637" s="3">
        <v>9.1111249999999995</v>
      </c>
      <c r="K6637" s="3">
        <v>8.9074190000000009</v>
      </c>
      <c r="L6637" s="3">
        <v>153.89884458800401</v>
      </c>
    </row>
    <row r="6638" spans="1:12" ht="15" customHeight="1" x14ac:dyDescent="0.2">
      <c r="A6638" s="2">
        <v>36416</v>
      </c>
      <c r="B6638" s="3">
        <v>9.0370509999999999</v>
      </c>
      <c r="C6638" s="1">
        <v>110699.844</v>
      </c>
      <c r="D6638" s="3">
        <v>1.8520000000000501E-2</v>
      </c>
      <c r="E6638" s="3">
        <v>0.20535495193174599</v>
      </c>
      <c r="F6638" s="3">
        <v>0.20535495193174599</v>
      </c>
      <c r="G6638" s="3">
        <v>9.0370509999999999</v>
      </c>
      <c r="H6638" s="3">
        <v>151.83463155020601</v>
      </c>
      <c r="I6638" s="3">
        <v>9.0370509999999999</v>
      </c>
      <c r="J6638" s="3">
        <v>9.2222360000000005</v>
      </c>
      <c r="K6638" s="3">
        <v>9.0370509999999999</v>
      </c>
      <c r="L6638" s="3">
        <v>151.83463155020601</v>
      </c>
    </row>
    <row r="6639" spans="1:12" ht="15" customHeight="1" x14ac:dyDescent="0.2">
      <c r="A6639" s="2">
        <v>36413</v>
      </c>
      <c r="B6639" s="3">
        <v>9.0185309999999994</v>
      </c>
      <c r="C6639" s="1">
        <v>479586.82</v>
      </c>
      <c r="D6639" s="3">
        <v>-0.24074200000000001</v>
      </c>
      <c r="E6639" s="3">
        <v>-2.6000097415855499</v>
      </c>
      <c r="F6639" s="3">
        <v>-2.6000097415855499</v>
      </c>
      <c r="G6639" s="3">
        <v>9.0185309999999994</v>
      </c>
      <c r="H6639" s="3">
        <v>151.31853649039999</v>
      </c>
      <c r="I6639" s="3">
        <v>9.2592739999999996</v>
      </c>
      <c r="J6639" s="3">
        <v>9.3333449999999996</v>
      </c>
      <c r="K6639" s="3">
        <v>8.9259389999999996</v>
      </c>
      <c r="L6639" s="3">
        <v>151.31853649039999</v>
      </c>
    </row>
    <row r="6640" spans="1:12" ht="15" customHeight="1" x14ac:dyDescent="0.2">
      <c r="A6640" s="2">
        <v>36412</v>
      </c>
      <c r="B6640" s="3">
        <v>9.2592730000000003</v>
      </c>
      <c r="C6640" s="1">
        <v>93824.87</v>
      </c>
      <c r="D6640" s="3">
        <v>1.8518999999999501E-2</v>
      </c>
      <c r="E6640" s="3">
        <v>0.20040572446793301</v>
      </c>
      <c r="F6640" s="3">
        <v>0.20040572446793301</v>
      </c>
      <c r="G6640" s="3">
        <v>9.2592730000000003</v>
      </c>
      <c r="H6640" s="3">
        <v>158.027270663601</v>
      </c>
      <c r="I6640" s="3">
        <v>9.3333480000000009</v>
      </c>
      <c r="J6640" s="3">
        <v>9.3703830000000004</v>
      </c>
      <c r="K6640" s="3">
        <v>9.2222360000000005</v>
      </c>
      <c r="L6640" s="3">
        <v>158.027270663601</v>
      </c>
    </row>
    <row r="6641" spans="1:12" ht="15" customHeight="1" x14ac:dyDescent="0.2">
      <c r="A6641" s="2">
        <v>36411</v>
      </c>
      <c r="B6641" s="3">
        <v>9.2407540000000008</v>
      </c>
      <c r="C6641" s="1">
        <v>237937.16</v>
      </c>
      <c r="D6641" s="3">
        <v>-9.2590999999998702E-2</v>
      </c>
      <c r="E6641" s="3">
        <v>-0.99204518851493395</v>
      </c>
      <c r="F6641" s="3">
        <v>-0.99204518851493395</v>
      </c>
      <c r="G6641" s="3">
        <v>9.2407540000000008</v>
      </c>
      <c r="H6641" s="3">
        <v>157.5112034707</v>
      </c>
      <c r="I6641" s="3">
        <v>9.1666810000000005</v>
      </c>
      <c r="J6641" s="3">
        <v>9.5555690000000002</v>
      </c>
      <c r="K6641" s="3">
        <v>9.1481619999999992</v>
      </c>
      <c r="L6641" s="3">
        <v>157.5112034707</v>
      </c>
    </row>
    <row r="6642" spans="1:12" ht="15" customHeight="1" x14ac:dyDescent="0.2">
      <c r="A6642" s="2">
        <v>36410</v>
      </c>
      <c r="B6642" s="3">
        <v>9.3333449999999996</v>
      </c>
      <c r="C6642" s="1">
        <v>229837.16999999899</v>
      </c>
      <c r="D6642" s="3"/>
      <c r="E6642" s="3"/>
      <c r="F6642" s="3"/>
      <c r="G6642" s="3">
        <v>9.3333449999999996</v>
      </c>
      <c r="H6642" s="3">
        <v>160.09142796759201</v>
      </c>
      <c r="I6642" s="3">
        <v>9.2963090000000008</v>
      </c>
      <c r="J6642" s="3">
        <v>9.3333449999999996</v>
      </c>
      <c r="K6642" s="3">
        <v>9.0740859999999994</v>
      </c>
      <c r="L6642" s="3">
        <v>160.09142796759201</v>
      </c>
    </row>
    <row r="6643" spans="1:12" ht="15" customHeight="1" x14ac:dyDescent="0.2">
      <c r="A6643" s="2">
        <v>36406</v>
      </c>
      <c r="B6643" s="3">
        <v>9.3333449999999996</v>
      </c>
      <c r="C6643" s="1">
        <v>423899.38</v>
      </c>
      <c r="D6643" s="3">
        <v>0.20370250000000001</v>
      </c>
      <c r="E6643" s="3">
        <v>2.2312209924977902</v>
      </c>
      <c r="F6643" s="3">
        <v>2.2312209924977902</v>
      </c>
      <c r="G6643" s="3">
        <v>9.3333449999999996</v>
      </c>
      <c r="H6643" s="3">
        <v>160.09142796759201</v>
      </c>
      <c r="I6643" s="3">
        <v>9.2592739999999996</v>
      </c>
      <c r="J6643" s="3">
        <v>9.4444569999999999</v>
      </c>
      <c r="K6643" s="3">
        <v>9.2222360000000005</v>
      </c>
      <c r="L6643" s="3">
        <v>160.09142796759201</v>
      </c>
    </row>
    <row r="6644" spans="1:12" ht="15" customHeight="1" x14ac:dyDescent="0.2">
      <c r="A6644" s="2">
        <v>36405</v>
      </c>
      <c r="B6644" s="3">
        <v>9.1296424999999992</v>
      </c>
      <c r="C6644" s="1">
        <v>219374.69999999899</v>
      </c>
      <c r="D6644" s="3">
        <v>-0.14814949999999999</v>
      </c>
      <c r="E6644" s="3">
        <v>-1.59681851026624</v>
      </c>
      <c r="F6644" s="3">
        <v>-1.59681851026624</v>
      </c>
      <c r="G6644" s="3">
        <v>9.1296424999999992</v>
      </c>
      <c r="H6644" s="3">
        <v>154.41486998055001</v>
      </c>
      <c r="I6644" s="3">
        <v>9.1944590000000002</v>
      </c>
      <c r="J6644" s="3">
        <v>9.2222360000000005</v>
      </c>
      <c r="K6644" s="3">
        <v>9.0370509999999999</v>
      </c>
      <c r="L6644" s="3">
        <v>154.41486998055001</v>
      </c>
    </row>
    <row r="6645" spans="1:12" ht="15" customHeight="1" x14ac:dyDescent="0.2">
      <c r="A6645" s="2">
        <v>36404</v>
      </c>
      <c r="B6645" s="3">
        <v>9.2777919999999998</v>
      </c>
      <c r="C6645" s="1">
        <v>251774.64</v>
      </c>
      <c r="D6645" s="3">
        <v>0.31481699999999901</v>
      </c>
      <c r="E6645" s="3">
        <v>3.5124163572920599</v>
      </c>
      <c r="F6645" s="3">
        <v>3.5124163572920599</v>
      </c>
      <c r="G6645" s="3">
        <v>9.2777919999999998</v>
      </c>
      <c r="H6645" s="3">
        <v>158.543337856503</v>
      </c>
      <c r="I6645" s="3">
        <v>9.0555690000000002</v>
      </c>
      <c r="J6645" s="3">
        <v>9.2963090000000008</v>
      </c>
      <c r="K6645" s="3">
        <v>8.9629750000000001</v>
      </c>
      <c r="L6645" s="3">
        <v>158.543337856503</v>
      </c>
    </row>
    <row r="6646" spans="1:12" ht="15" customHeight="1" x14ac:dyDescent="0.2">
      <c r="A6646" s="2">
        <v>36403</v>
      </c>
      <c r="B6646" s="3">
        <v>8.9629750000000001</v>
      </c>
      <c r="C6646" s="1">
        <v>295312.03999999998</v>
      </c>
      <c r="D6646" s="3">
        <v>-0.203704999999999</v>
      </c>
      <c r="E6646" s="3">
        <v>-2.2222331312972501</v>
      </c>
      <c r="F6646" s="3">
        <v>-2.2222331312972501</v>
      </c>
      <c r="G6646" s="3">
        <v>8.9629750000000001</v>
      </c>
      <c r="H6646" s="3">
        <v>149.7703627786</v>
      </c>
      <c r="I6646" s="3">
        <v>9.1389040000000001</v>
      </c>
      <c r="J6646" s="3">
        <v>9.1666799999999995</v>
      </c>
      <c r="K6646" s="3">
        <v>8.8518640000000008</v>
      </c>
      <c r="L6646" s="3">
        <v>149.7703627786</v>
      </c>
    </row>
    <row r="6647" spans="1:12" ht="15" customHeight="1" x14ac:dyDescent="0.2">
      <c r="A6647" s="2">
        <v>36402</v>
      </c>
      <c r="B6647" s="3">
        <v>9.1666799999999995</v>
      </c>
      <c r="C6647" s="1">
        <v>312187.07</v>
      </c>
      <c r="D6647" s="3">
        <v>1.8518000000000201E-2</v>
      </c>
      <c r="E6647" s="3">
        <v>0.202423175278276</v>
      </c>
      <c r="F6647" s="3">
        <v>0.202423175278276</v>
      </c>
      <c r="G6647" s="3">
        <v>9.1666799999999995</v>
      </c>
      <c r="H6647" s="3">
        <v>155.446990432901</v>
      </c>
      <c r="I6647" s="3">
        <v>9.0740879999999997</v>
      </c>
      <c r="J6647" s="3">
        <v>9.2222360000000005</v>
      </c>
      <c r="K6647" s="3">
        <v>9.0370509999999999</v>
      </c>
      <c r="L6647" s="3">
        <v>155.446990432901</v>
      </c>
    </row>
    <row r="6648" spans="1:12" ht="15" customHeight="1" x14ac:dyDescent="0.2">
      <c r="A6648" s="2">
        <v>36399</v>
      </c>
      <c r="B6648" s="3">
        <v>9.1481619999999992</v>
      </c>
      <c r="C6648" s="1">
        <v>291262.12</v>
      </c>
      <c r="D6648" s="3">
        <v>-0.111111000000001</v>
      </c>
      <c r="E6648" s="3">
        <v>-1.19999701920443</v>
      </c>
      <c r="F6648" s="3">
        <v>-1.19999701920443</v>
      </c>
      <c r="G6648" s="3">
        <v>9.1481619999999992</v>
      </c>
      <c r="H6648" s="3">
        <v>154.93095110690399</v>
      </c>
      <c r="I6648" s="3">
        <v>9.2592739999999996</v>
      </c>
      <c r="J6648" s="3">
        <v>9.3333449999999996</v>
      </c>
      <c r="K6648" s="3">
        <v>9.0740859999999994</v>
      </c>
      <c r="L6648" s="3">
        <v>154.93095110690399</v>
      </c>
    </row>
    <row r="6649" spans="1:12" ht="15" customHeight="1" x14ac:dyDescent="0.2">
      <c r="A6649" s="2">
        <v>36398</v>
      </c>
      <c r="B6649" s="3">
        <v>9.2592730000000003</v>
      </c>
      <c r="C6649" s="1">
        <v>677361.5</v>
      </c>
      <c r="D6649" s="3">
        <v>0.29629800000000001</v>
      </c>
      <c r="E6649" s="3">
        <v>3.30579969262438</v>
      </c>
      <c r="F6649" s="3">
        <v>3.30579969262438</v>
      </c>
      <c r="G6649" s="3">
        <v>9.2592730000000003</v>
      </c>
      <c r="H6649" s="3">
        <v>158.027270663601</v>
      </c>
      <c r="I6649" s="3">
        <v>8.9629759999999994</v>
      </c>
      <c r="J6649" s="3">
        <v>9.4074209999999994</v>
      </c>
      <c r="K6649" s="3">
        <v>8.9629750000000001</v>
      </c>
      <c r="L6649" s="3">
        <v>158.027270663601</v>
      </c>
    </row>
    <row r="6650" spans="1:12" ht="15" customHeight="1" x14ac:dyDescent="0.2">
      <c r="A6650" s="2">
        <v>36397</v>
      </c>
      <c r="B6650" s="3">
        <v>8.9629750000000001</v>
      </c>
      <c r="C6650" s="1">
        <v>442124.39999999898</v>
      </c>
      <c r="D6650" s="3">
        <v>0.175924999999999</v>
      </c>
      <c r="E6650" s="3">
        <v>2.0020939905884099</v>
      </c>
      <c r="F6650" s="3">
        <v>2.0020939905884099</v>
      </c>
      <c r="G6650" s="3">
        <v>8.9629750000000001</v>
      </c>
      <c r="H6650" s="3">
        <v>149.7703627786</v>
      </c>
      <c r="I6650" s="3">
        <v>8.8148289999999996</v>
      </c>
      <c r="J6650" s="3">
        <v>9.0370509999999999</v>
      </c>
      <c r="K6650" s="3">
        <v>8.7777899999999995</v>
      </c>
      <c r="L6650" s="3">
        <v>149.7703627786</v>
      </c>
    </row>
    <row r="6651" spans="1:12" ht="15" customHeight="1" x14ac:dyDescent="0.2">
      <c r="A6651" s="2">
        <v>36396</v>
      </c>
      <c r="B6651" s="3">
        <v>8.7870500000000007</v>
      </c>
      <c r="C6651" s="1">
        <v>179549.73</v>
      </c>
      <c r="D6651" s="3">
        <v>9.2600000000011493E-3</v>
      </c>
      <c r="E6651" s="3">
        <v>0.10549352399638</v>
      </c>
      <c r="F6651" s="3">
        <v>0.10549352399638</v>
      </c>
      <c r="G6651" s="3">
        <v>8.7870500000000007</v>
      </c>
      <c r="H6651" s="3">
        <v>144.867877714006</v>
      </c>
      <c r="I6651" s="3">
        <v>8.7777910000000006</v>
      </c>
      <c r="J6651" s="3">
        <v>8.8889010000000006</v>
      </c>
      <c r="K6651" s="3">
        <v>8.6666790000000002</v>
      </c>
      <c r="L6651" s="3">
        <v>144.867877714006</v>
      </c>
    </row>
    <row r="6652" spans="1:12" ht="15" customHeight="1" x14ac:dyDescent="0.2">
      <c r="A6652" s="2">
        <v>36395</v>
      </c>
      <c r="B6652" s="3">
        <v>8.7777899999999995</v>
      </c>
      <c r="C6652" s="1">
        <v>195749.74</v>
      </c>
      <c r="D6652" s="3">
        <v>9.2591999999999702E-2</v>
      </c>
      <c r="E6652" s="3">
        <v>1.0660896850019901</v>
      </c>
      <c r="F6652" s="3">
        <v>1.0660896850019901</v>
      </c>
      <c r="G6652" s="3">
        <v>8.7777899999999995</v>
      </c>
      <c r="H6652" s="3">
        <v>144.609830184103</v>
      </c>
      <c r="I6652" s="3">
        <v>8.6666810000000005</v>
      </c>
      <c r="J6652" s="3">
        <v>8.9259389999999996</v>
      </c>
      <c r="K6652" s="3">
        <v>8.6666790000000002</v>
      </c>
      <c r="L6652" s="3">
        <v>144.609830184103</v>
      </c>
    </row>
    <row r="6653" spans="1:12" ht="15" customHeight="1" x14ac:dyDescent="0.2">
      <c r="A6653" s="2">
        <v>36392</v>
      </c>
      <c r="B6653" s="3">
        <v>8.6851979999999998</v>
      </c>
      <c r="C6653" s="1">
        <v>57037.421999999999</v>
      </c>
      <c r="D6653" s="3">
        <v>-0.18518499999999999</v>
      </c>
      <c r="E6653" s="3">
        <v>-2.0876776121166398</v>
      </c>
      <c r="F6653" s="3">
        <v>-2.0876776121166398</v>
      </c>
      <c r="G6653" s="3">
        <v>8.6851979999999998</v>
      </c>
      <c r="H6653" s="3">
        <v>142.029577820307</v>
      </c>
      <c r="I6653" s="3">
        <v>8.8148289999999996</v>
      </c>
      <c r="J6653" s="3">
        <v>8.8889010000000006</v>
      </c>
      <c r="K6653" s="3">
        <v>8.6296420000000005</v>
      </c>
      <c r="L6653" s="3">
        <v>142.029577820307</v>
      </c>
    </row>
    <row r="6654" spans="1:12" ht="15" customHeight="1" x14ac:dyDescent="0.2">
      <c r="A6654" s="2">
        <v>36391</v>
      </c>
      <c r="B6654" s="3">
        <v>8.8703830000000004</v>
      </c>
      <c r="C6654" s="1">
        <v>98549.86</v>
      </c>
      <c r="D6654" s="3">
        <v>-0.111112</v>
      </c>
      <c r="E6654" s="3">
        <v>-1.2371214369100001</v>
      </c>
      <c r="F6654" s="3">
        <v>-1.2371214369100001</v>
      </c>
      <c r="G6654" s="3">
        <v>8.8703830000000004</v>
      </c>
      <c r="H6654" s="3">
        <v>147.190110414803</v>
      </c>
      <c r="I6654" s="3">
        <v>9.0000140000000002</v>
      </c>
      <c r="J6654" s="3">
        <v>9.0000119999999999</v>
      </c>
      <c r="K6654" s="3">
        <v>8.7592719999999993</v>
      </c>
      <c r="L6654" s="3">
        <v>147.190110414803</v>
      </c>
    </row>
    <row r="6655" spans="1:12" ht="15" customHeight="1" x14ac:dyDescent="0.2">
      <c r="A6655" s="2">
        <v>36390</v>
      </c>
      <c r="B6655" s="3">
        <v>8.9814950000000007</v>
      </c>
      <c r="C6655" s="1">
        <v>235237.16999999899</v>
      </c>
      <c r="D6655" s="3">
        <v>0.16666800000000101</v>
      </c>
      <c r="E6655" s="3">
        <v>1.8907688148616</v>
      </c>
      <c r="F6655" s="3">
        <v>1.8907688148616</v>
      </c>
      <c r="G6655" s="3">
        <v>8.9814950000000007</v>
      </c>
      <c r="H6655" s="3">
        <v>150.286457838405</v>
      </c>
      <c r="I6655" s="3">
        <v>8.7407540000000008</v>
      </c>
      <c r="J6655" s="3">
        <v>9.1481619999999992</v>
      </c>
      <c r="K6655" s="3">
        <v>8.703716</v>
      </c>
      <c r="L6655" s="3">
        <v>150.286457838405</v>
      </c>
    </row>
    <row r="6656" spans="1:12" ht="15" customHeight="1" x14ac:dyDescent="0.2">
      <c r="A6656" s="2">
        <v>36389</v>
      </c>
      <c r="B6656" s="3">
        <v>8.8148269999999993</v>
      </c>
      <c r="C6656" s="1">
        <v>113062.349999999</v>
      </c>
      <c r="D6656" s="3">
        <v>3.7036999999999702E-2</v>
      </c>
      <c r="E6656" s="3">
        <v>0.421939918817826</v>
      </c>
      <c r="F6656" s="3">
        <v>0.421939918817826</v>
      </c>
      <c r="G6656" s="3">
        <v>8.8148269999999993</v>
      </c>
      <c r="H6656" s="3">
        <v>145.64193670300301</v>
      </c>
      <c r="I6656" s="3">
        <v>8.8703830000000004</v>
      </c>
      <c r="J6656" s="3">
        <v>8.8703830000000004</v>
      </c>
      <c r="K6656" s="3">
        <v>8.5555679999999992</v>
      </c>
      <c r="L6656" s="3">
        <v>145.64193670300301</v>
      </c>
    </row>
    <row r="6657" spans="1:12" ht="15" customHeight="1" x14ac:dyDescent="0.2">
      <c r="A6657" s="2">
        <v>36388</v>
      </c>
      <c r="B6657" s="3">
        <v>8.7777899999999995</v>
      </c>
      <c r="C6657" s="1">
        <v>843073.7</v>
      </c>
      <c r="D6657" s="3">
        <v>0.222222</v>
      </c>
      <c r="E6657" s="3">
        <v>2.5973962219691198</v>
      </c>
      <c r="F6657" s="3">
        <v>2.5973962219691198</v>
      </c>
      <c r="G6657" s="3">
        <v>8.7777899999999995</v>
      </c>
      <c r="H6657" s="3">
        <v>144.609830184103</v>
      </c>
      <c r="I6657" s="3">
        <v>8.5555679999999992</v>
      </c>
      <c r="J6657" s="3">
        <v>8.8889010000000006</v>
      </c>
      <c r="K6657" s="3">
        <v>8.5555679999999992</v>
      </c>
      <c r="L6657" s="3">
        <v>144.609830184103</v>
      </c>
    </row>
    <row r="6658" spans="1:12" ht="15" customHeight="1" x14ac:dyDescent="0.2">
      <c r="A6658" s="2">
        <v>36385</v>
      </c>
      <c r="B6658" s="3">
        <v>8.5555679999999992</v>
      </c>
      <c r="C6658" s="1">
        <v>387786.96</v>
      </c>
      <c r="D6658" s="3">
        <v>0.222222999999999</v>
      </c>
      <c r="E6658" s="3">
        <v>2.6666722666588201</v>
      </c>
      <c r="F6658" s="3">
        <v>2.6666722666588201</v>
      </c>
      <c r="G6658" s="3">
        <v>8.5555679999999992</v>
      </c>
      <c r="H6658" s="3">
        <v>138.41719107070799</v>
      </c>
      <c r="I6658" s="3">
        <v>8.4259404999999994</v>
      </c>
      <c r="J6658" s="3">
        <v>8.6481619999999992</v>
      </c>
      <c r="K6658" s="3">
        <v>8.3703830000000004</v>
      </c>
      <c r="L6658" s="3">
        <v>138.41719107070799</v>
      </c>
    </row>
    <row r="6659" spans="1:12" ht="15" customHeight="1" x14ac:dyDescent="0.2">
      <c r="A6659" s="2">
        <v>36384</v>
      </c>
      <c r="B6659" s="3">
        <v>8.3333449999999996</v>
      </c>
      <c r="C6659" s="1">
        <v>299699.52</v>
      </c>
      <c r="D6659" s="3">
        <v>0.148146999999999</v>
      </c>
      <c r="E6659" s="3">
        <v>1.80993789032348</v>
      </c>
      <c r="F6659" s="3">
        <v>1.80993789032348</v>
      </c>
      <c r="G6659" s="3">
        <v>8.3333449999999996</v>
      </c>
      <c r="H6659" s="3">
        <v>132.22452409040801</v>
      </c>
      <c r="I6659" s="3">
        <v>8.2963090000000008</v>
      </c>
      <c r="J6659" s="3">
        <v>8.7407529999999998</v>
      </c>
      <c r="K6659" s="3">
        <v>8.259271</v>
      </c>
      <c r="L6659" s="3">
        <v>132.22452409040801</v>
      </c>
    </row>
    <row r="6660" spans="1:12" ht="15" customHeight="1" x14ac:dyDescent="0.2">
      <c r="A6660" s="2">
        <v>36383</v>
      </c>
      <c r="B6660" s="3">
        <v>8.1851979999999998</v>
      </c>
      <c r="C6660" s="1">
        <v>530886.80000000005</v>
      </c>
      <c r="D6660" s="3">
        <v>-0.16666500000000001</v>
      </c>
      <c r="E6660" s="3">
        <v>-1.9955427908719201</v>
      </c>
      <c r="F6660" s="3">
        <v>-1.9955427908719201</v>
      </c>
      <c r="G6660" s="3">
        <v>8.1851979999999998</v>
      </c>
      <c r="H6660" s="3">
        <v>128.09612588171501</v>
      </c>
      <c r="I6660" s="3">
        <v>8.3518650000000001</v>
      </c>
      <c r="J6660" s="3">
        <v>8.4629750000000001</v>
      </c>
      <c r="K6660" s="3">
        <v>7.6296410000000003</v>
      </c>
      <c r="L6660" s="3">
        <v>128.09612588171501</v>
      </c>
    </row>
    <row r="6661" spans="1:12" ht="15" customHeight="1" x14ac:dyDescent="0.2">
      <c r="A6661" s="2">
        <v>36382</v>
      </c>
      <c r="B6661" s="3">
        <v>8.3518629999999998</v>
      </c>
      <c r="C6661" s="1">
        <v>294299.62</v>
      </c>
      <c r="D6661" s="3">
        <v>-0.16666799999999901</v>
      </c>
      <c r="E6661" s="3">
        <v>-1.95653452455593</v>
      </c>
      <c r="F6661" s="3">
        <v>-1.95653452455593</v>
      </c>
      <c r="G6661" s="3">
        <v>8.3518629999999998</v>
      </c>
      <c r="H6661" s="3">
        <v>132.74056341640599</v>
      </c>
      <c r="I6661" s="3">
        <v>8.6666810000000005</v>
      </c>
      <c r="J6661" s="3">
        <v>8.6666790000000002</v>
      </c>
      <c r="K6661" s="3">
        <v>8.3333449999999996</v>
      </c>
      <c r="L6661" s="3">
        <v>132.74056341640599</v>
      </c>
    </row>
    <row r="6662" spans="1:12" ht="15" customHeight="1" x14ac:dyDescent="0.2">
      <c r="A6662" s="2">
        <v>36381</v>
      </c>
      <c r="B6662" s="3">
        <v>8.5185309999999994</v>
      </c>
      <c r="C6662" s="1">
        <v>165037.26</v>
      </c>
      <c r="D6662" s="3">
        <v>-0.27777800000000102</v>
      </c>
      <c r="E6662" s="3">
        <v>-3.1578927024960199</v>
      </c>
      <c r="F6662" s="3">
        <v>-3.1578927024960199</v>
      </c>
      <c r="G6662" s="3">
        <v>8.5185309999999994</v>
      </c>
      <c r="H6662" s="3">
        <v>137.385084551809</v>
      </c>
      <c r="I6662" s="3">
        <v>8.8148289999999996</v>
      </c>
      <c r="J6662" s="3">
        <v>8.8889010000000006</v>
      </c>
      <c r="K6662" s="3">
        <v>8.4814930000000004</v>
      </c>
      <c r="L6662" s="3">
        <v>137.385084551809</v>
      </c>
    </row>
    <row r="6663" spans="1:12" ht="15" customHeight="1" x14ac:dyDescent="0.2">
      <c r="A6663" s="2">
        <v>36378</v>
      </c>
      <c r="B6663" s="3">
        <v>8.7963090000000008</v>
      </c>
      <c r="C6663" s="1">
        <v>62437.41</v>
      </c>
      <c r="D6663" s="3">
        <v>-7.4073999999999501E-2</v>
      </c>
      <c r="E6663" s="3">
        <v>-0.83507104484664696</v>
      </c>
      <c r="F6663" s="3">
        <v>-0.83507104484664696</v>
      </c>
      <c r="G6663" s="3">
        <v>8.7963090000000008</v>
      </c>
      <c r="H6663" s="3">
        <v>145.125897377005</v>
      </c>
      <c r="I6663" s="3">
        <v>8.8518650000000001</v>
      </c>
      <c r="J6663" s="3">
        <v>8.9259389999999996</v>
      </c>
      <c r="K6663" s="3">
        <v>8.7407529999999998</v>
      </c>
      <c r="L6663" s="3">
        <v>145.125897377005</v>
      </c>
    </row>
    <row r="6664" spans="1:12" ht="15" customHeight="1" x14ac:dyDescent="0.2">
      <c r="A6664" s="2">
        <v>36377</v>
      </c>
      <c r="B6664" s="3">
        <v>8.8703830000000004</v>
      </c>
      <c r="C6664" s="1">
        <v>132637.31</v>
      </c>
      <c r="D6664" s="3">
        <v>4.62970000000009E-2</v>
      </c>
      <c r="E6664" s="3">
        <v>0.52466623738709395</v>
      </c>
      <c r="F6664" s="3">
        <v>0.52466623738709395</v>
      </c>
      <c r="G6664" s="3">
        <v>8.8703830000000004</v>
      </c>
      <c r="H6664" s="3">
        <v>147.190110414803</v>
      </c>
      <c r="I6664" s="3">
        <v>8.7963090000000008</v>
      </c>
      <c r="J6664" s="3">
        <v>8.9259389999999996</v>
      </c>
      <c r="K6664" s="3">
        <v>8.6666790000000002</v>
      </c>
      <c r="L6664" s="3">
        <v>147.190110414803</v>
      </c>
    </row>
    <row r="6665" spans="1:12" ht="15" customHeight="1" x14ac:dyDescent="0.2">
      <c r="A6665" s="2">
        <v>36376</v>
      </c>
      <c r="B6665" s="3">
        <v>8.8240859999999994</v>
      </c>
      <c r="C6665" s="1">
        <v>385424.47</v>
      </c>
      <c r="D6665" s="3">
        <v>-0.15740900000000099</v>
      </c>
      <c r="E6665" s="3">
        <v>-1.75259241362379</v>
      </c>
      <c r="F6665" s="3">
        <v>-1.75259241362379</v>
      </c>
      <c r="G6665" s="3">
        <v>8.8240859999999994</v>
      </c>
      <c r="H6665" s="3">
        <v>145.89995636600099</v>
      </c>
      <c r="I6665" s="3">
        <v>8.9444579999999991</v>
      </c>
      <c r="J6665" s="3">
        <v>8.9814950000000007</v>
      </c>
      <c r="K6665" s="3">
        <v>8.703716</v>
      </c>
      <c r="L6665" s="3">
        <v>145.89995636600099</v>
      </c>
    </row>
    <row r="6666" spans="1:12" ht="15" customHeight="1" x14ac:dyDescent="0.2">
      <c r="A6666" s="2">
        <v>36375</v>
      </c>
      <c r="B6666" s="3">
        <v>8.9814950000000007</v>
      </c>
      <c r="C6666" s="1">
        <v>269662.14</v>
      </c>
      <c r="D6666" s="3">
        <v>0.129630999999999</v>
      </c>
      <c r="E6666" s="3">
        <v>1.46444861782784</v>
      </c>
      <c r="F6666" s="3">
        <v>1.46444861782784</v>
      </c>
      <c r="G6666" s="3">
        <v>8.9814950000000007</v>
      </c>
      <c r="H6666" s="3">
        <v>150.286457838405</v>
      </c>
      <c r="I6666" s="3">
        <v>8.8981619999999992</v>
      </c>
      <c r="J6666" s="3">
        <v>8.9814950000000007</v>
      </c>
      <c r="K6666" s="3">
        <v>8.8148269999999993</v>
      </c>
      <c r="L6666" s="3">
        <v>150.286457838405</v>
      </c>
    </row>
    <row r="6667" spans="1:12" ht="15" customHeight="1" x14ac:dyDescent="0.2">
      <c r="A6667" s="2">
        <v>36374</v>
      </c>
      <c r="B6667" s="3">
        <v>8.8518640000000008</v>
      </c>
      <c r="C6667" s="1">
        <v>137699.81</v>
      </c>
      <c r="D6667" s="3">
        <v>-3.7036999999999702E-2</v>
      </c>
      <c r="E6667" s="3">
        <v>-0.41666568229300399</v>
      </c>
      <c r="F6667" s="3">
        <v>-0.41666568229300399</v>
      </c>
      <c r="G6667" s="3">
        <v>8.8518640000000008</v>
      </c>
      <c r="H6667" s="3">
        <v>146.674043221902</v>
      </c>
      <c r="I6667" s="3">
        <v>8.8518650000000001</v>
      </c>
      <c r="J6667" s="3">
        <v>8.9629750000000001</v>
      </c>
      <c r="K6667" s="3">
        <v>8.7963090000000008</v>
      </c>
      <c r="L6667" s="3">
        <v>146.674043221902</v>
      </c>
    </row>
    <row r="6668" spans="1:12" ht="15" customHeight="1" x14ac:dyDescent="0.2">
      <c r="A6668" s="2">
        <v>36371</v>
      </c>
      <c r="B6668" s="3">
        <v>8.8889010000000006</v>
      </c>
      <c r="C6668" s="1">
        <v>138374.79999999999</v>
      </c>
      <c r="D6668" s="3">
        <v>7.4074000000001305E-2</v>
      </c>
      <c r="E6668" s="3">
        <v>0.840334132479303</v>
      </c>
      <c r="F6668" s="3">
        <v>0.840334132479303</v>
      </c>
      <c r="G6668" s="3">
        <v>8.8889010000000006</v>
      </c>
      <c r="H6668" s="3">
        <v>147.70614974080101</v>
      </c>
      <c r="I6668" s="3">
        <v>8.8703830000000004</v>
      </c>
      <c r="J6668" s="3">
        <v>9.0370509999999999</v>
      </c>
      <c r="K6668" s="3">
        <v>8.6296420000000005</v>
      </c>
      <c r="L6668" s="3">
        <v>147.70614974080101</v>
      </c>
    </row>
    <row r="6669" spans="1:12" ht="15" customHeight="1" x14ac:dyDescent="0.2">
      <c r="A6669" s="2">
        <v>36370</v>
      </c>
      <c r="B6669" s="3">
        <v>8.8148269999999993</v>
      </c>
      <c r="C6669" s="1">
        <v>849148.74</v>
      </c>
      <c r="D6669" s="3">
        <v>-0.18518499999999999</v>
      </c>
      <c r="E6669" s="3">
        <v>-2.0576083676332901</v>
      </c>
      <c r="F6669" s="3">
        <v>-2.0576083676332901</v>
      </c>
      <c r="G6669" s="3">
        <v>8.8148269999999993</v>
      </c>
      <c r="H6669" s="3">
        <v>145.64193670300301</v>
      </c>
      <c r="I6669" s="3">
        <v>9.0370509999999999</v>
      </c>
      <c r="J6669" s="3">
        <v>9.1481619999999992</v>
      </c>
      <c r="K6669" s="3">
        <v>8.6296420000000005</v>
      </c>
      <c r="L6669" s="3">
        <v>145.64193670300301</v>
      </c>
    </row>
    <row r="6670" spans="1:12" ht="15" customHeight="1" x14ac:dyDescent="0.2">
      <c r="A6670" s="2">
        <v>36369</v>
      </c>
      <c r="B6670" s="3">
        <v>9.0000119999999999</v>
      </c>
      <c r="C6670" s="1">
        <v>110362.34</v>
      </c>
      <c r="D6670" s="3">
        <v>-0.33333299999999899</v>
      </c>
      <c r="E6670" s="3">
        <v>-3.5714205357243198</v>
      </c>
      <c r="F6670" s="3">
        <v>-3.5714205357243198</v>
      </c>
      <c r="G6670" s="3">
        <v>9.0000119999999999</v>
      </c>
      <c r="H6670" s="3">
        <v>150.80246929749899</v>
      </c>
      <c r="I6670" s="3">
        <v>9.3148289999999996</v>
      </c>
      <c r="J6670" s="3">
        <v>9.3333449999999996</v>
      </c>
      <c r="K6670" s="3">
        <v>9.0000119999999999</v>
      </c>
      <c r="L6670" s="3">
        <v>150.80246929749899</v>
      </c>
    </row>
    <row r="6671" spans="1:12" ht="15" customHeight="1" x14ac:dyDescent="0.2">
      <c r="A6671" s="2">
        <v>36368</v>
      </c>
      <c r="B6671" s="3">
        <v>9.3333449999999996</v>
      </c>
      <c r="C6671" s="1">
        <v>425586.88</v>
      </c>
      <c r="D6671" s="3">
        <v>0.25925900000000002</v>
      </c>
      <c r="E6671" s="3">
        <v>2.85713624490664</v>
      </c>
      <c r="F6671" s="3">
        <v>2.85713624490664</v>
      </c>
      <c r="G6671" s="3">
        <v>9.3333449999999996</v>
      </c>
      <c r="H6671" s="3">
        <v>160.09142796759201</v>
      </c>
      <c r="I6671" s="3">
        <v>8.9259389999999996</v>
      </c>
      <c r="J6671" s="3">
        <v>9.3518640000000008</v>
      </c>
      <c r="K6671" s="3">
        <v>8.8148269999999993</v>
      </c>
      <c r="L6671" s="3">
        <v>160.09142796759201</v>
      </c>
    </row>
    <row r="6672" spans="1:12" ht="15" customHeight="1" x14ac:dyDescent="0.2">
      <c r="A6672" s="2">
        <v>36367</v>
      </c>
      <c r="B6672" s="3">
        <v>9.0740859999999994</v>
      </c>
      <c r="C6672" s="1">
        <v>173474.72999999899</v>
      </c>
      <c r="D6672" s="3">
        <v>7.4073999999999501E-2</v>
      </c>
      <c r="E6672" s="3">
        <v>0.82304334705332005</v>
      </c>
      <c r="F6672" s="3">
        <v>0.82304334705332005</v>
      </c>
      <c r="G6672" s="3">
        <v>9.0740859999999994</v>
      </c>
      <c r="H6672" s="3">
        <v>152.86668233529701</v>
      </c>
      <c r="I6672" s="3">
        <v>8.9907540000000008</v>
      </c>
      <c r="J6672" s="3">
        <v>9.3333449999999996</v>
      </c>
      <c r="K6672" s="3">
        <v>8.9814950000000007</v>
      </c>
      <c r="L6672" s="3">
        <v>152.86668233529701</v>
      </c>
    </row>
    <row r="6673" spans="1:12" ht="15" customHeight="1" x14ac:dyDescent="0.2">
      <c r="A6673" s="2">
        <v>36364</v>
      </c>
      <c r="B6673" s="3">
        <v>9.0000119999999999</v>
      </c>
      <c r="C6673" s="1">
        <v>457986.88</v>
      </c>
      <c r="D6673" s="3">
        <v>0.175926</v>
      </c>
      <c r="E6673" s="3">
        <v>1.9937022372628701</v>
      </c>
      <c r="F6673" s="3">
        <v>1.9937022372628701</v>
      </c>
      <c r="G6673" s="3">
        <v>9.0000119999999999</v>
      </c>
      <c r="H6673" s="3">
        <v>150.80246929749899</v>
      </c>
      <c r="I6673" s="3">
        <v>9.1111249999999995</v>
      </c>
      <c r="J6673" s="3">
        <v>9.3703830000000004</v>
      </c>
      <c r="K6673" s="3">
        <v>8.9444569999999999</v>
      </c>
      <c r="L6673" s="3">
        <v>150.80246929749899</v>
      </c>
    </row>
    <row r="6674" spans="1:12" ht="15" customHeight="1" x14ac:dyDescent="0.2">
      <c r="A6674" s="2">
        <v>36363</v>
      </c>
      <c r="B6674" s="3">
        <v>8.8240859999999994</v>
      </c>
      <c r="C6674" s="1">
        <v>390149.48</v>
      </c>
      <c r="D6674" s="3">
        <v>-0.50925900000000002</v>
      </c>
      <c r="E6674" s="3">
        <v>-5.4563396081469202</v>
      </c>
      <c r="F6674" s="3">
        <v>-5.4563396081469202</v>
      </c>
      <c r="G6674" s="3">
        <v>8.8240859999999994</v>
      </c>
      <c r="H6674" s="3">
        <v>145.89995636600099</v>
      </c>
      <c r="I6674" s="3">
        <v>9.3703850000000006</v>
      </c>
      <c r="J6674" s="3">
        <v>9.4074209999999994</v>
      </c>
      <c r="K6674" s="3">
        <v>8.6666790000000002</v>
      </c>
      <c r="L6674" s="3">
        <v>145.89995636600099</v>
      </c>
    </row>
    <row r="6675" spans="1:12" ht="15" customHeight="1" x14ac:dyDescent="0.2">
      <c r="A6675" s="2">
        <v>36362</v>
      </c>
      <c r="B6675" s="3">
        <v>9.3333449999999996</v>
      </c>
      <c r="C6675" s="1">
        <v>407699.37</v>
      </c>
      <c r="D6675" s="3"/>
      <c r="E6675" s="3"/>
      <c r="F6675" s="3"/>
      <c r="G6675" s="3">
        <v>9.3333449999999996</v>
      </c>
      <c r="H6675" s="3">
        <v>160.09142796759201</v>
      </c>
      <c r="I6675" s="3">
        <v>9.3889030000000009</v>
      </c>
      <c r="J6675" s="3">
        <v>9.7407559999999993</v>
      </c>
      <c r="K6675" s="3">
        <v>9.3333449999999996</v>
      </c>
      <c r="L6675" s="3">
        <v>160.09142796759201</v>
      </c>
    </row>
    <row r="6676" spans="1:12" ht="15" customHeight="1" x14ac:dyDescent="0.2">
      <c r="A6676" s="2">
        <v>36361</v>
      </c>
      <c r="B6676" s="3">
        <v>9.3333449999999996</v>
      </c>
      <c r="C6676" s="1">
        <v>501524.3</v>
      </c>
      <c r="D6676" s="3">
        <v>0.25925900000000002</v>
      </c>
      <c r="E6676" s="3">
        <v>2.85713624490664</v>
      </c>
      <c r="F6676" s="3">
        <v>2.85713624490664</v>
      </c>
      <c r="G6676" s="3">
        <v>9.3333449999999996</v>
      </c>
      <c r="H6676" s="3">
        <v>160.09142796759201</v>
      </c>
      <c r="I6676" s="3">
        <v>9.1666810000000005</v>
      </c>
      <c r="J6676" s="3">
        <v>9.3703830000000004</v>
      </c>
      <c r="K6676" s="3">
        <v>8.9074190000000009</v>
      </c>
      <c r="L6676" s="3">
        <v>160.09142796759201</v>
      </c>
    </row>
    <row r="6677" spans="1:12" ht="15" customHeight="1" x14ac:dyDescent="0.2">
      <c r="A6677" s="2">
        <v>36360</v>
      </c>
      <c r="B6677" s="3">
        <v>9.0740859999999994</v>
      </c>
      <c r="C6677" s="1">
        <v>615261.6</v>
      </c>
      <c r="D6677" s="3">
        <v>0.18518499999999799</v>
      </c>
      <c r="E6677" s="3">
        <v>2.0833284114650299</v>
      </c>
      <c r="F6677" s="3">
        <v>2.0833284114650299</v>
      </c>
      <c r="G6677" s="3">
        <v>9.0740859999999994</v>
      </c>
      <c r="H6677" s="3">
        <v>152.86668233529701</v>
      </c>
      <c r="I6677" s="3">
        <v>8.8889030000000009</v>
      </c>
      <c r="J6677" s="3">
        <v>9.3703830000000004</v>
      </c>
      <c r="K6677" s="3">
        <v>8.8518640000000008</v>
      </c>
      <c r="L6677" s="3">
        <v>152.86668233529701</v>
      </c>
    </row>
    <row r="6678" spans="1:12" ht="15" customHeight="1" x14ac:dyDescent="0.2">
      <c r="A6678" s="2">
        <v>36357</v>
      </c>
      <c r="B6678" s="3">
        <v>8.8889010000000006</v>
      </c>
      <c r="C6678" s="1">
        <v>123524.82</v>
      </c>
      <c r="D6678" s="3"/>
      <c r="E6678" s="3"/>
      <c r="F6678" s="3"/>
      <c r="G6678" s="3">
        <v>8.8889010000000006</v>
      </c>
      <c r="H6678" s="3">
        <v>147.70614974080101</v>
      </c>
      <c r="I6678" s="3">
        <v>8.8889030000000009</v>
      </c>
      <c r="J6678" s="3">
        <v>8.9259389999999996</v>
      </c>
      <c r="K6678" s="3">
        <v>8.8148269999999993</v>
      </c>
      <c r="L6678" s="3">
        <v>147.70614974080101</v>
      </c>
    </row>
    <row r="6679" spans="1:12" ht="15" customHeight="1" x14ac:dyDescent="0.2">
      <c r="A6679" s="2">
        <v>36356</v>
      </c>
      <c r="B6679" s="3">
        <v>8.8889010000000006</v>
      </c>
      <c r="C6679" s="1">
        <v>359774.48</v>
      </c>
      <c r="D6679" s="3">
        <v>0.25925900000000002</v>
      </c>
      <c r="E6679" s="3">
        <v>3.0042845346307501</v>
      </c>
      <c r="F6679" s="3">
        <v>3.0042845346307501</v>
      </c>
      <c r="G6679" s="3">
        <v>8.8889010000000006</v>
      </c>
      <c r="H6679" s="3">
        <v>147.70614974080101</v>
      </c>
      <c r="I6679" s="3">
        <v>8.7037169999999993</v>
      </c>
      <c r="J6679" s="3">
        <v>8.8889010000000006</v>
      </c>
      <c r="K6679" s="3">
        <v>8.5555679999999992</v>
      </c>
      <c r="L6679" s="3">
        <v>147.70614974080101</v>
      </c>
    </row>
    <row r="6680" spans="1:12" ht="15" customHeight="1" x14ac:dyDescent="0.2">
      <c r="A6680" s="2">
        <v>36355</v>
      </c>
      <c r="B6680" s="3">
        <v>8.6296420000000005</v>
      </c>
      <c r="C6680" s="1">
        <v>276412.14</v>
      </c>
      <c r="D6680" s="3">
        <v>3.7036000000000499E-2</v>
      </c>
      <c r="E6680" s="3">
        <v>0.43102174125055898</v>
      </c>
      <c r="F6680" s="3">
        <v>0.43102174125055898</v>
      </c>
      <c r="G6680" s="3">
        <v>8.6296420000000005</v>
      </c>
      <c r="H6680" s="3">
        <v>140.48140410850601</v>
      </c>
      <c r="I6680" s="3">
        <v>8.592606</v>
      </c>
      <c r="J6680" s="3">
        <v>8.7407529999999998</v>
      </c>
      <c r="K6680" s="3">
        <v>8.5370500000000007</v>
      </c>
      <c r="L6680" s="3">
        <v>140.48140410850601</v>
      </c>
    </row>
    <row r="6681" spans="1:12" ht="15" customHeight="1" x14ac:dyDescent="0.2">
      <c r="A6681" s="2">
        <v>36354</v>
      </c>
      <c r="B6681" s="3">
        <v>8.592606</v>
      </c>
      <c r="C6681" s="1">
        <v>264937.13</v>
      </c>
      <c r="D6681" s="3">
        <v>-3.7036000000000499E-2</v>
      </c>
      <c r="E6681" s="3">
        <v>-0.42917191698103002</v>
      </c>
      <c r="F6681" s="3">
        <v>-0.42917191698103002</v>
      </c>
      <c r="G6681" s="3">
        <v>8.592606</v>
      </c>
      <c r="H6681" s="3">
        <v>139.44932545651099</v>
      </c>
      <c r="I6681" s="3">
        <v>8.5185320000000004</v>
      </c>
      <c r="J6681" s="3">
        <v>8.6296420000000005</v>
      </c>
      <c r="K6681" s="3">
        <v>8.4444569999999999</v>
      </c>
      <c r="L6681" s="3">
        <v>139.44932545651099</v>
      </c>
    </row>
    <row r="6682" spans="1:12" ht="15" customHeight="1" x14ac:dyDescent="0.2">
      <c r="A6682" s="2">
        <v>36353</v>
      </c>
      <c r="B6682" s="3">
        <v>8.6296420000000005</v>
      </c>
      <c r="C6682" s="1">
        <v>490386.8</v>
      </c>
      <c r="D6682" s="3">
        <v>-0.148147999999999</v>
      </c>
      <c r="E6682" s="3">
        <v>-1.68775967527132</v>
      </c>
      <c r="F6682" s="3">
        <v>-1.68775967527132</v>
      </c>
      <c r="G6682" s="3">
        <v>8.6296420000000005</v>
      </c>
      <c r="H6682" s="3">
        <v>140.48140410850601</v>
      </c>
      <c r="I6682" s="3">
        <v>8.592606</v>
      </c>
      <c r="J6682" s="3">
        <v>8.7777899999999995</v>
      </c>
      <c r="K6682" s="3">
        <v>8.4074190000000009</v>
      </c>
      <c r="L6682" s="3">
        <v>140.48140410850601</v>
      </c>
    </row>
    <row r="6683" spans="1:12" ht="15" customHeight="1" x14ac:dyDescent="0.2">
      <c r="A6683" s="2">
        <v>36350</v>
      </c>
      <c r="B6683" s="3">
        <v>8.7777899999999995</v>
      </c>
      <c r="C6683" s="1">
        <v>278437.09999999998</v>
      </c>
      <c r="D6683" s="3">
        <v>0.324074999999998</v>
      </c>
      <c r="E6683" s="3">
        <v>3.8335217120520202</v>
      </c>
      <c r="F6683" s="3">
        <v>3.8335217120520202</v>
      </c>
      <c r="G6683" s="3">
        <v>8.7777899999999995</v>
      </c>
      <c r="H6683" s="3">
        <v>144.609830184103</v>
      </c>
      <c r="I6683" s="3">
        <v>8.4259404999999994</v>
      </c>
      <c r="J6683" s="3">
        <v>8.8518640000000008</v>
      </c>
      <c r="K6683" s="3">
        <v>8.4259380000000004</v>
      </c>
      <c r="L6683" s="3">
        <v>144.609830184103</v>
      </c>
    </row>
    <row r="6684" spans="1:12" ht="15" customHeight="1" x14ac:dyDescent="0.2">
      <c r="A6684" s="2">
        <v>36349</v>
      </c>
      <c r="B6684" s="3">
        <v>8.4537150000000008</v>
      </c>
      <c r="C6684" s="1">
        <v>329737.03000000003</v>
      </c>
      <c r="D6684" s="3">
        <v>-0.30555699999999802</v>
      </c>
      <c r="E6684" s="3">
        <v>-3.4883835094971101</v>
      </c>
      <c r="F6684" s="3">
        <v>-3.4883835094971101</v>
      </c>
      <c r="G6684" s="3">
        <v>8.4537150000000008</v>
      </c>
      <c r="H6684" s="3">
        <v>135.57886331010499</v>
      </c>
      <c r="I6684" s="3">
        <v>8.7407540000000008</v>
      </c>
      <c r="J6684" s="3">
        <v>8.7407529999999998</v>
      </c>
      <c r="K6684" s="3">
        <v>8.2963090000000008</v>
      </c>
      <c r="L6684" s="3">
        <v>135.57886331010499</v>
      </c>
    </row>
    <row r="6685" spans="1:12" ht="15" customHeight="1" x14ac:dyDescent="0.2">
      <c r="A6685" s="2">
        <v>36348</v>
      </c>
      <c r="B6685" s="3">
        <v>8.7592719999999993</v>
      </c>
      <c r="C6685" s="1">
        <v>556874.19999999995</v>
      </c>
      <c r="D6685" s="3">
        <v>-0.38888999999999901</v>
      </c>
      <c r="E6685" s="3">
        <v>-4.2510178547340898</v>
      </c>
      <c r="F6685" s="3">
        <v>-4.2510178547340898</v>
      </c>
      <c r="G6685" s="3">
        <v>8.7592719999999993</v>
      </c>
      <c r="H6685" s="3">
        <v>144.09379085810599</v>
      </c>
      <c r="I6685" s="3">
        <v>9.0740879999999997</v>
      </c>
      <c r="J6685" s="3">
        <v>9.1481619999999992</v>
      </c>
      <c r="K6685" s="3">
        <v>8.7222349999999995</v>
      </c>
      <c r="L6685" s="3">
        <v>144.09379085810599</v>
      </c>
    </row>
    <row r="6686" spans="1:12" ht="15" customHeight="1" x14ac:dyDescent="0.2">
      <c r="A6686" s="2">
        <v>36347</v>
      </c>
      <c r="B6686" s="3">
        <v>9.1481619999999992</v>
      </c>
      <c r="C6686" s="1">
        <v>208574.69</v>
      </c>
      <c r="D6686" s="3">
        <v>-7.4074000000001305E-2</v>
      </c>
      <c r="E6686" s="3">
        <v>-0.80321084821513</v>
      </c>
      <c r="F6686" s="3">
        <v>-0.80321084821513</v>
      </c>
      <c r="G6686" s="3">
        <v>9.1481619999999992</v>
      </c>
      <c r="H6686" s="3">
        <v>154.93095110690399</v>
      </c>
      <c r="I6686" s="3">
        <v>9.2222380000000008</v>
      </c>
      <c r="J6686" s="3">
        <v>9.2592730000000003</v>
      </c>
      <c r="K6686" s="3">
        <v>9.1111249999999995</v>
      </c>
      <c r="L6686" s="3">
        <v>154.93095110690399</v>
      </c>
    </row>
    <row r="6687" spans="1:12" ht="15" customHeight="1" x14ac:dyDescent="0.2">
      <c r="A6687" s="2">
        <v>36343</v>
      </c>
      <c r="B6687" s="3">
        <v>9.2222360000000005</v>
      </c>
      <c r="C6687" s="1">
        <v>185624.74</v>
      </c>
      <c r="D6687" s="3">
        <v>-7.4073000000000194E-2</v>
      </c>
      <c r="E6687" s="3">
        <v>-0.79680010636479204</v>
      </c>
      <c r="F6687" s="3">
        <v>-0.79680010636479204</v>
      </c>
      <c r="G6687" s="3">
        <v>9.2222360000000005</v>
      </c>
      <c r="H6687" s="3">
        <v>156.99516414470199</v>
      </c>
      <c r="I6687" s="3">
        <v>9.2963090000000008</v>
      </c>
      <c r="J6687" s="3">
        <v>9.2963090000000008</v>
      </c>
      <c r="K6687" s="3">
        <v>9.0185309999999994</v>
      </c>
      <c r="L6687" s="3">
        <v>156.99516414470199</v>
      </c>
    </row>
    <row r="6688" spans="1:12" ht="15" customHeight="1" x14ac:dyDescent="0.2">
      <c r="A6688" s="2">
        <v>36342</v>
      </c>
      <c r="B6688" s="3">
        <v>9.2963090000000008</v>
      </c>
      <c r="C6688" s="1">
        <v>325687.03999999998</v>
      </c>
      <c r="D6688" s="3">
        <v>0.25925799999999999</v>
      </c>
      <c r="E6688" s="3">
        <v>2.8688340920063502</v>
      </c>
      <c r="F6688" s="3">
        <v>2.8688340920063502</v>
      </c>
      <c r="G6688" s="3">
        <v>9.2963090000000008</v>
      </c>
      <c r="H6688" s="3">
        <v>159.05934931559699</v>
      </c>
      <c r="I6688" s="3">
        <v>8.9629759999999994</v>
      </c>
      <c r="J6688" s="3">
        <v>9.3703830000000004</v>
      </c>
      <c r="K6688" s="3">
        <v>8.9444569999999999</v>
      </c>
      <c r="L6688" s="3">
        <v>159.05934931559699</v>
      </c>
    </row>
    <row r="6689" spans="1:12" ht="15" customHeight="1" x14ac:dyDescent="0.2">
      <c r="A6689" s="2">
        <v>36341</v>
      </c>
      <c r="B6689" s="3">
        <v>9.0370509999999999</v>
      </c>
      <c r="C6689" s="1">
        <v>1129610.79999999</v>
      </c>
      <c r="D6689" s="3">
        <v>0.129631999999999</v>
      </c>
      <c r="E6689" s="3">
        <v>1.45532617248609</v>
      </c>
      <c r="F6689" s="3">
        <v>1.45532617248609</v>
      </c>
      <c r="G6689" s="3">
        <v>9.0370509999999999</v>
      </c>
      <c r="H6689" s="3">
        <v>151.83463155020601</v>
      </c>
      <c r="I6689" s="3">
        <v>8.9074209999999994</v>
      </c>
      <c r="J6689" s="3">
        <v>9.3333449999999996</v>
      </c>
      <c r="K6689" s="3">
        <v>8.7963090000000008</v>
      </c>
      <c r="L6689" s="3">
        <v>151.83463155020601</v>
      </c>
    </row>
    <row r="6690" spans="1:12" ht="15" customHeight="1" x14ac:dyDescent="0.2">
      <c r="A6690" s="2">
        <v>36340</v>
      </c>
      <c r="B6690" s="3">
        <v>8.9074190000000009</v>
      </c>
      <c r="C6690" s="1">
        <v>321637.02</v>
      </c>
      <c r="D6690" s="3">
        <v>1.8518000000000201E-2</v>
      </c>
      <c r="E6690" s="3">
        <v>0.20832721615418001</v>
      </c>
      <c r="F6690" s="3">
        <v>0.20832721615418001</v>
      </c>
      <c r="G6690" s="3">
        <v>8.9074190000000009</v>
      </c>
      <c r="H6690" s="3">
        <v>148.22218906679899</v>
      </c>
      <c r="I6690" s="3">
        <v>8.9259389999999996</v>
      </c>
      <c r="J6690" s="3">
        <v>8.9259389999999996</v>
      </c>
      <c r="K6690" s="3">
        <v>8.7777899999999995</v>
      </c>
      <c r="L6690" s="3">
        <v>148.22218906679899</v>
      </c>
    </row>
    <row r="6691" spans="1:12" ht="15" customHeight="1" x14ac:dyDescent="0.2">
      <c r="A6691" s="2">
        <v>36339</v>
      </c>
      <c r="B6691" s="3">
        <v>8.8889010000000006</v>
      </c>
      <c r="C6691" s="1">
        <v>614924.13</v>
      </c>
      <c r="D6691" s="3">
        <v>3.7036999999999702E-2</v>
      </c>
      <c r="E6691" s="3">
        <v>0.41840904921268601</v>
      </c>
      <c r="F6691" s="3">
        <v>0.41840904921268601</v>
      </c>
      <c r="G6691" s="3">
        <v>8.8889010000000006</v>
      </c>
      <c r="H6691" s="3">
        <v>147.70614974080101</v>
      </c>
      <c r="I6691" s="3">
        <v>8.8148289999999996</v>
      </c>
      <c r="J6691" s="3">
        <v>8.9444569999999999</v>
      </c>
      <c r="K6691" s="3">
        <v>8.8148269999999993</v>
      </c>
      <c r="L6691" s="3">
        <v>147.70614974080101</v>
      </c>
    </row>
    <row r="6692" spans="1:12" ht="15" customHeight="1" x14ac:dyDescent="0.2">
      <c r="A6692" s="2">
        <v>36336</v>
      </c>
      <c r="B6692" s="3">
        <v>8.8518640000000008</v>
      </c>
      <c r="C6692" s="1">
        <v>463049.35</v>
      </c>
      <c r="D6692" s="3"/>
      <c r="E6692" s="3"/>
      <c r="F6692" s="3"/>
      <c r="G6692" s="3">
        <v>8.8518640000000008</v>
      </c>
      <c r="H6692" s="3">
        <v>146.674043221902</v>
      </c>
      <c r="I6692" s="3">
        <v>8.8518650000000001</v>
      </c>
      <c r="J6692" s="3">
        <v>8.9074190000000009</v>
      </c>
      <c r="K6692" s="3">
        <v>8.8148269999999993</v>
      </c>
      <c r="L6692" s="3">
        <v>146.674043221902</v>
      </c>
    </row>
    <row r="6693" spans="1:12" ht="15" customHeight="1" x14ac:dyDescent="0.2">
      <c r="A6693" s="2">
        <v>36335</v>
      </c>
      <c r="B6693" s="3">
        <v>8.8518640000000008</v>
      </c>
      <c r="C6693" s="1">
        <v>822148.74</v>
      </c>
      <c r="D6693" s="3">
        <v>3.7037000000001499E-2</v>
      </c>
      <c r="E6693" s="3">
        <v>0.42016706623966199</v>
      </c>
      <c r="F6693" s="3">
        <v>0.42016706623966199</v>
      </c>
      <c r="G6693" s="3">
        <v>8.8518640000000008</v>
      </c>
      <c r="H6693" s="3">
        <v>146.674043221902</v>
      </c>
      <c r="I6693" s="3">
        <v>8.7592739999999996</v>
      </c>
      <c r="J6693" s="3">
        <v>8.8518640000000008</v>
      </c>
      <c r="K6693" s="3">
        <v>8.7407529999999998</v>
      </c>
      <c r="L6693" s="3">
        <v>146.674043221902</v>
      </c>
    </row>
    <row r="6694" spans="1:12" ht="15" customHeight="1" x14ac:dyDescent="0.2">
      <c r="A6694" s="2">
        <v>36334</v>
      </c>
      <c r="B6694" s="3">
        <v>8.8148269999999993</v>
      </c>
      <c r="C6694" s="1">
        <v>366861.97</v>
      </c>
      <c r="D6694" s="3">
        <v>0.148147999999999</v>
      </c>
      <c r="E6694" s="3">
        <v>1.70939756739576</v>
      </c>
      <c r="F6694" s="3">
        <v>1.70939756739576</v>
      </c>
      <c r="G6694" s="3">
        <v>8.8148269999999993</v>
      </c>
      <c r="H6694" s="3">
        <v>145.64193670300301</v>
      </c>
      <c r="I6694" s="3">
        <v>8.592606</v>
      </c>
      <c r="J6694" s="3">
        <v>8.8889010000000006</v>
      </c>
      <c r="K6694" s="3">
        <v>8.5185309999999994</v>
      </c>
      <c r="L6694" s="3">
        <v>145.64193670300301</v>
      </c>
    </row>
    <row r="6695" spans="1:12" ht="15" customHeight="1" x14ac:dyDescent="0.2">
      <c r="A6695" s="2">
        <v>36333</v>
      </c>
      <c r="B6695" s="3">
        <v>8.6666790000000002</v>
      </c>
      <c r="C6695" s="1">
        <v>215662.19</v>
      </c>
      <c r="D6695" s="3">
        <v>-0.18518499999999999</v>
      </c>
      <c r="E6695" s="3">
        <v>-2.0920452460634298</v>
      </c>
      <c r="F6695" s="3">
        <v>-2.0920452460634298</v>
      </c>
      <c r="G6695" s="3">
        <v>8.6666790000000002</v>
      </c>
      <c r="H6695" s="3">
        <v>141.51351062740599</v>
      </c>
      <c r="I6695" s="3">
        <v>8.8889030000000009</v>
      </c>
      <c r="J6695" s="3">
        <v>8.8889010000000006</v>
      </c>
      <c r="K6695" s="3">
        <v>8.5185309999999994</v>
      </c>
      <c r="L6695" s="3">
        <v>141.51351062740599</v>
      </c>
    </row>
    <row r="6696" spans="1:12" ht="15" customHeight="1" x14ac:dyDescent="0.2">
      <c r="A6696" s="2">
        <v>36332</v>
      </c>
      <c r="B6696" s="3">
        <v>8.8518640000000008</v>
      </c>
      <c r="C6696" s="1">
        <v>411074.37</v>
      </c>
      <c r="D6696" s="3">
        <v>-3.7036999999999702E-2</v>
      </c>
      <c r="E6696" s="3">
        <v>-0.41666568229300399</v>
      </c>
      <c r="F6696" s="3">
        <v>-0.41666568229300399</v>
      </c>
      <c r="G6696" s="3">
        <v>8.8518640000000008</v>
      </c>
      <c r="H6696" s="3">
        <v>146.674043221902</v>
      </c>
      <c r="I6696" s="3">
        <v>8.8148289999999996</v>
      </c>
      <c r="J6696" s="3">
        <v>8.9259389999999996</v>
      </c>
      <c r="K6696" s="3">
        <v>8.8148269999999993</v>
      </c>
      <c r="L6696" s="3">
        <v>146.674043221902</v>
      </c>
    </row>
    <row r="6697" spans="1:12" ht="15" customHeight="1" x14ac:dyDescent="0.2">
      <c r="A6697" s="2">
        <v>36329</v>
      </c>
      <c r="B6697" s="3">
        <v>8.8889010000000006</v>
      </c>
      <c r="C6697" s="1">
        <v>566999.19999999995</v>
      </c>
      <c r="D6697" s="3">
        <v>0.12962900000000099</v>
      </c>
      <c r="E6697" s="3">
        <v>1.4799060926524701</v>
      </c>
      <c r="F6697" s="3">
        <v>1.4799060926524701</v>
      </c>
      <c r="G6697" s="3">
        <v>8.8889010000000006</v>
      </c>
      <c r="H6697" s="3">
        <v>147.70614974080101</v>
      </c>
      <c r="I6697" s="3">
        <v>8.6852</v>
      </c>
      <c r="J6697" s="3">
        <v>8.9259389999999996</v>
      </c>
      <c r="K6697" s="3">
        <v>8.6111240000000002</v>
      </c>
      <c r="L6697" s="3">
        <v>147.70614974080101</v>
      </c>
    </row>
    <row r="6698" spans="1:12" ht="15" customHeight="1" x14ac:dyDescent="0.2">
      <c r="A6698" s="2">
        <v>36328</v>
      </c>
      <c r="B6698" s="3">
        <v>8.7592719999999993</v>
      </c>
      <c r="C6698" s="1">
        <v>979423.64999999898</v>
      </c>
      <c r="D6698" s="3">
        <v>9.2592999999998996E-2</v>
      </c>
      <c r="E6698" s="3">
        <v>1.0683792488449</v>
      </c>
      <c r="F6698" s="3">
        <v>1.0683792488449</v>
      </c>
      <c r="G6698" s="3">
        <v>8.7592719999999993</v>
      </c>
      <c r="H6698" s="3">
        <v>144.09379085810599</v>
      </c>
      <c r="I6698" s="3">
        <v>8.6296424999999992</v>
      </c>
      <c r="J6698" s="3">
        <v>8.7777899999999995</v>
      </c>
      <c r="K6698" s="3">
        <v>8.5740859999999994</v>
      </c>
      <c r="L6698" s="3">
        <v>144.09379085810599</v>
      </c>
    </row>
    <row r="6699" spans="1:12" ht="15" customHeight="1" x14ac:dyDescent="0.2">
      <c r="A6699" s="2">
        <v>36327</v>
      </c>
      <c r="B6699" s="3">
        <v>8.6666790000000002</v>
      </c>
      <c r="C6699" s="1">
        <v>366524.48</v>
      </c>
      <c r="D6699" s="3">
        <v>7.4073000000000194E-2</v>
      </c>
      <c r="E6699" s="3">
        <v>0.86205512041399501</v>
      </c>
      <c r="F6699" s="3">
        <v>0.86205512041399501</v>
      </c>
      <c r="G6699" s="3">
        <v>8.6666790000000002</v>
      </c>
      <c r="H6699" s="3">
        <v>141.51351062740599</v>
      </c>
      <c r="I6699" s="3">
        <v>8.6296424999999992</v>
      </c>
      <c r="J6699" s="3">
        <v>8.6666790000000002</v>
      </c>
      <c r="K6699" s="3">
        <v>8.592606</v>
      </c>
      <c r="L6699" s="3">
        <v>141.51351062740599</v>
      </c>
    </row>
    <row r="6700" spans="1:12" ht="15" customHeight="1" x14ac:dyDescent="0.2">
      <c r="A6700" s="2">
        <v>36326</v>
      </c>
      <c r="B6700" s="3">
        <v>8.592606</v>
      </c>
      <c r="C6700" s="1">
        <v>313537.05</v>
      </c>
      <c r="D6700" s="3">
        <v>1.8520000000000501E-2</v>
      </c>
      <c r="E6700" s="3">
        <v>0.21599969955980999</v>
      </c>
      <c r="F6700" s="3">
        <v>0.21599969955980999</v>
      </c>
      <c r="G6700" s="3">
        <v>8.592606</v>
      </c>
      <c r="H6700" s="3">
        <v>139.44932545651099</v>
      </c>
      <c r="I6700" s="3">
        <v>8.6666810000000005</v>
      </c>
      <c r="J6700" s="3">
        <v>8.703716</v>
      </c>
      <c r="K6700" s="3">
        <v>8.5555679999999992</v>
      </c>
      <c r="L6700" s="3">
        <v>139.44932545651099</v>
      </c>
    </row>
    <row r="6701" spans="1:12" ht="15" customHeight="1" x14ac:dyDescent="0.2">
      <c r="A6701" s="2">
        <v>36325</v>
      </c>
      <c r="B6701" s="3">
        <v>8.5740859999999994</v>
      </c>
      <c r="C6701" s="1">
        <v>915973.75</v>
      </c>
      <c r="D6701" s="3">
        <v>1.8518000000000201E-2</v>
      </c>
      <c r="E6701" s="3">
        <v>0.21644384101675501</v>
      </c>
      <c r="F6701" s="3">
        <v>0.21644384101675501</v>
      </c>
      <c r="G6701" s="3">
        <v>8.5740859999999994</v>
      </c>
      <c r="H6701" s="3">
        <v>138.933230396705</v>
      </c>
      <c r="I6701" s="3">
        <v>8.4444579999999991</v>
      </c>
      <c r="J6701" s="3">
        <v>8.6666790000000002</v>
      </c>
      <c r="K6701" s="3">
        <v>8.4351979999999998</v>
      </c>
      <c r="L6701" s="3">
        <v>138.933230396705</v>
      </c>
    </row>
    <row r="6702" spans="1:12" ht="15" customHeight="1" x14ac:dyDescent="0.2">
      <c r="A6702" s="2">
        <v>36322</v>
      </c>
      <c r="B6702" s="3">
        <v>8.5555679999999992</v>
      </c>
      <c r="C6702" s="1">
        <v>349986.97</v>
      </c>
      <c r="D6702" s="3">
        <v>5.5555999999999203E-2</v>
      </c>
      <c r="E6702" s="3">
        <v>0.65359907727187105</v>
      </c>
      <c r="F6702" s="3">
        <v>0.65359907727187105</v>
      </c>
      <c r="G6702" s="3">
        <v>8.5555679999999992</v>
      </c>
      <c r="H6702" s="3">
        <v>138.41719107070799</v>
      </c>
      <c r="I6702" s="3">
        <v>8.6296424999999992</v>
      </c>
      <c r="J6702" s="3">
        <v>8.8148269999999993</v>
      </c>
      <c r="K6702" s="3">
        <v>8.3333449999999996</v>
      </c>
      <c r="L6702" s="3">
        <v>138.41719107070799</v>
      </c>
    </row>
    <row r="6703" spans="1:12" ht="15" customHeight="1" x14ac:dyDescent="0.2">
      <c r="A6703" s="2">
        <v>36321</v>
      </c>
      <c r="B6703" s="3">
        <v>8.5000119999999999</v>
      </c>
      <c r="C6703" s="1">
        <v>21262.467999999899</v>
      </c>
      <c r="D6703" s="3">
        <v>9.2592999999998996E-2</v>
      </c>
      <c r="E6703" s="3">
        <v>1.10132491315109</v>
      </c>
      <c r="F6703" s="3">
        <v>1.10132491315109</v>
      </c>
      <c r="G6703" s="3">
        <v>8.5000119999999999</v>
      </c>
      <c r="H6703" s="3">
        <v>136.869017358907</v>
      </c>
      <c r="I6703" s="3">
        <v>8.3703830000000004</v>
      </c>
      <c r="J6703" s="3">
        <v>8.5000119999999999</v>
      </c>
      <c r="K6703" s="3">
        <v>8.3703830000000004</v>
      </c>
      <c r="L6703" s="3">
        <v>136.869017358907</v>
      </c>
    </row>
    <row r="6704" spans="1:12" ht="15" customHeight="1" x14ac:dyDescent="0.2">
      <c r="A6704" s="2">
        <v>36320</v>
      </c>
      <c r="B6704" s="3">
        <v>8.4074190000000009</v>
      </c>
      <c r="C6704" s="1">
        <v>155587.28</v>
      </c>
      <c r="D6704" s="3">
        <v>-3.7037999999999002E-2</v>
      </c>
      <c r="E6704" s="3">
        <v>-0.43860724259711098</v>
      </c>
      <c r="F6704" s="3">
        <v>-0.43860724259711098</v>
      </c>
      <c r="G6704" s="3">
        <v>8.4074190000000009</v>
      </c>
      <c r="H6704" s="3">
        <v>134.288737128207</v>
      </c>
      <c r="I6704" s="3">
        <v>8.4074200000000001</v>
      </c>
      <c r="J6704" s="3">
        <v>8.592606</v>
      </c>
      <c r="K6704" s="3">
        <v>8.3148260000000001</v>
      </c>
      <c r="L6704" s="3">
        <v>134.288737128207</v>
      </c>
    </row>
    <row r="6705" spans="1:12" ht="15" customHeight="1" x14ac:dyDescent="0.2">
      <c r="A6705" s="2">
        <v>36319</v>
      </c>
      <c r="B6705" s="3">
        <v>8.4444569999999999</v>
      </c>
      <c r="C6705" s="1">
        <v>326024.53999999998</v>
      </c>
      <c r="D6705" s="3">
        <v>-0.351852</v>
      </c>
      <c r="E6705" s="3">
        <v>-3.9999959073743399</v>
      </c>
      <c r="F6705" s="3">
        <v>-3.9999959073743399</v>
      </c>
      <c r="G6705" s="3">
        <v>8.4444569999999999</v>
      </c>
      <c r="H6705" s="3">
        <v>135.32087151401001</v>
      </c>
      <c r="I6705" s="3">
        <v>8.7037169999999993</v>
      </c>
      <c r="J6705" s="3">
        <v>8.7777899999999995</v>
      </c>
      <c r="K6705" s="3">
        <v>8.4444569999999999</v>
      </c>
      <c r="L6705" s="3">
        <v>135.32087151401001</v>
      </c>
    </row>
    <row r="6706" spans="1:12" ht="15" customHeight="1" x14ac:dyDescent="0.2">
      <c r="A6706" s="2">
        <v>36318</v>
      </c>
      <c r="B6706" s="3">
        <v>8.7963090000000008</v>
      </c>
      <c r="C6706" s="1">
        <v>693561.46</v>
      </c>
      <c r="D6706" s="3">
        <v>0.12963</v>
      </c>
      <c r="E6706" s="3">
        <v>1.4957286406938699</v>
      </c>
      <c r="F6706" s="3">
        <v>1.4957286406938699</v>
      </c>
      <c r="G6706" s="3">
        <v>8.7963090000000008</v>
      </c>
      <c r="H6706" s="3">
        <v>145.125897377005</v>
      </c>
      <c r="I6706" s="3">
        <v>8.6666810000000005</v>
      </c>
      <c r="J6706" s="3">
        <v>9.0000119999999999</v>
      </c>
      <c r="K6706" s="3">
        <v>8.6666790000000002</v>
      </c>
      <c r="L6706" s="3">
        <v>145.125897377005</v>
      </c>
    </row>
    <row r="6707" spans="1:12" ht="15" customHeight="1" x14ac:dyDescent="0.2">
      <c r="A6707" s="2">
        <v>36315</v>
      </c>
      <c r="B6707" s="3">
        <v>8.6666790000000002</v>
      </c>
      <c r="C6707" s="1">
        <v>1299710.6000000001</v>
      </c>
      <c r="D6707" s="3">
        <v>0.18518599999999899</v>
      </c>
      <c r="E6707" s="3">
        <v>2.1834127552778599</v>
      </c>
      <c r="F6707" s="3">
        <v>2.1834127552778599</v>
      </c>
      <c r="G6707" s="3">
        <v>8.6666790000000002</v>
      </c>
      <c r="H6707" s="3">
        <v>141.51351062740599</v>
      </c>
      <c r="I6707" s="3">
        <v>8.4814950000000007</v>
      </c>
      <c r="J6707" s="3">
        <v>8.8148269999999993</v>
      </c>
      <c r="K6707" s="3">
        <v>8.4814930000000004</v>
      </c>
      <c r="L6707" s="3">
        <v>141.51351062740599</v>
      </c>
    </row>
    <row r="6708" spans="1:12" ht="15" customHeight="1" x14ac:dyDescent="0.2">
      <c r="A6708" s="2">
        <v>36314</v>
      </c>
      <c r="B6708" s="3">
        <v>8.4814930000000004</v>
      </c>
      <c r="C6708" s="1">
        <v>359774.48</v>
      </c>
      <c r="D6708" s="3">
        <v>0.16666700000000001</v>
      </c>
      <c r="E6708" s="3">
        <v>2.0044556554761299</v>
      </c>
      <c r="F6708" s="3">
        <v>2.0044556554761299</v>
      </c>
      <c r="G6708" s="3">
        <v>8.4814930000000004</v>
      </c>
      <c r="H6708" s="3">
        <v>136.352950166005</v>
      </c>
      <c r="I6708" s="3">
        <v>8.3333460000000006</v>
      </c>
      <c r="J6708" s="3">
        <v>8.5185309999999994</v>
      </c>
      <c r="K6708" s="3">
        <v>8.259271</v>
      </c>
      <c r="L6708" s="3">
        <v>136.352950166005</v>
      </c>
    </row>
    <row r="6709" spans="1:12" ht="15" customHeight="1" x14ac:dyDescent="0.2">
      <c r="A6709" s="2">
        <v>36313</v>
      </c>
      <c r="B6709" s="3">
        <v>8.3148260000000001</v>
      </c>
      <c r="C6709" s="1">
        <v>302062.03999999998</v>
      </c>
      <c r="D6709" s="3">
        <v>0.25925799999999999</v>
      </c>
      <c r="E6709" s="3">
        <v>3.2183702005867199</v>
      </c>
      <c r="F6709" s="3">
        <v>3.2183702005867199</v>
      </c>
      <c r="G6709" s="3">
        <v>8.3148260000000001</v>
      </c>
      <c r="H6709" s="3">
        <v>131.70845689750701</v>
      </c>
      <c r="I6709" s="3">
        <v>8.0370500000000007</v>
      </c>
      <c r="J6709" s="3">
        <v>8.3148260000000001</v>
      </c>
      <c r="K6709" s="3">
        <v>8.0185300000000002</v>
      </c>
      <c r="L6709" s="3">
        <v>131.70845689750701</v>
      </c>
    </row>
    <row r="6710" spans="1:12" ht="15" customHeight="1" x14ac:dyDescent="0.2">
      <c r="A6710" s="2">
        <v>36312</v>
      </c>
      <c r="B6710" s="3">
        <v>8.0555679999999992</v>
      </c>
      <c r="C6710" s="1">
        <v>488024.32000000001</v>
      </c>
      <c r="D6710" s="3">
        <v>-0.12963</v>
      </c>
      <c r="E6710" s="3">
        <v>-1.5837124526492801</v>
      </c>
      <c r="F6710" s="3">
        <v>-1.5837124526492801</v>
      </c>
      <c r="G6710" s="3">
        <v>8.0555679999999992</v>
      </c>
      <c r="H6710" s="3">
        <v>124.483739132116</v>
      </c>
      <c r="I6710" s="3">
        <v>8.1389010000000006</v>
      </c>
      <c r="J6710" s="3">
        <v>8.3148260000000001</v>
      </c>
      <c r="K6710" s="3">
        <v>8.0370500000000007</v>
      </c>
      <c r="L6710" s="3">
        <v>124.483739132116</v>
      </c>
    </row>
    <row r="6711" spans="1:12" ht="15" customHeight="1" x14ac:dyDescent="0.2">
      <c r="A6711" s="2">
        <v>36308</v>
      </c>
      <c r="B6711" s="3">
        <v>8.1851979999999998</v>
      </c>
      <c r="C6711" s="1">
        <v>259874.59999999899</v>
      </c>
      <c r="D6711" s="3">
        <v>0.16666799999999901</v>
      </c>
      <c r="E6711" s="3">
        <v>2.07853559193518</v>
      </c>
      <c r="F6711" s="3">
        <v>2.07853559193518</v>
      </c>
      <c r="G6711" s="3">
        <v>8.1851979999999998</v>
      </c>
      <c r="H6711" s="3">
        <v>128.09612588171501</v>
      </c>
      <c r="I6711" s="3">
        <v>8.1111240000000002</v>
      </c>
      <c r="J6711" s="3">
        <v>8.2963090000000008</v>
      </c>
      <c r="K6711" s="3">
        <v>8.0740859999999994</v>
      </c>
      <c r="L6711" s="3">
        <v>128.09612588171501</v>
      </c>
    </row>
    <row r="6712" spans="1:12" ht="15" customHeight="1" x14ac:dyDescent="0.2">
      <c r="A6712" s="2">
        <v>36307</v>
      </c>
      <c r="B6712" s="3">
        <v>8.0185300000000002</v>
      </c>
      <c r="C6712" s="1">
        <v>286874.63</v>
      </c>
      <c r="D6712" s="3">
        <v>-1.8520000000000501E-2</v>
      </c>
      <c r="E6712" s="3">
        <v>-0.23043280805769001</v>
      </c>
      <c r="F6712" s="3">
        <v>-0.23043280805769001</v>
      </c>
      <c r="G6712" s="3">
        <v>8.0185300000000002</v>
      </c>
      <c r="H6712" s="3">
        <v>123.451604746313</v>
      </c>
      <c r="I6712" s="3">
        <v>8.1296420000000005</v>
      </c>
      <c r="J6712" s="3">
        <v>8.1296420000000005</v>
      </c>
      <c r="K6712" s="3">
        <v>7.6296410000000003</v>
      </c>
      <c r="L6712" s="3">
        <v>123.451604746313</v>
      </c>
    </row>
    <row r="6713" spans="1:12" ht="15" customHeight="1" x14ac:dyDescent="0.2">
      <c r="A6713" s="2">
        <v>36306</v>
      </c>
      <c r="B6713" s="3">
        <v>8.0370500000000007</v>
      </c>
      <c r="C6713" s="1">
        <v>157949.78</v>
      </c>
      <c r="D6713" s="3">
        <v>-0.16666500000000001</v>
      </c>
      <c r="E6713" s="3">
        <v>-2.0315795953418698</v>
      </c>
      <c r="F6713" s="3">
        <v>-2.0315795953418698</v>
      </c>
      <c r="G6713" s="3">
        <v>8.0370500000000007</v>
      </c>
      <c r="H6713" s="3">
        <v>123.96769980611801</v>
      </c>
      <c r="I6713" s="3">
        <v>8.0370500000000007</v>
      </c>
      <c r="J6713" s="3">
        <v>8.1851979999999998</v>
      </c>
      <c r="K6713" s="3">
        <v>7.8518634</v>
      </c>
      <c r="L6713" s="3">
        <v>123.96769980611801</v>
      </c>
    </row>
    <row r="6714" spans="1:12" ht="15" customHeight="1" x14ac:dyDescent="0.2">
      <c r="A6714" s="2">
        <v>36305</v>
      </c>
      <c r="B6714" s="3">
        <v>8.2037150000000008</v>
      </c>
      <c r="C6714" s="1">
        <v>255824.68</v>
      </c>
      <c r="D6714" s="3">
        <v>-0.148147999999999</v>
      </c>
      <c r="E6714" s="3">
        <v>-1.7738317786103399</v>
      </c>
      <c r="F6714" s="3">
        <v>-1.7738317786103399</v>
      </c>
      <c r="G6714" s="3">
        <v>8.2037150000000008</v>
      </c>
      <c r="H6714" s="3">
        <v>128.612137340809</v>
      </c>
      <c r="I6714" s="3">
        <v>8.3703830000000004</v>
      </c>
      <c r="J6714" s="3">
        <v>8.3703830000000004</v>
      </c>
      <c r="K6714" s="3">
        <v>8.0000105000000001</v>
      </c>
      <c r="L6714" s="3">
        <v>128.612137340809</v>
      </c>
    </row>
    <row r="6715" spans="1:12" ht="15" customHeight="1" x14ac:dyDescent="0.2">
      <c r="A6715" s="2">
        <v>36304</v>
      </c>
      <c r="B6715" s="3">
        <v>8.3518629999999998</v>
      </c>
      <c r="C6715" s="1">
        <v>578474.23999999999</v>
      </c>
      <c r="D6715" s="3">
        <v>-9.2593999999999996E-2</v>
      </c>
      <c r="E6715" s="3">
        <v>-1.09650626440516</v>
      </c>
      <c r="F6715" s="3">
        <v>-1.09650626440516</v>
      </c>
      <c r="G6715" s="3">
        <v>8.3518629999999998</v>
      </c>
      <c r="H6715" s="3">
        <v>132.74056341640599</v>
      </c>
      <c r="I6715" s="3">
        <v>8.4074200000000001</v>
      </c>
      <c r="J6715" s="3">
        <v>8.6666790000000002</v>
      </c>
      <c r="K6715" s="3">
        <v>8.2222340000000003</v>
      </c>
      <c r="L6715" s="3">
        <v>132.74056341640599</v>
      </c>
    </row>
    <row r="6716" spans="1:12" ht="15" customHeight="1" x14ac:dyDescent="0.2">
      <c r="A6716" s="2">
        <v>36301</v>
      </c>
      <c r="B6716" s="3">
        <v>8.4444569999999999</v>
      </c>
      <c r="C6716" s="1">
        <v>192712.23</v>
      </c>
      <c r="D6716" s="3"/>
      <c r="E6716" s="3"/>
      <c r="F6716" s="3"/>
      <c r="G6716" s="3">
        <v>8.4444569999999999</v>
      </c>
      <c r="H6716" s="3">
        <v>135.32087151401001</v>
      </c>
      <c r="I6716" s="3">
        <v>8.4629759999999994</v>
      </c>
      <c r="J6716" s="3">
        <v>8.5185309999999994</v>
      </c>
      <c r="K6716" s="3">
        <v>8.148161</v>
      </c>
      <c r="L6716" s="3">
        <v>135.32087151401001</v>
      </c>
    </row>
    <row r="6717" spans="1:12" ht="15" customHeight="1" x14ac:dyDescent="0.2">
      <c r="A6717" s="2">
        <v>36300</v>
      </c>
      <c r="B6717" s="3">
        <v>8.4444569999999999</v>
      </c>
      <c r="C6717" s="1">
        <v>120149.826</v>
      </c>
      <c r="D6717" s="3">
        <v>-0.148149</v>
      </c>
      <c r="E6717" s="3">
        <v>-1.72414515456661</v>
      </c>
      <c r="F6717" s="3">
        <v>-1.72414515456661</v>
      </c>
      <c r="G6717" s="3">
        <v>8.4444569999999999</v>
      </c>
      <c r="H6717" s="3">
        <v>135.32087151401001</v>
      </c>
      <c r="I6717" s="3">
        <v>8.4814950000000007</v>
      </c>
      <c r="J6717" s="3">
        <v>8.5185309999999994</v>
      </c>
      <c r="K6717" s="3">
        <v>8.3703830000000004</v>
      </c>
      <c r="L6717" s="3">
        <v>135.32087151401001</v>
      </c>
    </row>
    <row r="6718" spans="1:12" ht="15" customHeight="1" x14ac:dyDescent="0.2">
      <c r="A6718" s="2">
        <v>36299</v>
      </c>
      <c r="B6718" s="3">
        <v>8.592606</v>
      </c>
      <c r="C6718" s="1">
        <v>999673.6</v>
      </c>
      <c r="D6718" s="3">
        <v>0.18518699999999899</v>
      </c>
      <c r="E6718" s="3">
        <v>2.2026617205589401</v>
      </c>
      <c r="F6718" s="3">
        <v>2.2026617205589401</v>
      </c>
      <c r="G6718" s="3">
        <v>8.592606</v>
      </c>
      <c r="H6718" s="3">
        <v>139.44932545651099</v>
      </c>
      <c r="I6718" s="3">
        <v>8.3703830000000004</v>
      </c>
      <c r="J6718" s="3">
        <v>8.8148269999999993</v>
      </c>
      <c r="K6718" s="3">
        <v>8.3703830000000004</v>
      </c>
      <c r="L6718" s="3">
        <v>139.44932545651099</v>
      </c>
    </row>
    <row r="6719" spans="1:12" ht="15" customHeight="1" x14ac:dyDescent="0.2">
      <c r="A6719" s="2">
        <v>36298</v>
      </c>
      <c r="B6719" s="3">
        <v>8.4074190000000009</v>
      </c>
      <c r="C6719" s="1">
        <v>253462.16999999899</v>
      </c>
      <c r="D6719" s="3">
        <v>7.4074000000001305E-2</v>
      </c>
      <c r="E6719" s="3">
        <v>0.88888675555856</v>
      </c>
      <c r="F6719" s="3">
        <v>0.88888675555856</v>
      </c>
      <c r="G6719" s="3">
        <v>8.4074190000000009</v>
      </c>
      <c r="H6719" s="3">
        <v>134.288737128207</v>
      </c>
      <c r="I6719" s="3">
        <v>8.4074200000000001</v>
      </c>
      <c r="J6719" s="3">
        <v>8.4629750000000001</v>
      </c>
      <c r="K6719" s="3">
        <v>8.259271</v>
      </c>
      <c r="L6719" s="3">
        <v>134.288737128207</v>
      </c>
    </row>
    <row r="6720" spans="1:12" ht="15" customHeight="1" x14ac:dyDescent="0.2">
      <c r="A6720" s="2">
        <v>36297</v>
      </c>
      <c r="B6720" s="3">
        <v>8.3333449999999996</v>
      </c>
      <c r="C6720" s="1">
        <v>345261.95999999897</v>
      </c>
      <c r="D6720" s="3">
        <v>-0.148148</v>
      </c>
      <c r="E6720" s="3">
        <v>-1.7467207719207001</v>
      </c>
      <c r="F6720" s="3">
        <v>-1.7467207719207001</v>
      </c>
      <c r="G6720" s="3">
        <v>8.3333449999999996</v>
      </c>
      <c r="H6720" s="3">
        <v>132.22452409040801</v>
      </c>
      <c r="I6720" s="3">
        <v>8.4444579999999991</v>
      </c>
      <c r="J6720" s="3">
        <v>8.5185309999999994</v>
      </c>
      <c r="K6720" s="3">
        <v>8.148161</v>
      </c>
      <c r="L6720" s="3">
        <v>132.22452409040801</v>
      </c>
    </row>
    <row r="6721" spans="1:12" ht="15" customHeight="1" x14ac:dyDescent="0.2">
      <c r="A6721" s="2">
        <v>36294</v>
      </c>
      <c r="B6721" s="3">
        <v>8.4814930000000004</v>
      </c>
      <c r="C6721" s="1">
        <v>204524.69</v>
      </c>
      <c r="D6721" s="3">
        <v>-3.7037999999999002E-2</v>
      </c>
      <c r="E6721" s="3">
        <v>-0.43479327597679601</v>
      </c>
      <c r="F6721" s="3">
        <v>-0.43479327597679601</v>
      </c>
      <c r="G6721" s="3">
        <v>8.4814930000000004</v>
      </c>
      <c r="H6721" s="3">
        <v>136.352950166005</v>
      </c>
      <c r="I6721" s="3">
        <v>8.2592730000000003</v>
      </c>
      <c r="J6721" s="3">
        <v>8.4814930000000004</v>
      </c>
      <c r="K6721" s="3">
        <v>8.259271</v>
      </c>
      <c r="L6721" s="3">
        <v>136.352950166005</v>
      </c>
    </row>
    <row r="6722" spans="1:12" ht="15" customHeight="1" x14ac:dyDescent="0.2">
      <c r="A6722" s="2">
        <v>36293</v>
      </c>
      <c r="B6722" s="3">
        <v>8.5185309999999994</v>
      </c>
      <c r="C6722" s="1">
        <v>642599.06000000006</v>
      </c>
      <c r="D6722" s="3">
        <v>0.38888899999999799</v>
      </c>
      <c r="E6722" s="3">
        <v>4.7835931766736897</v>
      </c>
      <c r="F6722" s="3">
        <v>4.7835931766736897</v>
      </c>
      <c r="G6722" s="3">
        <v>8.5185309999999994</v>
      </c>
      <c r="H6722" s="3">
        <v>137.385084551809</v>
      </c>
      <c r="I6722" s="3">
        <v>8.2222360000000005</v>
      </c>
      <c r="J6722" s="3">
        <v>8.5370500000000007</v>
      </c>
      <c r="K6722" s="3">
        <v>7.9814930000000004</v>
      </c>
      <c r="L6722" s="3">
        <v>137.385084551809</v>
      </c>
    </row>
    <row r="6723" spans="1:12" ht="15" customHeight="1" x14ac:dyDescent="0.2">
      <c r="A6723" s="2">
        <v>36292</v>
      </c>
      <c r="B6723" s="3">
        <v>8.1296420000000005</v>
      </c>
      <c r="C6723" s="1">
        <v>441786.87</v>
      </c>
      <c r="D6723" s="3">
        <v>3.7038000000000702E-2</v>
      </c>
      <c r="E6723" s="3">
        <v>0.457677158056912</v>
      </c>
      <c r="F6723" s="3">
        <v>0.457677158056912</v>
      </c>
      <c r="G6723" s="3">
        <v>8.1296420000000005</v>
      </c>
      <c r="H6723" s="3">
        <v>126.547952169914</v>
      </c>
      <c r="I6723" s="3">
        <v>8.1851979999999998</v>
      </c>
      <c r="J6723" s="3">
        <v>8.4444569999999999</v>
      </c>
      <c r="K6723" s="3">
        <v>8.0370500000000007</v>
      </c>
      <c r="L6723" s="3">
        <v>126.547952169914</v>
      </c>
    </row>
    <row r="6724" spans="1:12" ht="15" customHeight="1" x14ac:dyDescent="0.2">
      <c r="A6724" s="2">
        <v>36291</v>
      </c>
      <c r="B6724" s="3">
        <v>8.0926039999999997</v>
      </c>
      <c r="C6724" s="1">
        <v>773211.4</v>
      </c>
      <c r="D6724" s="3">
        <v>0.29629640000000002</v>
      </c>
      <c r="E6724" s="3">
        <v>3.8004708793172699</v>
      </c>
      <c r="F6724" s="3">
        <v>3.8004708793172699</v>
      </c>
      <c r="G6724" s="3">
        <v>8.0926039999999997</v>
      </c>
      <c r="H6724" s="3">
        <v>125.51581778411099</v>
      </c>
      <c r="I6724" s="3">
        <v>7.8518642999999999</v>
      </c>
      <c r="J6724" s="3">
        <v>8.3333449999999996</v>
      </c>
      <c r="K6724" s="3">
        <v>7.8518634</v>
      </c>
      <c r="L6724" s="3">
        <v>125.51581778411099</v>
      </c>
    </row>
    <row r="6725" spans="1:12" ht="15" customHeight="1" x14ac:dyDescent="0.2">
      <c r="A6725" s="2">
        <v>36290</v>
      </c>
      <c r="B6725" s="3">
        <v>7.7963075999999996</v>
      </c>
      <c r="C6725" s="1">
        <v>348974.46</v>
      </c>
      <c r="D6725" s="3">
        <v>-3.7036400000000698E-2</v>
      </c>
      <c r="E6725" s="3">
        <v>-0.47280446256414699</v>
      </c>
      <c r="F6725" s="3">
        <v>-0.47280446256414699</v>
      </c>
      <c r="G6725" s="3">
        <v>7.7963075999999996</v>
      </c>
      <c r="H6725" s="3">
        <v>117.258954486156</v>
      </c>
      <c r="I6725" s="3">
        <v>7.8889009999999997</v>
      </c>
      <c r="J6725" s="3">
        <v>7.8889003000000004</v>
      </c>
      <c r="K6725" s="3">
        <v>7.5185300000000002</v>
      </c>
      <c r="L6725" s="3">
        <v>117.258954486156</v>
      </c>
    </row>
    <row r="6726" spans="1:12" ht="15" customHeight="1" x14ac:dyDescent="0.2">
      <c r="A6726" s="2">
        <v>36287</v>
      </c>
      <c r="B6726" s="3">
        <v>7.8333440000000003</v>
      </c>
      <c r="C6726" s="1">
        <v>112387.344</v>
      </c>
      <c r="D6726" s="3">
        <v>-0.12963049999999901</v>
      </c>
      <c r="E6726" s="3">
        <v>-1.6279155483921099</v>
      </c>
      <c r="F6726" s="3">
        <v>-1.6279155483921099</v>
      </c>
      <c r="G6726" s="3">
        <v>7.8333440000000003</v>
      </c>
      <c r="H6726" s="3">
        <v>118.291044284913</v>
      </c>
      <c r="I6726" s="3">
        <v>7.9629744999999996</v>
      </c>
      <c r="J6726" s="3">
        <v>8.0370500000000007</v>
      </c>
      <c r="K6726" s="3">
        <v>7.6666774999999996</v>
      </c>
      <c r="L6726" s="3">
        <v>118.291044284913</v>
      </c>
    </row>
    <row r="6727" spans="1:12" ht="15" customHeight="1" x14ac:dyDescent="0.2">
      <c r="A6727" s="2">
        <v>36286</v>
      </c>
      <c r="B6727" s="3">
        <v>7.9629744999999996</v>
      </c>
      <c r="C6727" s="1">
        <v>314887.05</v>
      </c>
      <c r="D6727" s="3">
        <v>-1.8518500000000701E-2</v>
      </c>
      <c r="E6727" s="3">
        <v>-0.23201799462833</v>
      </c>
      <c r="F6727" s="3">
        <v>-0.23201799462833</v>
      </c>
      <c r="G6727" s="3">
        <v>7.9629744999999996</v>
      </c>
      <c r="H6727" s="3">
        <v>121.90344496796401</v>
      </c>
      <c r="I6727" s="3">
        <v>7.8889009999999997</v>
      </c>
      <c r="J6727" s="3">
        <v>8.148161</v>
      </c>
      <c r="K6727" s="3">
        <v>7.7407516999999997</v>
      </c>
      <c r="L6727" s="3">
        <v>121.90344496796401</v>
      </c>
    </row>
    <row r="6728" spans="1:12" ht="15" customHeight="1" x14ac:dyDescent="0.2">
      <c r="A6728" s="2">
        <v>36285</v>
      </c>
      <c r="B6728" s="3">
        <v>7.9814930000000004</v>
      </c>
      <c r="C6728" s="1">
        <v>766798.95</v>
      </c>
      <c r="D6728" s="3"/>
      <c r="E6728" s="3"/>
      <c r="F6728" s="3"/>
      <c r="G6728" s="3">
        <v>7.9814930000000004</v>
      </c>
      <c r="H6728" s="3">
        <v>122.419498227414</v>
      </c>
      <c r="I6728" s="3">
        <v>8.0370500000000007</v>
      </c>
      <c r="J6728" s="3">
        <v>8.0370500000000007</v>
      </c>
      <c r="K6728" s="3">
        <v>7.8889003000000004</v>
      </c>
      <c r="L6728" s="3">
        <v>122.419498227414</v>
      </c>
    </row>
    <row r="6729" spans="1:12" ht="15" customHeight="1" x14ac:dyDescent="0.2">
      <c r="A6729" s="2">
        <v>36284</v>
      </c>
      <c r="B6729" s="3">
        <v>7.9814930000000004</v>
      </c>
      <c r="C6729" s="1">
        <v>413436.89999999898</v>
      </c>
      <c r="D6729" s="3">
        <v>-1.8517499999999701E-2</v>
      </c>
      <c r="E6729" s="3">
        <v>-0.231468446197657</v>
      </c>
      <c r="F6729" s="3">
        <v>-0.231468446197657</v>
      </c>
      <c r="G6729" s="3">
        <v>7.9814930000000004</v>
      </c>
      <c r="H6729" s="3">
        <v>122.419498227414</v>
      </c>
      <c r="I6729" s="3">
        <v>8.1851979999999998</v>
      </c>
      <c r="J6729" s="3">
        <v>8.259271</v>
      </c>
      <c r="K6729" s="3">
        <v>7.9629744999999996</v>
      </c>
      <c r="L6729" s="3">
        <v>122.419498227414</v>
      </c>
    </row>
    <row r="6730" spans="1:12" ht="15" customHeight="1" x14ac:dyDescent="0.2">
      <c r="A6730" s="2">
        <v>36283</v>
      </c>
      <c r="B6730" s="3">
        <v>8.0000105000000001</v>
      </c>
      <c r="C6730" s="1">
        <v>1218373.3</v>
      </c>
      <c r="D6730" s="3">
        <v>-0.29629850000000002</v>
      </c>
      <c r="E6730" s="3">
        <v>-3.5714496651462699</v>
      </c>
      <c r="F6730" s="3">
        <v>-3.5714496651462699</v>
      </c>
      <c r="G6730" s="3">
        <v>8.0000105000000001</v>
      </c>
      <c r="H6730" s="3">
        <v>122.935523619959</v>
      </c>
      <c r="I6730" s="3">
        <v>8.2592730000000003</v>
      </c>
      <c r="J6730" s="3">
        <v>8.5555679999999992</v>
      </c>
      <c r="K6730" s="3">
        <v>7.9629744999999996</v>
      </c>
      <c r="L6730" s="3">
        <v>122.935523619959</v>
      </c>
    </row>
    <row r="6731" spans="1:12" ht="15" customHeight="1" x14ac:dyDescent="0.2">
      <c r="A6731" s="2">
        <v>36280</v>
      </c>
      <c r="B6731" s="3">
        <v>8.2963090000000008</v>
      </c>
      <c r="C6731" s="1">
        <v>378336.98</v>
      </c>
      <c r="D6731" s="3">
        <v>-9.2590999999998702E-2</v>
      </c>
      <c r="E6731" s="3">
        <v>-1.10373231293732</v>
      </c>
      <c r="F6731" s="3">
        <v>-1.10373231293732</v>
      </c>
      <c r="G6731" s="3">
        <v>8.2963090000000008</v>
      </c>
      <c r="H6731" s="3">
        <v>131.19244543841299</v>
      </c>
      <c r="I6731" s="3">
        <v>8.3333460000000006</v>
      </c>
      <c r="J6731" s="3">
        <v>8.4074190000000009</v>
      </c>
      <c r="K6731" s="3">
        <v>8.148161</v>
      </c>
      <c r="L6731" s="3">
        <v>131.19244543841299</v>
      </c>
    </row>
    <row r="6732" spans="1:12" ht="15" customHeight="1" x14ac:dyDescent="0.2">
      <c r="A6732" s="2">
        <v>36279</v>
      </c>
      <c r="B6732" s="3">
        <v>8.3888999999999996</v>
      </c>
      <c r="C6732" s="1">
        <v>370911.96</v>
      </c>
      <c r="D6732" s="3">
        <v>-0.129630999999999</v>
      </c>
      <c r="E6732" s="3">
        <v>-1.5217529876923499</v>
      </c>
      <c r="F6732" s="3">
        <v>-1.5217529876923499</v>
      </c>
      <c r="G6732" s="3">
        <v>8.3888999999999996</v>
      </c>
      <c r="H6732" s="3">
        <v>133.772669935305</v>
      </c>
      <c r="I6732" s="3">
        <v>8.5185320000000004</v>
      </c>
      <c r="J6732" s="3">
        <v>8.5185309999999994</v>
      </c>
      <c r="K6732" s="3">
        <v>8.259271</v>
      </c>
      <c r="L6732" s="3">
        <v>133.772669935305</v>
      </c>
    </row>
    <row r="6733" spans="1:12" ht="15" customHeight="1" x14ac:dyDescent="0.2">
      <c r="A6733" s="2">
        <v>36278</v>
      </c>
      <c r="B6733" s="3">
        <v>8.5185309999999994</v>
      </c>
      <c r="C6733" s="1">
        <v>341887</v>
      </c>
      <c r="D6733" s="3"/>
      <c r="E6733" s="3"/>
      <c r="F6733" s="3"/>
      <c r="G6733" s="3">
        <v>8.5185309999999994</v>
      </c>
      <c r="H6733" s="3">
        <v>137.385084551809</v>
      </c>
      <c r="I6733" s="3">
        <v>8.5555679999999992</v>
      </c>
      <c r="J6733" s="3">
        <v>8.5555679999999992</v>
      </c>
      <c r="K6733" s="3">
        <v>8.4074190000000009</v>
      </c>
      <c r="L6733" s="3">
        <v>137.385084551809</v>
      </c>
    </row>
    <row r="6734" spans="1:12" ht="15" customHeight="1" x14ac:dyDescent="0.2">
      <c r="A6734" s="2">
        <v>36277</v>
      </c>
      <c r="B6734" s="3">
        <v>8.5185309999999994</v>
      </c>
      <c r="C6734" s="1">
        <v>757348.94</v>
      </c>
      <c r="D6734" s="3">
        <v>3.7037999999999002E-2</v>
      </c>
      <c r="E6734" s="3">
        <v>0.43669198335716197</v>
      </c>
      <c r="F6734" s="3">
        <v>0.43669198335716197</v>
      </c>
      <c r="G6734" s="3">
        <v>8.5185309999999994</v>
      </c>
      <c r="H6734" s="3">
        <v>137.385084551809</v>
      </c>
      <c r="I6734" s="3">
        <v>8.4814950000000007</v>
      </c>
      <c r="J6734" s="3">
        <v>8.7777899999999995</v>
      </c>
      <c r="K6734" s="3">
        <v>8.4814930000000004</v>
      </c>
      <c r="L6734" s="3">
        <v>137.385084551809</v>
      </c>
    </row>
    <row r="6735" spans="1:12" ht="15" customHeight="1" x14ac:dyDescent="0.2">
      <c r="A6735" s="2">
        <v>36276</v>
      </c>
      <c r="B6735" s="3">
        <v>8.4814930000000004</v>
      </c>
      <c r="C6735" s="1">
        <v>1629447.5</v>
      </c>
      <c r="D6735" s="3">
        <v>0.148148</v>
      </c>
      <c r="E6735" s="3">
        <v>1.77777351111709</v>
      </c>
      <c r="F6735" s="3">
        <v>1.77777351111709</v>
      </c>
      <c r="G6735" s="3">
        <v>8.4814930000000004</v>
      </c>
      <c r="H6735" s="3">
        <v>136.352950166005</v>
      </c>
      <c r="I6735" s="3">
        <v>8.2222360000000005</v>
      </c>
      <c r="J6735" s="3">
        <v>8.7777899999999995</v>
      </c>
      <c r="K6735" s="3">
        <v>8.2222340000000003</v>
      </c>
      <c r="L6735" s="3">
        <v>136.352950166005</v>
      </c>
    </row>
    <row r="6736" spans="1:12" ht="15" customHeight="1" x14ac:dyDescent="0.2">
      <c r="A6736" s="2">
        <v>36273</v>
      </c>
      <c r="B6736" s="3">
        <v>8.3333449999999996</v>
      </c>
      <c r="C6736" s="1">
        <v>2174847</v>
      </c>
      <c r="D6736" s="3">
        <v>0.51851899999999895</v>
      </c>
      <c r="E6736" s="3">
        <v>6.6350677545475598</v>
      </c>
      <c r="F6736" s="3">
        <v>6.6350677545475598</v>
      </c>
      <c r="G6736" s="3">
        <v>8.3333449999999996</v>
      </c>
      <c r="H6736" s="3">
        <v>132.22452409040801</v>
      </c>
      <c r="I6736" s="3">
        <v>8.0926039999999997</v>
      </c>
      <c r="J6736" s="3">
        <v>8.5555679999999992</v>
      </c>
      <c r="K6736" s="3">
        <v>7.9629744999999996</v>
      </c>
      <c r="L6736" s="3">
        <v>132.22452409040801</v>
      </c>
    </row>
    <row r="6737" spans="1:12" ht="15" customHeight="1" x14ac:dyDescent="0.2">
      <c r="A6737" s="2">
        <v>36272</v>
      </c>
      <c r="B6737" s="3">
        <v>7.8148260000000001</v>
      </c>
      <c r="C6737" s="1">
        <v>2362158.7000000002</v>
      </c>
      <c r="D6737" s="3">
        <v>0.40740769999999998</v>
      </c>
      <c r="E6737" s="3">
        <v>5.4999958622560898</v>
      </c>
      <c r="F6737" s="3">
        <v>5.4999958622560898</v>
      </c>
      <c r="G6737" s="3">
        <v>7.8148260000000001</v>
      </c>
      <c r="H6737" s="3">
        <v>117.77500495891501</v>
      </c>
      <c r="I6737" s="3">
        <v>7.4074182999999998</v>
      </c>
      <c r="J6737" s="3">
        <v>8.1851979999999998</v>
      </c>
      <c r="K6737" s="3">
        <v>7.4074182999999998</v>
      </c>
      <c r="L6737" s="3">
        <v>117.77500495891501</v>
      </c>
    </row>
    <row r="6738" spans="1:12" ht="15" customHeight="1" x14ac:dyDescent="0.2">
      <c r="A6738" s="2">
        <v>36271</v>
      </c>
      <c r="B6738" s="3">
        <v>7.4074182999999998</v>
      </c>
      <c r="C6738" s="1">
        <v>655086.55000000005</v>
      </c>
      <c r="D6738" s="3">
        <v>0.14814829999999901</v>
      </c>
      <c r="E6738" s="3">
        <v>2.0408153987935398</v>
      </c>
      <c r="F6738" s="3">
        <v>2.0408153987935398</v>
      </c>
      <c r="G6738" s="3">
        <v>7.4074182999999998</v>
      </c>
      <c r="H6738" s="3">
        <v>106.421813744191</v>
      </c>
      <c r="I6738" s="3">
        <v>7.2222322999999999</v>
      </c>
      <c r="J6738" s="3">
        <v>7.6666774999999996</v>
      </c>
      <c r="K6738" s="3">
        <v>7.2222322999999999</v>
      </c>
      <c r="L6738" s="3">
        <v>106.421813744191</v>
      </c>
    </row>
    <row r="6739" spans="1:12" ht="15" customHeight="1" x14ac:dyDescent="0.2">
      <c r="A6739" s="2">
        <v>36270</v>
      </c>
      <c r="B6739" s="3">
        <v>7.2592699999999999</v>
      </c>
      <c r="C6739" s="1">
        <v>396561.95</v>
      </c>
      <c r="D6739" s="3">
        <v>0.25925949999999898</v>
      </c>
      <c r="E6739" s="3">
        <v>3.7037015873047499</v>
      </c>
      <c r="F6739" s="3">
        <v>3.7037015873047499</v>
      </c>
      <c r="G6739" s="3">
        <v>7.2592699999999999</v>
      </c>
      <c r="H6739" s="3">
        <v>102.29337930852201</v>
      </c>
      <c r="I6739" s="3">
        <v>7.0370483000000004</v>
      </c>
      <c r="J6739" s="3">
        <v>7.4814920000000003</v>
      </c>
      <c r="K6739" s="3">
        <v>6.8888990000000003</v>
      </c>
      <c r="L6739" s="3">
        <v>102.29337930852201</v>
      </c>
    </row>
    <row r="6740" spans="1:12" ht="15" customHeight="1" x14ac:dyDescent="0.2">
      <c r="A6740" s="2">
        <v>36269</v>
      </c>
      <c r="B6740" s="3">
        <v>7.0000105000000001</v>
      </c>
      <c r="C6740" s="1">
        <v>468449.34</v>
      </c>
      <c r="D6740" s="3">
        <v>-0.29629549999999999</v>
      </c>
      <c r="E6740" s="3">
        <v>-4.0608973910907702</v>
      </c>
      <c r="F6740" s="3">
        <v>-4.0608973910907702</v>
      </c>
      <c r="G6740" s="3">
        <v>7.0000105000000001</v>
      </c>
      <c r="H6740" s="3">
        <v>95.068619742776207</v>
      </c>
      <c r="I6740" s="3">
        <v>7.1481589999999997</v>
      </c>
      <c r="J6740" s="3">
        <v>7.7777886000000001</v>
      </c>
      <c r="K6740" s="3">
        <v>6.8518615</v>
      </c>
      <c r="L6740" s="3">
        <v>95.068619742776207</v>
      </c>
    </row>
    <row r="6741" spans="1:12" ht="15" customHeight="1" x14ac:dyDescent="0.2">
      <c r="A6741" s="2">
        <v>36266</v>
      </c>
      <c r="B6741" s="3">
        <v>7.2963060000000004</v>
      </c>
      <c r="C6741" s="1">
        <v>172462.23</v>
      </c>
      <c r="D6741" s="3">
        <v>-3.7037999999999897E-2</v>
      </c>
      <c r="E6741" s="3">
        <v>-0.505062901726682</v>
      </c>
      <c r="F6741" s="3">
        <v>-0.505062901726682</v>
      </c>
      <c r="G6741" s="3">
        <v>7.2963060000000004</v>
      </c>
      <c r="H6741" s="3">
        <v>103.32545796051799</v>
      </c>
      <c r="I6741" s="3">
        <v>7.2592707000000001</v>
      </c>
      <c r="J6741" s="3">
        <v>7.3333440000000003</v>
      </c>
      <c r="K6741" s="3">
        <v>7.1481586000000004</v>
      </c>
      <c r="L6741" s="3">
        <v>103.32545796051799</v>
      </c>
    </row>
    <row r="6742" spans="1:12" ht="15" customHeight="1" x14ac:dyDescent="0.2">
      <c r="A6742" s="2">
        <v>36265</v>
      </c>
      <c r="B6742" s="3">
        <v>7.3333440000000003</v>
      </c>
      <c r="C6742" s="1">
        <v>129262.3</v>
      </c>
      <c r="D6742" s="3">
        <v>1.8518499999999799E-2</v>
      </c>
      <c r="E6742" s="3">
        <v>0.25316393398584403</v>
      </c>
      <c r="F6742" s="3">
        <v>0.25316393398584403</v>
      </c>
      <c r="G6742" s="3">
        <v>7.3333440000000003</v>
      </c>
      <c r="H6742" s="3">
        <v>104.357592346321</v>
      </c>
      <c r="I6742" s="3">
        <v>7.3518629999999998</v>
      </c>
      <c r="J6742" s="3">
        <v>7.3888993000000003</v>
      </c>
      <c r="K6742" s="3">
        <v>7.1481586000000004</v>
      </c>
      <c r="L6742" s="3">
        <v>104.357592346321</v>
      </c>
    </row>
    <row r="6743" spans="1:12" ht="15" customHeight="1" x14ac:dyDescent="0.2">
      <c r="A6743" s="2">
        <v>36264</v>
      </c>
      <c r="B6743" s="3">
        <v>7.3148255000000004</v>
      </c>
      <c r="C6743" s="1">
        <v>164699.76999999999</v>
      </c>
      <c r="D6743" s="3">
        <v>-1.8518499999999799E-2</v>
      </c>
      <c r="E6743" s="3">
        <v>-0.25252463269144199</v>
      </c>
      <c r="F6743" s="3">
        <v>-0.25252463269144199</v>
      </c>
      <c r="G6743" s="3">
        <v>7.3148255000000004</v>
      </c>
      <c r="H6743" s="3">
        <v>103.84153908687099</v>
      </c>
      <c r="I6743" s="3">
        <v>7.4074182999999998</v>
      </c>
      <c r="J6743" s="3">
        <v>7.4259367000000003</v>
      </c>
      <c r="K6743" s="3">
        <v>7.3148255000000004</v>
      </c>
      <c r="L6743" s="3">
        <v>103.84153908687099</v>
      </c>
    </row>
    <row r="6744" spans="1:12" ht="15" customHeight="1" x14ac:dyDescent="0.2">
      <c r="A6744" s="2">
        <v>36263</v>
      </c>
      <c r="B6744" s="3">
        <v>7.3333440000000003</v>
      </c>
      <c r="C6744" s="1">
        <v>1090123.5</v>
      </c>
      <c r="D6744" s="3">
        <v>0.27777800000000002</v>
      </c>
      <c r="E6744" s="3">
        <v>3.9370051956143701</v>
      </c>
      <c r="F6744" s="3">
        <v>3.9370051956143701</v>
      </c>
      <c r="G6744" s="3">
        <v>7.3333440000000003</v>
      </c>
      <c r="H6744" s="3">
        <v>104.357592346321</v>
      </c>
      <c r="I6744" s="3">
        <v>6.9629735999999998</v>
      </c>
      <c r="J6744" s="3">
        <v>7.5555659999999998</v>
      </c>
      <c r="K6744" s="3">
        <v>6.9629725999999996</v>
      </c>
      <c r="L6744" s="3">
        <v>104.357592346321</v>
      </c>
    </row>
    <row r="6745" spans="1:12" ht="15" customHeight="1" x14ac:dyDescent="0.2">
      <c r="A6745" s="2">
        <v>36262</v>
      </c>
      <c r="B6745" s="3">
        <v>7.0555659999999998</v>
      </c>
      <c r="C6745" s="1">
        <v>1109023.3</v>
      </c>
      <c r="D6745" s="3">
        <v>0.35185300000000003</v>
      </c>
      <c r="E6745" s="3">
        <v>5.2486286331171899</v>
      </c>
      <c r="F6745" s="3">
        <v>5.2486286331171899</v>
      </c>
      <c r="G6745" s="3">
        <v>7.0555659999999998</v>
      </c>
      <c r="H6745" s="3">
        <v>96.616779521124997</v>
      </c>
      <c r="I6745" s="3">
        <v>6.5185285000000004</v>
      </c>
      <c r="J6745" s="3">
        <v>7.0555659999999998</v>
      </c>
      <c r="K6745" s="3">
        <v>6.333342</v>
      </c>
      <c r="L6745" s="3">
        <v>96.616779521124997</v>
      </c>
    </row>
    <row r="6746" spans="1:12" ht="15" customHeight="1" x14ac:dyDescent="0.2">
      <c r="A6746" s="2">
        <v>36259</v>
      </c>
      <c r="B6746" s="3">
        <v>6.7037129999999996</v>
      </c>
      <c r="C6746" s="1">
        <v>611886.6</v>
      </c>
      <c r="D6746" s="3">
        <v>-0.14814849999999999</v>
      </c>
      <c r="E6746" s="3">
        <v>-2.1621642527362801</v>
      </c>
      <c r="F6746" s="3">
        <v>-2.1621642527362801</v>
      </c>
      <c r="G6746" s="3">
        <v>6.7037129999999996</v>
      </c>
      <c r="H6746" s="3">
        <v>86.811725791226294</v>
      </c>
      <c r="I6746" s="3">
        <v>6.8518615</v>
      </c>
      <c r="J6746" s="3">
        <v>6.9629725999999996</v>
      </c>
      <c r="K6746" s="3">
        <v>6.5555649999999996</v>
      </c>
      <c r="L6746" s="3">
        <v>86.811725791226294</v>
      </c>
    </row>
    <row r="6747" spans="1:12" ht="15" customHeight="1" x14ac:dyDescent="0.2">
      <c r="A6747" s="2">
        <v>36258</v>
      </c>
      <c r="B6747" s="3">
        <v>6.8518615</v>
      </c>
      <c r="C6747" s="1">
        <v>407361.88</v>
      </c>
      <c r="D6747" s="3">
        <v>-3.7037500000000202E-2</v>
      </c>
      <c r="E6747" s="3">
        <v>-0.53764033991499005</v>
      </c>
      <c r="F6747" s="3">
        <v>-0.53764033991499005</v>
      </c>
      <c r="G6747" s="3">
        <v>6.8518615</v>
      </c>
      <c r="H6747" s="3">
        <v>90.940165800275295</v>
      </c>
      <c r="I6747" s="3">
        <v>6.8888999999999996</v>
      </c>
      <c r="J6747" s="3">
        <v>7.018529</v>
      </c>
      <c r="K6747" s="3">
        <v>6.8148245999999997</v>
      </c>
      <c r="L6747" s="3">
        <v>90.940165800275295</v>
      </c>
    </row>
    <row r="6748" spans="1:12" ht="15" customHeight="1" x14ac:dyDescent="0.2">
      <c r="A6748" s="2">
        <v>36257</v>
      </c>
      <c r="B6748" s="3">
        <v>6.8888990000000003</v>
      </c>
      <c r="C6748" s="1">
        <v>259874.59999999899</v>
      </c>
      <c r="D6748" s="3">
        <v>7.4074400000000595E-2</v>
      </c>
      <c r="E6748" s="3">
        <v>1.0869597436154099</v>
      </c>
      <c r="F6748" s="3">
        <v>1.0869597436154099</v>
      </c>
      <c r="G6748" s="3">
        <v>6.8888990000000003</v>
      </c>
      <c r="H6748" s="3">
        <v>91.972286252626503</v>
      </c>
      <c r="I6748" s="3">
        <v>6.7777880000000001</v>
      </c>
      <c r="J6748" s="3">
        <v>6.9259352999999999</v>
      </c>
      <c r="K6748" s="3">
        <v>6.7777877000000002</v>
      </c>
      <c r="L6748" s="3">
        <v>91.972286252626503</v>
      </c>
    </row>
    <row r="6749" spans="1:12" ht="15" customHeight="1" x14ac:dyDescent="0.2">
      <c r="A6749" s="2">
        <v>36256</v>
      </c>
      <c r="B6749" s="3">
        <v>6.8148245999999997</v>
      </c>
      <c r="C6749" s="1">
        <v>146474.81</v>
      </c>
      <c r="D6749" s="3">
        <v>-0.42592639999999998</v>
      </c>
      <c r="E6749" s="3">
        <v>-5.8823511539065603</v>
      </c>
      <c r="F6749" s="3">
        <v>-5.8823511539065603</v>
      </c>
      <c r="G6749" s="3">
        <v>6.8148245999999997</v>
      </c>
      <c r="H6749" s="3">
        <v>89.9080620680664</v>
      </c>
      <c r="I6749" s="3">
        <v>7.1111219999999999</v>
      </c>
      <c r="J6749" s="3">
        <v>7.166677</v>
      </c>
      <c r="K6749" s="3">
        <v>6.7037129999999996</v>
      </c>
      <c r="L6749" s="3">
        <v>89.9080620680664</v>
      </c>
    </row>
    <row r="6750" spans="1:12" ht="15" customHeight="1" x14ac:dyDescent="0.2">
      <c r="A6750" s="2">
        <v>36255</v>
      </c>
      <c r="B6750" s="3">
        <v>7.2407510000000004</v>
      </c>
      <c r="C6750" s="1">
        <v>268987.12</v>
      </c>
      <c r="D6750" s="3">
        <v>9.2592400000000005E-2</v>
      </c>
      <c r="E6750" s="3">
        <v>1.2953321992603899</v>
      </c>
      <c r="F6750" s="3">
        <v>1.2953321992603899</v>
      </c>
      <c r="G6750" s="3">
        <v>7.2407510000000004</v>
      </c>
      <c r="H6750" s="3">
        <v>101.777312115621</v>
      </c>
      <c r="I6750" s="3">
        <v>7.1481589999999997</v>
      </c>
      <c r="J6750" s="3">
        <v>7.2592699999999999</v>
      </c>
      <c r="K6750" s="3">
        <v>7.0370480000000004</v>
      </c>
      <c r="L6750" s="3">
        <v>101.777312115621</v>
      </c>
    </row>
    <row r="6751" spans="1:12" ht="15" customHeight="1" x14ac:dyDescent="0.2">
      <c r="A6751" s="2">
        <v>36251</v>
      </c>
      <c r="B6751" s="3">
        <v>7.1481586000000004</v>
      </c>
      <c r="C6751" s="1">
        <v>175162.22999999899</v>
      </c>
      <c r="D6751" s="3">
        <v>0.111110599999999</v>
      </c>
      <c r="E6751" s="3">
        <v>1.5789376454445001</v>
      </c>
      <c r="F6751" s="3">
        <v>1.5789376454445001</v>
      </c>
      <c r="G6751" s="3">
        <v>7.1481586000000004</v>
      </c>
      <c r="H6751" s="3">
        <v>99.1970486050636</v>
      </c>
      <c r="I6751" s="3">
        <v>7.0740860000000003</v>
      </c>
      <c r="J6751" s="3">
        <v>7.2222322999999999</v>
      </c>
      <c r="K6751" s="3">
        <v>7.0370480000000004</v>
      </c>
      <c r="L6751" s="3">
        <v>99.1970486050636</v>
      </c>
    </row>
    <row r="6752" spans="1:12" ht="15" customHeight="1" x14ac:dyDescent="0.2">
      <c r="A6752" s="2">
        <v>36250</v>
      </c>
      <c r="B6752" s="3">
        <v>7.0370480000000004</v>
      </c>
      <c r="C6752" s="1">
        <v>517724.2</v>
      </c>
      <c r="D6752" s="3">
        <v>0.26851999999999998</v>
      </c>
      <c r="E6752" s="3">
        <v>3.9671845931641401</v>
      </c>
      <c r="F6752" s="3">
        <v>3.9671845931641401</v>
      </c>
      <c r="G6752" s="3">
        <v>7.0370480000000004</v>
      </c>
      <c r="H6752" s="3">
        <v>96.100740195127401</v>
      </c>
      <c r="I6752" s="3">
        <v>6.8148249999999999</v>
      </c>
      <c r="J6752" s="3">
        <v>7.2963060000000004</v>
      </c>
      <c r="K6752" s="3">
        <v>6.7407513000000003</v>
      </c>
      <c r="L6752" s="3">
        <v>96.100740195127401</v>
      </c>
    </row>
    <row r="6753" spans="1:12" ht="15" customHeight="1" x14ac:dyDescent="0.2">
      <c r="A6753" s="2">
        <v>36249</v>
      </c>
      <c r="B6753" s="3">
        <v>6.7685279999999999</v>
      </c>
      <c r="C6753" s="1">
        <v>614249.15</v>
      </c>
      <c r="D6753" s="3">
        <v>9.2597000000003097E-3</v>
      </c>
      <c r="E6753" s="3">
        <v>0.13699263868547301</v>
      </c>
      <c r="F6753" s="3">
        <v>0.13699263868547301</v>
      </c>
      <c r="G6753" s="3">
        <v>6.7685279999999999</v>
      </c>
      <c r="H6753" s="3">
        <v>88.617919166025999</v>
      </c>
      <c r="I6753" s="3">
        <v>6.7592699999999999</v>
      </c>
      <c r="J6753" s="3">
        <v>6.8148245999999997</v>
      </c>
      <c r="K6753" s="3">
        <v>6.6666759999999998</v>
      </c>
      <c r="L6753" s="3">
        <v>88.617919166025999</v>
      </c>
    </row>
    <row r="6754" spans="1:12" ht="15" customHeight="1" x14ac:dyDescent="0.2">
      <c r="A6754" s="2">
        <v>36248</v>
      </c>
      <c r="B6754" s="3">
        <v>6.7592682999999996</v>
      </c>
      <c r="C6754" s="1">
        <v>143099.79999999999</v>
      </c>
      <c r="D6754" s="3">
        <v>1.8516999999999201E-2</v>
      </c>
      <c r="E6754" s="3">
        <v>0.27470231693609198</v>
      </c>
      <c r="F6754" s="3">
        <v>0.27470231693609198</v>
      </c>
      <c r="G6754" s="3">
        <v>6.7592682999999996</v>
      </c>
      <c r="H6754" s="3">
        <v>88.359879996194394</v>
      </c>
      <c r="I6754" s="3">
        <v>6.7407513000000003</v>
      </c>
      <c r="J6754" s="3">
        <v>6.9259352999999999</v>
      </c>
      <c r="K6754" s="3">
        <v>6.6666759999999998</v>
      </c>
      <c r="L6754" s="3">
        <v>88.359879996194394</v>
      </c>
    </row>
    <row r="6755" spans="1:12" ht="15" customHeight="1" x14ac:dyDescent="0.2">
      <c r="A6755" s="2">
        <v>36245</v>
      </c>
      <c r="B6755" s="3">
        <v>6.7407513000000003</v>
      </c>
      <c r="C6755" s="1">
        <v>222749.69999999899</v>
      </c>
      <c r="D6755" s="3">
        <v>-7.4073299999999301E-2</v>
      </c>
      <c r="E6755" s="3">
        <v>-1.08694360233423</v>
      </c>
      <c r="F6755" s="3">
        <v>-1.08694360233423</v>
      </c>
      <c r="G6755" s="3">
        <v>6.7407513000000003</v>
      </c>
      <c r="H6755" s="3">
        <v>87.843868537100604</v>
      </c>
      <c r="I6755" s="3">
        <v>6.7037129999999996</v>
      </c>
      <c r="J6755" s="3">
        <v>7.0370480000000004</v>
      </c>
      <c r="K6755" s="3">
        <v>6.6666759999999998</v>
      </c>
      <c r="L6755" s="3">
        <v>87.843868537100604</v>
      </c>
    </row>
    <row r="6756" spans="1:12" ht="15" customHeight="1" x14ac:dyDescent="0.2">
      <c r="A6756" s="2">
        <v>36244</v>
      </c>
      <c r="B6756" s="3">
        <v>6.8148245999999997</v>
      </c>
      <c r="C6756" s="1">
        <v>466086.85</v>
      </c>
      <c r="D6756" s="3">
        <v>0.18518559999999901</v>
      </c>
      <c r="E6756" s="3">
        <v>2.7932983982989099</v>
      </c>
      <c r="F6756" s="3">
        <v>2.7932983982989099</v>
      </c>
      <c r="G6756" s="3">
        <v>6.8148245999999997</v>
      </c>
      <c r="H6756" s="3">
        <v>89.9080620680664</v>
      </c>
      <c r="I6756" s="3">
        <v>6.6296390000000001</v>
      </c>
      <c r="J6756" s="3">
        <v>6.8888990000000003</v>
      </c>
      <c r="K6756" s="3">
        <v>6.5926013000000001</v>
      </c>
      <c r="L6756" s="3">
        <v>89.9080620680664</v>
      </c>
    </row>
    <row r="6757" spans="1:12" ht="15" customHeight="1" x14ac:dyDescent="0.2">
      <c r="A6757" s="2">
        <v>36243</v>
      </c>
      <c r="B6757" s="3">
        <v>6.6296390000000001</v>
      </c>
      <c r="C6757" s="1">
        <v>159637.28</v>
      </c>
      <c r="D6757" s="3">
        <v>0.12962899999999999</v>
      </c>
      <c r="E6757" s="3">
        <v>1.99428923955502</v>
      </c>
      <c r="F6757" s="3">
        <v>1.99428923955502</v>
      </c>
      <c r="G6757" s="3">
        <v>6.6296390000000001</v>
      </c>
      <c r="H6757" s="3">
        <v>84.747512753427799</v>
      </c>
      <c r="I6757" s="3">
        <v>6.4444546999999996</v>
      </c>
      <c r="J6757" s="3">
        <v>6.7037129999999996</v>
      </c>
      <c r="K6757" s="3">
        <v>6.4259342999999998</v>
      </c>
      <c r="L6757" s="3">
        <v>84.747512753427799</v>
      </c>
    </row>
    <row r="6758" spans="1:12" ht="15" customHeight="1" x14ac:dyDescent="0.2">
      <c r="A6758" s="2">
        <v>36242</v>
      </c>
      <c r="B6758" s="3">
        <v>6.5000099999999996</v>
      </c>
      <c r="C6758" s="1">
        <v>635174.13</v>
      </c>
      <c r="D6758" s="3">
        <v>-0.42592530000000001</v>
      </c>
      <c r="E6758" s="3">
        <v>-6.14971525939609</v>
      </c>
      <c r="F6758" s="3">
        <v>-6.14971525939609</v>
      </c>
      <c r="G6758" s="3">
        <v>6.5000099999999996</v>
      </c>
      <c r="H6758" s="3">
        <v>81.135153870732395</v>
      </c>
      <c r="I6758" s="3">
        <v>6.8148249999999999</v>
      </c>
      <c r="J6758" s="3">
        <v>6.9629725999999996</v>
      </c>
      <c r="K6758" s="3">
        <v>6.3703789999999998</v>
      </c>
      <c r="L6758" s="3">
        <v>81.135153870732395</v>
      </c>
    </row>
    <row r="6759" spans="1:12" ht="15" customHeight="1" x14ac:dyDescent="0.2">
      <c r="A6759" s="2">
        <v>36241</v>
      </c>
      <c r="B6759" s="3">
        <v>6.9259352999999999</v>
      </c>
      <c r="C6759" s="1">
        <v>328724.51999999897</v>
      </c>
      <c r="D6759" s="3">
        <v>-9.2593700000000098E-2</v>
      </c>
      <c r="E6759" s="3">
        <v>-1.31927502187424</v>
      </c>
      <c r="F6759" s="3">
        <v>-1.31927502187424</v>
      </c>
      <c r="G6759" s="3">
        <v>6.9259352999999999</v>
      </c>
      <c r="H6759" s="3">
        <v>93.004373264693001</v>
      </c>
      <c r="I6759" s="3">
        <v>6.9629735999999998</v>
      </c>
      <c r="J6759" s="3">
        <v>7.018529</v>
      </c>
      <c r="K6759" s="3">
        <v>6.8148245999999997</v>
      </c>
      <c r="L6759" s="3">
        <v>93.004373264693001</v>
      </c>
    </row>
    <row r="6760" spans="1:12" ht="15" customHeight="1" x14ac:dyDescent="0.2">
      <c r="A6760" s="2">
        <v>36238</v>
      </c>
      <c r="B6760" s="3">
        <v>7.018529</v>
      </c>
      <c r="C6760" s="1">
        <v>451236.88</v>
      </c>
      <c r="D6760" s="3">
        <v>5.5556400000000297E-2</v>
      </c>
      <c r="E6760" s="3">
        <v>0.79788336378059299</v>
      </c>
      <c r="F6760" s="3">
        <v>0.79788336378059299</v>
      </c>
      <c r="G6760" s="3">
        <v>7.018529</v>
      </c>
      <c r="H6760" s="3">
        <v>95.584673002225799</v>
      </c>
      <c r="I6760" s="3">
        <v>6.9629735999999998</v>
      </c>
      <c r="J6760" s="3">
        <v>7.0740847999999996</v>
      </c>
      <c r="K6760" s="3">
        <v>6.9629725999999996</v>
      </c>
      <c r="L6760" s="3">
        <v>95.584673002225799</v>
      </c>
    </row>
    <row r="6761" spans="1:12" ht="15" customHeight="1" x14ac:dyDescent="0.2">
      <c r="A6761" s="2">
        <v>36237</v>
      </c>
      <c r="B6761" s="3">
        <v>6.9629725999999996</v>
      </c>
      <c r="C6761" s="1">
        <v>242999.65</v>
      </c>
      <c r="D6761" s="3">
        <v>-5.5556400000000297E-2</v>
      </c>
      <c r="E6761" s="3">
        <v>-0.79156757776451803</v>
      </c>
      <c r="F6761" s="3">
        <v>-0.79156757776451803</v>
      </c>
      <c r="G6761" s="3">
        <v>6.9629725999999996</v>
      </c>
      <c r="H6761" s="3">
        <v>94.036488143663405</v>
      </c>
      <c r="I6761" s="3">
        <v>7.0000114</v>
      </c>
      <c r="J6761" s="3">
        <v>7.0740847999999996</v>
      </c>
      <c r="K6761" s="3">
        <v>6.9629725999999996</v>
      </c>
      <c r="L6761" s="3">
        <v>94.036488143663405</v>
      </c>
    </row>
    <row r="6762" spans="1:12" ht="15" customHeight="1" x14ac:dyDescent="0.2">
      <c r="A6762" s="2">
        <v>36236</v>
      </c>
      <c r="B6762" s="3">
        <v>7.018529</v>
      </c>
      <c r="C6762" s="1">
        <v>537974.24</v>
      </c>
      <c r="D6762" s="3">
        <v>3.7037999999999897E-2</v>
      </c>
      <c r="E6762" s="3">
        <v>0.53051704857887105</v>
      </c>
      <c r="F6762" s="3">
        <v>0.53051704857887105</v>
      </c>
      <c r="G6762" s="3">
        <v>7.018529</v>
      </c>
      <c r="H6762" s="3">
        <v>95.584673002225799</v>
      </c>
      <c r="I6762" s="3">
        <v>6.9629735999999998</v>
      </c>
      <c r="J6762" s="3">
        <v>7.1111209999999998</v>
      </c>
      <c r="K6762" s="3">
        <v>6.9629725999999996</v>
      </c>
      <c r="L6762" s="3">
        <v>95.584673002225799</v>
      </c>
    </row>
    <row r="6763" spans="1:12" ht="15" customHeight="1" x14ac:dyDescent="0.2">
      <c r="A6763" s="2">
        <v>36235</v>
      </c>
      <c r="B6763" s="3">
        <v>6.9814910000000001</v>
      </c>
      <c r="C6763" s="1">
        <v>198112.21</v>
      </c>
      <c r="D6763" s="3"/>
      <c r="E6763" s="3"/>
      <c r="F6763" s="3"/>
      <c r="G6763" s="3">
        <v>6.9814910000000001</v>
      </c>
      <c r="H6763" s="3">
        <v>94.552538616422694</v>
      </c>
      <c r="I6763" s="3">
        <v>6.9629735999999998</v>
      </c>
      <c r="J6763" s="3">
        <v>7.0740847999999996</v>
      </c>
      <c r="K6763" s="3">
        <v>6.9629725999999996</v>
      </c>
      <c r="L6763" s="3">
        <v>94.552538616422694</v>
      </c>
    </row>
    <row r="6764" spans="1:12" ht="15" customHeight="1" x14ac:dyDescent="0.2">
      <c r="A6764" s="2">
        <v>36234</v>
      </c>
      <c r="B6764" s="3">
        <v>6.9814910000000001</v>
      </c>
      <c r="C6764" s="1">
        <v>921373.65999999898</v>
      </c>
      <c r="D6764" s="3">
        <v>-0.222222999999999</v>
      </c>
      <c r="E6764" s="3">
        <v>-3.08483929262044</v>
      </c>
      <c r="F6764" s="3">
        <v>-3.08483929262044</v>
      </c>
      <c r="G6764" s="3">
        <v>6.9814910000000001</v>
      </c>
      <c r="H6764" s="3">
        <v>94.552538616422694</v>
      </c>
      <c r="I6764" s="3">
        <v>7.1666780000000001</v>
      </c>
      <c r="J6764" s="3">
        <v>7.2592699999999999</v>
      </c>
      <c r="K6764" s="3">
        <v>6.9074182999999998</v>
      </c>
      <c r="L6764" s="3">
        <v>94.552538616422694</v>
      </c>
    </row>
    <row r="6765" spans="1:12" ht="15" customHeight="1" x14ac:dyDescent="0.2">
      <c r="A6765" s="2">
        <v>36231</v>
      </c>
      <c r="B6765" s="3">
        <v>7.2037139999999997</v>
      </c>
      <c r="C6765" s="1">
        <v>877836.24</v>
      </c>
      <c r="D6765" s="3">
        <v>0.18518499999999899</v>
      </c>
      <c r="E6765" s="3">
        <v>2.63851584854888</v>
      </c>
      <c r="F6765" s="3">
        <v>2.63851584854888</v>
      </c>
      <c r="G6765" s="3">
        <v>7.2037139999999997</v>
      </c>
      <c r="H6765" s="3">
        <v>100.745205596722</v>
      </c>
      <c r="I6765" s="3">
        <v>7.0000114</v>
      </c>
      <c r="J6765" s="3">
        <v>7.3333440000000003</v>
      </c>
      <c r="K6765" s="3">
        <v>7.0000105000000001</v>
      </c>
      <c r="L6765" s="3">
        <v>100.745205596722</v>
      </c>
    </row>
    <row r="6766" spans="1:12" ht="15" customHeight="1" x14ac:dyDescent="0.2">
      <c r="A6766" s="2">
        <v>36230</v>
      </c>
      <c r="B6766" s="3">
        <v>7.018529</v>
      </c>
      <c r="C6766" s="1">
        <v>1062111</v>
      </c>
      <c r="D6766" s="3">
        <v>0.24074129999999899</v>
      </c>
      <c r="E6766" s="3">
        <v>3.5519156199005799</v>
      </c>
      <c r="F6766" s="3">
        <v>3.5519156199005799</v>
      </c>
      <c r="G6766" s="3">
        <v>7.018529</v>
      </c>
      <c r="H6766" s="3">
        <v>95.584673002225799</v>
      </c>
      <c r="I6766" s="3">
        <v>6.7777880000000001</v>
      </c>
      <c r="J6766" s="3">
        <v>7.2592699999999999</v>
      </c>
      <c r="K6766" s="3">
        <v>6.7777877000000002</v>
      </c>
      <c r="L6766" s="3">
        <v>95.584673002225799</v>
      </c>
    </row>
    <row r="6767" spans="1:12" ht="15" customHeight="1" x14ac:dyDescent="0.2">
      <c r="A6767" s="2">
        <v>36229</v>
      </c>
      <c r="B6767" s="3">
        <v>6.7777877000000002</v>
      </c>
      <c r="C6767" s="1">
        <v>899773.74</v>
      </c>
      <c r="D6767" s="3">
        <v>0.25925969999999998</v>
      </c>
      <c r="E6767" s="3">
        <v>3.9772737035109702</v>
      </c>
      <c r="F6767" s="3">
        <v>3.9772737035109702</v>
      </c>
      <c r="G6767" s="3">
        <v>6.7777877000000002</v>
      </c>
      <c r="H6767" s="3">
        <v>88.875958335857604</v>
      </c>
      <c r="I6767" s="3">
        <v>6.5926023000000002</v>
      </c>
      <c r="J6767" s="3">
        <v>6.9629725999999996</v>
      </c>
      <c r="K6767" s="3">
        <v>6.4444531999999999</v>
      </c>
      <c r="L6767" s="3">
        <v>88.875958335857604</v>
      </c>
    </row>
    <row r="6768" spans="1:12" ht="15" customHeight="1" x14ac:dyDescent="0.2">
      <c r="A6768" s="2">
        <v>36228</v>
      </c>
      <c r="B6768" s="3">
        <v>6.5185279999999999</v>
      </c>
      <c r="C6768" s="1">
        <v>1683785</v>
      </c>
      <c r="D6768" s="3">
        <v>0.62037139999999902</v>
      </c>
      <c r="E6768" s="3">
        <v>10.5180557599979</v>
      </c>
      <c r="F6768" s="3">
        <v>10.5180557599979</v>
      </c>
      <c r="G6768" s="3">
        <v>6.5185279999999999</v>
      </c>
      <c r="H6768" s="3">
        <v>81.651193196730105</v>
      </c>
      <c r="I6768" s="3">
        <v>5.8703789999999998</v>
      </c>
      <c r="J6768" s="3">
        <v>6.7407513000000003</v>
      </c>
      <c r="K6768" s="3">
        <v>5.8518604999999999</v>
      </c>
      <c r="L6768" s="3">
        <v>81.651193196730105</v>
      </c>
    </row>
    <row r="6769" spans="1:12" ht="15" customHeight="1" x14ac:dyDescent="0.2">
      <c r="A6769" s="2">
        <v>36227</v>
      </c>
      <c r="B6769" s="3">
        <v>5.8981566000000001</v>
      </c>
      <c r="C6769" s="1">
        <v>452586.88</v>
      </c>
      <c r="D6769" s="3">
        <v>-9.2597000000003097E-3</v>
      </c>
      <c r="E6769" s="3">
        <v>-0.15674703677139801</v>
      </c>
      <c r="F6769" s="3">
        <v>-0.15674703677139801</v>
      </c>
      <c r="G6769" s="3">
        <v>5.8981566000000001</v>
      </c>
      <c r="H6769" s="3">
        <v>64.363363024776206</v>
      </c>
      <c r="I6769" s="3">
        <v>5.9629719999999997</v>
      </c>
      <c r="J6769" s="3">
        <v>5.9629709999999996</v>
      </c>
      <c r="K6769" s="3">
        <v>5.8148229999999996</v>
      </c>
      <c r="L6769" s="3">
        <v>64.363363024776206</v>
      </c>
    </row>
    <row r="6770" spans="1:12" ht="15" customHeight="1" x14ac:dyDescent="0.2">
      <c r="A6770" s="2">
        <v>36224</v>
      </c>
      <c r="B6770" s="3">
        <v>5.9074163000000004</v>
      </c>
      <c r="C6770" s="1">
        <v>317249.57</v>
      </c>
      <c r="D6770" s="3"/>
      <c r="E6770" s="3"/>
      <c r="F6770" s="3"/>
      <c r="G6770" s="3">
        <v>5.9074163000000004</v>
      </c>
      <c r="H6770" s="3">
        <v>64.621402194607796</v>
      </c>
      <c r="I6770" s="3">
        <v>5.9629719999999997</v>
      </c>
      <c r="J6770" s="3">
        <v>5.9629709999999996</v>
      </c>
      <c r="K6770" s="3">
        <v>5.8888974000000003</v>
      </c>
      <c r="L6770" s="3">
        <v>64.621402194607796</v>
      </c>
    </row>
    <row r="6771" spans="1:12" ht="15" customHeight="1" x14ac:dyDescent="0.2">
      <c r="A6771" s="2">
        <v>36223</v>
      </c>
      <c r="B6771" s="3">
        <v>5.9074163000000004</v>
      </c>
      <c r="C6771" s="1">
        <v>306787.05</v>
      </c>
      <c r="D6771" s="3">
        <v>0.1111123</v>
      </c>
      <c r="E6771" s="3">
        <v>1.9169508707617799</v>
      </c>
      <c r="F6771" s="3">
        <v>1.9169508707617799</v>
      </c>
      <c r="G6771" s="3">
        <v>5.9074163000000004</v>
      </c>
      <c r="H6771" s="3">
        <v>64.621402194607796</v>
      </c>
      <c r="I6771" s="3">
        <v>5.8703789999999998</v>
      </c>
      <c r="J6771" s="3">
        <v>6.0000086000000001</v>
      </c>
      <c r="K6771" s="3">
        <v>5.8703789999999998</v>
      </c>
      <c r="L6771" s="3">
        <v>64.621402194607796</v>
      </c>
    </row>
    <row r="6772" spans="1:12" ht="15" customHeight="1" x14ac:dyDescent="0.2">
      <c r="A6772" s="2">
        <v>36222</v>
      </c>
      <c r="B6772" s="3">
        <v>5.7963040000000001</v>
      </c>
      <c r="C6772" s="1">
        <v>788061.4</v>
      </c>
      <c r="D6772" s="3">
        <v>-0.129630299999999</v>
      </c>
      <c r="E6772" s="3">
        <v>-2.1875082212774299</v>
      </c>
      <c r="F6772" s="3">
        <v>-2.1875082212774299</v>
      </c>
      <c r="G6772" s="3">
        <v>5.7963040000000001</v>
      </c>
      <c r="H6772" s="3">
        <v>61.525046410934998</v>
      </c>
      <c r="I6772" s="3">
        <v>5.8888980000000002</v>
      </c>
      <c r="J6772" s="3">
        <v>6.0000086000000001</v>
      </c>
      <c r="K6772" s="3">
        <v>5.6296377</v>
      </c>
      <c r="L6772" s="3">
        <v>61.525046410934998</v>
      </c>
    </row>
    <row r="6773" spans="1:12" ht="15" customHeight="1" x14ac:dyDescent="0.2">
      <c r="A6773" s="2">
        <v>36221</v>
      </c>
      <c r="B6773" s="3">
        <v>5.9259342999999998</v>
      </c>
      <c r="C6773" s="1">
        <v>376986.97</v>
      </c>
      <c r="D6773" s="3">
        <v>-1.8518900000000098E-2</v>
      </c>
      <c r="E6773" s="3">
        <v>-0.31153243834101102</v>
      </c>
      <c r="F6773" s="3">
        <v>-0.31153243834101102</v>
      </c>
      <c r="G6773" s="3">
        <v>5.9259342999999998</v>
      </c>
      <c r="H6773" s="3">
        <v>65.137441520605506</v>
      </c>
      <c r="I6773" s="3">
        <v>5.9444537000000004</v>
      </c>
      <c r="J6773" s="3">
        <v>6.074084</v>
      </c>
      <c r="K6773" s="3">
        <v>5.8148229999999996</v>
      </c>
      <c r="L6773" s="3">
        <v>65.137441520605506</v>
      </c>
    </row>
    <row r="6774" spans="1:12" ht="15" customHeight="1" x14ac:dyDescent="0.2">
      <c r="A6774" s="2">
        <v>36220</v>
      </c>
      <c r="B6774" s="3">
        <v>5.9444531999999999</v>
      </c>
      <c r="C6774" s="1">
        <v>287887.12</v>
      </c>
      <c r="D6774" s="3">
        <v>-0.12963079999999999</v>
      </c>
      <c r="E6774" s="3">
        <v>-2.1341621222228699</v>
      </c>
      <c r="F6774" s="3">
        <v>-2.1341621222228699</v>
      </c>
      <c r="G6774" s="3">
        <v>5.9444531999999999</v>
      </c>
      <c r="H6774" s="3">
        <v>65.653505926816706</v>
      </c>
      <c r="I6774" s="3">
        <v>6.074084</v>
      </c>
      <c r="J6774" s="3">
        <v>6.1111196999999997</v>
      </c>
      <c r="K6774" s="3">
        <v>5.9259342999999998</v>
      </c>
      <c r="L6774" s="3">
        <v>65.653505926816706</v>
      </c>
    </row>
    <row r="6775" spans="1:12" ht="15" customHeight="1" x14ac:dyDescent="0.2">
      <c r="A6775" s="2">
        <v>36217</v>
      </c>
      <c r="B6775" s="3">
        <v>6.074084</v>
      </c>
      <c r="C6775" s="1">
        <v>177862.23</v>
      </c>
      <c r="D6775" s="3">
        <v>-0.18518399999999899</v>
      </c>
      <c r="E6775" s="3">
        <v>-2.9585568152697599</v>
      </c>
      <c r="F6775" s="3">
        <v>-2.9585568152697599</v>
      </c>
      <c r="G6775" s="3">
        <v>6.074084</v>
      </c>
      <c r="H6775" s="3">
        <v>69.265914969939104</v>
      </c>
      <c r="I6775" s="3">
        <v>6.2592682999999996</v>
      </c>
      <c r="J6775" s="3">
        <v>6.2592679999999996</v>
      </c>
      <c r="K6775" s="3">
        <v>6.074084</v>
      </c>
      <c r="L6775" s="3">
        <v>69.265914969939104</v>
      </c>
    </row>
    <row r="6776" spans="1:12" ht="15" customHeight="1" x14ac:dyDescent="0.2">
      <c r="A6776" s="2">
        <v>36216</v>
      </c>
      <c r="B6776" s="3">
        <v>6.2592679999999996</v>
      </c>
      <c r="C6776" s="1">
        <v>190012.24</v>
      </c>
      <c r="D6776" s="3">
        <v>3.7036599999999503E-2</v>
      </c>
      <c r="E6776" s="3">
        <v>0.59523019346403505</v>
      </c>
      <c r="F6776" s="3">
        <v>0.59523019346403505</v>
      </c>
      <c r="G6776" s="3">
        <v>6.2592679999999996</v>
      </c>
      <c r="H6776" s="3">
        <v>74.426419697531401</v>
      </c>
      <c r="I6776" s="3">
        <v>6.1481576000000002</v>
      </c>
      <c r="J6776" s="3">
        <v>6.2592679999999996</v>
      </c>
      <c r="K6776" s="3">
        <v>6.0000086000000001</v>
      </c>
      <c r="L6776" s="3">
        <v>74.426419697531401</v>
      </c>
    </row>
    <row r="6777" spans="1:12" ht="15" customHeight="1" x14ac:dyDescent="0.2">
      <c r="A6777" s="2">
        <v>36215</v>
      </c>
      <c r="B6777" s="3">
        <v>6.2222314000000001</v>
      </c>
      <c r="C6777" s="1">
        <v>135337.31</v>
      </c>
      <c r="D6777" s="3">
        <v>4.6297100000000299E-2</v>
      </c>
      <c r="E6777" s="3">
        <v>0.74963718444997995</v>
      </c>
      <c r="F6777" s="3">
        <v>0.74963718444997995</v>
      </c>
      <c r="G6777" s="3">
        <v>6.2222314000000001</v>
      </c>
      <c r="H6777" s="3">
        <v>73.394324325393796</v>
      </c>
      <c r="I6777" s="3">
        <v>6.2222314000000001</v>
      </c>
      <c r="J6777" s="3">
        <v>6.2222314000000001</v>
      </c>
      <c r="K6777" s="3">
        <v>6.074084</v>
      </c>
      <c r="L6777" s="3">
        <v>73.394324325393796</v>
      </c>
    </row>
    <row r="6778" spans="1:12" ht="15" customHeight="1" x14ac:dyDescent="0.2">
      <c r="A6778" s="2">
        <v>36214</v>
      </c>
      <c r="B6778" s="3">
        <v>6.1759342999999998</v>
      </c>
      <c r="C6778" s="1">
        <v>126224.84</v>
      </c>
      <c r="D6778" s="3">
        <v>-0.1944447</v>
      </c>
      <c r="E6778" s="3">
        <v>-3.0523254581870201</v>
      </c>
      <c r="F6778" s="3">
        <v>-3.0523254581870201</v>
      </c>
      <c r="G6778" s="3">
        <v>6.1759342999999998</v>
      </c>
      <c r="H6778" s="3">
        <v>72.1041674899014</v>
      </c>
      <c r="I6778" s="3">
        <v>6.3703789999999998</v>
      </c>
      <c r="J6778" s="3">
        <v>6.3703789999999998</v>
      </c>
      <c r="K6778" s="3">
        <v>6.074084</v>
      </c>
      <c r="L6778" s="3">
        <v>72.1041674899014</v>
      </c>
    </row>
    <row r="6779" spans="1:12" ht="15" customHeight="1" x14ac:dyDescent="0.2">
      <c r="A6779" s="2">
        <v>36213</v>
      </c>
      <c r="B6779" s="3">
        <v>6.3703789999999998</v>
      </c>
      <c r="C6779" s="1">
        <v>332774.5</v>
      </c>
      <c r="D6779" s="3">
        <v>0.25925930000000003</v>
      </c>
      <c r="E6779" s="3">
        <v>4.2424189465639097</v>
      </c>
      <c r="F6779" s="3">
        <v>4.2424189465639097</v>
      </c>
      <c r="G6779" s="3">
        <v>6.3703789999999998</v>
      </c>
      <c r="H6779" s="3">
        <v>77.522739254229194</v>
      </c>
      <c r="I6779" s="3">
        <v>6.1851944999999997</v>
      </c>
      <c r="J6779" s="3">
        <v>6.5555649999999996</v>
      </c>
      <c r="K6779" s="3">
        <v>6.1481566000000001</v>
      </c>
      <c r="L6779" s="3">
        <v>77.522739254229194</v>
      </c>
    </row>
    <row r="6780" spans="1:12" ht="15" customHeight="1" x14ac:dyDescent="0.2">
      <c r="A6780" s="2">
        <v>36210</v>
      </c>
      <c r="B6780" s="3">
        <v>6.1111196999999997</v>
      </c>
      <c r="C6780" s="1">
        <v>429636.87</v>
      </c>
      <c r="D6780" s="3">
        <v>0.20370339999999901</v>
      </c>
      <c r="E6780" s="3">
        <v>3.4482655302284999</v>
      </c>
      <c r="F6780" s="3">
        <v>3.4482655302284999</v>
      </c>
      <c r="G6780" s="3">
        <v>6.1111196999999997</v>
      </c>
      <c r="H6780" s="3">
        <v>70.297985261863303</v>
      </c>
      <c r="I6780" s="3">
        <v>6.0370470000000003</v>
      </c>
      <c r="J6780" s="3">
        <v>6.3703789999999998</v>
      </c>
      <c r="K6780" s="3">
        <v>6.0185269999999997</v>
      </c>
      <c r="L6780" s="3">
        <v>70.297985261863303</v>
      </c>
    </row>
    <row r="6781" spans="1:12" ht="15" customHeight="1" x14ac:dyDescent="0.2">
      <c r="A6781" s="2">
        <v>36209</v>
      </c>
      <c r="B6781" s="3">
        <v>5.9074163000000004</v>
      </c>
      <c r="C6781" s="1">
        <v>238274.66999999899</v>
      </c>
      <c r="D6781" s="3">
        <v>-5.5554699999999103E-2</v>
      </c>
      <c r="E6781" s="3">
        <v>-0.93166141508987899</v>
      </c>
      <c r="F6781" s="3">
        <v>-0.93166141508987899</v>
      </c>
      <c r="G6781" s="3">
        <v>5.9074163000000004</v>
      </c>
      <c r="H6781" s="3">
        <v>64.621402194607796</v>
      </c>
      <c r="I6781" s="3">
        <v>5.9629719999999997</v>
      </c>
      <c r="J6781" s="3">
        <v>6.1111196999999997</v>
      </c>
      <c r="K6781" s="3">
        <v>5.8888974000000003</v>
      </c>
      <c r="L6781" s="3">
        <v>64.621402194607796</v>
      </c>
    </row>
    <row r="6782" spans="1:12" ht="15" customHeight="1" x14ac:dyDescent="0.2">
      <c r="A6782" s="2">
        <v>36208</v>
      </c>
      <c r="B6782" s="3">
        <v>5.9629709999999996</v>
      </c>
      <c r="C6782" s="1">
        <v>129937.299999999</v>
      </c>
      <c r="D6782" s="3">
        <v>-0.18518560000000001</v>
      </c>
      <c r="E6782" s="3">
        <v>-3.01205079909644</v>
      </c>
      <c r="F6782" s="3">
        <v>-3.01205079909644</v>
      </c>
      <c r="G6782" s="3">
        <v>5.9629709999999996</v>
      </c>
      <c r="H6782" s="3">
        <v>66.169539679433598</v>
      </c>
      <c r="I6782" s="3">
        <v>6.1111209999999998</v>
      </c>
      <c r="J6782" s="3">
        <v>6.2592679999999996</v>
      </c>
      <c r="K6782" s="3">
        <v>5.9629709999999996</v>
      </c>
      <c r="L6782" s="3">
        <v>66.169539679433598</v>
      </c>
    </row>
    <row r="6783" spans="1:12" ht="15" customHeight="1" x14ac:dyDescent="0.2">
      <c r="A6783" s="2">
        <v>36207</v>
      </c>
      <c r="B6783" s="3">
        <v>6.1481566000000001</v>
      </c>
      <c r="C6783" s="1">
        <v>1017898.7</v>
      </c>
      <c r="D6783" s="3">
        <v>0.148147999999999</v>
      </c>
      <c r="E6783" s="3">
        <v>2.4691297942472898</v>
      </c>
      <c r="F6783" s="3">
        <v>2.4691297942472898</v>
      </c>
      <c r="G6783" s="3">
        <v>6.1481566000000001</v>
      </c>
      <c r="H6783" s="3">
        <v>71.330088994072199</v>
      </c>
      <c r="I6783" s="3">
        <v>6.0000099999999996</v>
      </c>
      <c r="J6783" s="3">
        <v>6.2222314000000001</v>
      </c>
      <c r="K6783" s="3">
        <v>5.9629709999999996</v>
      </c>
      <c r="L6783" s="3">
        <v>71.330088994072199</v>
      </c>
    </row>
    <row r="6784" spans="1:12" ht="15" customHeight="1" x14ac:dyDescent="0.2">
      <c r="A6784" s="2">
        <v>36203</v>
      </c>
      <c r="B6784" s="3">
        <v>6.0000086000000001</v>
      </c>
      <c r="C6784" s="1">
        <v>1529547.9</v>
      </c>
      <c r="D6784" s="3">
        <v>9.2592299999999697E-2</v>
      </c>
      <c r="E6784" s="3">
        <v>1.5673908067051101</v>
      </c>
      <c r="F6784" s="3">
        <v>1.5673908067051101</v>
      </c>
      <c r="G6784" s="3">
        <v>6.0000086000000001</v>
      </c>
      <c r="H6784" s="3">
        <v>67.201662918475193</v>
      </c>
      <c r="I6784" s="3">
        <v>5.8518610000000004</v>
      </c>
      <c r="J6784" s="3">
        <v>6.0000086000000001</v>
      </c>
      <c r="K6784" s="3">
        <v>5.833342</v>
      </c>
      <c r="L6784" s="3">
        <v>67.201662918475193</v>
      </c>
    </row>
    <row r="6785" spans="1:12" ht="15" customHeight="1" x14ac:dyDescent="0.2">
      <c r="A6785" s="2">
        <v>36202</v>
      </c>
      <c r="B6785" s="3">
        <v>5.9074163000000004</v>
      </c>
      <c r="C6785" s="1">
        <v>1112735.79999999</v>
      </c>
      <c r="D6785" s="3">
        <v>-0.18518469999999901</v>
      </c>
      <c r="E6785" s="3">
        <v>-3.0395015199583799</v>
      </c>
      <c r="F6785" s="3">
        <v>-3.0395015199583799</v>
      </c>
      <c r="G6785" s="3">
        <v>5.9074163000000004</v>
      </c>
      <c r="H6785" s="3">
        <v>64.621402194607796</v>
      </c>
      <c r="I6785" s="3">
        <v>6.0000099999999996</v>
      </c>
      <c r="J6785" s="3">
        <v>6.2222314000000001</v>
      </c>
      <c r="K6785" s="3">
        <v>5.8518604999999999</v>
      </c>
      <c r="L6785" s="3">
        <v>64.621402194607796</v>
      </c>
    </row>
    <row r="6786" spans="1:12" ht="15" customHeight="1" x14ac:dyDescent="0.2">
      <c r="A6786" s="2">
        <v>36201</v>
      </c>
      <c r="B6786" s="3">
        <v>6.0926010000000002</v>
      </c>
      <c r="C6786" s="1">
        <v>930486.2</v>
      </c>
      <c r="D6786" s="3">
        <v>-0.16666699999999901</v>
      </c>
      <c r="E6786" s="3">
        <v>-2.6627235005754502</v>
      </c>
      <c r="F6786" s="3">
        <v>-2.6627235005754502</v>
      </c>
      <c r="G6786" s="3">
        <v>6.0926010000000002</v>
      </c>
      <c r="H6786" s="3">
        <v>69.781926429032893</v>
      </c>
      <c r="I6786" s="3">
        <v>6.1851944999999997</v>
      </c>
      <c r="J6786" s="3">
        <v>6.4814910000000001</v>
      </c>
      <c r="K6786" s="3">
        <v>6.0370454999999996</v>
      </c>
      <c r="L6786" s="3">
        <v>69.781926429032893</v>
      </c>
    </row>
    <row r="6787" spans="1:12" ht="15" customHeight="1" x14ac:dyDescent="0.2">
      <c r="A6787" s="2">
        <v>36200</v>
      </c>
      <c r="B6787" s="3">
        <v>6.2592679999999996</v>
      </c>
      <c r="C6787" s="1">
        <v>153224.78</v>
      </c>
      <c r="D6787" s="3">
        <v>-0.18518519999999999</v>
      </c>
      <c r="E6787" s="3">
        <v>-2.8735595441984101</v>
      </c>
      <c r="F6787" s="3">
        <v>-2.8735595441984101</v>
      </c>
      <c r="G6787" s="3">
        <v>6.2592679999999996</v>
      </c>
      <c r="H6787" s="3">
        <v>74.426419697531401</v>
      </c>
      <c r="I6787" s="3">
        <v>6.4444546999999996</v>
      </c>
      <c r="J6787" s="3">
        <v>6.4444531999999999</v>
      </c>
      <c r="K6787" s="3">
        <v>6.2222314000000001</v>
      </c>
      <c r="L6787" s="3">
        <v>74.426419697531401</v>
      </c>
    </row>
    <row r="6788" spans="1:12" ht="15" customHeight="1" x14ac:dyDescent="0.2">
      <c r="A6788" s="2">
        <v>36199</v>
      </c>
      <c r="B6788" s="3">
        <v>6.4444531999999999</v>
      </c>
      <c r="C6788" s="1">
        <v>241987.15</v>
      </c>
      <c r="D6788" s="3">
        <v>7.4074200000000007E-2</v>
      </c>
      <c r="E6788" s="3">
        <v>1.1627910992422801</v>
      </c>
      <c r="F6788" s="3">
        <v>1.1627910992422801</v>
      </c>
      <c r="G6788" s="3">
        <v>6.4444531999999999</v>
      </c>
      <c r="H6788" s="3">
        <v>79.586957865408493</v>
      </c>
      <c r="I6788" s="3">
        <v>6.5185285000000004</v>
      </c>
      <c r="J6788" s="3">
        <v>6.5185279999999999</v>
      </c>
      <c r="K6788" s="3">
        <v>6.2222314000000001</v>
      </c>
      <c r="L6788" s="3">
        <v>79.586957865408493</v>
      </c>
    </row>
    <row r="6789" spans="1:12" ht="15" customHeight="1" x14ac:dyDescent="0.2">
      <c r="A6789" s="2">
        <v>36196</v>
      </c>
      <c r="B6789" s="3">
        <v>6.3703789999999998</v>
      </c>
      <c r="C6789" s="1">
        <v>491399.32</v>
      </c>
      <c r="D6789" s="3">
        <v>0.22222239999999899</v>
      </c>
      <c r="E6789" s="3">
        <v>3.6144557541035902</v>
      </c>
      <c r="F6789" s="3">
        <v>3.6144557541035902</v>
      </c>
      <c r="G6789" s="3">
        <v>6.3703789999999998</v>
      </c>
      <c r="H6789" s="3">
        <v>77.522739254229194</v>
      </c>
      <c r="I6789" s="3">
        <v>6.1111209999999998</v>
      </c>
      <c r="J6789" s="3">
        <v>6.4074172999999996</v>
      </c>
      <c r="K6789" s="3">
        <v>6.1111196999999997</v>
      </c>
      <c r="L6789" s="3">
        <v>77.522739254229194</v>
      </c>
    </row>
    <row r="6790" spans="1:12" ht="15" customHeight="1" x14ac:dyDescent="0.2">
      <c r="A6790" s="2">
        <v>36195</v>
      </c>
      <c r="B6790" s="3">
        <v>6.1481566000000001</v>
      </c>
      <c r="C6790" s="1">
        <v>1176523.6000000001</v>
      </c>
      <c r="D6790" s="3">
        <v>7.4072600000000002E-2</v>
      </c>
      <c r="E6790" s="3">
        <v>1.2194859340108</v>
      </c>
      <c r="F6790" s="3">
        <v>1.2194859340108</v>
      </c>
      <c r="G6790" s="3">
        <v>6.1481566000000001</v>
      </c>
      <c r="H6790" s="3">
        <v>71.330088994072199</v>
      </c>
      <c r="I6790" s="3">
        <v>6.1481576000000002</v>
      </c>
      <c r="J6790" s="3">
        <v>6.2963047000000003</v>
      </c>
      <c r="K6790" s="3">
        <v>6.074084</v>
      </c>
      <c r="L6790" s="3">
        <v>71.330088994072199</v>
      </c>
    </row>
    <row r="6791" spans="1:12" ht="15" customHeight="1" x14ac:dyDescent="0.2">
      <c r="A6791" s="2">
        <v>36194</v>
      </c>
      <c r="B6791" s="3">
        <v>6.074084</v>
      </c>
      <c r="C6791" s="1">
        <v>1596035.3</v>
      </c>
      <c r="D6791" s="3">
        <v>-0.611110499999999</v>
      </c>
      <c r="E6791" s="3">
        <v>-9.1412523599724693</v>
      </c>
      <c r="F6791" s="3">
        <v>-9.1412523599724693</v>
      </c>
      <c r="G6791" s="3">
        <v>6.074084</v>
      </c>
      <c r="H6791" s="3">
        <v>69.265914969939104</v>
      </c>
      <c r="I6791" s="3">
        <v>6.7037129999999996</v>
      </c>
      <c r="J6791" s="3">
        <v>6.7037129999999996</v>
      </c>
      <c r="K6791" s="3">
        <v>6.0000086000000001</v>
      </c>
      <c r="L6791" s="3">
        <v>69.265914969939104</v>
      </c>
    </row>
    <row r="6792" spans="1:12" ht="15" customHeight="1" x14ac:dyDescent="0.2">
      <c r="A6792" s="2">
        <v>36193</v>
      </c>
      <c r="B6792" s="3">
        <v>6.6851944999999997</v>
      </c>
      <c r="C6792" s="1">
        <v>1647672.5</v>
      </c>
      <c r="D6792" s="3"/>
      <c r="E6792" s="3"/>
      <c r="F6792" s="3"/>
      <c r="G6792" s="3">
        <v>6.6851944999999997</v>
      </c>
      <c r="H6792" s="3">
        <v>86.295672531776702</v>
      </c>
      <c r="I6792" s="3">
        <v>6.6666774999999996</v>
      </c>
      <c r="J6792" s="3">
        <v>6.8148245999999997</v>
      </c>
      <c r="K6792" s="3">
        <v>6.5555649999999996</v>
      </c>
      <c r="L6792" s="3">
        <v>86.295672531776702</v>
      </c>
    </row>
    <row r="6793" spans="1:12" ht="15" customHeight="1" x14ac:dyDescent="0.2">
      <c r="A6793" s="2">
        <v>36192</v>
      </c>
      <c r="B6793" s="3">
        <v>6.6851944999999997</v>
      </c>
      <c r="C6793" s="1">
        <v>249074.65</v>
      </c>
      <c r="D6793" s="3">
        <v>-5.55568000000006E-2</v>
      </c>
      <c r="E6793" s="3">
        <v>-0.82419299462955697</v>
      </c>
      <c r="F6793" s="3">
        <v>-0.82419299462955697</v>
      </c>
      <c r="G6793" s="3">
        <v>6.6851944999999997</v>
      </c>
      <c r="H6793" s="3">
        <v>86.295672531776702</v>
      </c>
      <c r="I6793" s="3">
        <v>6.6851953999999996</v>
      </c>
      <c r="J6793" s="3">
        <v>6.7407513000000003</v>
      </c>
      <c r="K6793" s="3">
        <v>6.5555649999999996</v>
      </c>
      <c r="L6793" s="3">
        <v>86.295672531776702</v>
      </c>
    </row>
    <row r="6794" spans="1:12" ht="15" customHeight="1" x14ac:dyDescent="0.2">
      <c r="A6794" s="2">
        <v>36189</v>
      </c>
      <c r="B6794" s="3">
        <v>6.7407513000000003</v>
      </c>
      <c r="C6794" s="1">
        <v>1814397.5</v>
      </c>
      <c r="D6794" s="3">
        <v>-0.14814769999999999</v>
      </c>
      <c r="E6794" s="3">
        <v>-2.1505279726121702</v>
      </c>
      <c r="F6794" s="3">
        <v>-2.1505279726121702</v>
      </c>
      <c r="G6794" s="3">
        <v>6.7407513000000003</v>
      </c>
      <c r="H6794" s="3">
        <v>87.843868537100604</v>
      </c>
      <c r="I6794" s="3">
        <v>6.8518615</v>
      </c>
      <c r="J6794" s="3">
        <v>6.9629725999999996</v>
      </c>
      <c r="K6794" s="3">
        <v>6.6296390000000001</v>
      </c>
      <c r="L6794" s="3">
        <v>87.843868537100604</v>
      </c>
    </row>
    <row r="6795" spans="1:12" ht="15" customHeight="1" x14ac:dyDescent="0.2">
      <c r="A6795" s="2">
        <v>36188</v>
      </c>
      <c r="B6795" s="3">
        <v>6.8888990000000003</v>
      </c>
      <c r="C6795" s="1">
        <v>315562.07</v>
      </c>
      <c r="D6795" s="3">
        <v>-7.4073599999999296E-2</v>
      </c>
      <c r="E6795" s="3">
        <v>-1.0638215063491601</v>
      </c>
      <c r="F6795" s="3">
        <v>-1.0638215063491601</v>
      </c>
      <c r="G6795" s="3">
        <v>6.8888990000000003</v>
      </c>
      <c r="H6795" s="3">
        <v>91.972286252626503</v>
      </c>
      <c r="I6795" s="3">
        <v>6.8888999999999996</v>
      </c>
      <c r="J6795" s="3">
        <v>7.0740847999999996</v>
      </c>
      <c r="K6795" s="3">
        <v>6.8518615</v>
      </c>
      <c r="L6795" s="3">
        <v>91.972286252626503</v>
      </c>
    </row>
    <row r="6796" spans="1:12" ht="15" customHeight="1" x14ac:dyDescent="0.2">
      <c r="A6796" s="2">
        <v>36187</v>
      </c>
      <c r="B6796" s="3">
        <v>6.9629725999999996</v>
      </c>
      <c r="C6796" s="1">
        <v>716848.94</v>
      </c>
      <c r="D6796" s="3">
        <v>0.18518489999999899</v>
      </c>
      <c r="E6796" s="3">
        <v>2.7322322296993602</v>
      </c>
      <c r="F6796" s="3">
        <v>2.7322322296993602</v>
      </c>
      <c r="G6796" s="3">
        <v>6.9629725999999996</v>
      </c>
      <c r="H6796" s="3">
        <v>94.036488143663405</v>
      </c>
      <c r="I6796" s="3">
        <v>6.7963066000000003</v>
      </c>
      <c r="J6796" s="3">
        <v>7.0370480000000004</v>
      </c>
      <c r="K6796" s="3">
        <v>6.7407513000000003</v>
      </c>
      <c r="L6796" s="3">
        <v>94.036488143663405</v>
      </c>
    </row>
    <row r="6797" spans="1:12" ht="15" customHeight="1" x14ac:dyDescent="0.2">
      <c r="A6797" s="2">
        <v>36186</v>
      </c>
      <c r="B6797" s="3">
        <v>6.7777877000000002</v>
      </c>
      <c r="C6797" s="1">
        <v>1943659.79999999</v>
      </c>
      <c r="D6797" s="3">
        <v>-7.4073799999999801E-2</v>
      </c>
      <c r="E6797" s="3">
        <v>-1.08107555880981</v>
      </c>
      <c r="F6797" s="3">
        <v>-1.08107555880981</v>
      </c>
      <c r="G6797" s="3">
        <v>6.7777877000000002</v>
      </c>
      <c r="H6797" s="3">
        <v>88.875958335857604</v>
      </c>
      <c r="I6797" s="3">
        <v>6.8518615</v>
      </c>
      <c r="J6797" s="3">
        <v>6.9629725999999996</v>
      </c>
      <c r="K6797" s="3">
        <v>6.6296390000000001</v>
      </c>
      <c r="L6797" s="3">
        <v>88.875958335857604</v>
      </c>
    </row>
    <row r="6798" spans="1:12" ht="15" customHeight="1" x14ac:dyDescent="0.2">
      <c r="A6798" s="2">
        <v>36185</v>
      </c>
      <c r="B6798" s="3">
        <v>6.8518615</v>
      </c>
      <c r="C6798" s="1">
        <v>337837</v>
      </c>
      <c r="D6798" s="3">
        <v>3.7036900000000303E-2</v>
      </c>
      <c r="E6798" s="3">
        <v>0.54347546964010895</v>
      </c>
      <c r="F6798" s="3">
        <v>0.54347546964010895</v>
      </c>
      <c r="G6798" s="3">
        <v>6.8518615</v>
      </c>
      <c r="H6798" s="3">
        <v>90.940165800275295</v>
      </c>
      <c r="I6798" s="3">
        <v>7.0000114</v>
      </c>
      <c r="J6798" s="3">
        <v>7.0000105000000001</v>
      </c>
      <c r="K6798" s="3">
        <v>6.7777877000000002</v>
      </c>
      <c r="L6798" s="3">
        <v>90.940165800275295</v>
      </c>
    </row>
    <row r="6799" spans="1:12" ht="15" customHeight="1" x14ac:dyDescent="0.2">
      <c r="A6799" s="2">
        <v>36182</v>
      </c>
      <c r="B6799" s="3">
        <v>6.8148245999999997</v>
      </c>
      <c r="C6799" s="1">
        <v>231862.16999999899</v>
      </c>
      <c r="D6799" s="3">
        <v>-3.7036900000000303E-2</v>
      </c>
      <c r="E6799" s="3">
        <v>-0.54053777940491399</v>
      </c>
      <c r="F6799" s="3">
        <v>-0.54053777940491399</v>
      </c>
      <c r="G6799" s="3">
        <v>6.8148245999999997</v>
      </c>
      <c r="H6799" s="3">
        <v>89.9080620680664</v>
      </c>
      <c r="I6799" s="3">
        <v>6.8148249999999999</v>
      </c>
      <c r="J6799" s="3">
        <v>7.018529</v>
      </c>
      <c r="K6799" s="3">
        <v>6.7407513000000003</v>
      </c>
      <c r="L6799" s="3">
        <v>89.9080620680664</v>
      </c>
    </row>
    <row r="6800" spans="1:12" ht="15" customHeight="1" x14ac:dyDescent="0.2">
      <c r="A6800" s="2">
        <v>36181</v>
      </c>
      <c r="B6800" s="3">
        <v>6.8518615</v>
      </c>
      <c r="C6800" s="1">
        <v>298012.02</v>
      </c>
      <c r="D6800" s="3"/>
      <c r="E6800" s="3"/>
      <c r="F6800" s="3"/>
      <c r="G6800" s="3">
        <v>6.8518615</v>
      </c>
      <c r="H6800" s="3">
        <v>90.940165800275295</v>
      </c>
      <c r="I6800" s="3">
        <v>6.8518615</v>
      </c>
      <c r="J6800" s="3">
        <v>6.9259352999999999</v>
      </c>
      <c r="K6800" s="3">
        <v>6.6666759999999998</v>
      </c>
      <c r="L6800" s="3">
        <v>90.940165800275295</v>
      </c>
    </row>
    <row r="6801" spans="1:12" ht="15" customHeight="1" x14ac:dyDescent="0.2">
      <c r="A6801" s="2">
        <v>36180</v>
      </c>
      <c r="B6801" s="3">
        <v>6.8518615</v>
      </c>
      <c r="C6801" s="1">
        <v>922386.17</v>
      </c>
      <c r="D6801" s="3">
        <v>0.1296292</v>
      </c>
      <c r="E6801" s="3">
        <v>1.9283653735084401</v>
      </c>
      <c r="F6801" s="3">
        <v>1.9283653735084401</v>
      </c>
      <c r="G6801" s="3">
        <v>6.8518615</v>
      </c>
      <c r="H6801" s="3">
        <v>90.940165800275295</v>
      </c>
      <c r="I6801" s="3">
        <v>6.7963066000000003</v>
      </c>
      <c r="J6801" s="3">
        <v>7.1111209999999998</v>
      </c>
      <c r="K6801" s="3">
        <v>6.7037129999999996</v>
      </c>
      <c r="L6801" s="3">
        <v>90.940165800275295</v>
      </c>
    </row>
    <row r="6802" spans="1:12" ht="15" customHeight="1" x14ac:dyDescent="0.2">
      <c r="A6802" s="2">
        <v>36179</v>
      </c>
      <c r="B6802" s="3">
        <v>6.7222322999999999</v>
      </c>
      <c r="C6802" s="1">
        <v>1133323.3999999999</v>
      </c>
      <c r="D6802" s="3">
        <v>-3.7035999999999597E-2</v>
      </c>
      <c r="E6802" s="3">
        <v>-0.54792913013971201</v>
      </c>
      <c r="F6802" s="3">
        <v>-0.54792913013971201</v>
      </c>
      <c r="G6802" s="3">
        <v>6.7222322999999999</v>
      </c>
      <c r="H6802" s="3">
        <v>87.327801344199102</v>
      </c>
      <c r="I6802" s="3">
        <v>6.8518615</v>
      </c>
      <c r="J6802" s="3">
        <v>6.9629725999999996</v>
      </c>
      <c r="K6802" s="3">
        <v>6.6666759999999998</v>
      </c>
      <c r="L6802" s="3">
        <v>87.327801344199102</v>
      </c>
    </row>
    <row r="6803" spans="1:12" ht="15" customHeight="1" x14ac:dyDescent="0.2">
      <c r="A6803" s="2">
        <v>36175</v>
      </c>
      <c r="B6803" s="3">
        <v>6.7592682999999996</v>
      </c>
      <c r="C6803" s="1">
        <v>1973359.6</v>
      </c>
      <c r="D6803" s="3">
        <v>0.37037029999999899</v>
      </c>
      <c r="E6803" s="3">
        <v>5.7970920806686701</v>
      </c>
      <c r="F6803" s="3">
        <v>5.7970920806686701</v>
      </c>
      <c r="G6803" s="3">
        <v>6.7592682999999996</v>
      </c>
      <c r="H6803" s="3">
        <v>88.359879996194394</v>
      </c>
      <c r="I6803" s="3">
        <v>6.5555653999999999</v>
      </c>
      <c r="J6803" s="3">
        <v>6.9259352999999999</v>
      </c>
      <c r="K6803" s="3">
        <v>6.4444531999999999</v>
      </c>
      <c r="L6803" s="3">
        <v>88.359879996194394</v>
      </c>
    </row>
    <row r="6804" spans="1:12" ht="15" customHeight="1" x14ac:dyDescent="0.2">
      <c r="A6804" s="2">
        <v>36174</v>
      </c>
      <c r="B6804" s="3">
        <v>6.3888980000000002</v>
      </c>
      <c r="C6804" s="1">
        <v>1498497.9</v>
      </c>
      <c r="D6804" s="3"/>
      <c r="E6804" s="3"/>
      <c r="F6804" s="3"/>
      <c r="G6804" s="3">
        <v>6.3888980000000002</v>
      </c>
      <c r="H6804" s="3">
        <v>78.038806447130796</v>
      </c>
      <c r="I6804" s="3">
        <v>6.4074179999999998</v>
      </c>
      <c r="J6804" s="3">
        <v>6.5926013000000001</v>
      </c>
      <c r="K6804" s="3">
        <v>6.3703789999999998</v>
      </c>
      <c r="L6804" s="3">
        <v>78.038806447130796</v>
      </c>
    </row>
    <row r="6805" spans="1:12" ht="15" customHeight="1" x14ac:dyDescent="0.2">
      <c r="A6805" s="2">
        <v>36173</v>
      </c>
      <c r="B6805" s="3">
        <v>6.3888980000000002</v>
      </c>
      <c r="C6805" s="1">
        <v>1716185</v>
      </c>
      <c r="D6805" s="3">
        <v>-0.16666699999999901</v>
      </c>
      <c r="E6805" s="3">
        <v>-2.54237430335905</v>
      </c>
      <c r="F6805" s="3">
        <v>-2.54237430335905</v>
      </c>
      <c r="G6805" s="3">
        <v>6.3888980000000002</v>
      </c>
      <c r="H6805" s="3">
        <v>78.038806447130796</v>
      </c>
      <c r="I6805" s="3">
        <v>6.5555653999999999</v>
      </c>
      <c r="J6805" s="3">
        <v>6.5555649999999996</v>
      </c>
      <c r="K6805" s="3">
        <v>6.2222314000000001</v>
      </c>
      <c r="L6805" s="3">
        <v>78.038806447130796</v>
      </c>
    </row>
    <row r="6806" spans="1:12" ht="15" customHeight="1" x14ac:dyDescent="0.2">
      <c r="A6806" s="2">
        <v>36172</v>
      </c>
      <c r="B6806" s="3">
        <v>6.5555649999999996</v>
      </c>
      <c r="C6806" s="1">
        <v>8604888</v>
      </c>
      <c r="D6806" s="3">
        <v>-2.0092619999999899</v>
      </c>
      <c r="E6806" s="3">
        <v>-23.459458083625002</v>
      </c>
      <c r="F6806" s="3">
        <v>-23.459458083625002</v>
      </c>
      <c r="G6806" s="3">
        <v>6.5555649999999996</v>
      </c>
      <c r="H6806" s="3">
        <v>82.683299715629303</v>
      </c>
      <c r="I6806" s="3">
        <v>6.7407513000000003</v>
      </c>
      <c r="J6806" s="3">
        <v>7.2592699999999999</v>
      </c>
      <c r="K6806" s="3">
        <v>6.1851944999999997</v>
      </c>
      <c r="L6806" s="3">
        <v>82.683299715629303</v>
      </c>
    </row>
    <row r="6807" spans="1:12" ht="15" customHeight="1" x14ac:dyDescent="0.2">
      <c r="A6807" s="2">
        <v>36171</v>
      </c>
      <c r="B6807" s="3">
        <v>8.5648269999999993</v>
      </c>
      <c r="C6807" s="1">
        <v>729336.4</v>
      </c>
      <c r="D6807" s="3">
        <v>0.23148199999999899</v>
      </c>
      <c r="E6807" s="3">
        <v>2.7777801111078499</v>
      </c>
      <c r="F6807" s="3">
        <v>2.7777801111078499</v>
      </c>
      <c r="G6807" s="3">
        <v>8.5648269999999993</v>
      </c>
      <c r="H6807" s="3">
        <v>138.67521073370699</v>
      </c>
      <c r="I6807" s="3">
        <v>8.2777910000000006</v>
      </c>
      <c r="J6807" s="3">
        <v>8.6296420000000005</v>
      </c>
      <c r="K6807" s="3">
        <v>8.2777899999999995</v>
      </c>
      <c r="L6807" s="3">
        <v>138.67521073370699</v>
      </c>
    </row>
    <row r="6808" spans="1:12" ht="15" customHeight="1" x14ac:dyDescent="0.2">
      <c r="A6808" s="2">
        <v>36168</v>
      </c>
      <c r="B6808" s="3">
        <v>8.3333449999999996</v>
      </c>
      <c r="C6808" s="1">
        <v>368549.47</v>
      </c>
      <c r="D6808" s="3">
        <v>0.351851999999999</v>
      </c>
      <c r="E6808" s="3">
        <v>4.4083481624302499</v>
      </c>
      <c r="F6808" s="3">
        <v>4.4083481624302499</v>
      </c>
      <c r="G6808" s="3">
        <v>8.3333449999999996</v>
      </c>
      <c r="H6808" s="3">
        <v>132.22452409040801</v>
      </c>
      <c r="I6808" s="3">
        <v>7.9259380000000004</v>
      </c>
      <c r="J6808" s="3">
        <v>8.3981619999999992</v>
      </c>
      <c r="K6808" s="3">
        <v>7.9259370000000002</v>
      </c>
      <c r="L6808" s="3">
        <v>132.22452409040801</v>
      </c>
    </row>
    <row r="6809" spans="1:12" ht="15" customHeight="1" x14ac:dyDescent="0.2">
      <c r="A6809" s="2">
        <v>36167</v>
      </c>
      <c r="B6809" s="3">
        <v>7.9814930000000004</v>
      </c>
      <c r="C6809" s="1">
        <v>713473.94</v>
      </c>
      <c r="D6809" s="3">
        <v>-0.31481599999999998</v>
      </c>
      <c r="E6809" s="3">
        <v>-3.7946513322972901</v>
      </c>
      <c r="F6809" s="3">
        <v>-3.7946513322972901</v>
      </c>
      <c r="G6809" s="3">
        <v>7.9814930000000004</v>
      </c>
      <c r="H6809" s="3">
        <v>122.419498227414</v>
      </c>
      <c r="I6809" s="3">
        <v>8.1111240000000002</v>
      </c>
      <c r="J6809" s="3">
        <v>8.3333449999999996</v>
      </c>
      <c r="K6809" s="3">
        <v>7.7777886000000001</v>
      </c>
      <c r="L6809" s="3">
        <v>122.419498227414</v>
      </c>
    </row>
    <row r="6810" spans="1:12" ht="15" customHeight="1" x14ac:dyDescent="0.2">
      <c r="A6810" s="2">
        <v>36166</v>
      </c>
      <c r="B6810" s="3">
        <v>8.2963090000000008</v>
      </c>
      <c r="C6810" s="1">
        <v>889311.299999999</v>
      </c>
      <c r="D6810" s="3">
        <v>-7.4073999999999501E-2</v>
      </c>
      <c r="E6810" s="3">
        <v>-0.88495353199488003</v>
      </c>
      <c r="F6810" s="3">
        <v>-0.88495353199488003</v>
      </c>
      <c r="G6810" s="3">
        <v>8.2963090000000008</v>
      </c>
      <c r="H6810" s="3">
        <v>131.19244543841299</v>
      </c>
      <c r="I6810" s="3">
        <v>8.2592730000000003</v>
      </c>
      <c r="J6810" s="3">
        <v>8.4444569999999999</v>
      </c>
      <c r="K6810" s="3">
        <v>7.7777886000000001</v>
      </c>
      <c r="L6810" s="3">
        <v>131.19244543841299</v>
      </c>
    </row>
    <row r="6811" spans="1:12" ht="15" customHeight="1" x14ac:dyDescent="0.2">
      <c r="A6811" s="2">
        <v>36165</v>
      </c>
      <c r="B6811" s="3">
        <v>8.3703830000000004</v>
      </c>
      <c r="C6811" s="1">
        <v>328724.51999999897</v>
      </c>
      <c r="D6811" s="3">
        <v>-3.7036000000000499E-2</v>
      </c>
      <c r="E6811" s="3">
        <v>-0.44051569215237601</v>
      </c>
      <c r="F6811" s="3">
        <v>-0.44051569215237601</v>
      </c>
      <c r="G6811" s="3">
        <v>8.3703830000000004</v>
      </c>
      <c r="H6811" s="3">
        <v>133.25665847621201</v>
      </c>
      <c r="I6811" s="3">
        <v>8.4444579999999991</v>
      </c>
      <c r="J6811" s="3">
        <v>8.5185309999999994</v>
      </c>
      <c r="K6811" s="3">
        <v>8.1851979999999998</v>
      </c>
      <c r="L6811" s="3">
        <v>133.25665847621201</v>
      </c>
    </row>
    <row r="6812" spans="1:12" ht="15" customHeight="1" x14ac:dyDescent="0.2">
      <c r="A6812" s="2">
        <v>36164</v>
      </c>
      <c r="B6812" s="3">
        <v>8.4074190000000009</v>
      </c>
      <c r="C6812" s="1">
        <v>387786.96</v>
      </c>
      <c r="D6812" s="3">
        <v>-0.379630999999999</v>
      </c>
      <c r="E6812" s="3">
        <v>-4.3203464188777696</v>
      </c>
      <c r="F6812" s="3">
        <v>-4.3203464188777696</v>
      </c>
      <c r="G6812" s="3">
        <v>8.4074190000000009</v>
      </c>
      <c r="H6812" s="3">
        <v>134.288737128207</v>
      </c>
      <c r="I6812" s="3">
        <v>8.7037169999999993</v>
      </c>
      <c r="J6812" s="3">
        <v>8.703716</v>
      </c>
      <c r="K6812" s="3">
        <v>8.3333449999999996</v>
      </c>
      <c r="L6812" s="3">
        <v>134.288737128207</v>
      </c>
    </row>
    <row r="6813" spans="1:12" ht="15" customHeight="1" x14ac:dyDescent="0.2">
      <c r="A6813" s="2">
        <v>36160</v>
      </c>
      <c r="B6813" s="3">
        <v>8.7870500000000007</v>
      </c>
      <c r="C6813" s="1">
        <v>195412.22999999899</v>
      </c>
      <c r="D6813" s="3">
        <v>0.379630999999999</v>
      </c>
      <c r="E6813" s="3">
        <v>4.5154285756425301</v>
      </c>
      <c r="F6813" s="3">
        <v>4.5154285756425301</v>
      </c>
      <c r="G6813" s="3">
        <v>8.7870500000000007</v>
      </c>
      <c r="H6813" s="3">
        <v>144.867877714006</v>
      </c>
      <c r="I6813" s="3">
        <v>8.4814950000000007</v>
      </c>
      <c r="J6813" s="3">
        <v>8.8148269999999993</v>
      </c>
      <c r="K6813" s="3">
        <v>8.4444569999999999</v>
      </c>
      <c r="L6813" s="3">
        <v>144.867877714006</v>
      </c>
    </row>
    <row r="6814" spans="1:12" ht="15" customHeight="1" x14ac:dyDescent="0.2">
      <c r="A6814" s="2">
        <v>36159</v>
      </c>
      <c r="B6814" s="3">
        <v>8.4074190000000009</v>
      </c>
      <c r="C6814" s="1">
        <v>345599.46</v>
      </c>
      <c r="D6814" s="3">
        <v>7.4074000000001305E-2</v>
      </c>
      <c r="E6814" s="3">
        <v>0.88888675555856</v>
      </c>
      <c r="F6814" s="3">
        <v>0.88888675555856</v>
      </c>
      <c r="G6814" s="3">
        <v>8.4074190000000009</v>
      </c>
      <c r="H6814" s="3">
        <v>134.288737128207</v>
      </c>
      <c r="I6814" s="3">
        <v>8.4074200000000001</v>
      </c>
      <c r="J6814" s="3">
        <v>8.6296420000000005</v>
      </c>
      <c r="K6814" s="3">
        <v>8.1851979999999998</v>
      </c>
      <c r="L6814" s="3">
        <v>134.288737128207</v>
      </c>
    </row>
    <row r="6815" spans="1:12" ht="15" customHeight="1" x14ac:dyDescent="0.2">
      <c r="A6815" s="2">
        <v>36158</v>
      </c>
      <c r="B6815" s="3">
        <v>8.3333449999999996</v>
      </c>
      <c r="C6815" s="1">
        <v>96862.365999999995</v>
      </c>
      <c r="D6815" s="3"/>
      <c r="E6815" s="3"/>
      <c r="F6815" s="3"/>
      <c r="G6815" s="3">
        <v>8.3333449999999996</v>
      </c>
      <c r="H6815" s="3">
        <v>132.22452409040801</v>
      </c>
      <c r="I6815" s="3">
        <v>8.4074200000000001</v>
      </c>
      <c r="J6815" s="3">
        <v>8.4074190000000009</v>
      </c>
      <c r="K6815" s="3">
        <v>8.2222340000000003</v>
      </c>
      <c r="L6815" s="3">
        <v>132.22452409040801</v>
      </c>
    </row>
    <row r="6816" spans="1:12" ht="15" customHeight="1" x14ac:dyDescent="0.2">
      <c r="A6816" s="2">
        <v>36157</v>
      </c>
      <c r="B6816" s="3">
        <v>8.3333449999999996</v>
      </c>
      <c r="C6816" s="1">
        <v>451236.88</v>
      </c>
      <c r="D6816" s="3">
        <v>-0.57407400000000097</v>
      </c>
      <c r="E6816" s="3">
        <v>-6.4448972255599601</v>
      </c>
      <c r="F6816" s="3">
        <v>-6.4448972255599601</v>
      </c>
      <c r="G6816" s="3">
        <v>8.3333449999999996</v>
      </c>
      <c r="H6816" s="3">
        <v>132.22452409040801</v>
      </c>
      <c r="I6816" s="3">
        <v>8.7963090000000008</v>
      </c>
      <c r="J6816" s="3">
        <v>8.9259389999999996</v>
      </c>
      <c r="K6816" s="3">
        <v>8.2407520000000005</v>
      </c>
      <c r="L6816" s="3">
        <v>132.22452409040801</v>
      </c>
    </row>
    <row r="6817" spans="1:12" ht="15" customHeight="1" x14ac:dyDescent="0.2">
      <c r="A6817" s="2">
        <v>36153</v>
      </c>
      <c r="B6817" s="3">
        <v>8.9074190000000009</v>
      </c>
      <c r="C6817" s="1">
        <v>490724.3</v>
      </c>
      <c r="D6817" s="3">
        <v>9.2592000000001506E-2</v>
      </c>
      <c r="E6817" s="3">
        <v>1.05041199333806</v>
      </c>
      <c r="F6817" s="3">
        <v>1.05041199333806</v>
      </c>
      <c r="G6817" s="3">
        <v>8.9074190000000009</v>
      </c>
      <c r="H6817" s="3">
        <v>148.22218906679899</v>
      </c>
      <c r="I6817" s="3">
        <v>8.8889030000000009</v>
      </c>
      <c r="J6817" s="3">
        <v>9.0000119999999999</v>
      </c>
      <c r="K6817" s="3">
        <v>8.703716</v>
      </c>
      <c r="L6817" s="3">
        <v>148.22218906679899</v>
      </c>
    </row>
    <row r="6818" spans="1:12" ht="15" customHeight="1" x14ac:dyDescent="0.2">
      <c r="A6818" s="2">
        <v>36152</v>
      </c>
      <c r="B6818" s="3">
        <v>8.8148269999999993</v>
      </c>
      <c r="C6818" s="1">
        <v>741823.9</v>
      </c>
      <c r="D6818" s="3">
        <v>0.277776999999998</v>
      </c>
      <c r="E6818" s="3">
        <v>3.25378204414872</v>
      </c>
      <c r="F6818" s="3">
        <v>3.25378204414872</v>
      </c>
      <c r="G6818" s="3">
        <v>8.8148269999999993</v>
      </c>
      <c r="H6818" s="3">
        <v>145.64193670300301</v>
      </c>
      <c r="I6818" s="3">
        <v>8.5185320000000004</v>
      </c>
      <c r="J6818" s="3">
        <v>8.8889010000000006</v>
      </c>
      <c r="K6818" s="3">
        <v>8.5185309999999994</v>
      </c>
      <c r="L6818" s="3">
        <v>145.64193670300301</v>
      </c>
    </row>
    <row r="6819" spans="1:12" ht="15" customHeight="1" x14ac:dyDescent="0.2">
      <c r="A6819" s="2">
        <v>36151</v>
      </c>
      <c r="B6819" s="3">
        <v>8.5370500000000007</v>
      </c>
      <c r="C6819" s="1">
        <v>1133323.3999999999</v>
      </c>
      <c r="D6819" s="3">
        <v>1.8519000000001201E-2</v>
      </c>
      <c r="E6819" s="3">
        <v>0.217396637988409</v>
      </c>
      <c r="F6819" s="3">
        <v>0.217396637988409</v>
      </c>
      <c r="G6819" s="3">
        <v>8.5370500000000007</v>
      </c>
      <c r="H6819" s="3">
        <v>137.90115174471001</v>
      </c>
      <c r="I6819" s="3">
        <v>8.4814950000000007</v>
      </c>
      <c r="J6819" s="3">
        <v>8.592606</v>
      </c>
      <c r="K6819" s="3">
        <v>8.4814930000000004</v>
      </c>
      <c r="L6819" s="3">
        <v>137.90115174471001</v>
      </c>
    </row>
    <row r="6820" spans="1:12" ht="15" customHeight="1" x14ac:dyDescent="0.2">
      <c r="A6820" s="2">
        <v>36150</v>
      </c>
      <c r="B6820" s="3">
        <v>8.5185309999999994</v>
      </c>
      <c r="C6820" s="1">
        <v>604124.1</v>
      </c>
      <c r="D6820" s="3">
        <v>0.148147999999999</v>
      </c>
      <c r="E6820" s="3">
        <v>1.7699070639897601</v>
      </c>
      <c r="F6820" s="3">
        <v>1.7699070639897601</v>
      </c>
      <c r="G6820" s="3">
        <v>8.5185309999999994</v>
      </c>
      <c r="H6820" s="3">
        <v>137.385084551809</v>
      </c>
      <c r="I6820" s="3">
        <v>8.2963090000000008</v>
      </c>
      <c r="J6820" s="3">
        <v>8.6666790000000002</v>
      </c>
      <c r="K6820" s="3">
        <v>8.2963090000000008</v>
      </c>
      <c r="L6820" s="3">
        <v>137.385084551809</v>
      </c>
    </row>
    <row r="6821" spans="1:12" ht="15" customHeight="1" x14ac:dyDescent="0.2">
      <c r="A6821" s="2">
        <v>36147</v>
      </c>
      <c r="B6821" s="3">
        <v>8.3703830000000004</v>
      </c>
      <c r="C6821" s="1">
        <v>436049.38</v>
      </c>
      <c r="D6821" s="3"/>
      <c r="E6821" s="3"/>
      <c r="F6821" s="3"/>
      <c r="G6821" s="3">
        <v>8.3703830000000004</v>
      </c>
      <c r="H6821" s="3">
        <v>133.25665847621201</v>
      </c>
      <c r="I6821" s="3">
        <v>8.3889010000000006</v>
      </c>
      <c r="J6821" s="3">
        <v>8.592606</v>
      </c>
      <c r="K6821" s="3">
        <v>8.1851979999999998</v>
      </c>
      <c r="L6821" s="3">
        <v>133.25665847621201</v>
      </c>
    </row>
    <row r="6822" spans="1:12" ht="15" customHeight="1" x14ac:dyDescent="0.2">
      <c r="A6822" s="2">
        <v>36146</v>
      </c>
      <c r="B6822" s="3">
        <v>8.3703830000000004</v>
      </c>
      <c r="C6822" s="1">
        <v>1097886</v>
      </c>
      <c r="D6822" s="3">
        <v>0.61111300000000002</v>
      </c>
      <c r="E6822" s="3">
        <v>7.8759084295300896</v>
      </c>
      <c r="F6822" s="3">
        <v>7.8759084295300896</v>
      </c>
      <c r="G6822" s="3">
        <v>8.3703830000000004</v>
      </c>
      <c r="H6822" s="3">
        <v>133.25665847621201</v>
      </c>
      <c r="I6822" s="3">
        <v>7.8148270000000002</v>
      </c>
      <c r="J6822" s="3">
        <v>8.3888999999999996</v>
      </c>
      <c r="K6822" s="3">
        <v>7.7407516999999997</v>
      </c>
      <c r="L6822" s="3">
        <v>133.25665847621201</v>
      </c>
    </row>
    <row r="6823" spans="1:12" ht="15" customHeight="1" x14ac:dyDescent="0.2">
      <c r="A6823" s="2">
        <v>36145</v>
      </c>
      <c r="B6823" s="3">
        <v>7.7592699999999999</v>
      </c>
      <c r="C6823" s="1">
        <v>825523.74</v>
      </c>
      <c r="D6823" s="3">
        <v>4.6295500000000198E-2</v>
      </c>
      <c r="E6823" s="3">
        <v>0.60022887408741599</v>
      </c>
      <c r="F6823" s="3">
        <v>0.60022887408741599</v>
      </c>
      <c r="G6823" s="3">
        <v>7.7592699999999999</v>
      </c>
      <c r="H6823" s="3">
        <v>116.22683124711401</v>
      </c>
      <c r="I6823" s="3">
        <v>7.7407516999999997</v>
      </c>
      <c r="J6823" s="3">
        <v>7.8148260000000001</v>
      </c>
      <c r="K6823" s="3">
        <v>7.6296410000000003</v>
      </c>
      <c r="L6823" s="3">
        <v>116.22683124711401</v>
      </c>
    </row>
    <row r="6824" spans="1:12" ht="15" customHeight="1" x14ac:dyDescent="0.2">
      <c r="A6824" s="2">
        <v>36144</v>
      </c>
      <c r="B6824" s="3">
        <v>7.7129744999999996</v>
      </c>
      <c r="C6824" s="1">
        <v>366524.48</v>
      </c>
      <c r="D6824" s="3">
        <v>0.23148249999999901</v>
      </c>
      <c r="E6824" s="3">
        <v>3.09406866972523</v>
      </c>
      <c r="F6824" s="3">
        <v>3.09406866972523</v>
      </c>
      <c r="G6824" s="3">
        <v>7.7129744999999996</v>
      </c>
      <c r="H6824" s="3">
        <v>114.936718998668</v>
      </c>
      <c r="I6824" s="3">
        <v>7.4074182999999998</v>
      </c>
      <c r="J6824" s="3">
        <v>7.7407516999999997</v>
      </c>
      <c r="K6824" s="3">
        <v>7.3703814000000003</v>
      </c>
      <c r="L6824" s="3">
        <v>114.936718998668</v>
      </c>
    </row>
    <row r="6825" spans="1:12" ht="15" customHeight="1" x14ac:dyDescent="0.2">
      <c r="A6825" s="2">
        <v>36143</v>
      </c>
      <c r="B6825" s="3">
        <v>7.4814920000000003</v>
      </c>
      <c r="C6825" s="1">
        <v>281137.09999999998</v>
      </c>
      <c r="D6825" s="3">
        <v>-3.7037999999999897E-2</v>
      </c>
      <c r="E6825" s="3">
        <v>-0.49262289303892898</v>
      </c>
      <c r="F6825" s="3">
        <v>-0.49262289303892898</v>
      </c>
      <c r="G6825" s="3">
        <v>7.4814920000000003</v>
      </c>
      <c r="H6825" s="3">
        <v>108.486018421918</v>
      </c>
      <c r="I6825" s="3">
        <v>7.5185300000000002</v>
      </c>
      <c r="J6825" s="3">
        <v>7.5185300000000002</v>
      </c>
      <c r="K6825" s="3">
        <v>7.3703814000000003</v>
      </c>
      <c r="L6825" s="3">
        <v>108.486018421918</v>
      </c>
    </row>
    <row r="6826" spans="1:12" ht="15" customHeight="1" x14ac:dyDescent="0.2">
      <c r="A6826" s="2">
        <v>36140</v>
      </c>
      <c r="B6826" s="3">
        <v>7.5185300000000002</v>
      </c>
      <c r="C6826" s="1">
        <v>287212.13</v>
      </c>
      <c r="D6826" s="3">
        <v>-7.4073699999999507E-2</v>
      </c>
      <c r="E6826" s="3">
        <v>-0.97560340203189899</v>
      </c>
      <c r="F6826" s="3">
        <v>-0.97560340203189899</v>
      </c>
      <c r="G6826" s="3">
        <v>7.5185300000000002</v>
      </c>
      <c r="H6826" s="3">
        <v>109.51815280772099</v>
      </c>
      <c r="I6826" s="3">
        <v>7.5555659999999998</v>
      </c>
      <c r="J6826" s="3">
        <v>7.5926036999999997</v>
      </c>
      <c r="K6826" s="3">
        <v>7.3888993000000003</v>
      </c>
      <c r="L6826" s="3">
        <v>109.51815280772099</v>
      </c>
    </row>
    <row r="6827" spans="1:12" ht="15" customHeight="1" x14ac:dyDescent="0.2">
      <c r="A6827" s="2">
        <v>36139</v>
      </c>
      <c r="B6827" s="3">
        <v>7.5926036999999997</v>
      </c>
      <c r="C6827" s="1">
        <v>655424.1</v>
      </c>
      <c r="D6827" s="3">
        <v>5.5555399999999297E-2</v>
      </c>
      <c r="E6827" s="3">
        <v>0.73709757173772095</v>
      </c>
      <c r="F6827" s="3">
        <v>0.73709757173772095</v>
      </c>
      <c r="G6827" s="3">
        <v>7.5926036999999997</v>
      </c>
      <c r="H6827" s="3">
        <v>111.582357485448</v>
      </c>
      <c r="I6827" s="3">
        <v>7.4074182999999998</v>
      </c>
      <c r="J6827" s="3">
        <v>8.0740859999999994</v>
      </c>
      <c r="K6827" s="3">
        <v>7.4074182999999998</v>
      </c>
      <c r="L6827" s="3">
        <v>111.582357485448</v>
      </c>
    </row>
    <row r="6828" spans="1:12" ht="15" customHeight="1" x14ac:dyDescent="0.2">
      <c r="A6828" s="2">
        <v>36138</v>
      </c>
      <c r="B6828" s="3">
        <v>7.5370483000000004</v>
      </c>
      <c r="C6828" s="1">
        <v>298349.51999999897</v>
      </c>
      <c r="D6828" s="3">
        <v>0.1111116</v>
      </c>
      <c r="E6828" s="3">
        <v>1.49626376427367</v>
      </c>
      <c r="F6828" s="3">
        <v>1.49626376427367</v>
      </c>
      <c r="G6828" s="3">
        <v>7.5370483000000004</v>
      </c>
      <c r="H6828" s="3">
        <v>110.03420049379</v>
      </c>
      <c r="I6828" s="3">
        <v>7.4444565999999996</v>
      </c>
      <c r="J6828" s="3">
        <v>7.6111219999999999</v>
      </c>
      <c r="K6828" s="3">
        <v>7.2592699999999999</v>
      </c>
      <c r="L6828" s="3">
        <v>110.03420049379</v>
      </c>
    </row>
    <row r="6829" spans="1:12" ht="15" customHeight="1" x14ac:dyDescent="0.2">
      <c r="A6829" s="2">
        <v>36137</v>
      </c>
      <c r="B6829" s="3">
        <v>7.4259367000000003</v>
      </c>
      <c r="C6829" s="1">
        <v>973348.63</v>
      </c>
      <c r="D6829" s="3">
        <v>0.69444570000000005</v>
      </c>
      <c r="E6829" s="3">
        <v>10.3163727025706</v>
      </c>
      <c r="F6829" s="3">
        <v>10.3163727025706</v>
      </c>
      <c r="G6829" s="3">
        <v>7.4259367000000003</v>
      </c>
      <c r="H6829" s="3">
        <v>106.93786421695</v>
      </c>
      <c r="I6829" s="3">
        <v>6.8518615</v>
      </c>
      <c r="J6829" s="3">
        <v>7.6481589999999997</v>
      </c>
      <c r="K6829" s="3">
        <v>6.7777877000000002</v>
      </c>
      <c r="L6829" s="3">
        <v>106.93786421695</v>
      </c>
    </row>
    <row r="6830" spans="1:12" ht="15" customHeight="1" x14ac:dyDescent="0.2">
      <c r="A6830" s="2">
        <v>36136</v>
      </c>
      <c r="B6830" s="3">
        <v>6.7314910000000001</v>
      </c>
      <c r="C6830" s="1">
        <v>320287.01999999897</v>
      </c>
      <c r="D6830" s="3">
        <v>-0.30555700000000002</v>
      </c>
      <c r="E6830" s="3">
        <v>-4.3421190249092998</v>
      </c>
      <c r="F6830" s="3">
        <v>-4.3421190249092998</v>
      </c>
      <c r="G6830" s="3">
        <v>6.7314910000000001</v>
      </c>
      <c r="H6830" s="3">
        <v>87.585812647126801</v>
      </c>
      <c r="I6830" s="3">
        <v>6.9444556000000004</v>
      </c>
      <c r="J6830" s="3">
        <v>6.9907513000000003</v>
      </c>
      <c r="K6830" s="3">
        <v>6.6666759999999998</v>
      </c>
      <c r="L6830" s="3">
        <v>87.585812647126801</v>
      </c>
    </row>
    <row r="6831" spans="1:12" ht="15" customHeight="1" x14ac:dyDescent="0.2">
      <c r="A6831" s="2">
        <v>36133</v>
      </c>
      <c r="B6831" s="3">
        <v>7.0370480000000004</v>
      </c>
      <c r="C6831" s="1">
        <v>372936.98</v>
      </c>
      <c r="D6831" s="3">
        <v>-7.4072999999999306E-2</v>
      </c>
      <c r="E6831" s="3">
        <v>-1.0416501139553</v>
      </c>
      <c r="F6831" s="3">
        <v>-1.0416501139553</v>
      </c>
      <c r="G6831" s="3">
        <v>7.0370480000000004</v>
      </c>
      <c r="H6831" s="3">
        <v>96.100740195127401</v>
      </c>
      <c r="I6831" s="3">
        <v>7.0926026999999996</v>
      </c>
      <c r="J6831" s="3">
        <v>7.166677</v>
      </c>
      <c r="K6831" s="3">
        <v>6.9259352999999999</v>
      </c>
      <c r="L6831" s="3">
        <v>96.100740195127401</v>
      </c>
    </row>
    <row r="6832" spans="1:12" ht="15" customHeight="1" x14ac:dyDescent="0.2">
      <c r="A6832" s="2">
        <v>36132</v>
      </c>
      <c r="B6832" s="3">
        <v>7.1111209999999998</v>
      </c>
      <c r="C6832" s="1">
        <v>600074.03999999899</v>
      </c>
      <c r="D6832" s="3">
        <v>-5.5556000000000098E-2</v>
      </c>
      <c r="E6832" s="3">
        <v>-0.77519888227137701</v>
      </c>
      <c r="F6832" s="3">
        <v>-0.77519888227137701</v>
      </c>
      <c r="G6832" s="3">
        <v>7.1111209999999998</v>
      </c>
      <c r="H6832" s="3">
        <v>98.164925366022004</v>
      </c>
      <c r="I6832" s="3">
        <v>7.1111219999999999</v>
      </c>
      <c r="J6832" s="3">
        <v>7.3333440000000003</v>
      </c>
      <c r="K6832" s="3">
        <v>6.7407513000000003</v>
      </c>
      <c r="L6832" s="3">
        <v>98.164925366022004</v>
      </c>
    </row>
    <row r="6833" spans="1:12" ht="15" customHeight="1" x14ac:dyDescent="0.2">
      <c r="A6833" s="2">
        <v>36131</v>
      </c>
      <c r="B6833" s="3">
        <v>7.166677</v>
      </c>
      <c r="C6833" s="1">
        <v>1297348.0999999901</v>
      </c>
      <c r="D6833" s="3">
        <v>-0.27777799999999903</v>
      </c>
      <c r="E6833" s="3">
        <v>-3.73134097794936</v>
      </c>
      <c r="F6833" s="3">
        <v>-3.73134097794936</v>
      </c>
      <c r="G6833" s="3">
        <v>7.166677</v>
      </c>
      <c r="H6833" s="3">
        <v>99.713099077822804</v>
      </c>
      <c r="I6833" s="3">
        <v>7.4074182999999998</v>
      </c>
      <c r="J6833" s="3">
        <v>7.4814920000000003</v>
      </c>
      <c r="K6833" s="3">
        <v>6.9629725999999996</v>
      </c>
      <c r="L6833" s="3">
        <v>99.713099077822804</v>
      </c>
    </row>
    <row r="6834" spans="1:12" ht="15" customHeight="1" x14ac:dyDescent="0.2">
      <c r="A6834" s="2">
        <v>36130</v>
      </c>
      <c r="B6834" s="3">
        <v>7.4444549999999996</v>
      </c>
      <c r="C6834" s="1">
        <v>744186.46</v>
      </c>
      <c r="D6834" s="3">
        <v>-0.25925999999999999</v>
      </c>
      <c r="E6834" s="3">
        <v>-3.3653892959435798</v>
      </c>
      <c r="F6834" s="3">
        <v>-3.3653892959435798</v>
      </c>
      <c r="G6834" s="3">
        <v>7.4444549999999996</v>
      </c>
      <c r="H6834" s="3">
        <v>107.45391190301901</v>
      </c>
      <c r="I6834" s="3">
        <v>7.5926036999999997</v>
      </c>
      <c r="J6834" s="3">
        <v>7.6111219999999999</v>
      </c>
      <c r="K6834" s="3">
        <v>7.0740847999999996</v>
      </c>
      <c r="L6834" s="3">
        <v>107.45391190301901</v>
      </c>
    </row>
    <row r="6835" spans="1:12" ht="15" customHeight="1" x14ac:dyDescent="0.2">
      <c r="A6835" s="2">
        <v>36129</v>
      </c>
      <c r="B6835" s="3">
        <v>7.7037149999999999</v>
      </c>
      <c r="C6835" s="1">
        <v>995623.54</v>
      </c>
      <c r="D6835" s="3">
        <v>-0.2407406</v>
      </c>
      <c r="E6835" s="3">
        <v>-3.03029700361092</v>
      </c>
      <c r="F6835" s="3">
        <v>-3.03029700361092</v>
      </c>
      <c r="G6835" s="3">
        <v>7.7037149999999999</v>
      </c>
      <c r="H6835" s="3">
        <v>114.678685402217</v>
      </c>
      <c r="I6835" s="3">
        <v>7.9259380000000004</v>
      </c>
      <c r="J6835" s="3">
        <v>8.1111240000000002</v>
      </c>
      <c r="K6835" s="3">
        <v>7.5926036999999997</v>
      </c>
      <c r="L6835" s="3">
        <v>114.678685402217</v>
      </c>
    </row>
    <row r="6836" spans="1:12" ht="15" customHeight="1" x14ac:dyDescent="0.2">
      <c r="A6836" s="2">
        <v>36126</v>
      </c>
      <c r="B6836" s="3">
        <v>7.9444556000000004</v>
      </c>
      <c r="C6836" s="1">
        <v>392174.47</v>
      </c>
      <c r="D6836" s="3">
        <v>1.85186000000001E-2</v>
      </c>
      <c r="E6836" s="3">
        <v>0.233645561401774</v>
      </c>
      <c r="F6836" s="3">
        <v>0.233645561401774</v>
      </c>
      <c r="G6836" s="3">
        <v>7.9444556000000004</v>
      </c>
      <c r="H6836" s="3">
        <v>121.38738056175301</v>
      </c>
      <c r="I6836" s="3">
        <v>7.9259380000000004</v>
      </c>
      <c r="J6836" s="3">
        <v>8.1111240000000002</v>
      </c>
      <c r="K6836" s="3">
        <v>7.8518634</v>
      </c>
      <c r="L6836" s="3">
        <v>121.38738056175301</v>
      </c>
    </row>
    <row r="6837" spans="1:12" ht="15" customHeight="1" x14ac:dyDescent="0.2">
      <c r="A6837" s="2">
        <v>36124</v>
      </c>
      <c r="B6837" s="3">
        <v>7.9259370000000002</v>
      </c>
      <c r="C6837" s="1">
        <v>1000011.04999999</v>
      </c>
      <c r="D6837" s="3">
        <v>0.44444499999999998</v>
      </c>
      <c r="E6837" s="3">
        <v>5.9405931330274804</v>
      </c>
      <c r="F6837" s="3">
        <v>5.9405931330274804</v>
      </c>
      <c r="G6837" s="3">
        <v>7.9259370000000002</v>
      </c>
      <c r="H6837" s="3">
        <v>120.871324515613</v>
      </c>
      <c r="I6837" s="3">
        <v>7.5185300000000002</v>
      </c>
      <c r="J6837" s="3">
        <v>8.0740859999999994</v>
      </c>
      <c r="K6837" s="3">
        <v>7.4444549999999996</v>
      </c>
      <c r="L6837" s="3">
        <v>120.871324515613</v>
      </c>
    </row>
    <row r="6838" spans="1:12" ht="15" customHeight="1" x14ac:dyDescent="0.2">
      <c r="A6838" s="2">
        <v>36123</v>
      </c>
      <c r="B6838" s="3">
        <v>7.4814920000000003</v>
      </c>
      <c r="C6838" s="1">
        <v>695248.96</v>
      </c>
      <c r="D6838" s="3">
        <v>9.2592699999999903E-2</v>
      </c>
      <c r="E6838" s="3">
        <v>1.2531325200223</v>
      </c>
      <c r="F6838" s="3">
        <v>1.2531325200223</v>
      </c>
      <c r="G6838" s="3">
        <v>7.4814920000000003</v>
      </c>
      <c r="H6838" s="3">
        <v>108.486018421918</v>
      </c>
      <c r="I6838" s="3">
        <v>7.2592707000000001</v>
      </c>
      <c r="J6838" s="3">
        <v>7.5555659999999998</v>
      </c>
      <c r="K6838" s="3">
        <v>7.2592699999999999</v>
      </c>
      <c r="L6838" s="3">
        <v>108.486018421918</v>
      </c>
    </row>
    <row r="6839" spans="1:12" ht="15" customHeight="1" x14ac:dyDescent="0.2">
      <c r="A6839" s="2">
        <v>36122</v>
      </c>
      <c r="B6839" s="3">
        <v>7.3888993000000003</v>
      </c>
      <c r="C6839" s="1">
        <v>568011.66</v>
      </c>
      <c r="D6839" s="3">
        <v>9.2593299999999795E-2</v>
      </c>
      <c r="E6839" s="3">
        <v>1.2690435406628999</v>
      </c>
      <c r="F6839" s="3">
        <v>1.2690435406628999</v>
      </c>
      <c r="G6839" s="3">
        <v>7.3888993000000003</v>
      </c>
      <c r="H6839" s="3">
        <v>105.905746551289</v>
      </c>
      <c r="I6839" s="3">
        <v>7.1851963999999997</v>
      </c>
      <c r="J6839" s="3">
        <v>7.4444549999999996</v>
      </c>
      <c r="K6839" s="3">
        <v>6.9444540000000003</v>
      </c>
      <c r="L6839" s="3">
        <v>105.905746551289</v>
      </c>
    </row>
    <row r="6840" spans="1:12" ht="15" customHeight="1" x14ac:dyDescent="0.2">
      <c r="A6840" s="2">
        <v>36119</v>
      </c>
      <c r="B6840" s="3">
        <v>7.2963060000000004</v>
      </c>
      <c r="C6840" s="1">
        <v>783673.95</v>
      </c>
      <c r="D6840" s="3">
        <v>5.5555E-2</v>
      </c>
      <c r="E6840" s="3">
        <v>0.76725466736806602</v>
      </c>
      <c r="F6840" s="3">
        <v>0.76725466736806602</v>
      </c>
      <c r="G6840" s="3">
        <v>7.2963060000000004</v>
      </c>
      <c r="H6840" s="3">
        <v>103.32545796051799</v>
      </c>
      <c r="I6840" s="3">
        <v>7.2407516999999997</v>
      </c>
      <c r="J6840" s="3">
        <v>7.4259367000000003</v>
      </c>
      <c r="K6840" s="3">
        <v>7.1851950000000002</v>
      </c>
      <c r="L6840" s="3">
        <v>103.32545796051799</v>
      </c>
    </row>
    <row r="6841" spans="1:12" ht="15" customHeight="1" x14ac:dyDescent="0.2">
      <c r="A6841" s="2">
        <v>36118</v>
      </c>
      <c r="B6841" s="3">
        <v>7.2407510000000004</v>
      </c>
      <c r="C6841" s="1">
        <v>1130285.8999999999</v>
      </c>
      <c r="D6841" s="3">
        <v>0.25925999999999999</v>
      </c>
      <c r="E6841" s="3">
        <v>3.7135333985247598</v>
      </c>
      <c r="F6841" s="3">
        <v>3.7135333985247598</v>
      </c>
      <c r="G6841" s="3">
        <v>7.2407510000000004</v>
      </c>
      <c r="H6841" s="3">
        <v>101.777312115621</v>
      </c>
      <c r="I6841" s="3">
        <v>6.9629735999999998</v>
      </c>
      <c r="J6841" s="3">
        <v>7.3703814000000003</v>
      </c>
      <c r="K6841" s="3">
        <v>6.9629725999999996</v>
      </c>
      <c r="L6841" s="3">
        <v>101.777312115621</v>
      </c>
    </row>
    <row r="6842" spans="1:12" ht="15" customHeight="1" x14ac:dyDescent="0.2">
      <c r="A6842" s="2">
        <v>36117</v>
      </c>
      <c r="B6842" s="3">
        <v>6.9814910000000001</v>
      </c>
      <c r="C6842" s="1">
        <v>306787.05</v>
      </c>
      <c r="D6842" s="3">
        <v>0.240739699999999</v>
      </c>
      <c r="E6842" s="3">
        <v>3.5714075373170799</v>
      </c>
      <c r="F6842" s="3">
        <v>3.5714075373170799</v>
      </c>
      <c r="G6842" s="3">
        <v>6.9814910000000001</v>
      </c>
      <c r="H6842" s="3">
        <v>94.552538616422694</v>
      </c>
      <c r="I6842" s="3">
        <v>6.7407513000000003</v>
      </c>
      <c r="J6842" s="3">
        <v>7.0370480000000004</v>
      </c>
      <c r="K6842" s="3">
        <v>6.7407513000000003</v>
      </c>
      <c r="L6842" s="3">
        <v>94.552538616422694</v>
      </c>
    </row>
    <row r="6843" spans="1:12" ht="15" customHeight="1" x14ac:dyDescent="0.2">
      <c r="A6843" s="2">
        <v>36116</v>
      </c>
      <c r="B6843" s="3">
        <v>6.7407513000000003</v>
      </c>
      <c r="C6843" s="1">
        <v>727986.45</v>
      </c>
      <c r="D6843" s="3">
        <v>-7.4073299999999301E-2</v>
      </c>
      <c r="E6843" s="3">
        <v>-1.08694360233423</v>
      </c>
      <c r="F6843" s="3">
        <v>-1.08694360233423</v>
      </c>
      <c r="G6843" s="3">
        <v>6.7407513000000003</v>
      </c>
      <c r="H6843" s="3">
        <v>87.843868537100604</v>
      </c>
      <c r="I6843" s="3">
        <v>6.7037129999999996</v>
      </c>
      <c r="J6843" s="3">
        <v>6.9814910000000001</v>
      </c>
      <c r="K6843" s="3">
        <v>6.6296390000000001</v>
      </c>
      <c r="L6843" s="3">
        <v>87.843868537100604</v>
      </c>
    </row>
    <row r="6844" spans="1:12" ht="15" customHeight="1" x14ac:dyDescent="0.2">
      <c r="A6844" s="2">
        <v>36115</v>
      </c>
      <c r="B6844" s="3">
        <v>6.8148245999999997</v>
      </c>
      <c r="C6844" s="1">
        <v>590961.55000000005</v>
      </c>
      <c r="D6844" s="3">
        <v>0.27777819999999898</v>
      </c>
      <c r="E6844" s="3">
        <v>4.2492921573877602</v>
      </c>
      <c r="F6844" s="3">
        <v>4.2492921573877602</v>
      </c>
      <c r="G6844" s="3">
        <v>6.8148245999999997</v>
      </c>
      <c r="H6844" s="3">
        <v>89.9080620680664</v>
      </c>
      <c r="I6844" s="3">
        <v>6.5000109999999998</v>
      </c>
      <c r="J6844" s="3">
        <v>6.8333425999999999</v>
      </c>
      <c r="K6844" s="3">
        <v>6.5000099999999996</v>
      </c>
      <c r="L6844" s="3">
        <v>89.9080620680664</v>
      </c>
    </row>
    <row r="6845" spans="1:12" ht="15" customHeight="1" x14ac:dyDescent="0.2">
      <c r="A6845" s="2">
        <v>36112</v>
      </c>
      <c r="B6845" s="3">
        <v>6.5370464000000004</v>
      </c>
      <c r="C6845" s="1">
        <v>127912.34</v>
      </c>
      <c r="D6845" s="3">
        <v>1.85184000000004E-2</v>
      </c>
      <c r="E6845" s="3">
        <v>0.28408867768920898</v>
      </c>
      <c r="F6845" s="3">
        <v>0.28408867768920898</v>
      </c>
      <c r="G6845" s="3">
        <v>6.5370464000000004</v>
      </c>
      <c r="H6845" s="3">
        <v>82.167243669489295</v>
      </c>
      <c r="I6845" s="3">
        <v>6.4814916</v>
      </c>
      <c r="J6845" s="3">
        <v>6.5926013000000001</v>
      </c>
      <c r="K6845" s="3">
        <v>6.4814910000000001</v>
      </c>
      <c r="L6845" s="3">
        <v>82.167243669489295</v>
      </c>
    </row>
    <row r="6846" spans="1:12" ht="15" customHeight="1" x14ac:dyDescent="0.2">
      <c r="A6846" s="2">
        <v>36111</v>
      </c>
      <c r="B6846" s="3">
        <v>6.5185279999999999</v>
      </c>
      <c r="C6846" s="1">
        <v>141074.79999999999</v>
      </c>
      <c r="D6846" s="3">
        <v>0.16666699999999901</v>
      </c>
      <c r="E6846" s="3">
        <v>2.6239081743129899</v>
      </c>
      <c r="F6846" s="3">
        <v>2.6239081743129899</v>
      </c>
      <c r="G6846" s="3">
        <v>6.5185279999999999</v>
      </c>
      <c r="H6846" s="3">
        <v>81.651193196730105</v>
      </c>
      <c r="I6846" s="3">
        <v>6.2963056999999996</v>
      </c>
      <c r="J6846" s="3">
        <v>6.5555649999999996</v>
      </c>
      <c r="K6846" s="3">
        <v>6.2963047000000003</v>
      </c>
      <c r="L6846" s="3">
        <v>81.651193196730105</v>
      </c>
    </row>
    <row r="6847" spans="1:12" ht="15" customHeight="1" x14ac:dyDescent="0.2">
      <c r="A6847" s="2">
        <v>36110</v>
      </c>
      <c r="B6847" s="3">
        <v>6.3518610000000004</v>
      </c>
      <c r="C6847" s="1">
        <v>406011.87</v>
      </c>
      <c r="D6847" s="3">
        <v>-9.2592199999999403E-2</v>
      </c>
      <c r="E6847" s="3">
        <v>-1.43677356521108</v>
      </c>
      <c r="F6847" s="3">
        <v>-1.43677356521108</v>
      </c>
      <c r="G6847" s="3">
        <v>6.3518610000000004</v>
      </c>
      <c r="H6847" s="3">
        <v>77.006699928231498</v>
      </c>
      <c r="I6847" s="3">
        <v>6.4444546999999996</v>
      </c>
      <c r="J6847" s="3">
        <v>6.5555649999999996</v>
      </c>
      <c r="K6847" s="3">
        <v>6.333342</v>
      </c>
      <c r="L6847" s="3">
        <v>77.006699928231498</v>
      </c>
    </row>
    <row r="6848" spans="1:12" ht="15" customHeight="1" x14ac:dyDescent="0.2">
      <c r="A6848" s="2">
        <v>36109</v>
      </c>
      <c r="B6848" s="3">
        <v>6.4444531999999999</v>
      </c>
      <c r="C6848" s="1">
        <v>461361.85</v>
      </c>
      <c r="D6848" s="3">
        <v>-3.7037800000000197E-2</v>
      </c>
      <c r="E6848" s="3">
        <v>-0.57143950365742202</v>
      </c>
      <c r="F6848" s="3">
        <v>-0.57143950365742202</v>
      </c>
      <c r="G6848" s="3">
        <v>6.4444531999999999</v>
      </c>
      <c r="H6848" s="3">
        <v>79.586957865408493</v>
      </c>
      <c r="I6848" s="3">
        <v>6.4074179999999998</v>
      </c>
      <c r="J6848" s="3">
        <v>6.4814910000000001</v>
      </c>
      <c r="K6848" s="3">
        <v>6.2777867000000001</v>
      </c>
      <c r="L6848" s="3">
        <v>79.586957865408493</v>
      </c>
    </row>
    <row r="6849" spans="1:12" ht="15" customHeight="1" x14ac:dyDescent="0.2">
      <c r="A6849" s="2">
        <v>36108</v>
      </c>
      <c r="B6849" s="3">
        <v>6.4814910000000001</v>
      </c>
      <c r="C6849" s="1">
        <v>462374.32999999903</v>
      </c>
      <c r="D6849" s="3">
        <v>-1.8518999999999501E-2</v>
      </c>
      <c r="E6849" s="3">
        <v>-0.28490725398882999</v>
      </c>
      <c r="F6849" s="3">
        <v>-0.28490725398882999</v>
      </c>
      <c r="G6849" s="3">
        <v>6.4814910000000001</v>
      </c>
      <c r="H6849" s="3">
        <v>80.619086677830794</v>
      </c>
      <c r="I6849" s="3">
        <v>6.4814916</v>
      </c>
      <c r="J6849" s="3">
        <v>6.5555649999999996</v>
      </c>
      <c r="K6849" s="3">
        <v>6.2777867000000001</v>
      </c>
      <c r="L6849" s="3">
        <v>80.619086677830794</v>
      </c>
    </row>
    <row r="6850" spans="1:12" ht="15" customHeight="1" x14ac:dyDescent="0.2">
      <c r="A6850" s="2">
        <v>36105</v>
      </c>
      <c r="B6850" s="3">
        <v>6.5000099999999996</v>
      </c>
      <c r="C6850" s="1">
        <v>524136.66</v>
      </c>
      <c r="D6850" s="3">
        <v>-5.5555E-2</v>
      </c>
      <c r="E6850" s="3">
        <v>-0.84744793164280796</v>
      </c>
      <c r="F6850" s="3">
        <v>-0.84744793164280796</v>
      </c>
      <c r="G6850" s="3">
        <v>6.5000099999999996</v>
      </c>
      <c r="H6850" s="3">
        <v>81.135153870732395</v>
      </c>
      <c r="I6850" s="3">
        <v>6.5555653999999999</v>
      </c>
      <c r="J6850" s="3">
        <v>6.6481576000000002</v>
      </c>
      <c r="K6850" s="3">
        <v>6.2963047000000003</v>
      </c>
      <c r="L6850" s="3">
        <v>81.135153870732395</v>
      </c>
    </row>
    <row r="6851" spans="1:12" ht="15" customHeight="1" x14ac:dyDescent="0.2">
      <c r="A6851" s="2">
        <v>36104</v>
      </c>
      <c r="B6851" s="3">
        <v>6.5555649999999996</v>
      </c>
      <c r="C6851" s="1">
        <v>1136698.3999999999</v>
      </c>
      <c r="D6851" s="3">
        <v>0.66666759999999903</v>
      </c>
      <c r="E6851" s="3">
        <v>11.320754204343899</v>
      </c>
      <c r="F6851" s="3">
        <v>11.320754204343899</v>
      </c>
      <c r="G6851" s="3">
        <v>6.5555649999999996</v>
      </c>
      <c r="H6851" s="3">
        <v>82.683299715629303</v>
      </c>
      <c r="I6851" s="3">
        <v>5.9444537000000004</v>
      </c>
      <c r="J6851" s="3">
        <v>6.7037129999999996</v>
      </c>
      <c r="K6851" s="3">
        <v>5.8148229999999996</v>
      </c>
      <c r="L6851" s="3">
        <v>82.683299715629303</v>
      </c>
    </row>
    <row r="6852" spans="1:12" ht="15" customHeight="1" x14ac:dyDescent="0.2">
      <c r="A6852" s="2">
        <v>36103</v>
      </c>
      <c r="B6852" s="3">
        <v>5.8888974000000003</v>
      </c>
      <c r="C6852" s="1">
        <v>1500860.4</v>
      </c>
      <c r="D6852" s="3">
        <v>0.16666700000000001</v>
      </c>
      <c r="E6852" s="3">
        <v>2.9126230219601101</v>
      </c>
      <c r="F6852" s="3">
        <v>2.9126230219601101</v>
      </c>
      <c r="G6852" s="3">
        <v>5.8888974000000003</v>
      </c>
      <c r="H6852" s="3">
        <v>64.105337788396596</v>
      </c>
      <c r="I6852" s="3">
        <v>5.8148229999999996</v>
      </c>
      <c r="J6852" s="3">
        <v>5.9259342999999998</v>
      </c>
      <c r="K6852" s="3">
        <v>5.6666746000000003</v>
      </c>
      <c r="L6852" s="3">
        <v>64.105337788396596</v>
      </c>
    </row>
    <row r="6853" spans="1:12" ht="15" customHeight="1" x14ac:dyDescent="0.2">
      <c r="A6853" s="2">
        <v>36102</v>
      </c>
      <c r="B6853" s="3">
        <v>5.7222303999999999</v>
      </c>
      <c r="C6853" s="1">
        <v>87074.87</v>
      </c>
      <c r="D6853" s="3"/>
      <c r="E6853" s="3"/>
      <c r="F6853" s="3"/>
      <c r="G6853" s="3">
        <v>5.7222303999999999</v>
      </c>
      <c r="H6853" s="3">
        <v>59.460844519898103</v>
      </c>
      <c r="I6853" s="3">
        <v>5.7037120000000003</v>
      </c>
      <c r="J6853" s="3">
        <v>5.7592670000000004</v>
      </c>
      <c r="K6853" s="3">
        <v>5.6666746000000003</v>
      </c>
      <c r="L6853" s="3">
        <v>59.460844519898103</v>
      </c>
    </row>
    <row r="6854" spans="1:12" ht="15" customHeight="1" x14ac:dyDescent="0.2">
      <c r="A6854" s="2">
        <v>36101</v>
      </c>
      <c r="B6854" s="3">
        <v>5.7222303999999999</v>
      </c>
      <c r="C6854" s="1">
        <v>215324.69</v>
      </c>
      <c r="D6854" s="3">
        <v>5.55557999999996E-2</v>
      </c>
      <c r="E6854" s="3">
        <v>0.98039509803509095</v>
      </c>
      <c r="F6854" s="3">
        <v>0.98039509803509095</v>
      </c>
      <c r="G6854" s="3">
        <v>5.7222303999999999</v>
      </c>
      <c r="H6854" s="3">
        <v>59.460844519898103</v>
      </c>
      <c r="I6854" s="3">
        <v>5.7407494000000003</v>
      </c>
      <c r="J6854" s="3">
        <v>5.7777859999999999</v>
      </c>
      <c r="K6854" s="3">
        <v>5.5555643999999997</v>
      </c>
      <c r="L6854" s="3">
        <v>59.460844519898103</v>
      </c>
    </row>
    <row r="6855" spans="1:12" ht="15" customHeight="1" x14ac:dyDescent="0.2">
      <c r="A6855" s="2">
        <v>36098</v>
      </c>
      <c r="B6855" s="3">
        <v>5.6666746000000003</v>
      </c>
      <c r="C6855" s="1">
        <v>617624.15</v>
      </c>
      <c r="D6855" s="3">
        <v>-3.7037399999999998E-2</v>
      </c>
      <c r="E6855" s="3">
        <v>-0.64935606846909799</v>
      </c>
      <c r="F6855" s="3">
        <v>-0.64935606846909799</v>
      </c>
      <c r="G6855" s="3">
        <v>5.6666746000000003</v>
      </c>
      <c r="H6855" s="3">
        <v>57.912676381478001</v>
      </c>
      <c r="I6855" s="3">
        <v>5.5555643999999997</v>
      </c>
      <c r="J6855" s="3">
        <v>5.7777859999999999</v>
      </c>
      <c r="K6855" s="3">
        <v>5.5555643999999997</v>
      </c>
      <c r="L6855" s="3">
        <v>57.912676381478001</v>
      </c>
    </row>
    <row r="6856" spans="1:12" ht="15" customHeight="1" x14ac:dyDescent="0.2">
      <c r="A6856" s="2">
        <v>36097</v>
      </c>
      <c r="B6856" s="3">
        <v>5.7037120000000003</v>
      </c>
      <c r="C6856" s="1">
        <v>110362.34</v>
      </c>
      <c r="D6856" s="3">
        <v>-7.4073999999999501E-2</v>
      </c>
      <c r="E6856" s="3">
        <v>-1.28204817554682</v>
      </c>
      <c r="F6856" s="3">
        <v>-1.28204817554682</v>
      </c>
      <c r="G6856" s="3">
        <v>5.7037120000000003</v>
      </c>
      <c r="H6856" s="3">
        <v>58.944794047138799</v>
      </c>
      <c r="I6856" s="3">
        <v>5.8148229999999996</v>
      </c>
      <c r="J6856" s="3">
        <v>5.8148229999999996</v>
      </c>
      <c r="K6856" s="3">
        <v>5.5185259999999996</v>
      </c>
      <c r="L6856" s="3">
        <v>58.944794047138799</v>
      </c>
    </row>
    <row r="6857" spans="1:12" ht="15" customHeight="1" x14ac:dyDescent="0.2">
      <c r="A6857" s="2">
        <v>36096</v>
      </c>
      <c r="B6857" s="3">
        <v>5.7777859999999999</v>
      </c>
      <c r="C6857" s="1">
        <v>74587.379999999903</v>
      </c>
      <c r="D6857" s="3">
        <v>0.22222159999999999</v>
      </c>
      <c r="E6857" s="3">
        <v>3.99998243202797</v>
      </c>
      <c r="F6857" s="3">
        <v>3.99998243202797</v>
      </c>
      <c r="G6857" s="3">
        <v>5.7777859999999999</v>
      </c>
      <c r="H6857" s="3">
        <v>61.009007084937302</v>
      </c>
      <c r="I6857" s="3">
        <v>5.5555643999999997</v>
      </c>
      <c r="J6857" s="3">
        <v>5.7777859999999999</v>
      </c>
      <c r="K6857" s="3">
        <v>5.4444523</v>
      </c>
      <c r="L6857" s="3">
        <v>61.009007084937302</v>
      </c>
    </row>
    <row r="6858" spans="1:12" ht="15" customHeight="1" x14ac:dyDescent="0.2">
      <c r="A6858" s="2">
        <v>36095</v>
      </c>
      <c r="B6858" s="3">
        <v>5.5555643999999997</v>
      </c>
      <c r="C6858" s="1">
        <v>357074.45999999897</v>
      </c>
      <c r="D6858" s="3">
        <v>-0.231481099999999</v>
      </c>
      <c r="E6858" s="3">
        <v>-3.9999875584181899</v>
      </c>
      <c r="F6858" s="3">
        <v>-3.9999875584181899</v>
      </c>
      <c r="G6858" s="3">
        <v>5.5555643999999997</v>
      </c>
      <c r="H6858" s="3">
        <v>54.816379118303402</v>
      </c>
      <c r="I6858" s="3">
        <v>5.7407494000000003</v>
      </c>
      <c r="J6858" s="3">
        <v>5.7407494000000003</v>
      </c>
      <c r="K6858" s="3">
        <v>5.4074153999999997</v>
      </c>
      <c r="L6858" s="3">
        <v>54.816379118303402</v>
      </c>
    </row>
    <row r="6859" spans="1:12" ht="15" customHeight="1" x14ac:dyDescent="0.2">
      <c r="A6859" s="2">
        <v>36094</v>
      </c>
      <c r="B6859" s="3">
        <v>5.7870454999999996</v>
      </c>
      <c r="C6859" s="1">
        <v>607161.59999999998</v>
      </c>
      <c r="D6859" s="3">
        <v>4.6296099999999202E-2</v>
      </c>
      <c r="E6859" s="3">
        <v>0.80644697711416102</v>
      </c>
      <c r="F6859" s="3">
        <v>0.80644697711416102</v>
      </c>
      <c r="G6859" s="3">
        <v>5.7870454999999996</v>
      </c>
      <c r="H6859" s="3">
        <v>61.267040681388103</v>
      </c>
      <c r="I6859" s="3">
        <v>5.8148229999999996</v>
      </c>
      <c r="J6859" s="3">
        <v>5.8888974000000003</v>
      </c>
      <c r="K6859" s="3">
        <v>5.6481566000000001</v>
      </c>
      <c r="L6859" s="3">
        <v>61.267040681388103</v>
      </c>
    </row>
    <row r="6860" spans="1:12" ht="15" customHeight="1" x14ac:dyDescent="0.2">
      <c r="A6860" s="2">
        <v>36091</v>
      </c>
      <c r="B6860" s="3">
        <v>5.7407494000000003</v>
      </c>
      <c r="C6860" s="1">
        <v>818436.299999999</v>
      </c>
      <c r="D6860" s="3"/>
      <c r="E6860" s="3"/>
      <c r="F6860" s="3"/>
      <c r="G6860" s="3">
        <v>5.7407494000000003</v>
      </c>
      <c r="H6860" s="3">
        <v>59.976911712799598</v>
      </c>
      <c r="I6860" s="3">
        <v>5.8148229999999996</v>
      </c>
      <c r="J6860" s="3">
        <v>5.9629709999999996</v>
      </c>
      <c r="K6860" s="3">
        <v>5.6296377</v>
      </c>
      <c r="L6860" s="3">
        <v>59.976911712799598</v>
      </c>
    </row>
    <row r="6861" spans="1:12" ht="15" customHeight="1" x14ac:dyDescent="0.2">
      <c r="A6861" s="2">
        <v>36090</v>
      </c>
      <c r="B6861" s="3">
        <v>5.7407494000000003</v>
      </c>
      <c r="C6861" s="1">
        <v>233887.18</v>
      </c>
      <c r="D6861" s="3">
        <v>0.29629709999999998</v>
      </c>
      <c r="E6861" s="3">
        <v>5.4421837803593203</v>
      </c>
      <c r="F6861" s="3">
        <v>5.4421837803593203</v>
      </c>
      <c r="G6861" s="3">
        <v>5.7407494000000003</v>
      </c>
      <c r="H6861" s="3">
        <v>59.976911712799598</v>
      </c>
      <c r="I6861" s="3">
        <v>5.4444537000000004</v>
      </c>
      <c r="J6861" s="3">
        <v>5.8518604999999999</v>
      </c>
      <c r="K6861" s="3">
        <v>5.4444523</v>
      </c>
      <c r="L6861" s="3">
        <v>59.976911712799598</v>
      </c>
    </row>
    <row r="6862" spans="1:12" ht="15" customHeight="1" x14ac:dyDescent="0.2">
      <c r="A6862" s="2">
        <v>36089</v>
      </c>
      <c r="B6862" s="3">
        <v>5.4444523</v>
      </c>
      <c r="C6862" s="1">
        <v>487349.3</v>
      </c>
      <c r="D6862" s="3">
        <v>-1.8518399999999598E-2</v>
      </c>
      <c r="E6862" s="3">
        <v>-0.33898040126775197</v>
      </c>
      <c r="F6862" s="3">
        <v>-0.33898040126775197</v>
      </c>
      <c r="G6862" s="3">
        <v>5.4444523</v>
      </c>
      <c r="H6862" s="3">
        <v>51.7200289080114</v>
      </c>
      <c r="I6862" s="3">
        <v>5.4074153999999997</v>
      </c>
      <c r="J6862" s="3">
        <v>5.6296377</v>
      </c>
      <c r="K6862" s="3">
        <v>5.2037110000000002</v>
      </c>
      <c r="L6862" s="3">
        <v>51.7200289080114</v>
      </c>
    </row>
    <row r="6863" spans="1:12" ht="15" customHeight="1" x14ac:dyDescent="0.2">
      <c r="A6863" s="2">
        <v>36088</v>
      </c>
      <c r="B6863" s="3">
        <v>5.4629706999999996</v>
      </c>
      <c r="C6863" s="1">
        <v>514011.84</v>
      </c>
      <c r="D6863" s="3">
        <v>-0.31481530000000002</v>
      </c>
      <c r="E6863" s="3">
        <v>-5.4487185922081496</v>
      </c>
      <c r="F6863" s="3">
        <v>-5.4487185922081496</v>
      </c>
      <c r="G6863" s="3">
        <v>5.4629706999999996</v>
      </c>
      <c r="H6863" s="3">
        <v>52.236079380770597</v>
      </c>
      <c r="I6863" s="3">
        <v>5.8518610000000004</v>
      </c>
      <c r="J6863" s="3">
        <v>5.9259342999999998</v>
      </c>
      <c r="K6863" s="3">
        <v>5.4074153999999997</v>
      </c>
      <c r="L6863" s="3">
        <v>52.236079380770597</v>
      </c>
    </row>
    <row r="6864" spans="1:12" ht="15" customHeight="1" x14ac:dyDescent="0.2">
      <c r="A6864" s="2">
        <v>36087</v>
      </c>
      <c r="B6864" s="3">
        <v>5.7777859999999999</v>
      </c>
      <c r="C6864" s="1">
        <v>394874.45</v>
      </c>
      <c r="D6864" s="3">
        <v>-5.5556000000000098E-2</v>
      </c>
      <c r="E6864" s="3">
        <v>-0.95238715645337102</v>
      </c>
      <c r="F6864" s="3">
        <v>-0.95238715645337102</v>
      </c>
      <c r="G6864" s="3">
        <v>5.7777859999999999</v>
      </c>
      <c r="H6864" s="3">
        <v>61.009007084937302</v>
      </c>
      <c r="I6864" s="3">
        <v>5.6296377</v>
      </c>
      <c r="J6864" s="3">
        <v>5.8518604999999999</v>
      </c>
      <c r="K6864" s="3">
        <v>5.6296377</v>
      </c>
      <c r="L6864" s="3">
        <v>61.009007084937302</v>
      </c>
    </row>
    <row r="6865" spans="1:12" ht="15" customHeight="1" x14ac:dyDescent="0.2">
      <c r="A6865" s="2">
        <v>36084</v>
      </c>
      <c r="B6865" s="3">
        <v>5.833342</v>
      </c>
      <c r="C6865" s="1">
        <v>1289585.6000000001</v>
      </c>
      <c r="D6865" s="3">
        <v>0.50000100000000003</v>
      </c>
      <c r="E6865" s="3">
        <v>9.3750052734299096</v>
      </c>
      <c r="F6865" s="3">
        <v>9.3750052734299096</v>
      </c>
      <c r="G6865" s="3">
        <v>5.833342</v>
      </c>
      <c r="H6865" s="3">
        <v>62.557180796738102</v>
      </c>
      <c r="I6865" s="3">
        <v>5.4074153999999997</v>
      </c>
      <c r="J6865" s="3">
        <v>6.0000086000000001</v>
      </c>
      <c r="K6865" s="3">
        <v>5.2592670000000004</v>
      </c>
      <c r="L6865" s="3">
        <v>62.557180796738102</v>
      </c>
    </row>
    <row r="6866" spans="1:12" ht="15" customHeight="1" x14ac:dyDescent="0.2">
      <c r="A6866" s="2">
        <v>36083</v>
      </c>
      <c r="B6866" s="3">
        <v>5.3333409999999999</v>
      </c>
      <c r="C6866" s="1">
        <v>648674.1</v>
      </c>
      <c r="D6866" s="3">
        <v>0.333333399999999</v>
      </c>
      <c r="E6866" s="3">
        <v>6.6666578666800298</v>
      </c>
      <c r="F6866" s="3">
        <v>6.6666578666800298</v>
      </c>
      <c r="G6866" s="3">
        <v>5.3333409999999999</v>
      </c>
      <c r="H6866" s="3">
        <v>48.623700991242401</v>
      </c>
      <c r="I6866" s="3">
        <v>5.1111190000000004</v>
      </c>
      <c r="J6866" s="3">
        <v>5.3703779999999997</v>
      </c>
      <c r="K6866" s="3">
        <v>5.0000076</v>
      </c>
      <c r="L6866" s="3">
        <v>48.623700991242401</v>
      </c>
    </row>
    <row r="6867" spans="1:12" ht="15" customHeight="1" x14ac:dyDescent="0.2">
      <c r="A6867" s="2">
        <v>36082</v>
      </c>
      <c r="B6867" s="3">
        <v>5.0000076</v>
      </c>
      <c r="C6867" s="1">
        <v>207899.69</v>
      </c>
      <c r="D6867" s="3">
        <v>-0.29629640000000002</v>
      </c>
      <c r="E6867" s="3">
        <v>-5.5943994151393097</v>
      </c>
      <c r="F6867" s="3">
        <v>-5.5943994151393097</v>
      </c>
      <c r="G6867" s="3">
        <v>5.0000076</v>
      </c>
      <c r="H6867" s="3">
        <v>39.334731174387599</v>
      </c>
      <c r="I6867" s="3">
        <v>5.2592670000000004</v>
      </c>
      <c r="J6867" s="3">
        <v>5.2963040000000001</v>
      </c>
      <c r="K6867" s="3">
        <v>4.9259329999999997</v>
      </c>
      <c r="L6867" s="3">
        <v>39.334731174387599</v>
      </c>
    </row>
    <row r="6868" spans="1:12" ht="15" customHeight="1" x14ac:dyDescent="0.2">
      <c r="A6868" s="2">
        <v>36081</v>
      </c>
      <c r="B6868" s="3">
        <v>5.2963040000000001</v>
      </c>
      <c r="C6868" s="1">
        <v>433011.87</v>
      </c>
      <c r="D6868" s="3">
        <v>7.4074000000000403E-2</v>
      </c>
      <c r="E6868" s="3">
        <v>1.41843618530781</v>
      </c>
      <c r="F6868" s="3">
        <v>1.41843618530781</v>
      </c>
      <c r="G6868" s="3">
        <v>5.2963040000000001</v>
      </c>
      <c r="H6868" s="3">
        <v>47.591594472343203</v>
      </c>
      <c r="I6868" s="3">
        <v>5.1851934999999996</v>
      </c>
      <c r="J6868" s="3">
        <v>5.4444523</v>
      </c>
      <c r="K6868" s="3">
        <v>5.148155</v>
      </c>
      <c r="L6868" s="3">
        <v>47.591594472343203</v>
      </c>
    </row>
    <row r="6869" spans="1:12" ht="15" customHeight="1" x14ac:dyDescent="0.2">
      <c r="A6869" s="2">
        <v>36080</v>
      </c>
      <c r="B6869" s="3">
        <v>5.2222299999999997</v>
      </c>
      <c r="C6869" s="1">
        <v>505574.34</v>
      </c>
      <c r="D6869" s="3">
        <v>0.185185499999999</v>
      </c>
      <c r="E6869" s="3">
        <v>3.6764713911103799</v>
      </c>
      <c r="F6869" s="3">
        <v>3.6764713911103799</v>
      </c>
      <c r="G6869" s="3">
        <v>5.2222299999999997</v>
      </c>
      <c r="H6869" s="3">
        <v>45.527381434544701</v>
      </c>
      <c r="I6869" s="3">
        <v>5.1851934999999996</v>
      </c>
      <c r="J6869" s="3">
        <v>5.2963040000000001</v>
      </c>
      <c r="K6869" s="3">
        <v>5.0185266000000004</v>
      </c>
      <c r="L6869" s="3">
        <v>45.527381434544701</v>
      </c>
    </row>
    <row r="6870" spans="1:12" ht="15" customHeight="1" x14ac:dyDescent="0.2">
      <c r="A6870" s="2">
        <v>36077</v>
      </c>
      <c r="B6870" s="3">
        <v>5.0370445000000004</v>
      </c>
      <c r="C6870" s="1">
        <v>781311.46</v>
      </c>
      <c r="D6870" s="3">
        <v>0.259260199999999</v>
      </c>
      <c r="E6870" s="3">
        <v>5.4263688714452698</v>
      </c>
      <c r="F6870" s="3">
        <v>5.4263688714452698</v>
      </c>
      <c r="G6870" s="3">
        <v>5.0370445000000004</v>
      </c>
      <c r="H6870" s="3">
        <v>40.366834906596502</v>
      </c>
      <c r="I6870" s="3">
        <v>4.8148220000000004</v>
      </c>
      <c r="J6870" s="3">
        <v>5.1111174000000004</v>
      </c>
      <c r="K6870" s="3">
        <v>4.6666727000000003</v>
      </c>
      <c r="L6870" s="3">
        <v>40.366834906596502</v>
      </c>
    </row>
    <row r="6871" spans="1:12" ht="15" customHeight="1" x14ac:dyDescent="0.2">
      <c r="A6871" s="2">
        <v>36076</v>
      </c>
      <c r="B6871" s="3">
        <v>4.7777843000000004</v>
      </c>
      <c r="C6871" s="1">
        <v>1181923.1000000001</v>
      </c>
      <c r="D6871" s="3">
        <v>0.18518490000000001</v>
      </c>
      <c r="E6871" s="3">
        <v>4.0322458780097401</v>
      </c>
      <c r="F6871" s="3">
        <v>4.0322458780097401</v>
      </c>
      <c r="G6871" s="3">
        <v>4.7777843000000004</v>
      </c>
      <c r="H6871" s="3">
        <v>33.1420558340171</v>
      </c>
      <c r="I6871" s="3">
        <v>4.4444512999999999</v>
      </c>
      <c r="J6871" s="3">
        <v>4.7777843000000004</v>
      </c>
      <c r="K6871" s="3">
        <v>4.4259320000000004</v>
      </c>
      <c r="L6871" s="3">
        <v>33.1420558340171</v>
      </c>
    </row>
    <row r="6872" spans="1:12" ht="15" customHeight="1" x14ac:dyDescent="0.2">
      <c r="A6872" s="2">
        <v>36075</v>
      </c>
      <c r="B6872" s="3">
        <v>4.5925994000000001</v>
      </c>
      <c r="C6872" s="1">
        <v>753636.4</v>
      </c>
      <c r="D6872" s="3">
        <v>9.2593400000000103E-2</v>
      </c>
      <c r="E6872" s="3">
        <v>2.0576283676066298</v>
      </c>
      <c r="F6872" s="3">
        <v>2.0576283676066298</v>
      </c>
      <c r="G6872" s="3">
        <v>4.5925994000000001</v>
      </c>
      <c r="H6872" s="3">
        <v>27.981526026211199</v>
      </c>
      <c r="I6872" s="3">
        <v>4.4074144000000004</v>
      </c>
      <c r="J6872" s="3">
        <v>4.6111180000000003</v>
      </c>
      <c r="K6872" s="3">
        <v>4.3703766000000002</v>
      </c>
      <c r="L6872" s="3">
        <v>27.981526026211199</v>
      </c>
    </row>
    <row r="6873" spans="1:12" ht="15" customHeight="1" x14ac:dyDescent="0.2">
      <c r="A6873" s="2">
        <v>36074</v>
      </c>
      <c r="B6873" s="3">
        <v>4.500006</v>
      </c>
      <c r="C6873" s="1">
        <v>1379360.4</v>
      </c>
      <c r="D6873" s="3">
        <v>7.4073999999999501E-2</v>
      </c>
      <c r="E6873" s="3">
        <v>1.6736361968507201</v>
      </c>
      <c r="F6873" s="3">
        <v>1.6736361968507201</v>
      </c>
      <c r="G6873" s="3">
        <v>4.500006</v>
      </c>
      <c r="H6873" s="3">
        <v>25.4012346487496</v>
      </c>
      <c r="I6873" s="3">
        <v>4.4444512999999999</v>
      </c>
      <c r="J6873" s="3">
        <v>4.6296362999999996</v>
      </c>
      <c r="K6873" s="3">
        <v>4.4074134999999997</v>
      </c>
      <c r="L6873" s="3">
        <v>25.4012346487496</v>
      </c>
    </row>
    <row r="6874" spans="1:12" ht="15" customHeight="1" x14ac:dyDescent="0.2">
      <c r="A6874" s="2">
        <v>36073</v>
      </c>
      <c r="B6874" s="3">
        <v>4.4259320000000004</v>
      </c>
      <c r="C6874" s="1">
        <v>328724.51999999897</v>
      </c>
      <c r="D6874" s="3">
        <v>-9.2593599999999804E-2</v>
      </c>
      <c r="E6874" s="3">
        <v>-2.0491994114186198</v>
      </c>
      <c r="F6874" s="3">
        <v>-2.0491994114186198</v>
      </c>
      <c r="G6874" s="3">
        <v>4.4259320000000004</v>
      </c>
      <c r="H6874" s="3">
        <v>23.337021610951101</v>
      </c>
      <c r="I6874" s="3">
        <v>4.4444512999999999</v>
      </c>
      <c r="J6874" s="3">
        <v>4.5185256000000003</v>
      </c>
      <c r="K6874" s="3">
        <v>4.3703766000000002</v>
      </c>
      <c r="L6874" s="3">
        <v>23.337021610951101</v>
      </c>
    </row>
    <row r="6875" spans="1:12" ht="15" customHeight="1" x14ac:dyDescent="0.2">
      <c r="A6875" s="2">
        <v>36070</v>
      </c>
      <c r="B6875" s="3">
        <v>4.5185256000000003</v>
      </c>
      <c r="C6875" s="1">
        <v>787723.89999999898</v>
      </c>
      <c r="D6875" s="3"/>
      <c r="E6875" s="3"/>
      <c r="F6875" s="3"/>
      <c r="G6875" s="3">
        <v>4.5185256000000003</v>
      </c>
      <c r="H6875" s="3">
        <v>25.9173185617935</v>
      </c>
      <c r="I6875" s="3">
        <v>4.4444512999999999</v>
      </c>
      <c r="J6875" s="3">
        <v>4.5555624999999997</v>
      </c>
      <c r="K6875" s="3">
        <v>4.3333396999999998</v>
      </c>
      <c r="L6875" s="3">
        <v>25.9173185617935</v>
      </c>
    </row>
    <row r="6876" spans="1:12" ht="15" customHeight="1" x14ac:dyDescent="0.2">
      <c r="A6876" s="2">
        <v>36069</v>
      </c>
      <c r="B6876" s="3">
        <v>4.5185256000000003</v>
      </c>
      <c r="C6876" s="1">
        <v>680736.5</v>
      </c>
      <c r="D6876" s="3">
        <v>-7.4073799999999801E-2</v>
      </c>
      <c r="E6876" s="3">
        <v>-1.6128948673380801</v>
      </c>
      <c r="F6876" s="3">
        <v>-1.6128948673380801</v>
      </c>
      <c r="G6876" s="3">
        <v>4.5185256000000003</v>
      </c>
      <c r="H6876" s="3">
        <v>25.9173185617935</v>
      </c>
      <c r="I6876" s="3">
        <v>4.5185256000000003</v>
      </c>
      <c r="J6876" s="3">
        <v>4.5925994000000001</v>
      </c>
      <c r="K6876" s="3">
        <v>4.3703766000000002</v>
      </c>
      <c r="L6876" s="3">
        <v>25.9173185617935</v>
      </c>
    </row>
    <row r="6877" spans="1:12" ht="15" customHeight="1" x14ac:dyDescent="0.2">
      <c r="A6877" s="2">
        <v>36068</v>
      </c>
      <c r="B6877" s="3">
        <v>4.5925994000000001</v>
      </c>
      <c r="C6877" s="1">
        <v>438749.39999999898</v>
      </c>
      <c r="D6877" s="3">
        <v>-0.1481481</v>
      </c>
      <c r="E6877" s="3">
        <v>-3.1249945288163898</v>
      </c>
      <c r="F6877" s="3">
        <v>-3.1249945288163898</v>
      </c>
      <c r="G6877" s="3">
        <v>4.5925994000000001</v>
      </c>
      <c r="H6877" s="3">
        <v>27.981526026211199</v>
      </c>
      <c r="I6877" s="3">
        <v>4.7037106</v>
      </c>
      <c r="J6877" s="3">
        <v>4.8148217000000004</v>
      </c>
      <c r="K6877" s="3">
        <v>4.4074134999999997</v>
      </c>
      <c r="L6877" s="3">
        <v>27.981526026211199</v>
      </c>
    </row>
    <row r="6878" spans="1:12" ht="15" customHeight="1" x14ac:dyDescent="0.2">
      <c r="A6878" s="2">
        <v>36067</v>
      </c>
      <c r="B6878" s="3">
        <v>4.7407475000000003</v>
      </c>
      <c r="C6878" s="1">
        <v>599399.05000000005</v>
      </c>
      <c r="D6878" s="3">
        <v>-3.7036800000000002E-2</v>
      </c>
      <c r="E6878" s="3">
        <v>-0.77518777898785096</v>
      </c>
      <c r="F6878" s="3">
        <v>-0.77518777898785096</v>
      </c>
      <c r="G6878" s="3">
        <v>4.7407475000000003</v>
      </c>
      <c r="H6878" s="3">
        <v>32.109954888498599</v>
      </c>
      <c r="I6878" s="3">
        <v>4.740748</v>
      </c>
      <c r="J6878" s="3">
        <v>4.8888959999999999</v>
      </c>
      <c r="K6878" s="3">
        <v>4.5925994000000001</v>
      </c>
      <c r="L6878" s="3">
        <v>32.109954888498599</v>
      </c>
    </row>
    <row r="6879" spans="1:12" ht="15" customHeight="1" x14ac:dyDescent="0.2">
      <c r="A6879" s="2">
        <v>36066</v>
      </c>
      <c r="B6879" s="3">
        <v>4.7777843000000004</v>
      </c>
      <c r="C6879" s="1">
        <v>1368223</v>
      </c>
      <c r="D6879" s="3">
        <v>0.4814813</v>
      </c>
      <c r="E6879" s="3">
        <v>11.206874840996999</v>
      </c>
      <c r="F6879" s="3">
        <v>11.206874840996999</v>
      </c>
      <c r="G6879" s="3">
        <v>4.7777843000000004</v>
      </c>
      <c r="H6879" s="3">
        <v>33.1420558340171</v>
      </c>
      <c r="I6879" s="3">
        <v>4.3333405999999997</v>
      </c>
      <c r="J6879" s="3">
        <v>4.7777843000000004</v>
      </c>
      <c r="K6879" s="3">
        <v>4.3333396999999998</v>
      </c>
      <c r="L6879" s="3">
        <v>33.1420558340171</v>
      </c>
    </row>
    <row r="6880" spans="1:12" ht="15" customHeight="1" x14ac:dyDescent="0.2">
      <c r="A6880" s="2">
        <v>36063</v>
      </c>
      <c r="B6880" s="3">
        <v>4.296303</v>
      </c>
      <c r="C6880" s="1">
        <v>1011486.2</v>
      </c>
      <c r="D6880" s="3">
        <v>-0.31481500000000001</v>
      </c>
      <c r="E6880" s="3">
        <v>-6.8273030531858003</v>
      </c>
      <c r="F6880" s="3">
        <v>-6.8273030531858003</v>
      </c>
      <c r="G6880" s="3">
        <v>4.296303</v>
      </c>
      <c r="H6880" s="3">
        <v>19.724662728255701</v>
      </c>
      <c r="I6880" s="3">
        <v>4.6666740000000004</v>
      </c>
      <c r="J6880" s="3">
        <v>4.7407475000000003</v>
      </c>
      <c r="K6880" s="3">
        <v>4.2222284999999999</v>
      </c>
      <c r="L6880" s="3">
        <v>19.724662728255701</v>
      </c>
    </row>
    <row r="6881" spans="1:12" ht="15" customHeight="1" x14ac:dyDescent="0.2">
      <c r="A6881" s="2">
        <v>36062</v>
      </c>
      <c r="B6881" s="3">
        <v>4.6111180000000003</v>
      </c>
      <c r="C6881" s="1">
        <v>789411.39999999898</v>
      </c>
      <c r="D6881" s="3">
        <v>-0.388889599999999</v>
      </c>
      <c r="E6881" s="3">
        <v>-7.7777801777741198</v>
      </c>
      <c r="F6881" s="3">
        <v>-7.7777801777741198</v>
      </c>
      <c r="G6881" s="3">
        <v>4.6111180000000003</v>
      </c>
      <c r="H6881" s="3">
        <v>28.4975820723512</v>
      </c>
      <c r="I6881" s="3">
        <v>5.0000080000000002</v>
      </c>
      <c r="J6881" s="3">
        <v>5.0000076</v>
      </c>
      <c r="K6881" s="3">
        <v>4.5925994000000001</v>
      </c>
      <c r="L6881" s="3">
        <v>28.4975820723512</v>
      </c>
    </row>
    <row r="6882" spans="1:12" ht="15" customHeight="1" x14ac:dyDescent="0.2">
      <c r="A6882" s="2">
        <v>36061</v>
      </c>
      <c r="B6882" s="3">
        <v>5.0000076</v>
      </c>
      <c r="C6882" s="1">
        <v>2021284.9</v>
      </c>
      <c r="D6882" s="3">
        <v>-1.8519000000000299E-2</v>
      </c>
      <c r="E6882" s="3">
        <v>-0.36901268989987202</v>
      </c>
      <c r="F6882" s="3">
        <v>-0.36901268989987202</v>
      </c>
      <c r="G6882" s="3">
        <v>5.0000076</v>
      </c>
      <c r="H6882" s="3">
        <v>39.334731174387599</v>
      </c>
      <c r="I6882" s="3">
        <v>5.0370445000000004</v>
      </c>
      <c r="J6882" s="3">
        <v>5.0740819999999998</v>
      </c>
      <c r="K6882" s="3">
        <v>4.8888959999999999</v>
      </c>
      <c r="L6882" s="3">
        <v>39.334731174387599</v>
      </c>
    </row>
    <row r="6883" spans="1:12" ht="15" customHeight="1" x14ac:dyDescent="0.2">
      <c r="A6883" s="2">
        <v>36060</v>
      </c>
      <c r="B6883" s="3">
        <v>5.0185266000000004</v>
      </c>
      <c r="C6883" s="1">
        <v>302399.53999999998</v>
      </c>
      <c r="D6883" s="3">
        <v>-5.5555399999999297E-2</v>
      </c>
      <c r="E6883" s="3">
        <v>-1.09488573499598</v>
      </c>
      <c r="F6883" s="3">
        <v>-1.09488573499598</v>
      </c>
      <c r="G6883" s="3">
        <v>5.0185266000000004</v>
      </c>
      <c r="H6883" s="3">
        <v>39.850798367289201</v>
      </c>
      <c r="I6883" s="3">
        <v>5.1111190000000004</v>
      </c>
      <c r="J6883" s="3">
        <v>5.1111174000000004</v>
      </c>
      <c r="K6883" s="3">
        <v>4.9259329999999997</v>
      </c>
      <c r="L6883" s="3">
        <v>39.850798367289201</v>
      </c>
    </row>
    <row r="6884" spans="1:12" ht="15" customHeight="1" x14ac:dyDescent="0.2">
      <c r="A6884" s="2">
        <v>36059</v>
      </c>
      <c r="B6884" s="3">
        <v>5.0740819999999998</v>
      </c>
      <c r="C6884" s="1">
        <v>393861.94</v>
      </c>
      <c r="D6884" s="3">
        <v>7.4074399999999693E-2</v>
      </c>
      <c r="E6884" s="3">
        <v>1.4814857481416599</v>
      </c>
      <c r="F6884" s="3">
        <v>1.4814857481416599</v>
      </c>
      <c r="G6884" s="3">
        <v>5.0740819999999998</v>
      </c>
      <c r="H6884" s="3">
        <v>41.398955358947703</v>
      </c>
      <c r="I6884" s="3">
        <v>4.98149</v>
      </c>
      <c r="J6884" s="3">
        <v>5.1111174000000004</v>
      </c>
      <c r="K6884" s="3">
        <v>4.8703779999999997</v>
      </c>
      <c r="L6884" s="3">
        <v>41.398955358947703</v>
      </c>
    </row>
    <row r="6885" spans="1:12" ht="15" customHeight="1" x14ac:dyDescent="0.2">
      <c r="A6885" s="2">
        <v>36056</v>
      </c>
      <c r="B6885" s="3">
        <v>5.0000076</v>
      </c>
      <c r="C6885" s="1">
        <v>309824.55</v>
      </c>
      <c r="D6885" s="3"/>
      <c r="E6885" s="3"/>
      <c r="F6885" s="3"/>
      <c r="G6885" s="3">
        <v>5.0000076</v>
      </c>
      <c r="H6885" s="3">
        <v>39.334731174387599</v>
      </c>
      <c r="I6885" s="3">
        <v>4.98149</v>
      </c>
      <c r="J6885" s="3">
        <v>5.0370445000000004</v>
      </c>
      <c r="K6885" s="3">
        <v>4.9629700000000003</v>
      </c>
      <c r="L6885" s="3">
        <v>39.334731174387599</v>
      </c>
    </row>
    <row r="6886" spans="1:12" ht="15" customHeight="1" x14ac:dyDescent="0.2">
      <c r="A6886" s="2">
        <v>36055</v>
      </c>
      <c r="B6886" s="3">
        <v>5.0000076</v>
      </c>
      <c r="C6886" s="1">
        <v>390824.45999999897</v>
      </c>
      <c r="D6886" s="3"/>
      <c r="E6886" s="3"/>
      <c r="F6886" s="3"/>
      <c r="G6886" s="3">
        <v>5.0000076</v>
      </c>
      <c r="H6886" s="3">
        <v>39.334731174387599</v>
      </c>
      <c r="I6886" s="3">
        <v>5.0000080000000002</v>
      </c>
      <c r="J6886" s="3">
        <v>5.0000076</v>
      </c>
      <c r="K6886" s="3">
        <v>4.8518590000000001</v>
      </c>
      <c r="L6886" s="3">
        <v>39.334731174387599</v>
      </c>
    </row>
    <row r="6887" spans="1:12" ht="15" customHeight="1" x14ac:dyDescent="0.2">
      <c r="A6887" s="2">
        <v>36054</v>
      </c>
      <c r="B6887" s="3">
        <v>5.0000076</v>
      </c>
      <c r="C6887" s="1">
        <v>854886.2</v>
      </c>
      <c r="D6887" s="3"/>
      <c r="E6887" s="3"/>
      <c r="F6887" s="3"/>
      <c r="G6887" s="3">
        <v>5.0000076</v>
      </c>
      <c r="H6887" s="3">
        <v>39.334731174387599</v>
      </c>
      <c r="I6887" s="3">
        <v>4.9629706999999996</v>
      </c>
      <c r="J6887" s="3">
        <v>5.1111174000000004</v>
      </c>
      <c r="K6887" s="3">
        <v>4.9629700000000003</v>
      </c>
      <c r="L6887" s="3">
        <v>39.334731174387599</v>
      </c>
    </row>
    <row r="6888" spans="1:12" ht="15" customHeight="1" x14ac:dyDescent="0.2">
      <c r="A6888" s="2">
        <v>36053</v>
      </c>
      <c r="B6888" s="3">
        <v>5.0000076</v>
      </c>
      <c r="C6888" s="1">
        <v>1803260</v>
      </c>
      <c r="D6888" s="3">
        <v>7.4074600000000296E-2</v>
      </c>
      <c r="E6888" s="3">
        <v>1.50376791564157</v>
      </c>
      <c r="F6888" s="3">
        <v>1.50376791564157</v>
      </c>
      <c r="G6888" s="3">
        <v>5.0000076</v>
      </c>
      <c r="H6888" s="3">
        <v>39.334731174387599</v>
      </c>
      <c r="I6888" s="3">
        <v>4.9629706999999996</v>
      </c>
      <c r="J6888" s="3">
        <v>5.0740819999999998</v>
      </c>
      <c r="K6888" s="3">
        <v>4.8888959999999999</v>
      </c>
      <c r="L6888" s="3">
        <v>39.334731174387599</v>
      </c>
    </row>
    <row r="6889" spans="1:12" ht="15" customHeight="1" x14ac:dyDescent="0.2">
      <c r="A6889" s="2">
        <v>36052</v>
      </c>
      <c r="B6889" s="3">
        <v>4.9259329999999997</v>
      </c>
      <c r="C6889" s="1">
        <v>1341898</v>
      </c>
      <c r="D6889" s="3">
        <v>7.4073999999999501E-2</v>
      </c>
      <c r="E6889" s="3">
        <v>1.5267137812537299</v>
      </c>
      <c r="F6889" s="3">
        <v>1.5267137812537299</v>
      </c>
      <c r="G6889" s="3">
        <v>4.9259329999999997</v>
      </c>
      <c r="H6889" s="3">
        <v>37.270501416446798</v>
      </c>
      <c r="I6889" s="3">
        <v>4.8888965000000004</v>
      </c>
      <c r="J6889" s="3">
        <v>5.0370445000000004</v>
      </c>
      <c r="K6889" s="3">
        <v>4.8518590000000001</v>
      </c>
      <c r="L6889" s="3">
        <v>37.270501416446798</v>
      </c>
    </row>
    <row r="6890" spans="1:12" ht="15" customHeight="1" x14ac:dyDescent="0.2">
      <c r="A6890" s="2">
        <v>36049</v>
      </c>
      <c r="B6890" s="3">
        <v>4.8518590000000001</v>
      </c>
      <c r="C6890" s="1">
        <v>1084048.5</v>
      </c>
      <c r="D6890" s="3"/>
      <c r="E6890" s="3"/>
      <c r="F6890" s="3"/>
      <c r="G6890" s="3">
        <v>4.8518590000000001</v>
      </c>
      <c r="H6890" s="3">
        <v>35.206288378648303</v>
      </c>
      <c r="I6890" s="3">
        <v>4.8518590000000001</v>
      </c>
      <c r="J6890" s="3">
        <v>4.8888959999999999</v>
      </c>
      <c r="K6890" s="3">
        <v>4.7777843000000004</v>
      </c>
      <c r="L6890" s="3">
        <v>35.206288378648303</v>
      </c>
    </row>
    <row r="6891" spans="1:12" ht="15" customHeight="1" x14ac:dyDescent="0.2">
      <c r="A6891" s="2">
        <v>36048</v>
      </c>
      <c r="B6891" s="3">
        <v>4.8518590000000001</v>
      </c>
      <c r="C6891" s="1">
        <v>529874.27</v>
      </c>
      <c r="D6891" s="3">
        <v>-3.7036999999999702E-2</v>
      </c>
      <c r="E6891" s="3">
        <v>-0.75757389807432596</v>
      </c>
      <c r="F6891" s="3">
        <v>-0.75757389807432596</v>
      </c>
      <c r="G6891" s="3">
        <v>4.8518590000000001</v>
      </c>
      <c r="H6891" s="3">
        <v>35.206288378648303</v>
      </c>
      <c r="I6891" s="3">
        <v>4.8888965000000004</v>
      </c>
      <c r="J6891" s="3">
        <v>4.9259329999999997</v>
      </c>
      <c r="K6891" s="3">
        <v>4.8148217000000004</v>
      </c>
      <c r="L6891" s="3">
        <v>35.206288378648303</v>
      </c>
    </row>
    <row r="6892" spans="1:12" ht="15" customHeight="1" x14ac:dyDescent="0.2">
      <c r="A6892" s="2">
        <v>36047</v>
      </c>
      <c r="B6892" s="3">
        <v>4.8888959999999999</v>
      </c>
      <c r="C6892" s="1">
        <v>551136.80000000005</v>
      </c>
      <c r="D6892" s="3">
        <v>-0.14814849999999999</v>
      </c>
      <c r="E6892" s="3">
        <v>-2.9411790981795001</v>
      </c>
      <c r="F6892" s="3">
        <v>-2.9411790981795001</v>
      </c>
      <c r="G6892" s="3">
        <v>4.8888959999999999</v>
      </c>
      <c r="H6892" s="3">
        <v>36.238394897547501</v>
      </c>
      <c r="I6892" s="3">
        <v>5.0370445000000004</v>
      </c>
      <c r="J6892" s="3">
        <v>5.0370445000000004</v>
      </c>
      <c r="K6892" s="3">
        <v>4.8148217000000004</v>
      </c>
      <c r="L6892" s="3">
        <v>36.238394897547501</v>
      </c>
    </row>
    <row r="6893" spans="1:12" ht="15" customHeight="1" x14ac:dyDescent="0.2">
      <c r="A6893" s="2">
        <v>36046</v>
      </c>
      <c r="B6893" s="3">
        <v>5.0370445000000004</v>
      </c>
      <c r="C6893" s="1">
        <v>842061.299999999</v>
      </c>
      <c r="D6893" s="3">
        <v>-0.20370389999999899</v>
      </c>
      <c r="E6893" s="3">
        <v>-3.8869238599586202</v>
      </c>
      <c r="F6893" s="3">
        <v>-3.8869238599586202</v>
      </c>
      <c r="G6893" s="3">
        <v>5.0370445000000004</v>
      </c>
      <c r="H6893" s="3">
        <v>40.366834906596502</v>
      </c>
      <c r="I6893" s="3">
        <v>5.333342</v>
      </c>
      <c r="J6893" s="3">
        <v>5.5185259999999996</v>
      </c>
      <c r="K6893" s="3">
        <v>4.8518590000000001</v>
      </c>
      <c r="L6893" s="3">
        <v>40.366834906596502</v>
      </c>
    </row>
    <row r="6894" spans="1:12" ht="15" customHeight="1" x14ac:dyDescent="0.2">
      <c r="A6894" s="2">
        <v>36042</v>
      </c>
      <c r="B6894" s="3">
        <v>5.2407484000000002</v>
      </c>
      <c r="C6894" s="1">
        <v>201824.72</v>
      </c>
      <c r="D6894" s="3">
        <v>-0.11111019999999899</v>
      </c>
      <c r="E6894" s="3">
        <v>-2.0761049254925998</v>
      </c>
      <c r="F6894" s="3">
        <v>-2.0761049254925998</v>
      </c>
      <c r="G6894" s="3">
        <v>5.2407484000000002</v>
      </c>
      <c r="H6894" s="3">
        <v>46.043431907303898</v>
      </c>
      <c r="I6894" s="3">
        <v>5.3703779999999997</v>
      </c>
      <c r="J6894" s="3">
        <v>5.3703779999999997</v>
      </c>
      <c r="K6894" s="3">
        <v>5.2222299999999997</v>
      </c>
      <c r="L6894" s="3">
        <v>46.043431907303898</v>
      </c>
    </row>
    <row r="6895" spans="1:12" ht="15" customHeight="1" x14ac:dyDescent="0.2">
      <c r="A6895" s="2">
        <v>36041</v>
      </c>
      <c r="B6895" s="3">
        <v>5.3518585999999999</v>
      </c>
      <c r="C6895" s="1">
        <v>1125898.3</v>
      </c>
      <c r="D6895" s="3">
        <v>-5.5556799999999698E-2</v>
      </c>
      <c r="E6895" s="3">
        <v>-1.0274187553632199</v>
      </c>
      <c r="F6895" s="3">
        <v>-1.0274187553632199</v>
      </c>
      <c r="G6895" s="3">
        <v>5.3518585999999999</v>
      </c>
      <c r="H6895" s="3">
        <v>49.139729170478603</v>
      </c>
      <c r="I6895" s="3">
        <v>5.2222314000000001</v>
      </c>
      <c r="J6895" s="3">
        <v>5.4074153999999997</v>
      </c>
      <c r="K6895" s="3">
        <v>5.2222299999999997</v>
      </c>
      <c r="L6895" s="3">
        <v>49.139729170478603</v>
      </c>
    </row>
    <row r="6896" spans="1:12" ht="15" customHeight="1" x14ac:dyDescent="0.2">
      <c r="A6896" s="2">
        <v>36040</v>
      </c>
      <c r="B6896" s="3">
        <v>5.4074153999999997</v>
      </c>
      <c r="C6896" s="1">
        <v>983136.049999999</v>
      </c>
      <c r="D6896" s="3">
        <v>7.4074399999999693E-2</v>
      </c>
      <c r="E6896" s="3">
        <v>1.3888930034662901</v>
      </c>
      <c r="F6896" s="3">
        <v>1.3888930034662901</v>
      </c>
      <c r="G6896" s="3">
        <v>5.4074153999999997</v>
      </c>
      <c r="H6896" s="3">
        <v>50.687925175802498</v>
      </c>
      <c r="I6896" s="3">
        <v>5.2592670000000004</v>
      </c>
      <c r="J6896" s="3">
        <v>5.5185259999999996</v>
      </c>
      <c r="K6896" s="3">
        <v>5.2592670000000004</v>
      </c>
      <c r="L6896" s="3">
        <v>50.687925175802498</v>
      </c>
    </row>
    <row r="6897" spans="1:12" ht="15" customHeight="1" x14ac:dyDescent="0.2">
      <c r="A6897" s="2">
        <v>36039</v>
      </c>
      <c r="B6897" s="3">
        <v>5.3333409999999999</v>
      </c>
      <c r="C6897" s="1">
        <v>1112398.3</v>
      </c>
      <c r="D6897" s="3">
        <v>0.48148199999999902</v>
      </c>
      <c r="E6897" s="3">
        <v>9.9236601888059699</v>
      </c>
      <c r="F6897" s="3">
        <v>9.9236601888059699</v>
      </c>
      <c r="G6897" s="3">
        <v>5.3333409999999999</v>
      </c>
      <c r="H6897" s="3">
        <v>48.623700991242401</v>
      </c>
      <c r="I6897" s="3">
        <v>4.8148220000000004</v>
      </c>
      <c r="J6897" s="3">
        <v>5.4814889999999998</v>
      </c>
      <c r="K6897" s="3">
        <v>4.7407475000000003</v>
      </c>
      <c r="L6897" s="3">
        <v>48.623700991242401</v>
      </c>
    </row>
    <row r="6898" spans="1:12" ht="15" customHeight="1" x14ac:dyDescent="0.2">
      <c r="A6898" s="2">
        <v>36038</v>
      </c>
      <c r="B6898" s="3">
        <v>4.8518590000000001</v>
      </c>
      <c r="C6898" s="1">
        <v>614249.15</v>
      </c>
      <c r="D6898" s="3">
        <v>-0.24074099999999901</v>
      </c>
      <c r="E6898" s="3">
        <v>-4.7272709421513497</v>
      </c>
      <c r="F6898" s="3">
        <v>-4.7272709421513497</v>
      </c>
      <c r="G6898" s="3">
        <v>4.8518590000000001</v>
      </c>
      <c r="H6898" s="3">
        <v>35.206288378648303</v>
      </c>
      <c r="I6898" s="3">
        <v>5.0740819999999998</v>
      </c>
      <c r="J6898" s="3">
        <v>5.2592670000000004</v>
      </c>
      <c r="K6898" s="3">
        <v>4.8518590000000001</v>
      </c>
      <c r="L6898" s="3">
        <v>35.206288378648303</v>
      </c>
    </row>
    <row r="6899" spans="1:12" ht="15" customHeight="1" x14ac:dyDescent="0.2">
      <c r="A6899" s="2">
        <v>36035</v>
      </c>
      <c r="B6899" s="3">
        <v>5.0926</v>
      </c>
      <c r="C6899" s="1">
        <v>1070211</v>
      </c>
      <c r="D6899" s="3">
        <v>-0.31481539999999902</v>
      </c>
      <c r="E6899" s="3">
        <v>-5.8219200248606704</v>
      </c>
      <c r="F6899" s="3">
        <v>-5.8219200248606704</v>
      </c>
      <c r="G6899" s="3">
        <v>5.0926</v>
      </c>
      <c r="H6899" s="3">
        <v>41.914994684945398</v>
      </c>
      <c r="I6899" s="3">
        <v>5.2592670000000004</v>
      </c>
      <c r="J6899" s="3">
        <v>5.4074153999999997</v>
      </c>
      <c r="K6899" s="3">
        <v>4.9629700000000003</v>
      </c>
      <c r="L6899" s="3">
        <v>41.914994684945398</v>
      </c>
    </row>
    <row r="6900" spans="1:12" ht="15" customHeight="1" x14ac:dyDescent="0.2">
      <c r="A6900" s="2">
        <v>36034</v>
      </c>
      <c r="B6900" s="3">
        <v>5.4074153999999997</v>
      </c>
      <c r="C6900" s="1">
        <v>508949.34</v>
      </c>
      <c r="D6900" s="3">
        <v>-8.3333600000000396E-2</v>
      </c>
      <c r="E6900" s="3">
        <v>-1.5177091504273901</v>
      </c>
      <c r="F6900" s="3">
        <v>-1.5177091504273901</v>
      </c>
      <c r="G6900" s="3">
        <v>5.4074153999999997</v>
      </c>
      <c r="H6900" s="3">
        <v>50.687925175802498</v>
      </c>
      <c r="I6900" s="3">
        <v>5.333342</v>
      </c>
      <c r="J6900" s="3">
        <v>5.4814889999999998</v>
      </c>
      <c r="K6900" s="3">
        <v>5.148155</v>
      </c>
      <c r="L6900" s="3">
        <v>50.687925175802498</v>
      </c>
    </row>
    <row r="6901" spans="1:12" ht="15" customHeight="1" x14ac:dyDescent="0.2">
      <c r="A6901" s="2">
        <v>36033</v>
      </c>
      <c r="B6901" s="3">
        <v>5.4907490000000001</v>
      </c>
      <c r="C6901" s="1">
        <v>956473.7</v>
      </c>
      <c r="D6901" s="3">
        <v>-0.231481399999999</v>
      </c>
      <c r="E6901" s="3">
        <v>-4.0453002381728496</v>
      </c>
      <c r="F6901" s="3">
        <v>-4.0453002381728496</v>
      </c>
      <c r="G6901" s="3">
        <v>5.4907490000000001</v>
      </c>
      <c r="H6901" s="3">
        <v>53.010174596742203</v>
      </c>
      <c r="I6901" s="3">
        <v>5.6296377</v>
      </c>
      <c r="J6901" s="3">
        <v>5.6296377</v>
      </c>
      <c r="K6901" s="3">
        <v>5.2963040000000001</v>
      </c>
      <c r="L6901" s="3">
        <v>53.010174596742203</v>
      </c>
    </row>
    <row r="6902" spans="1:12" ht="15" customHeight="1" x14ac:dyDescent="0.2">
      <c r="A6902" s="2">
        <v>36032</v>
      </c>
      <c r="B6902" s="3">
        <v>5.7222303999999999</v>
      </c>
      <c r="C6902" s="1">
        <v>2355747</v>
      </c>
      <c r="D6902" s="3">
        <v>-5.55555999999999E-2</v>
      </c>
      <c r="E6902" s="3">
        <v>-0.96153786242688599</v>
      </c>
      <c r="F6902" s="3">
        <v>-0.96153786242688599</v>
      </c>
      <c r="G6902" s="3">
        <v>5.7222303999999999</v>
      </c>
      <c r="H6902" s="3">
        <v>59.460844519898103</v>
      </c>
      <c r="I6902" s="3">
        <v>5.8518610000000004</v>
      </c>
      <c r="J6902" s="3">
        <v>5.8518604999999999</v>
      </c>
      <c r="K6902" s="3">
        <v>5.6296377</v>
      </c>
      <c r="L6902" s="3">
        <v>59.460844519898103</v>
      </c>
    </row>
    <row r="6903" spans="1:12" ht="15" customHeight="1" x14ac:dyDescent="0.2">
      <c r="A6903" s="2">
        <v>36031</v>
      </c>
      <c r="B6903" s="3">
        <v>5.7777859999999999</v>
      </c>
      <c r="C6903" s="1">
        <v>1209598.0999999901</v>
      </c>
      <c r="D6903" s="3">
        <v>-0.14814829999999901</v>
      </c>
      <c r="E6903" s="3">
        <v>-2.4999990296888699</v>
      </c>
      <c r="F6903" s="3">
        <v>-2.4999990296888699</v>
      </c>
      <c r="G6903" s="3">
        <v>5.7777859999999999</v>
      </c>
      <c r="H6903" s="3">
        <v>61.009007084937302</v>
      </c>
      <c r="I6903" s="3">
        <v>5.8148229999999996</v>
      </c>
      <c r="J6903" s="3">
        <v>5.8888974000000003</v>
      </c>
      <c r="K6903" s="3">
        <v>5.7407494000000003</v>
      </c>
      <c r="L6903" s="3">
        <v>61.009007084937302</v>
      </c>
    </row>
    <row r="6904" spans="1:12" ht="15" customHeight="1" x14ac:dyDescent="0.2">
      <c r="A6904" s="2">
        <v>36028</v>
      </c>
      <c r="B6904" s="3">
        <v>5.9259342999999998</v>
      </c>
      <c r="C6904" s="1">
        <v>601761.53999999899</v>
      </c>
      <c r="D6904" s="3">
        <v>0.1111113</v>
      </c>
      <c r="E6904" s="3">
        <v>1.9108285841202799</v>
      </c>
      <c r="F6904" s="3">
        <v>1.9108285841202799</v>
      </c>
      <c r="G6904" s="3">
        <v>5.9259342999999998</v>
      </c>
      <c r="H6904" s="3">
        <v>65.137441520605506</v>
      </c>
      <c r="I6904" s="3">
        <v>5.7407494000000003</v>
      </c>
      <c r="J6904" s="3">
        <v>5.9259342999999998</v>
      </c>
      <c r="K6904" s="3">
        <v>5.6481566000000001</v>
      </c>
      <c r="L6904" s="3">
        <v>65.137441520605506</v>
      </c>
    </row>
    <row r="6905" spans="1:12" ht="15" customHeight="1" x14ac:dyDescent="0.2">
      <c r="A6905" s="2">
        <v>36027</v>
      </c>
      <c r="B6905" s="3">
        <v>5.8148229999999996</v>
      </c>
      <c r="C6905" s="1">
        <v>2018922.4</v>
      </c>
      <c r="D6905" s="3">
        <v>-0.148147999999999</v>
      </c>
      <c r="E6905" s="3">
        <v>-2.4844662165889999</v>
      </c>
      <c r="F6905" s="3">
        <v>-2.4844662165889999</v>
      </c>
      <c r="G6905" s="3">
        <v>5.8148229999999996</v>
      </c>
      <c r="H6905" s="3">
        <v>62.0411136038366</v>
      </c>
      <c r="I6905" s="3">
        <v>5.7777859999999999</v>
      </c>
      <c r="J6905" s="3">
        <v>5.9629709999999996</v>
      </c>
      <c r="K6905" s="3">
        <v>5.7777859999999999</v>
      </c>
      <c r="L6905" s="3">
        <v>62.0411136038366</v>
      </c>
    </row>
    <row r="6906" spans="1:12" ht="15" customHeight="1" x14ac:dyDescent="0.2">
      <c r="A6906" s="2">
        <v>36026</v>
      </c>
      <c r="B6906" s="3">
        <v>5.9629709999999996</v>
      </c>
      <c r="C6906" s="1">
        <v>2499521.5</v>
      </c>
      <c r="D6906" s="3">
        <v>3.7036699999999798E-2</v>
      </c>
      <c r="E6906" s="3">
        <v>0.62499342930615298</v>
      </c>
      <c r="F6906" s="3">
        <v>0.62499342930615298</v>
      </c>
      <c r="G6906" s="3">
        <v>5.9629709999999996</v>
      </c>
      <c r="H6906" s="3">
        <v>66.169539679433598</v>
      </c>
      <c r="I6906" s="3">
        <v>5.8148229999999996</v>
      </c>
      <c r="J6906" s="3">
        <v>5.9629709999999996</v>
      </c>
      <c r="K6906" s="3">
        <v>5.7037120000000003</v>
      </c>
      <c r="L6906" s="3">
        <v>66.169539679433598</v>
      </c>
    </row>
    <row r="6907" spans="1:12" ht="15" customHeight="1" x14ac:dyDescent="0.2">
      <c r="A6907" s="2">
        <v>36025</v>
      </c>
      <c r="B6907" s="3">
        <v>5.9259342999999998</v>
      </c>
      <c r="C6907" s="1">
        <v>2180584.5</v>
      </c>
      <c r="D6907" s="3">
        <v>5.5555299999999898E-2</v>
      </c>
      <c r="E6907" s="3">
        <v>0.946366495246731</v>
      </c>
      <c r="F6907" s="3">
        <v>0.946366495246731</v>
      </c>
      <c r="G6907" s="3">
        <v>5.9259342999999998</v>
      </c>
      <c r="H6907" s="3">
        <v>65.137441520605506</v>
      </c>
      <c r="I6907" s="3">
        <v>5.8518610000000004</v>
      </c>
      <c r="J6907" s="3">
        <v>5.9629709999999996</v>
      </c>
      <c r="K6907" s="3">
        <v>5.7777859999999999</v>
      </c>
      <c r="L6907" s="3">
        <v>65.137441520605506</v>
      </c>
    </row>
    <row r="6908" spans="1:12" ht="15" customHeight="1" x14ac:dyDescent="0.2">
      <c r="A6908" s="2">
        <v>36024</v>
      </c>
      <c r="B6908" s="3">
        <v>5.8703789999999998</v>
      </c>
      <c r="C6908" s="1">
        <v>1832622.5999999901</v>
      </c>
      <c r="D6908" s="3">
        <v>1.8518499999999799E-2</v>
      </c>
      <c r="E6908" s="3">
        <v>0.31645491207454801</v>
      </c>
      <c r="F6908" s="3">
        <v>0.31645491207454801</v>
      </c>
      <c r="G6908" s="3">
        <v>5.8703789999999998</v>
      </c>
      <c r="H6908" s="3">
        <v>63.589287315637399</v>
      </c>
      <c r="I6908" s="3">
        <v>5.8148229999999996</v>
      </c>
      <c r="J6908" s="3">
        <v>6.0370454999999996</v>
      </c>
      <c r="K6908" s="3">
        <v>5.7037120000000003</v>
      </c>
      <c r="L6908" s="3">
        <v>63.589287315637399</v>
      </c>
    </row>
    <row r="6909" spans="1:12" ht="15" customHeight="1" x14ac:dyDescent="0.2">
      <c r="A6909" s="2">
        <v>36021</v>
      </c>
      <c r="B6909" s="3">
        <v>5.8518604999999999</v>
      </c>
      <c r="C6909" s="1">
        <v>489374.3</v>
      </c>
      <c r="D6909" s="3">
        <v>-7.4073799999999801E-2</v>
      </c>
      <c r="E6909" s="3">
        <v>-1.2499936086027801</v>
      </c>
      <c r="F6909" s="3">
        <v>-1.2499936086027801</v>
      </c>
      <c r="G6909" s="3">
        <v>5.8518604999999999</v>
      </c>
      <c r="H6909" s="3">
        <v>63.0732340561878</v>
      </c>
      <c r="I6909" s="3">
        <v>5.925935</v>
      </c>
      <c r="J6909" s="3">
        <v>5.9629709999999996</v>
      </c>
      <c r="K6909" s="3">
        <v>5.7407494000000003</v>
      </c>
      <c r="L6909" s="3">
        <v>63.0732340561878</v>
      </c>
    </row>
    <row r="6910" spans="1:12" ht="15" customHeight="1" x14ac:dyDescent="0.2">
      <c r="A6910" s="2">
        <v>36020</v>
      </c>
      <c r="B6910" s="3">
        <v>5.9259342999999998</v>
      </c>
      <c r="C6910" s="1">
        <v>398586.94</v>
      </c>
      <c r="D6910" s="3">
        <v>-7.4074300000000301E-2</v>
      </c>
      <c r="E6910" s="3">
        <v>-1.23456989711648</v>
      </c>
      <c r="F6910" s="3">
        <v>-1.23456989711648</v>
      </c>
      <c r="G6910" s="3">
        <v>5.9259342999999998</v>
      </c>
      <c r="H6910" s="3">
        <v>65.137441520605506</v>
      </c>
      <c r="I6910" s="3">
        <v>5.8888980000000002</v>
      </c>
      <c r="J6910" s="3">
        <v>5.9629709999999996</v>
      </c>
      <c r="K6910" s="3">
        <v>5.7777859999999999</v>
      </c>
      <c r="L6910" s="3">
        <v>65.137441520605506</v>
      </c>
    </row>
    <row r="6911" spans="1:12" ht="15" customHeight="1" x14ac:dyDescent="0.2">
      <c r="A6911" s="2">
        <v>36019</v>
      </c>
      <c r="B6911" s="3">
        <v>6.0000086000000001</v>
      </c>
      <c r="C6911" s="1">
        <v>523461.69999999902</v>
      </c>
      <c r="D6911" s="3">
        <v>0.33333399999999902</v>
      </c>
      <c r="E6911" s="3">
        <v>5.8823564705832796</v>
      </c>
      <c r="F6911" s="3">
        <v>5.8823564705832796</v>
      </c>
      <c r="G6911" s="3">
        <v>6.0000086000000001</v>
      </c>
      <c r="H6911" s="3">
        <v>67.201662918475193</v>
      </c>
      <c r="I6911" s="3">
        <v>5.6296377</v>
      </c>
      <c r="J6911" s="3">
        <v>6.1111196999999997</v>
      </c>
      <c r="K6911" s="3">
        <v>5.6296377</v>
      </c>
      <c r="L6911" s="3">
        <v>67.201662918475193</v>
      </c>
    </row>
    <row r="6912" spans="1:12" ht="15" customHeight="1" x14ac:dyDescent="0.2">
      <c r="A6912" s="2">
        <v>36018</v>
      </c>
      <c r="B6912" s="3">
        <v>5.6666746000000003</v>
      </c>
      <c r="C6912" s="1">
        <v>1094173.5</v>
      </c>
      <c r="D6912" s="3">
        <v>-0.222222799999999</v>
      </c>
      <c r="E6912" s="3">
        <v>-3.7735892630766399</v>
      </c>
      <c r="F6912" s="3">
        <v>-3.7735892630766399</v>
      </c>
      <c r="G6912" s="3">
        <v>5.6666746000000003</v>
      </c>
      <c r="H6912" s="3">
        <v>57.912676381478001</v>
      </c>
      <c r="I6912" s="3">
        <v>5.6296377</v>
      </c>
      <c r="J6912" s="3">
        <v>5.9259342999999998</v>
      </c>
      <c r="K6912" s="3">
        <v>5.4814889999999998</v>
      </c>
      <c r="L6912" s="3">
        <v>57.912676381478001</v>
      </c>
    </row>
    <row r="6913" spans="1:12" ht="15" customHeight="1" x14ac:dyDescent="0.2">
      <c r="A6913" s="2">
        <v>36017</v>
      </c>
      <c r="B6913" s="3">
        <v>5.8888974000000003</v>
      </c>
      <c r="C6913" s="1">
        <v>527849.19999999995</v>
      </c>
      <c r="D6913" s="3">
        <v>3.7036900000000303E-2</v>
      </c>
      <c r="E6913" s="3">
        <v>0.63290811529086399</v>
      </c>
      <c r="F6913" s="3">
        <v>0.63290811529086399</v>
      </c>
      <c r="G6913" s="3">
        <v>5.8888974000000003</v>
      </c>
      <c r="H6913" s="3">
        <v>64.105337788396596</v>
      </c>
      <c r="I6913" s="3">
        <v>5.8888980000000002</v>
      </c>
      <c r="J6913" s="3">
        <v>6.074084</v>
      </c>
      <c r="K6913" s="3">
        <v>5.7777859999999999</v>
      </c>
      <c r="L6913" s="3">
        <v>64.105337788396596</v>
      </c>
    </row>
    <row r="6914" spans="1:12" ht="15" customHeight="1" x14ac:dyDescent="0.2">
      <c r="A6914" s="2">
        <v>36014</v>
      </c>
      <c r="B6914" s="3">
        <v>5.8518604999999999</v>
      </c>
      <c r="C6914" s="1">
        <v>2152234.5999999898</v>
      </c>
      <c r="D6914" s="3">
        <v>0.25926049999999901</v>
      </c>
      <c r="E6914" s="3">
        <v>4.63577763473159</v>
      </c>
      <c r="F6914" s="3">
        <v>4.63577763473159</v>
      </c>
      <c r="G6914" s="3">
        <v>5.8518604999999999</v>
      </c>
      <c r="H6914" s="3">
        <v>63.0732340561878</v>
      </c>
      <c r="I6914" s="3">
        <v>5.5185269999999997</v>
      </c>
      <c r="J6914" s="3">
        <v>6.0000086000000001</v>
      </c>
      <c r="K6914" s="3">
        <v>5.5185259999999996</v>
      </c>
      <c r="L6914" s="3">
        <v>63.0732340561878</v>
      </c>
    </row>
    <row r="6915" spans="1:12" ht="15" customHeight="1" x14ac:dyDescent="0.2">
      <c r="A6915" s="2">
        <v>36013</v>
      </c>
      <c r="B6915" s="3">
        <v>5.5926</v>
      </c>
      <c r="C6915" s="1">
        <v>533586.73</v>
      </c>
      <c r="D6915" s="3">
        <v>0.37036999999999998</v>
      </c>
      <c r="E6915" s="3">
        <v>7.0921809265390401</v>
      </c>
      <c r="F6915" s="3">
        <v>7.0921809265390401</v>
      </c>
      <c r="G6915" s="3">
        <v>5.5926</v>
      </c>
      <c r="H6915" s="3">
        <v>55.8484466235372</v>
      </c>
      <c r="I6915" s="3">
        <v>5.2222314000000001</v>
      </c>
      <c r="J6915" s="3">
        <v>5.5926</v>
      </c>
      <c r="K6915" s="3">
        <v>5.1851925999999997</v>
      </c>
      <c r="L6915" s="3">
        <v>55.8484466235372</v>
      </c>
    </row>
    <row r="6916" spans="1:12" ht="15" customHeight="1" x14ac:dyDescent="0.2">
      <c r="A6916" s="2">
        <v>36012</v>
      </c>
      <c r="B6916" s="3">
        <v>5.2222299999999997</v>
      </c>
      <c r="C6916" s="1">
        <v>1586922.7</v>
      </c>
      <c r="D6916" s="3">
        <v>0.20370339999999901</v>
      </c>
      <c r="E6916" s="3">
        <v>4.0590280023622602</v>
      </c>
      <c r="F6916" s="3">
        <v>4.0590280023622602</v>
      </c>
      <c r="G6916" s="3">
        <v>5.2222299999999997</v>
      </c>
      <c r="H6916" s="3">
        <v>45.527381434544701</v>
      </c>
      <c r="I6916" s="3">
        <v>5.0000080000000002</v>
      </c>
      <c r="J6916" s="3">
        <v>5.2222299999999997</v>
      </c>
      <c r="K6916" s="3">
        <v>4.9629700000000003</v>
      </c>
      <c r="L6916" s="3">
        <v>45.527381434544701</v>
      </c>
    </row>
    <row r="6917" spans="1:12" ht="15" customHeight="1" x14ac:dyDescent="0.2">
      <c r="A6917" s="2">
        <v>36011</v>
      </c>
      <c r="B6917" s="3">
        <v>5.0185266000000004</v>
      </c>
      <c r="C6917" s="1">
        <v>3390520</v>
      </c>
      <c r="D6917" s="3">
        <v>-0.61111109999999902</v>
      </c>
      <c r="E6917" s="3">
        <v>-10.8552473989578</v>
      </c>
      <c r="F6917" s="3">
        <v>-10.8552473989578</v>
      </c>
      <c r="G6917" s="3">
        <v>5.0185266000000004</v>
      </c>
      <c r="H6917" s="3">
        <v>39.850798367289201</v>
      </c>
      <c r="I6917" s="3">
        <v>5.6666755999999996</v>
      </c>
      <c r="J6917" s="3">
        <v>5.6666746000000003</v>
      </c>
      <c r="K6917" s="3">
        <v>4.9259329999999997</v>
      </c>
      <c r="L6917" s="3">
        <v>39.850798367289201</v>
      </c>
    </row>
    <row r="6918" spans="1:12" ht="15" customHeight="1" x14ac:dyDescent="0.2">
      <c r="A6918" s="2">
        <v>36010</v>
      </c>
      <c r="B6918" s="3">
        <v>5.6296377</v>
      </c>
      <c r="C6918" s="1">
        <v>1559922.9</v>
      </c>
      <c r="D6918" s="3">
        <v>-0.14814829999999901</v>
      </c>
      <c r="E6918" s="3">
        <v>-2.5641015433939498</v>
      </c>
      <c r="F6918" s="3">
        <v>-2.5641015433939498</v>
      </c>
      <c r="G6918" s="3">
        <v>5.6296377</v>
      </c>
      <c r="H6918" s="3">
        <v>56.880572649269197</v>
      </c>
      <c r="I6918" s="3">
        <v>5.8518610000000004</v>
      </c>
      <c r="J6918" s="3">
        <v>5.8518604999999999</v>
      </c>
      <c r="K6918" s="3">
        <v>5.4814889999999998</v>
      </c>
      <c r="L6918" s="3">
        <v>56.880572649269197</v>
      </c>
    </row>
    <row r="6919" spans="1:12" ht="15" customHeight="1" x14ac:dyDescent="0.2">
      <c r="A6919" s="2">
        <v>36007</v>
      </c>
      <c r="B6919" s="3">
        <v>5.7777859999999999</v>
      </c>
      <c r="C6919" s="1">
        <v>437736.88</v>
      </c>
      <c r="D6919" s="3">
        <v>-0.1111114</v>
      </c>
      <c r="E6919" s="3">
        <v>-1.8867946315383299</v>
      </c>
      <c r="F6919" s="3">
        <v>-1.8867946315383299</v>
      </c>
      <c r="G6919" s="3">
        <v>5.7777859999999999</v>
      </c>
      <c r="H6919" s="3">
        <v>61.009007084937302</v>
      </c>
      <c r="I6919" s="3">
        <v>5.925935</v>
      </c>
      <c r="J6919" s="3">
        <v>6.0000086000000001</v>
      </c>
      <c r="K6919" s="3">
        <v>5.7407494000000003</v>
      </c>
      <c r="L6919" s="3">
        <v>61.009007084937302</v>
      </c>
    </row>
    <row r="6920" spans="1:12" ht="15" customHeight="1" x14ac:dyDescent="0.2">
      <c r="A6920" s="2">
        <v>36006</v>
      </c>
      <c r="B6920" s="3">
        <v>5.8888974000000003</v>
      </c>
      <c r="C6920" s="1">
        <v>228824.69</v>
      </c>
      <c r="D6920" s="3">
        <v>0.1111114</v>
      </c>
      <c r="E6920" s="3">
        <v>1.92307918638732</v>
      </c>
      <c r="F6920" s="3">
        <v>1.92307918638732</v>
      </c>
      <c r="G6920" s="3">
        <v>5.8888974000000003</v>
      </c>
      <c r="H6920" s="3">
        <v>64.105337788396596</v>
      </c>
      <c r="I6920" s="3">
        <v>5.8518610000000004</v>
      </c>
      <c r="J6920" s="3">
        <v>5.9629709999999996</v>
      </c>
      <c r="K6920" s="3">
        <v>5.8148229999999996</v>
      </c>
      <c r="L6920" s="3">
        <v>64.105337788396596</v>
      </c>
    </row>
    <row r="6921" spans="1:12" ht="15" customHeight="1" x14ac:dyDescent="0.2">
      <c r="A6921" s="2">
        <v>36005</v>
      </c>
      <c r="B6921" s="3">
        <v>5.7777859999999999</v>
      </c>
      <c r="C6921" s="1">
        <v>980098.63</v>
      </c>
      <c r="D6921" s="3">
        <v>-9.2592999999999898E-2</v>
      </c>
      <c r="E6921" s="3">
        <v>-1.57729168764061</v>
      </c>
      <c r="F6921" s="3">
        <v>-1.57729168764061</v>
      </c>
      <c r="G6921" s="3">
        <v>5.7777859999999999</v>
      </c>
      <c r="H6921" s="3">
        <v>61.009007084937302</v>
      </c>
      <c r="I6921" s="3">
        <v>5.9629719999999997</v>
      </c>
      <c r="J6921" s="3">
        <v>5.9629709999999996</v>
      </c>
      <c r="K6921" s="3">
        <v>5.7407494000000003</v>
      </c>
      <c r="L6921" s="3">
        <v>61.009007084937302</v>
      </c>
    </row>
    <row r="6922" spans="1:12" ht="15" customHeight="1" x14ac:dyDescent="0.2">
      <c r="A6922" s="2">
        <v>36004</v>
      </c>
      <c r="B6922" s="3">
        <v>5.8703789999999998</v>
      </c>
      <c r="C6922" s="1">
        <v>1014186.15999999</v>
      </c>
      <c r="D6922" s="3">
        <v>-9.2591999999999702E-2</v>
      </c>
      <c r="E6922" s="3">
        <v>-1.5527830002862599</v>
      </c>
      <c r="F6922" s="3">
        <v>-1.5527830002862599</v>
      </c>
      <c r="G6922" s="3">
        <v>5.8703789999999998</v>
      </c>
      <c r="H6922" s="3">
        <v>63.589287315637399</v>
      </c>
      <c r="I6922" s="3">
        <v>6.0000099999999996</v>
      </c>
      <c r="J6922" s="3">
        <v>6.0000086000000001</v>
      </c>
      <c r="K6922" s="3">
        <v>5.7407494000000003</v>
      </c>
      <c r="L6922" s="3">
        <v>63.589287315637399</v>
      </c>
    </row>
    <row r="6923" spans="1:12" ht="15" customHeight="1" x14ac:dyDescent="0.2">
      <c r="A6923" s="2">
        <v>36003</v>
      </c>
      <c r="B6923" s="3">
        <v>5.9629709999999996</v>
      </c>
      <c r="C6923" s="1">
        <v>663524.05000000005</v>
      </c>
      <c r="D6923" s="3">
        <v>-5.5556000000000098E-2</v>
      </c>
      <c r="E6923" s="3">
        <v>-0.92308300685532896</v>
      </c>
      <c r="F6923" s="3">
        <v>-0.92308300685532896</v>
      </c>
      <c r="G6923" s="3">
        <v>5.9629709999999996</v>
      </c>
      <c r="H6923" s="3">
        <v>66.169539679433598</v>
      </c>
      <c r="I6923" s="3">
        <v>6.0370470000000003</v>
      </c>
      <c r="J6923" s="3">
        <v>6.0370454999999996</v>
      </c>
      <c r="K6923" s="3">
        <v>5.8148229999999996</v>
      </c>
      <c r="L6923" s="3">
        <v>66.169539679433598</v>
      </c>
    </row>
    <row r="6924" spans="1:12" ht="15" customHeight="1" x14ac:dyDescent="0.2">
      <c r="A6924" s="2">
        <v>36000</v>
      </c>
      <c r="B6924" s="3">
        <v>6.0185269999999997</v>
      </c>
      <c r="C6924" s="1">
        <v>854548.77</v>
      </c>
      <c r="D6924" s="3">
        <v>-1.8518499999999799E-2</v>
      </c>
      <c r="E6924" s="3">
        <v>-0.30674772949781298</v>
      </c>
      <c r="F6924" s="3">
        <v>-0.30674772949781298</v>
      </c>
      <c r="G6924" s="3">
        <v>6.0185269999999997</v>
      </c>
      <c r="H6924" s="3">
        <v>67.717713391234398</v>
      </c>
      <c r="I6924" s="3">
        <v>6.2592682999999996</v>
      </c>
      <c r="J6924" s="3">
        <v>6.2592679999999996</v>
      </c>
      <c r="K6924" s="3">
        <v>5.8888974000000003</v>
      </c>
      <c r="L6924" s="3">
        <v>67.717713391234398</v>
      </c>
    </row>
    <row r="6925" spans="1:12" ht="15" customHeight="1" x14ac:dyDescent="0.2">
      <c r="A6925" s="2">
        <v>35999</v>
      </c>
      <c r="B6925" s="3">
        <v>6.0370454999999996</v>
      </c>
      <c r="C6925" s="1">
        <v>248399.64</v>
      </c>
      <c r="D6925" s="3">
        <v>-0.22222249999999999</v>
      </c>
      <c r="E6925" s="3">
        <v>-3.5502953380491098</v>
      </c>
      <c r="F6925" s="3">
        <v>-3.5502953380491098</v>
      </c>
      <c r="G6925" s="3">
        <v>6.0370454999999996</v>
      </c>
      <c r="H6925" s="3">
        <v>68.233766650684004</v>
      </c>
      <c r="I6925" s="3">
        <v>6.2222314000000001</v>
      </c>
      <c r="J6925" s="3">
        <v>6.333342</v>
      </c>
      <c r="K6925" s="3">
        <v>6.0370454999999996</v>
      </c>
      <c r="L6925" s="3">
        <v>68.233766650684004</v>
      </c>
    </row>
    <row r="6926" spans="1:12" ht="15" customHeight="1" x14ac:dyDescent="0.2">
      <c r="A6926" s="2">
        <v>35998</v>
      </c>
      <c r="B6926" s="3">
        <v>6.2592679999999996</v>
      </c>
      <c r="C6926" s="1">
        <v>399261.93</v>
      </c>
      <c r="D6926" s="3">
        <v>-7.4074000000000403E-2</v>
      </c>
      <c r="E6926" s="3">
        <v>-1.16958787319554</v>
      </c>
      <c r="F6926" s="3">
        <v>-1.16958787319554</v>
      </c>
      <c r="G6926" s="3">
        <v>6.2592679999999996</v>
      </c>
      <c r="H6926" s="3">
        <v>74.426419697531401</v>
      </c>
      <c r="I6926" s="3">
        <v>6.2222314000000001</v>
      </c>
      <c r="J6926" s="3">
        <v>6.3518610000000004</v>
      </c>
      <c r="K6926" s="3">
        <v>6.2222314000000001</v>
      </c>
      <c r="L6926" s="3">
        <v>74.426419697531401</v>
      </c>
    </row>
    <row r="6927" spans="1:12" ht="15" customHeight="1" x14ac:dyDescent="0.2">
      <c r="A6927" s="2">
        <v>35997</v>
      </c>
      <c r="B6927" s="3">
        <v>6.333342</v>
      </c>
      <c r="C6927" s="1">
        <v>407699.37</v>
      </c>
      <c r="D6927" s="3">
        <v>3.7037299999999697E-2</v>
      </c>
      <c r="E6927" s="3">
        <v>0.58823868546260505</v>
      </c>
      <c r="F6927" s="3">
        <v>0.58823868546260505</v>
      </c>
      <c r="G6927" s="3">
        <v>6.333342</v>
      </c>
      <c r="H6927" s="3">
        <v>76.490632735329996</v>
      </c>
      <c r="I6927" s="3">
        <v>6.2963056999999996</v>
      </c>
      <c r="J6927" s="3">
        <v>6.3703789999999998</v>
      </c>
      <c r="K6927" s="3">
        <v>6.1851944999999997</v>
      </c>
      <c r="L6927" s="3">
        <v>76.490632735329996</v>
      </c>
    </row>
    <row r="6928" spans="1:12" ht="15" customHeight="1" x14ac:dyDescent="0.2">
      <c r="A6928" s="2">
        <v>35996</v>
      </c>
      <c r="B6928" s="3">
        <v>6.2963047000000003</v>
      </c>
      <c r="C6928" s="1">
        <v>251437.13</v>
      </c>
      <c r="D6928" s="3">
        <v>-0.12962959999999901</v>
      </c>
      <c r="E6928" s="3">
        <v>-2.0172879763180802</v>
      </c>
      <c r="F6928" s="3">
        <v>-2.0172879763180802</v>
      </c>
      <c r="G6928" s="3">
        <v>6.2963047000000003</v>
      </c>
      <c r="H6928" s="3">
        <v>75.458517856359606</v>
      </c>
      <c r="I6928" s="3">
        <v>6.4259360000000001</v>
      </c>
      <c r="J6928" s="3">
        <v>6.4259342999999998</v>
      </c>
      <c r="K6928" s="3">
        <v>6.2963047000000003</v>
      </c>
      <c r="L6928" s="3">
        <v>75.458517856359606</v>
      </c>
    </row>
    <row r="6929" spans="1:12" ht="15" customHeight="1" x14ac:dyDescent="0.2">
      <c r="A6929" s="2">
        <v>35993</v>
      </c>
      <c r="B6929" s="3">
        <v>6.4259342999999998</v>
      </c>
      <c r="C6929" s="1">
        <v>266287.14</v>
      </c>
      <c r="D6929" s="3">
        <v>-0.11111210000000001</v>
      </c>
      <c r="E6929" s="3">
        <v>-1.6997294068465001</v>
      </c>
      <c r="F6929" s="3">
        <v>-1.6997294068465001</v>
      </c>
      <c r="G6929" s="3">
        <v>6.4259342999999998</v>
      </c>
      <c r="H6929" s="3">
        <v>79.070893459197293</v>
      </c>
      <c r="I6929" s="3">
        <v>6.4444546999999996</v>
      </c>
      <c r="J6929" s="3">
        <v>6.5555649999999996</v>
      </c>
      <c r="K6929" s="3">
        <v>6.3703789999999998</v>
      </c>
      <c r="L6929" s="3">
        <v>79.070893459197293</v>
      </c>
    </row>
    <row r="6930" spans="1:12" ht="15" customHeight="1" x14ac:dyDescent="0.2">
      <c r="A6930" s="2">
        <v>35992</v>
      </c>
      <c r="B6930" s="3">
        <v>6.5370464000000004</v>
      </c>
      <c r="C6930" s="1">
        <v>833961.24</v>
      </c>
      <c r="D6930" s="3">
        <v>-9.2592599999999595E-2</v>
      </c>
      <c r="E6930" s="3">
        <v>-1.39664618239393</v>
      </c>
      <c r="F6930" s="3">
        <v>-1.39664618239393</v>
      </c>
      <c r="G6930" s="3">
        <v>6.5370464000000004</v>
      </c>
      <c r="H6930" s="3">
        <v>82.167243669489295</v>
      </c>
      <c r="I6930" s="3">
        <v>6.5370480000000004</v>
      </c>
      <c r="J6930" s="3">
        <v>6.6296390000000001</v>
      </c>
      <c r="K6930" s="3">
        <v>6.2222314000000001</v>
      </c>
      <c r="L6930" s="3">
        <v>82.167243669489295</v>
      </c>
    </row>
    <row r="6931" spans="1:12" ht="15" customHeight="1" x14ac:dyDescent="0.2">
      <c r="A6931" s="2">
        <v>35991</v>
      </c>
      <c r="B6931" s="3">
        <v>6.6296390000000001</v>
      </c>
      <c r="C6931" s="1">
        <v>490724.3</v>
      </c>
      <c r="D6931" s="3">
        <v>1.8519000000000299E-2</v>
      </c>
      <c r="E6931" s="3">
        <v>0.28011895110058299</v>
      </c>
      <c r="F6931" s="3">
        <v>0.28011895110058299</v>
      </c>
      <c r="G6931" s="3">
        <v>6.6296390000000001</v>
      </c>
      <c r="H6931" s="3">
        <v>84.747512753427799</v>
      </c>
      <c r="I6931" s="3">
        <v>6.6296390000000001</v>
      </c>
      <c r="J6931" s="3">
        <v>6.6666759999999998</v>
      </c>
      <c r="K6931" s="3">
        <v>6.5926013000000001</v>
      </c>
      <c r="L6931" s="3">
        <v>84.747512753427799</v>
      </c>
    </row>
    <row r="6932" spans="1:12" ht="15" customHeight="1" x14ac:dyDescent="0.2">
      <c r="A6932" s="2">
        <v>35990</v>
      </c>
      <c r="B6932" s="3">
        <v>6.6111199999999997</v>
      </c>
      <c r="C6932" s="1">
        <v>730686.46</v>
      </c>
      <c r="D6932" s="3">
        <v>-0.14814829999999901</v>
      </c>
      <c r="E6932" s="3">
        <v>-2.1917801369121501</v>
      </c>
      <c r="F6932" s="3">
        <v>-2.1917801369121501</v>
      </c>
      <c r="G6932" s="3">
        <v>6.6111199999999997</v>
      </c>
      <c r="H6932" s="3">
        <v>84.231445560526296</v>
      </c>
      <c r="I6932" s="3">
        <v>6.7777880000000001</v>
      </c>
      <c r="J6932" s="3">
        <v>6.7777877000000002</v>
      </c>
      <c r="K6932" s="3">
        <v>6.6111199999999997</v>
      </c>
      <c r="L6932" s="3">
        <v>84.231445560526296</v>
      </c>
    </row>
    <row r="6933" spans="1:12" ht="15" customHeight="1" x14ac:dyDescent="0.2">
      <c r="A6933" s="2">
        <v>35989</v>
      </c>
      <c r="B6933" s="3">
        <v>6.7592682999999996</v>
      </c>
      <c r="C6933" s="1">
        <v>579486.76</v>
      </c>
      <c r="D6933" s="3">
        <v>-3.7037700000000798E-2</v>
      </c>
      <c r="E6933" s="3">
        <v>-0.54496810473220103</v>
      </c>
      <c r="F6933" s="3">
        <v>-0.54496810473220103</v>
      </c>
      <c r="G6933" s="3">
        <v>6.7592682999999996</v>
      </c>
      <c r="H6933" s="3">
        <v>88.359879996194394</v>
      </c>
      <c r="I6933" s="3">
        <v>6.8148249999999999</v>
      </c>
      <c r="J6933" s="3">
        <v>6.8148245999999997</v>
      </c>
      <c r="K6933" s="3">
        <v>6.7407513000000003</v>
      </c>
      <c r="L6933" s="3">
        <v>88.359879996194394</v>
      </c>
    </row>
    <row r="6934" spans="1:12" ht="15" customHeight="1" x14ac:dyDescent="0.2">
      <c r="A6934" s="2">
        <v>35986</v>
      </c>
      <c r="B6934" s="3">
        <v>6.7963060000000004</v>
      </c>
      <c r="C6934" s="1">
        <v>616611.63</v>
      </c>
      <c r="D6934" s="3">
        <v>-0.129629299999999</v>
      </c>
      <c r="E6934" s="3">
        <v>-1.8716504614185301</v>
      </c>
      <c r="F6934" s="3">
        <v>-1.8716504614185301</v>
      </c>
      <c r="G6934" s="3">
        <v>6.7963060000000004</v>
      </c>
      <c r="H6934" s="3">
        <v>89.392006021926406</v>
      </c>
      <c r="I6934" s="3">
        <v>6.9444556000000004</v>
      </c>
      <c r="J6934" s="3">
        <v>6.9444540000000003</v>
      </c>
      <c r="K6934" s="3">
        <v>6.7037129999999996</v>
      </c>
      <c r="L6934" s="3">
        <v>89.392006021926406</v>
      </c>
    </row>
    <row r="6935" spans="1:12" ht="15" customHeight="1" x14ac:dyDescent="0.2">
      <c r="A6935" s="2">
        <v>35985</v>
      </c>
      <c r="B6935" s="3">
        <v>6.9259352999999999</v>
      </c>
      <c r="C6935" s="1">
        <v>1126573.3999999999</v>
      </c>
      <c r="D6935" s="3">
        <v>3.7036299999999502E-2</v>
      </c>
      <c r="E6935" s="3">
        <v>0.53762292058570005</v>
      </c>
      <c r="F6935" s="3">
        <v>0.53762292058570005</v>
      </c>
      <c r="G6935" s="3">
        <v>6.9259352999999999</v>
      </c>
      <c r="H6935" s="3">
        <v>93.004373264693001</v>
      </c>
      <c r="I6935" s="3">
        <v>6.9259370000000002</v>
      </c>
      <c r="J6935" s="3">
        <v>6.9629725999999996</v>
      </c>
      <c r="K6935" s="3">
        <v>6.8148245999999997</v>
      </c>
      <c r="L6935" s="3">
        <v>93.004373264693001</v>
      </c>
    </row>
    <row r="6936" spans="1:12" ht="15" customHeight="1" x14ac:dyDescent="0.2">
      <c r="A6936" s="2">
        <v>35984</v>
      </c>
      <c r="B6936" s="3">
        <v>6.8888990000000003</v>
      </c>
      <c r="C6936" s="1">
        <v>588261.80000000005</v>
      </c>
      <c r="D6936" s="3">
        <v>-0.240740599999999</v>
      </c>
      <c r="E6936" s="3">
        <v>-3.3766166805963</v>
      </c>
      <c r="F6936" s="3">
        <v>-3.3766166805963</v>
      </c>
      <c r="G6936" s="3">
        <v>6.8888990000000003</v>
      </c>
      <c r="H6936" s="3">
        <v>91.972286252626503</v>
      </c>
      <c r="I6936" s="3">
        <v>7.1481589999999997</v>
      </c>
      <c r="J6936" s="3">
        <v>7.1481586000000004</v>
      </c>
      <c r="K6936" s="3">
        <v>6.8148245999999997</v>
      </c>
      <c r="L6936" s="3">
        <v>91.972286252626503</v>
      </c>
    </row>
    <row r="6937" spans="1:12" ht="15" customHeight="1" x14ac:dyDescent="0.2">
      <c r="A6937" s="2">
        <v>35983</v>
      </c>
      <c r="B6937" s="3">
        <v>7.1296396</v>
      </c>
      <c r="C6937" s="1">
        <v>1049960.8</v>
      </c>
      <c r="D6937" s="3">
        <v>-0.12963039999999901</v>
      </c>
      <c r="E6937" s="3">
        <v>-1.7857222558191099</v>
      </c>
      <c r="F6937" s="3">
        <v>-1.7857222558191099</v>
      </c>
      <c r="G6937" s="3">
        <v>7.1296396</v>
      </c>
      <c r="H6937" s="3">
        <v>98.680981412161998</v>
      </c>
      <c r="I6937" s="3">
        <v>7.2592707000000001</v>
      </c>
      <c r="J6937" s="3">
        <v>7.4074182999999998</v>
      </c>
      <c r="K6937" s="3">
        <v>7.0740847999999996</v>
      </c>
      <c r="L6937" s="3">
        <v>98.680981412161998</v>
      </c>
    </row>
    <row r="6938" spans="1:12" ht="15" customHeight="1" x14ac:dyDescent="0.2">
      <c r="A6938" s="2">
        <v>35982</v>
      </c>
      <c r="B6938" s="3">
        <v>7.2592699999999999</v>
      </c>
      <c r="C6938" s="1">
        <v>638886.6</v>
      </c>
      <c r="D6938" s="3">
        <v>0.35185169999999999</v>
      </c>
      <c r="E6938" s="3">
        <v>5.0938235490964798</v>
      </c>
      <c r="F6938" s="3">
        <v>5.0938235490964798</v>
      </c>
      <c r="G6938" s="3">
        <v>7.2592699999999999</v>
      </c>
      <c r="H6938" s="3">
        <v>102.29337930852201</v>
      </c>
      <c r="I6938" s="3">
        <v>6.8518615</v>
      </c>
      <c r="J6938" s="3">
        <v>7.3148255000000004</v>
      </c>
      <c r="K6938" s="3">
        <v>6.8518615</v>
      </c>
      <c r="L6938" s="3">
        <v>102.29337930852201</v>
      </c>
    </row>
    <row r="6939" spans="1:12" ht="15" customHeight="1" x14ac:dyDescent="0.2">
      <c r="A6939" s="2">
        <v>35978</v>
      </c>
      <c r="B6939" s="3">
        <v>6.9074182999999998</v>
      </c>
      <c r="C6939" s="1">
        <v>549111.76</v>
      </c>
      <c r="D6939" s="3">
        <v>-0.14814769999999999</v>
      </c>
      <c r="E6939" s="3">
        <v>-2.09972807284348</v>
      </c>
      <c r="F6939" s="3">
        <v>-2.09972807284348</v>
      </c>
      <c r="G6939" s="3">
        <v>6.9074182999999998</v>
      </c>
      <c r="H6939" s="3">
        <v>92.488361805599197</v>
      </c>
      <c r="I6939" s="3">
        <v>7.1111219999999999</v>
      </c>
      <c r="J6939" s="3">
        <v>7.1111209999999998</v>
      </c>
      <c r="K6939" s="3">
        <v>6.8888990000000003</v>
      </c>
      <c r="L6939" s="3">
        <v>92.488361805599197</v>
      </c>
    </row>
    <row r="6940" spans="1:12" ht="15" customHeight="1" x14ac:dyDescent="0.2">
      <c r="A6940" s="2">
        <v>35977</v>
      </c>
      <c r="B6940" s="3">
        <v>7.0555659999999998</v>
      </c>
      <c r="C6940" s="1">
        <v>511311.82999999903</v>
      </c>
      <c r="D6940" s="3">
        <v>0.35185300000000003</v>
      </c>
      <c r="E6940" s="3">
        <v>5.2486286331171899</v>
      </c>
      <c r="F6940" s="3">
        <v>5.2486286331171899</v>
      </c>
      <c r="G6940" s="3">
        <v>7.0555659999999998</v>
      </c>
      <c r="H6940" s="3">
        <v>96.616779521124997</v>
      </c>
      <c r="I6940" s="3">
        <v>6.6296390000000001</v>
      </c>
      <c r="J6940" s="3">
        <v>7.1111209999999998</v>
      </c>
      <c r="K6940" s="3">
        <v>6.6296390000000001</v>
      </c>
      <c r="L6940" s="3">
        <v>96.616779521124997</v>
      </c>
    </row>
    <row r="6941" spans="1:12" ht="15" customHeight="1" x14ac:dyDescent="0.2">
      <c r="A6941" s="2">
        <v>35976</v>
      </c>
      <c r="B6941" s="3">
        <v>6.7037129999999996</v>
      </c>
      <c r="C6941" s="1">
        <v>629436.65</v>
      </c>
      <c r="D6941" s="3">
        <v>0.31481499999999901</v>
      </c>
      <c r="E6941" s="3">
        <v>4.9275321033455102</v>
      </c>
      <c r="F6941" s="3">
        <v>4.9275321033455102</v>
      </c>
      <c r="G6941" s="3">
        <v>6.7037129999999996</v>
      </c>
      <c r="H6941" s="3">
        <v>86.811725791226294</v>
      </c>
      <c r="I6941" s="3">
        <v>6.3703789999999998</v>
      </c>
      <c r="J6941" s="3">
        <v>6.7407513000000003</v>
      </c>
      <c r="K6941" s="3">
        <v>6.2592679999999996</v>
      </c>
      <c r="L6941" s="3">
        <v>86.811725791226294</v>
      </c>
    </row>
    <row r="6942" spans="1:12" ht="15" customHeight="1" x14ac:dyDescent="0.2">
      <c r="A6942" s="2">
        <v>35975</v>
      </c>
      <c r="B6942" s="3">
        <v>6.3888980000000002</v>
      </c>
      <c r="C6942" s="1">
        <v>385761.95999999897</v>
      </c>
      <c r="D6942" s="3">
        <v>-0.24074099999999901</v>
      </c>
      <c r="E6942" s="3">
        <v>-3.6312836943308602</v>
      </c>
      <c r="F6942" s="3">
        <v>-3.6312836943308602</v>
      </c>
      <c r="G6942" s="3">
        <v>6.3888980000000002</v>
      </c>
      <c r="H6942" s="3">
        <v>78.038806447130796</v>
      </c>
      <c r="I6942" s="3">
        <v>6.6851953999999996</v>
      </c>
      <c r="J6942" s="3">
        <v>6.8148245999999997</v>
      </c>
      <c r="K6942" s="3">
        <v>6.3703789999999998</v>
      </c>
      <c r="L6942" s="3">
        <v>78.038806447130796</v>
      </c>
    </row>
    <row r="6943" spans="1:12" ht="15" customHeight="1" x14ac:dyDescent="0.2">
      <c r="A6943" s="2">
        <v>35972</v>
      </c>
      <c r="B6943" s="3">
        <v>6.6296390000000001</v>
      </c>
      <c r="C6943" s="1">
        <v>258187.09999999899</v>
      </c>
      <c r="D6943" s="3"/>
      <c r="E6943" s="3"/>
      <c r="F6943" s="3"/>
      <c r="G6943" s="3">
        <v>6.6296390000000001</v>
      </c>
      <c r="H6943" s="3">
        <v>84.747512753427799</v>
      </c>
      <c r="I6943" s="3">
        <v>6.5185285000000004</v>
      </c>
      <c r="J6943" s="3">
        <v>6.6851944999999997</v>
      </c>
      <c r="K6943" s="3">
        <v>6.5185279999999999</v>
      </c>
      <c r="L6943" s="3">
        <v>84.747512753427799</v>
      </c>
    </row>
    <row r="6944" spans="1:12" ht="15" customHeight="1" x14ac:dyDescent="0.2">
      <c r="A6944" s="2">
        <v>35971</v>
      </c>
      <c r="B6944" s="3">
        <v>6.6296390000000001</v>
      </c>
      <c r="C6944" s="1">
        <v>646986.6</v>
      </c>
      <c r="D6944" s="3">
        <v>7.4074000000000403E-2</v>
      </c>
      <c r="E6944" s="3">
        <v>1.12994074500063</v>
      </c>
      <c r="F6944" s="3">
        <v>1.12994074500063</v>
      </c>
      <c r="G6944" s="3">
        <v>6.6296390000000001</v>
      </c>
      <c r="H6944" s="3">
        <v>84.747512753427799</v>
      </c>
      <c r="I6944" s="3">
        <v>6.4444546999999996</v>
      </c>
      <c r="J6944" s="3">
        <v>6.7037129999999996</v>
      </c>
      <c r="K6944" s="3">
        <v>6.4444531999999999</v>
      </c>
      <c r="L6944" s="3">
        <v>84.747512753427799</v>
      </c>
    </row>
    <row r="6945" spans="1:12" ht="15" customHeight="1" x14ac:dyDescent="0.2">
      <c r="A6945" s="2">
        <v>35970</v>
      </c>
      <c r="B6945" s="3">
        <v>6.5555649999999996</v>
      </c>
      <c r="C6945" s="1">
        <v>628424.13</v>
      </c>
      <c r="D6945" s="3">
        <v>0.259260299999999</v>
      </c>
      <c r="E6945" s="3">
        <v>4.1176580923728103</v>
      </c>
      <c r="F6945" s="3">
        <v>4.1176580923728103</v>
      </c>
      <c r="G6945" s="3">
        <v>6.5555649999999996</v>
      </c>
      <c r="H6945" s="3">
        <v>82.683299715629303</v>
      </c>
      <c r="I6945" s="3">
        <v>6.3703789999999998</v>
      </c>
      <c r="J6945" s="3">
        <v>6.5555649999999996</v>
      </c>
      <c r="K6945" s="3">
        <v>6.2592679999999996</v>
      </c>
      <c r="L6945" s="3">
        <v>82.683299715629303</v>
      </c>
    </row>
    <row r="6946" spans="1:12" ht="15" customHeight="1" x14ac:dyDescent="0.2">
      <c r="A6946" s="2">
        <v>35969</v>
      </c>
      <c r="B6946" s="3">
        <v>6.2963047000000003</v>
      </c>
      <c r="C6946" s="1">
        <v>575774.23</v>
      </c>
      <c r="D6946" s="3">
        <v>-0.22222329999999901</v>
      </c>
      <c r="E6946" s="3">
        <v>-3.4091024844872901</v>
      </c>
      <c r="F6946" s="3">
        <v>-3.4091024844872901</v>
      </c>
      <c r="G6946" s="3">
        <v>6.2963047000000003</v>
      </c>
      <c r="H6946" s="3">
        <v>75.458517856359606</v>
      </c>
      <c r="I6946" s="3">
        <v>6.5555653999999999</v>
      </c>
      <c r="J6946" s="3">
        <v>6.5555649999999996</v>
      </c>
      <c r="K6946" s="3">
        <v>6.1481566000000001</v>
      </c>
      <c r="L6946" s="3">
        <v>75.458517856359606</v>
      </c>
    </row>
    <row r="6947" spans="1:12" ht="15" customHeight="1" x14ac:dyDescent="0.2">
      <c r="A6947" s="2">
        <v>35968</v>
      </c>
      <c r="B6947" s="3">
        <v>6.5185279999999999</v>
      </c>
      <c r="C6947" s="1">
        <v>1024986.2</v>
      </c>
      <c r="D6947" s="3">
        <v>0.51851939999999896</v>
      </c>
      <c r="E6947" s="3">
        <v>8.6419776131654</v>
      </c>
      <c r="F6947" s="3">
        <v>8.6419776131654</v>
      </c>
      <c r="G6947" s="3">
        <v>6.5185279999999999</v>
      </c>
      <c r="H6947" s="3">
        <v>81.651193196730105</v>
      </c>
      <c r="I6947" s="3">
        <v>6.1481576000000002</v>
      </c>
      <c r="J6947" s="3">
        <v>6.6296390000000001</v>
      </c>
      <c r="K6947" s="3">
        <v>6.0000086000000001</v>
      </c>
      <c r="L6947" s="3">
        <v>81.651193196730105</v>
      </c>
    </row>
    <row r="6948" spans="1:12" ht="15" customHeight="1" x14ac:dyDescent="0.2">
      <c r="A6948" s="2">
        <v>35965</v>
      </c>
      <c r="B6948" s="3">
        <v>6.0000086000000001</v>
      </c>
      <c r="C6948" s="1">
        <v>948036.2</v>
      </c>
      <c r="D6948" s="3">
        <v>-0.51851939999999896</v>
      </c>
      <c r="E6948" s="3">
        <v>-7.9545474070219502</v>
      </c>
      <c r="F6948" s="3">
        <v>-7.9545474070219502</v>
      </c>
      <c r="G6948" s="3">
        <v>6.0000086000000001</v>
      </c>
      <c r="H6948" s="3">
        <v>67.201662918475193</v>
      </c>
      <c r="I6948" s="3">
        <v>6.5185285000000004</v>
      </c>
      <c r="J6948" s="3">
        <v>6.5185279999999999</v>
      </c>
      <c r="K6948" s="3">
        <v>5.8148229999999996</v>
      </c>
      <c r="L6948" s="3">
        <v>67.201662918475193</v>
      </c>
    </row>
    <row r="6949" spans="1:12" ht="15" customHeight="1" x14ac:dyDescent="0.2">
      <c r="A6949" s="2">
        <v>35964</v>
      </c>
      <c r="B6949" s="3">
        <v>6.5185279999999999</v>
      </c>
      <c r="C6949" s="1">
        <v>312524.57</v>
      </c>
      <c r="D6949" s="3">
        <v>-0.148147999999999</v>
      </c>
      <c r="E6949" s="3">
        <v>-2.2222168888963498</v>
      </c>
      <c r="F6949" s="3">
        <v>-2.2222168888963498</v>
      </c>
      <c r="G6949" s="3">
        <v>6.5185279999999999</v>
      </c>
      <c r="H6949" s="3">
        <v>81.651193196730105</v>
      </c>
      <c r="I6949" s="3">
        <v>6.6666774999999996</v>
      </c>
      <c r="J6949" s="3">
        <v>6.6666759999999998</v>
      </c>
      <c r="K6949" s="3">
        <v>6.3888980000000002</v>
      </c>
      <c r="L6949" s="3">
        <v>81.651193196730105</v>
      </c>
    </row>
    <row r="6950" spans="1:12" ht="15" customHeight="1" x14ac:dyDescent="0.2">
      <c r="A6950" s="2">
        <v>35963</v>
      </c>
      <c r="B6950" s="3">
        <v>6.6666759999999998</v>
      </c>
      <c r="C6950" s="1">
        <v>494774.3</v>
      </c>
      <c r="D6950" s="3">
        <v>0.44444459999999902</v>
      </c>
      <c r="E6950" s="3">
        <v>7.1428491071547002</v>
      </c>
      <c r="F6950" s="3">
        <v>7.1428491071547002</v>
      </c>
      <c r="G6950" s="3">
        <v>6.6666759999999998</v>
      </c>
      <c r="H6950" s="3">
        <v>85.779619272327096</v>
      </c>
      <c r="I6950" s="3">
        <v>6.3333425999999999</v>
      </c>
      <c r="J6950" s="3">
        <v>6.7037129999999996</v>
      </c>
      <c r="K6950" s="3">
        <v>6.2963047000000003</v>
      </c>
      <c r="L6950" s="3">
        <v>85.779619272327096</v>
      </c>
    </row>
    <row r="6951" spans="1:12" ht="15" customHeight="1" x14ac:dyDescent="0.2">
      <c r="A6951" s="2">
        <v>35962</v>
      </c>
      <c r="B6951" s="3">
        <v>6.2222314000000001</v>
      </c>
      <c r="C6951" s="1">
        <v>377999.48</v>
      </c>
      <c r="D6951" s="3"/>
      <c r="E6951" s="3"/>
      <c r="F6951" s="3"/>
      <c r="G6951" s="3">
        <v>6.2222314000000001</v>
      </c>
      <c r="H6951" s="3">
        <v>73.394324325393796</v>
      </c>
      <c r="I6951" s="3">
        <v>6.2592682999999996</v>
      </c>
      <c r="J6951" s="3">
        <v>6.3888980000000002</v>
      </c>
      <c r="K6951" s="3">
        <v>6.1111196999999997</v>
      </c>
      <c r="L6951" s="3">
        <v>73.394324325393796</v>
      </c>
    </row>
    <row r="6952" spans="1:12" ht="15" customHeight="1" x14ac:dyDescent="0.2">
      <c r="A6952" s="2">
        <v>35961</v>
      </c>
      <c r="B6952" s="3">
        <v>6.2222314000000001</v>
      </c>
      <c r="C6952" s="1">
        <v>349649.48</v>
      </c>
      <c r="D6952" s="3">
        <v>0.24074139999999999</v>
      </c>
      <c r="E6952" s="3">
        <v>4.0247730916544304</v>
      </c>
      <c r="F6952" s="3">
        <v>4.0247730916544304</v>
      </c>
      <c r="G6952" s="3">
        <v>6.2222314000000001</v>
      </c>
      <c r="H6952" s="3">
        <v>73.394324325393796</v>
      </c>
      <c r="I6952" s="3">
        <v>5.9629719999999997</v>
      </c>
      <c r="J6952" s="3">
        <v>6.2222314000000001</v>
      </c>
      <c r="K6952" s="3">
        <v>5.8888974000000003</v>
      </c>
      <c r="L6952" s="3">
        <v>73.394324325393796</v>
      </c>
    </row>
    <row r="6953" spans="1:12" ht="15" customHeight="1" x14ac:dyDescent="0.2">
      <c r="A6953" s="2">
        <v>35958</v>
      </c>
      <c r="B6953" s="3">
        <v>5.98149</v>
      </c>
      <c r="C6953" s="1">
        <v>682761.5</v>
      </c>
      <c r="D6953" s="3">
        <v>0.111111</v>
      </c>
      <c r="E6953" s="3">
        <v>1.8927398043635699</v>
      </c>
      <c r="F6953" s="3">
        <v>1.8927398043635699</v>
      </c>
      <c r="G6953" s="3">
        <v>5.98149</v>
      </c>
      <c r="H6953" s="3">
        <v>66.6856068723351</v>
      </c>
      <c r="I6953" s="3">
        <v>5.8703789999999998</v>
      </c>
      <c r="J6953" s="3">
        <v>6.0370454999999996</v>
      </c>
      <c r="K6953" s="3">
        <v>5.7963040000000001</v>
      </c>
      <c r="L6953" s="3">
        <v>66.6856068723351</v>
      </c>
    </row>
    <row r="6954" spans="1:12" ht="15" customHeight="1" x14ac:dyDescent="0.2">
      <c r="A6954" s="2">
        <v>35957</v>
      </c>
      <c r="B6954" s="3">
        <v>5.8703789999999998</v>
      </c>
      <c r="C6954" s="1">
        <v>1365523</v>
      </c>
      <c r="D6954" s="3">
        <v>-0.46296300000000001</v>
      </c>
      <c r="E6954" s="3">
        <v>-7.3099321021981796</v>
      </c>
      <c r="F6954" s="3">
        <v>-7.3099321021981796</v>
      </c>
      <c r="G6954" s="3">
        <v>5.8703789999999998</v>
      </c>
      <c r="H6954" s="3">
        <v>63.589287315637399</v>
      </c>
      <c r="I6954" s="3">
        <v>6.3703789999999998</v>
      </c>
      <c r="J6954" s="3">
        <v>6.3703789999999998</v>
      </c>
      <c r="K6954" s="3">
        <v>5.5926</v>
      </c>
      <c r="L6954" s="3">
        <v>63.589287315637399</v>
      </c>
    </row>
    <row r="6955" spans="1:12" ht="15" customHeight="1" x14ac:dyDescent="0.2">
      <c r="A6955" s="2">
        <v>35956</v>
      </c>
      <c r="B6955" s="3">
        <v>6.333342</v>
      </c>
      <c r="C6955" s="1">
        <v>106312.349999999</v>
      </c>
      <c r="D6955" s="3">
        <v>-0.12963059999999901</v>
      </c>
      <c r="E6955" s="3">
        <v>-2.00574268255445</v>
      </c>
      <c r="F6955" s="3">
        <v>-2.00574268255445</v>
      </c>
      <c r="G6955" s="3">
        <v>6.333342</v>
      </c>
      <c r="H6955" s="3">
        <v>76.490632735329996</v>
      </c>
      <c r="I6955" s="3">
        <v>6.4629725999999996</v>
      </c>
      <c r="J6955" s="3">
        <v>6.4814910000000001</v>
      </c>
      <c r="K6955" s="3">
        <v>6.3148236000000004</v>
      </c>
      <c r="L6955" s="3">
        <v>76.490632735329996</v>
      </c>
    </row>
    <row r="6956" spans="1:12" ht="15" customHeight="1" x14ac:dyDescent="0.2">
      <c r="A6956" s="2">
        <v>35955</v>
      </c>
      <c r="B6956" s="3">
        <v>6.4629725999999996</v>
      </c>
      <c r="C6956" s="1">
        <v>1295998.2</v>
      </c>
      <c r="D6956" s="3">
        <v>-5.5555400000000199E-2</v>
      </c>
      <c r="E6956" s="3">
        <v>-0.85226910124495103</v>
      </c>
      <c r="F6956" s="3">
        <v>-0.85226910124495103</v>
      </c>
      <c r="G6956" s="3">
        <v>6.4629725999999996</v>
      </c>
      <c r="H6956" s="3">
        <v>80.103036205071604</v>
      </c>
      <c r="I6956" s="3">
        <v>6.5555653999999999</v>
      </c>
      <c r="J6956" s="3">
        <v>6.5555649999999996</v>
      </c>
      <c r="K6956" s="3">
        <v>6.3888980000000002</v>
      </c>
      <c r="L6956" s="3">
        <v>80.103036205071604</v>
      </c>
    </row>
    <row r="6957" spans="1:12" ht="15" customHeight="1" x14ac:dyDescent="0.2">
      <c r="A6957" s="2">
        <v>35954</v>
      </c>
      <c r="B6957" s="3">
        <v>6.5185279999999999</v>
      </c>
      <c r="C6957" s="1">
        <v>361461.98</v>
      </c>
      <c r="D6957" s="3">
        <v>7.4074799999999996E-2</v>
      </c>
      <c r="E6957" s="3">
        <v>1.1494349900779799</v>
      </c>
      <c r="F6957" s="3">
        <v>1.1494349900779799</v>
      </c>
      <c r="G6957" s="3">
        <v>6.5185279999999999</v>
      </c>
      <c r="H6957" s="3">
        <v>81.651193196730105</v>
      </c>
      <c r="I6957" s="3">
        <v>6.5555653999999999</v>
      </c>
      <c r="J6957" s="3">
        <v>6.5926013000000001</v>
      </c>
      <c r="K6957" s="3">
        <v>6.4074172999999996</v>
      </c>
      <c r="L6957" s="3">
        <v>81.651193196730105</v>
      </c>
    </row>
    <row r="6958" spans="1:12" ht="15" customHeight="1" x14ac:dyDescent="0.2">
      <c r="A6958" s="2">
        <v>35951</v>
      </c>
      <c r="B6958" s="3">
        <v>6.4444531999999999</v>
      </c>
      <c r="C6958" s="1">
        <v>357749.48</v>
      </c>
      <c r="D6958" s="3">
        <v>0.14814849999999899</v>
      </c>
      <c r="E6958" s="3">
        <v>2.35294362421818</v>
      </c>
      <c r="F6958" s="3">
        <v>2.35294362421818</v>
      </c>
      <c r="G6958" s="3">
        <v>6.4444531999999999</v>
      </c>
      <c r="H6958" s="3">
        <v>79.586957865408493</v>
      </c>
      <c r="I6958" s="3">
        <v>6.3703789999999998</v>
      </c>
      <c r="J6958" s="3">
        <v>6.4814910000000001</v>
      </c>
      <c r="K6958" s="3">
        <v>6.3703789999999998</v>
      </c>
      <c r="L6958" s="3">
        <v>79.586957865408493</v>
      </c>
    </row>
    <row r="6959" spans="1:12" ht="15" customHeight="1" x14ac:dyDescent="0.2">
      <c r="A6959" s="2">
        <v>35950</v>
      </c>
      <c r="B6959" s="3">
        <v>6.2963047000000003</v>
      </c>
      <c r="C6959" s="1">
        <v>442461.88</v>
      </c>
      <c r="D6959" s="3">
        <v>-5.55563000000001E-2</v>
      </c>
      <c r="E6959" s="3">
        <v>-0.87464602893545496</v>
      </c>
      <c r="F6959" s="3">
        <v>-0.87464602893545496</v>
      </c>
      <c r="G6959" s="3">
        <v>6.2963047000000003</v>
      </c>
      <c r="H6959" s="3">
        <v>75.458517856359606</v>
      </c>
      <c r="I6959" s="3">
        <v>6.2963056999999996</v>
      </c>
      <c r="J6959" s="3">
        <v>6.3703789999999998</v>
      </c>
      <c r="K6959" s="3">
        <v>6.2963047000000003</v>
      </c>
      <c r="L6959" s="3">
        <v>75.458517856359606</v>
      </c>
    </row>
    <row r="6960" spans="1:12" ht="15" customHeight="1" x14ac:dyDescent="0.2">
      <c r="A6960" s="2">
        <v>35949</v>
      </c>
      <c r="B6960" s="3">
        <v>6.3518610000000004</v>
      </c>
      <c r="C6960" s="1">
        <v>1087086</v>
      </c>
      <c r="D6960" s="3">
        <v>0.222223</v>
      </c>
      <c r="E6960" s="3">
        <v>3.6253853816489801</v>
      </c>
      <c r="F6960" s="3">
        <v>3.6253853816489801</v>
      </c>
      <c r="G6960" s="3">
        <v>6.3518610000000004</v>
      </c>
      <c r="H6960" s="3">
        <v>77.006699928231498</v>
      </c>
      <c r="I6960" s="3">
        <v>6.1296379999999999</v>
      </c>
      <c r="J6960" s="3">
        <v>6.3703789999999998</v>
      </c>
      <c r="K6960" s="3">
        <v>6.1111196999999997</v>
      </c>
      <c r="L6960" s="3">
        <v>77.006699928231498</v>
      </c>
    </row>
    <row r="6961" spans="1:12" ht="15" customHeight="1" x14ac:dyDescent="0.2">
      <c r="A6961" s="2">
        <v>35948</v>
      </c>
      <c r="B6961" s="3">
        <v>6.1296379999999999</v>
      </c>
      <c r="C6961" s="1">
        <v>2591321.2999999998</v>
      </c>
      <c r="D6961" s="3">
        <v>-5.5556499999999703E-2</v>
      </c>
      <c r="E6961" s="3">
        <v>-0.89821750957063096</v>
      </c>
      <c r="F6961" s="3">
        <v>-0.89821750957063096</v>
      </c>
      <c r="G6961" s="3">
        <v>6.1296379999999999</v>
      </c>
      <c r="H6961" s="3">
        <v>70.814032947932105</v>
      </c>
      <c r="I6961" s="3">
        <v>6.3333425999999999</v>
      </c>
      <c r="J6961" s="3">
        <v>6.333342</v>
      </c>
      <c r="K6961" s="3">
        <v>6.0555643999999997</v>
      </c>
      <c r="L6961" s="3">
        <v>70.814032947932105</v>
      </c>
    </row>
    <row r="6962" spans="1:12" ht="15" customHeight="1" x14ac:dyDescent="0.2">
      <c r="A6962" s="2">
        <v>35947</v>
      </c>
      <c r="B6962" s="3">
        <v>6.1851944999999997</v>
      </c>
      <c r="C6962" s="1">
        <v>2418521.2000000002</v>
      </c>
      <c r="D6962" s="3">
        <v>0.20370449999999901</v>
      </c>
      <c r="E6962" s="3">
        <v>3.4055812180576899</v>
      </c>
      <c r="F6962" s="3">
        <v>3.4055812180576899</v>
      </c>
      <c r="G6962" s="3">
        <v>6.1851944999999997</v>
      </c>
      <c r="H6962" s="3">
        <v>72.362220593184901</v>
      </c>
      <c r="I6962" s="3">
        <v>6.2592682999999996</v>
      </c>
      <c r="J6962" s="3">
        <v>6.4814910000000001</v>
      </c>
      <c r="K6962" s="3">
        <v>6.0926010000000002</v>
      </c>
      <c r="L6962" s="3">
        <v>72.362220593184901</v>
      </c>
    </row>
    <row r="6963" spans="1:12" ht="15" customHeight="1" x14ac:dyDescent="0.2">
      <c r="A6963" s="2">
        <v>35944</v>
      </c>
      <c r="B6963" s="3">
        <v>5.98149</v>
      </c>
      <c r="C6963" s="1">
        <v>683774</v>
      </c>
      <c r="D6963" s="3">
        <v>-0.37037100000000001</v>
      </c>
      <c r="E6963" s="3">
        <v>-5.8309053047602903</v>
      </c>
      <c r="F6963" s="3">
        <v>-5.8309053047602903</v>
      </c>
      <c r="G6963" s="3">
        <v>5.98149</v>
      </c>
      <c r="H6963" s="3">
        <v>66.6856068723351</v>
      </c>
      <c r="I6963" s="3">
        <v>6.2592682999999996</v>
      </c>
      <c r="J6963" s="3">
        <v>6.3518610000000004</v>
      </c>
      <c r="K6963" s="3">
        <v>5.9259342999999998</v>
      </c>
      <c r="L6963" s="3">
        <v>66.6856068723351</v>
      </c>
    </row>
    <row r="6964" spans="1:12" ht="15" customHeight="1" x14ac:dyDescent="0.2">
      <c r="A6964" s="2">
        <v>35943</v>
      </c>
      <c r="B6964" s="3">
        <v>6.3518610000000004</v>
      </c>
      <c r="C6964" s="1">
        <v>530211.73</v>
      </c>
      <c r="D6964" s="3">
        <v>1.8519000000000299E-2</v>
      </c>
      <c r="E6964" s="3">
        <v>0.29240486302493002</v>
      </c>
      <c r="F6964" s="3">
        <v>0.29240486302493002</v>
      </c>
      <c r="G6964" s="3">
        <v>6.3518610000000004</v>
      </c>
      <c r="H6964" s="3">
        <v>77.006699928231498</v>
      </c>
      <c r="I6964" s="3">
        <v>6.3703789999999998</v>
      </c>
      <c r="J6964" s="3">
        <v>6.4444531999999999</v>
      </c>
      <c r="K6964" s="3">
        <v>6.2592679999999996</v>
      </c>
      <c r="L6964" s="3">
        <v>77.006699928231498</v>
      </c>
    </row>
    <row r="6965" spans="1:12" ht="15" customHeight="1" x14ac:dyDescent="0.2">
      <c r="A6965" s="2">
        <v>35942</v>
      </c>
      <c r="B6965" s="3">
        <v>6.333342</v>
      </c>
      <c r="C6965" s="1">
        <v>808311.4</v>
      </c>
      <c r="D6965" s="3">
        <v>0.185185399999999</v>
      </c>
      <c r="E6965" s="3">
        <v>3.0120475460888501</v>
      </c>
      <c r="F6965" s="3">
        <v>3.0120475460888501</v>
      </c>
      <c r="G6965" s="3">
        <v>6.333342</v>
      </c>
      <c r="H6965" s="3">
        <v>76.490632735329996</v>
      </c>
      <c r="I6965" s="3">
        <v>6.1296379999999999</v>
      </c>
      <c r="J6965" s="3">
        <v>6.4444531999999999</v>
      </c>
      <c r="K6965" s="3">
        <v>6.0000086000000001</v>
      </c>
      <c r="L6965" s="3">
        <v>76.490632735329996</v>
      </c>
    </row>
    <row r="6966" spans="1:12" ht="15" customHeight="1" x14ac:dyDescent="0.2">
      <c r="A6966" s="2">
        <v>35941</v>
      </c>
      <c r="B6966" s="3">
        <v>6.1481566000000001</v>
      </c>
      <c r="C6966" s="1">
        <v>416474.37</v>
      </c>
      <c r="D6966" s="3">
        <v>-0.29629659999999902</v>
      </c>
      <c r="E6966" s="3">
        <v>-4.5976996155391401</v>
      </c>
      <c r="F6966" s="3">
        <v>-4.5976996155391401</v>
      </c>
      <c r="G6966" s="3">
        <v>6.1481566000000001</v>
      </c>
      <c r="H6966" s="3">
        <v>71.330088994072199</v>
      </c>
      <c r="I6966" s="3">
        <v>6.4074179999999998</v>
      </c>
      <c r="J6966" s="3">
        <v>6.4444531999999999</v>
      </c>
      <c r="K6966" s="3">
        <v>6.1111196999999997</v>
      </c>
      <c r="L6966" s="3">
        <v>71.330088994072199</v>
      </c>
    </row>
    <row r="6967" spans="1:12" ht="15" customHeight="1" x14ac:dyDescent="0.2">
      <c r="A6967" s="2">
        <v>35937</v>
      </c>
      <c r="B6967" s="3">
        <v>6.4444531999999999</v>
      </c>
      <c r="C6967" s="1">
        <v>197437.23</v>
      </c>
      <c r="D6967" s="3">
        <v>-9.2593200000000403E-2</v>
      </c>
      <c r="E6967" s="3">
        <v>-1.41643785792924</v>
      </c>
      <c r="F6967" s="3">
        <v>-1.41643785792924</v>
      </c>
      <c r="G6967" s="3">
        <v>6.4444531999999999</v>
      </c>
      <c r="H6967" s="3">
        <v>79.586957865408493</v>
      </c>
      <c r="I6967" s="3">
        <v>6.5555653999999999</v>
      </c>
      <c r="J6967" s="3">
        <v>6.5555649999999996</v>
      </c>
      <c r="K6967" s="3">
        <v>6.3888980000000002</v>
      </c>
      <c r="L6967" s="3">
        <v>79.586957865408493</v>
      </c>
    </row>
    <row r="6968" spans="1:12" ht="15" customHeight="1" x14ac:dyDescent="0.2">
      <c r="A6968" s="2">
        <v>35936</v>
      </c>
      <c r="B6968" s="3">
        <v>6.5370464000000004</v>
      </c>
      <c r="C6968" s="1">
        <v>302062.03999999998</v>
      </c>
      <c r="D6968" s="3">
        <v>-5.5554899999999699E-2</v>
      </c>
      <c r="E6968" s="3">
        <v>-0.842685572385515</v>
      </c>
      <c r="F6968" s="3">
        <v>-0.842685572385515</v>
      </c>
      <c r="G6968" s="3">
        <v>6.5370464000000004</v>
      </c>
      <c r="H6968" s="3">
        <v>82.167243669489295</v>
      </c>
      <c r="I6968" s="3">
        <v>6.6296390000000001</v>
      </c>
      <c r="J6968" s="3">
        <v>6.6296390000000001</v>
      </c>
      <c r="K6968" s="3">
        <v>6.4629725999999996</v>
      </c>
      <c r="L6968" s="3">
        <v>82.167243669489295</v>
      </c>
    </row>
    <row r="6969" spans="1:12" ht="15" customHeight="1" x14ac:dyDescent="0.2">
      <c r="A6969" s="2">
        <v>35935</v>
      </c>
      <c r="B6969" s="3">
        <v>6.5926013000000001</v>
      </c>
      <c r="C6969" s="1">
        <v>247724.639999999</v>
      </c>
      <c r="D6969" s="3"/>
      <c r="E6969" s="3"/>
      <c r="F6969" s="3"/>
      <c r="G6969" s="3">
        <v>6.5926013000000001</v>
      </c>
      <c r="H6969" s="3">
        <v>83.715386727695901</v>
      </c>
      <c r="I6969" s="3">
        <v>6.7037129999999996</v>
      </c>
      <c r="J6969" s="3">
        <v>6.7037129999999996</v>
      </c>
      <c r="K6969" s="3">
        <v>6.5370464000000004</v>
      </c>
      <c r="L6969" s="3">
        <v>83.715386727695901</v>
      </c>
    </row>
    <row r="6970" spans="1:12" ht="15" customHeight="1" x14ac:dyDescent="0.2">
      <c r="A6970" s="2">
        <v>35934</v>
      </c>
      <c r="B6970" s="3">
        <v>6.5926013000000001</v>
      </c>
      <c r="C6970" s="1">
        <v>212962.19</v>
      </c>
      <c r="D6970" s="3">
        <v>0.1111103</v>
      </c>
      <c r="E6970" s="3">
        <v>1.7142706824710501</v>
      </c>
      <c r="F6970" s="3">
        <v>1.7142706824710501</v>
      </c>
      <c r="G6970" s="3">
        <v>6.5926013000000001</v>
      </c>
      <c r="H6970" s="3">
        <v>83.715386727695901</v>
      </c>
      <c r="I6970" s="3">
        <v>6.3333425999999999</v>
      </c>
      <c r="J6970" s="3">
        <v>6.6851944999999997</v>
      </c>
      <c r="K6970" s="3">
        <v>6.333342</v>
      </c>
      <c r="L6970" s="3">
        <v>83.715386727695901</v>
      </c>
    </row>
    <row r="6971" spans="1:12" ht="15" customHeight="1" x14ac:dyDescent="0.2">
      <c r="A6971" s="2">
        <v>35933</v>
      </c>
      <c r="B6971" s="3">
        <v>6.4814910000000001</v>
      </c>
      <c r="C6971" s="1">
        <v>240637.16</v>
      </c>
      <c r="D6971" s="3">
        <v>-0.148147999999999</v>
      </c>
      <c r="E6971" s="3">
        <v>-2.2346314784258898</v>
      </c>
      <c r="F6971" s="3">
        <v>-2.2346314784258898</v>
      </c>
      <c r="G6971" s="3">
        <v>6.4814910000000001</v>
      </c>
      <c r="H6971" s="3">
        <v>80.619086677830794</v>
      </c>
      <c r="I6971" s="3">
        <v>6.5926023000000002</v>
      </c>
      <c r="J6971" s="3">
        <v>6.7407513000000003</v>
      </c>
      <c r="K6971" s="3">
        <v>6.4074172999999996</v>
      </c>
      <c r="L6971" s="3">
        <v>80.619086677830794</v>
      </c>
    </row>
    <row r="6972" spans="1:12" ht="15" customHeight="1" x14ac:dyDescent="0.2">
      <c r="A6972" s="2">
        <v>35930</v>
      </c>
      <c r="B6972" s="3">
        <v>6.6296390000000001</v>
      </c>
      <c r="C6972" s="1">
        <v>294637.12</v>
      </c>
      <c r="D6972" s="3">
        <v>-0.1111123</v>
      </c>
      <c r="E6972" s="3">
        <v>-1.64836670357502</v>
      </c>
      <c r="F6972" s="3">
        <v>-1.64836670357502</v>
      </c>
      <c r="G6972" s="3">
        <v>6.6296390000000001</v>
      </c>
      <c r="H6972" s="3">
        <v>84.747512753427799</v>
      </c>
      <c r="I6972" s="3">
        <v>6.7407513000000003</v>
      </c>
      <c r="J6972" s="3">
        <v>6.7407513000000003</v>
      </c>
      <c r="K6972" s="3">
        <v>6.5926013000000001</v>
      </c>
      <c r="L6972" s="3">
        <v>84.747512753427799</v>
      </c>
    </row>
    <row r="6973" spans="1:12" ht="15" customHeight="1" x14ac:dyDescent="0.2">
      <c r="A6973" s="2">
        <v>35929</v>
      </c>
      <c r="B6973" s="3">
        <v>6.7407513000000003</v>
      </c>
      <c r="C6973" s="1">
        <v>577799.26</v>
      </c>
      <c r="D6973" s="3">
        <v>-0.14814769999999999</v>
      </c>
      <c r="E6973" s="3">
        <v>-2.1505279726121702</v>
      </c>
      <c r="F6973" s="3">
        <v>-2.1505279726121702</v>
      </c>
      <c r="G6973" s="3">
        <v>6.7407513000000003</v>
      </c>
      <c r="H6973" s="3">
        <v>87.843868537100604</v>
      </c>
      <c r="I6973" s="3">
        <v>6.8888999999999996</v>
      </c>
      <c r="J6973" s="3">
        <v>6.8888990000000003</v>
      </c>
      <c r="K6973" s="3">
        <v>6.5555649999999996</v>
      </c>
      <c r="L6973" s="3">
        <v>87.843868537100604</v>
      </c>
    </row>
    <row r="6974" spans="1:12" ht="15" customHeight="1" x14ac:dyDescent="0.2">
      <c r="A6974" s="2">
        <v>35928</v>
      </c>
      <c r="B6974" s="3">
        <v>6.8888990000000003</v>
      </c>
      <c r="C6974" s="1">
        <v>472499.32999999903</v>
      </c>
      <c r="D6974" s="3">
        <v>-9.2591999999999702E-2</v>
      </c>
      <c r="E6974" s="3">
        <v>-1.32624965068349</v>
      </c>
      <c r="F6974" s="3">
        <v>-1.32624965068349</v>
      </c>
      <c r="G6974" s="3">
        <v>6.8888990000000003</v>
      </c>
      <c r="H6974" s="3">
        <v>91.972286252626503</v>
      </c>
      <c r="I6974" s="3">
        <v>7.0000114</v>
      </c>
      <c r="J6974" s="3">
        <v>7.0000105000000001</v>
      </c>
      <c r="K6974" s="3">
        <v>6.7037129999999996</v>
      </c>
      <c r="L6974" s="3">
        <v>91.972286252626503</v>
      </c>
    </row>
    <row r="6975" spans="1:12" ht="15" customHeight="1" x14ac:dyDescent="0.2">
      <c r="A6975" s="2">
        <v>35927</v>
      </c>
      <c r="B6975" s="3">
        <v>6.9814910000000001</v>
      </c>
      <c r="C6975" s="1">
        <v>139049.79</v>
      </c>
      <c r="D6975" s="3">
        <v>5.5555700000000201E-2</v>
      </c>
      <c r="E6975" s="3">
        <v>0.80214003731742201</v>
      </c>
      <c r="F6975" s="3">
        <v>0.80214003731742201</v>
      </c>
      <c r="G6975" s="3">
        <v>6.9814910000000001</v>
      </c>
      <c r="H6975" s="3">
        <v>94.552538616422694</v>
      </c>
      <c r="I6975" s="3">
        <v>6.9259370000000002</v>
      </c>
      <c r="J6975" s="3">
        <v>6.9814910000000001</v>
      </c>
      <c r="K6975" s="3">
        <v>6.8148245999999997</v>
      </c>
      <c r="L6975" s="3">
        <v>94.552538616422694</v>
      </c>
    </row>
    <row r="6976" spans="1:12" ht="15" customHeight="1" x14ac:dyDescent="0.2">
      <c r="A6976" s="2">
        <v>35926</v>
      </c>
      <c r="B6976" s="3">
        <v>6.9259352999999999</v>
      </c>
      <c r="C6976" s="1">
        <v>336149.5</v>
      </c>
      <c r="D6976" s="3">
        <v>-7.4075200000000202E-2</v>
      </c>
      <c r="E6976" s="3">
        <v>-1.05821555553381</v>
      </c>
      <c r="F6976" s="3">
        <v>-1.05821555553381</v>
      </c>
      <c r="G6976" s="3">
        <v>6.9259352999999999</v>
      </c>
      <c r="H6976" s="3">
        <v>93.004373264693001</v>
      </c>
      <c r="I6976" s="3">
        <v>7.0000114</v>
      </c>
      <c r="J6976" s="3">
        <v>7.0370480000000004</v>
      </c>
      <c r="K6976" s="3">
        <v>6.8888990000000003</v>
      </c>
      <c r="L6976" s="3">
        <v>93.004373264693001</v>
      </c>
    </row>
    <row r="6977" spans="1:12" ht="15" customHeight="1" x14ac:dyDescent="0.2">
      <c r="A6977" s="2">
        <v>35923</v>
      </c>
      <c r="B6977" s="3">
        <v>7.0000105000000001</v>
      </c>
      <c r="C6977" s="1">
        <v>252787.17</v>
      </c>
      <c r="D6977" s="3">
        <v>7.4075200000000202E-2</v>
      </c>
      <c r="E6977" s="3">
        <v>1.0695335256741301</v>
      </c>
      <c r="F6977" s="3">
        <v>1.0695335256741301</v>
      </c>
      <c r="G6977" s="3">
        <v>7.0000105000000001</v>
      </c>
      <c r="H6977" s="3">
        <v>95.068619742776207</v>
      </c>
      <c r="I6977" s="3">
        <v>7.0000114</v>
      </c>
      <c r="J6977" s="3">
        <v>7.0000105000000001</v>
      </c>
      <c r="K6977" s="3">
        <v>6.9259352999999999</v>
      </c>
      <c r="L6977" s="3">
        <v>95.068619742776207</v>
      </c>
    </row>
    <row r="6978" spans="1:12" ht="15" customHeight="1" x14ac:dyDescent="0.2">
      <c r="A6978" s="2">
        <v>35922</v>
      </c>
      <c r="B6978" s="3">
        <v>6.9259352999999999</v>
      </c>
      <c r="C6978" s="1">
        <v>226462.19</v>
      </c>
      <c r="D6978" s="3">
        <v>-0.18518569999999901</v>
      </c>
      <c r="E6978" s="3">
        <v>-2.60417028482569</v>
      </c>
      <c r="F6978" s="3">
        <v>-2.60417028482569</v>
      </c>
      <c r="G6978" s="3">
        <v>6.9259352999999999</v>
      </c>
      <c r="H6978" s="3">
        <v>93.004373264693001</v>
      </c>
      <c r="I6978" s="3">
        <v>7.0370483000000004</v>
      </c>
      <c r="J6978" s="3">
        <v>7.1111209999999998</v>
      </c>
      <c r="K6978" s="3">
        <v>6.9259352999999999</v>
      </c>
      <c r="L6978" s="3">
        <v>93.004373264693001</v>
      </c>
    </row>
    <row r="6979" spans="1:12" ht="15" customHeight="1" x14ac:dyDescent="0.2">
      <c r="A6979" s="2">
        <v>35921</v>
      </c>
      <c r="B6979" s="3">
        <v>7.1111209999999998</v>
      </c>
      <c r="C6979" s="1">
        <v>254812.16</v>
      </c>
      <c r="D6979" s="3">
        <v>-3.7037600000000503E-2</v>
      </c>
      <c r="E6979" s="3">
        <v>-0.51814183305894901</v>
      </c>
      <c r="F6979" s="3">
        <v>-0.51814183305894901</v>
      </c>
      <c r="G6979" s="3">
        <v>7.1111209999999998</v>
      </c>
      <c r="H6979" s="3">
        <v>98.164925366022004</v>
      </c>
      <c r="I6979" s="3">
        <v>7.1851963999999997</v>
      </c>
      <c r="J6979" s="3">
        <v>7.1851950000000002</v>
      </c>
      <c r="K6979" s="3">
        <v>7.0370480000000004</v>
      </c>
      <c r="L6979" s="3">
        <v>98.164925366022004</v>
      </c>
    </row>
    <row r="6980" spans="1:12" ht="15" customHeight="1" x14ac:dyDescent="0.2">
      <c r="A6980" s="2">
        <v>35920</v>
      </c>
      <c r="B6980" s="3">
        <v>7.1481586000000004</v>
      </c>
      <c r="C6980" s="1">
        <v>538986.76</v>
      </c>
      <c r="D6980" s="3">
        <v>-7.4073699999999507E-2</v>
      </c>
      <c r="E6980" s="3">
        <v>-1.0256344149993499</v>
      </c>
      <c r="F6980" s="3">
        <v>-1.0256344149993499</v>
      </c>
      <c r="G6980" s="3">
        <v>7.1481586000000004</v>
      </c>
      <c r="H6980" s="3">
        <v>99.1970486050636</v>
      </c>
      <c r="I6980" s="3">
        <v>7.2222322999999999</v>
      </c>
      <c r="J6980" s="3">
        <v>7.2592699999999999</v>
      </c>
      <c r="K6980" s="3">
        <v>7.1296396</v>
      </c>
      <c r="L6980" s="3">
        <v>99.1970486050636</v>
      </c>
    </row>
    <row r="6981" spans="1:12" ht="15" customHeight="1" x14ac:dyDescent="0.2">
      <c r="A6981" s="2">
        <v>35919</v>
      </c>
      <c r="B6981" s="3">
        <v>7.2222322999999999</v>
      </c>
      <c r="C6981" s="1">
        <v>500511.77999999898</v>
      </c>
      <c r="D6981" s="3">
        <v>-0.18518599999999899</v>
      </c>
      <c r="E6981" s="3">
        <v>-2.50000732373922</v>
      </c>
      <c r="F6981" s="3">
        <v>-2.50000732373922</v>
      </c>
      <c r="G6981" s="3">
        <v>7.2222322999999999</v>
      </c>
      <c r="H6981" s="3">
        <v>101.26125328278999</v>
      </c>
      <c r="I6981" s="3">
        <v>7.4074182999999998</v>
      </c>
      <c r="J6981" s="3">
        <v>7.4074182999999998</v>
      </c>
      <c r="K6981" s="3">
        <v>7.1481586000000004</v>
      </c>
      <c r="L6981" s="3">
        <v>101.26125328278999</v>
      </c>
    </row>
    <row r="6982" spans="1:12" ht="15" customHeight="1" x14ac:dyDescent="0.2">
      <c r="A6982" s="2">
        <v>35916</v>
      </c>
      <c r="B6982" s="3">
        <v>7.4074182999999998</v>
      </c>
      <c r="C6982" s="1">
        <v>146812.32</v>
      </c>
      <c r="D6982" s="3">
        <v>-7.4073700000000395E-2</v>
      </c>
      <c r="E6982" s="3">
        <v>-0.99009261788959302</v>
      </c>
      <c r="F6982" s="3">
        <v>-0.99009261788959302</v>
      </c>
      <c r="G6982" s="3">
        <v>7.4074182999999998</v>
      </c>
      <c r="H6982" s="3">
        <v>106.421813744191</v>
      </c>
      <c r="I6982" s="3">
        <v>7.4814935</v>
      </c>
      <c r="J6982" s="3">
        <v>7.4814920000000003</v>
      </c>
      <c r="K6982" s="3">
        <v>7.3333440000000003</v>
      </c>
      <c r="L6982" s="3">
        <v>106.421813744191</v>
      </c>
    </row>
    <row r="6983" spans="1:12" ht="15" customHeight="1" x14ac:dyDescent="0.2">
      <c r="A6983" s="2">
        <v>35915</v>
      </c>
      <c r="B6983" s="3">
        <v>7.4814920000000003</v>
      </c>
      <c r="C6983" s="1">
        <v>1078648.6000000001</v>
      </c>
      <c r="D6983" s="3">
        <v>0.148147999999999</v>
      </c>
      <c r="E6983" s="3">
        <v>2.0201970615315301</v>
      </c>
      <c r="F6983" s="3">
        <v>2.0201970615315301</v>
      </c>
      <c r="G6983" s="3">
        <v>7.4814920000000003</v>
      </c>
      <c r="H6983" s="3">
        <v>108.486018421918</v>
      </c>
      <c r="I6983" s="3">
        <v>7.4444565999999996</v>
      </c>
      <c r="J6983" s="3">
        <v>7.5926036999999997</v>
      </c>
      <c r="K6983" s="3">
        <v>7.3703814000000003</v>
      </c>
      <c r="L6983" s="3">
        <v>108.486018421918</v>
      </c>
    </row>
    <row r="6984" spans="1:12" ht="15" customHeight="1" x14ac:dyDescent="0.2">
      <c r="A6984" s="2">
        <v>35914</v>
      </c>
      <c r="B6984" s="3">
        <v>7.3333440000000003</v>
      </c>
      <c r="C6984" s="1">
        <v>713473.94</v>
      </c>
      <c r="D6984" s="3">
        <v>0.11111169999999999</v>
      </c>
      <c r="E6984" s="3">
        <v>1.53846754555375</v>
      </c>
      <c r="F6984" s="3">
        <v>1.53846754555375</v>
      </c>
      <c r="G6984" s="3">
        <v>7.3333440000000003</v>
      </c>
      <c r="H6984" s="3">
        <v>104.357592346321</v>
      </c>
      <c r="I6984" s="3">
        <v>7.1481589999999997</v>
      </c>
      <c r="J6984" s="3">
        <v>7.4074182999999998</v>
      </c>
      <c r="K6984" s="3">
        <v>7.1481586000000004</v>
      </c>
      <c r="L6984" s="3">
        <v>104.357592346321</v>
      </c>
    </row>
    <row r="6985" spans="1:12" ht="15" customHeight="1" x14ac:dyDescent="0.2">
      <c r="A6985" s="2">
        <v>35913</v>
      </c>
      <c r="B6985" s="3">
        <v>7.2222322999999999</v>
      </c>
      <c r="C6985" s="1">
        <v>1404335.3</v>
      </c>
      <c r="D6985" s="3">
        <v>-7.4073700000000395E-2</v>
      </c>
      <c r="E6985" s="3">
        <v>-1.01522194929873</v>
      </c>
      <c r="F6985" s="3">
        <v>-1.01522194929873</v>
      </c>
      <c r="G6985" s="3">
        <v>7.2222322999999999</v>
      </c>
      <c r="H6985" s="3">
        <v>101.26125328278999</v>
      </c>
      <c r="I6985" s="3">
        <v>7.4074182999999998</v>
      </c>
      <c r="J6985" s="3">
        <v>7.4444549999999996</v>
      </c>
      <c r="K6985" s="3">
        <v>7.1111209999999998</v>
      </c>
      <c r="L6985" s="3">
        <v>101.26125328278999</v>
      </c>
    </row>
    <row r="6986" spans="1:12" ht="15" customHeight="1" x14ac:dyDescent="0.2">
      <c r="A6986" s="2">
        <v>35912</v>
      </c>
      <c r="B6986" s="3">
        <v>7.2963060000000004</v>
      </c>
      <c r="C6986" s="1">
        <v>552149.23</v>
      </c>
      <c r="D6986" s="3">
        <v>7.4073700000000395E-2</v>
      </c>
      <c r="E6986" s="3">
        <v>1.0256344149993599</v>
      </c>
      <c r="F6986" s="3">
        <v>1.0256344149993599</v>
      </c>
      <c r="G6986" s="3">
        <v>7.2963060000000004</v>
      </c>
      <c r="H6986" s="3">
        <v>103.32545796051799</v>
      </c>
      <c r="I6986" s="3">
        <v>6.9629735999999998</v>
      </c>
      <c r="J6986" s="3">
        <v>7.4074182999999998</v>
      </c>
      <c r="K6986" s="3">
        <v>6.9629725999999996</v>
      </c>
      <c r="L6986" s="3">
        <v>103.32545796051799</v>
      </c>
    </row>
    <row r="6987" spans="1:12" ht="15" customHeight="1" x14ac:dyDescent="0.2">
      <c r="A6987" s="2">
        <v>35909</v>
      </c>
      <c r="B6987" s="3">
        <v>7.2222322999999999</v>
      </c>
      <c r="C6987" s="1">
        <v>1094173.5</v>
      </c>
      <c r="D6987" s="3">
        <v>-0.25925969999999998</v>
      </c>
      <c r="E6987" s="3">
        <v>-3.4653475536697802</v>
      </c>
      <c r="F6987" s="3">
        <v>-3.4653475536697802</v>
      </c>
      <c r="G6987" s="3">
        <v>7.2222322999999999</v>
      </c>
      <c r="H6987" s="3">
        <v>101.26125328278999</v>
      </c>
      <c r="I6987" s="3">
        <v>7.5555659999999998</v>
      </c>
      <c r="J6987" s="3">
        <v>7.6666774999999996</v>
      </c>
      <c r="K6987" s="3">
        <v>7.0000105000000001</v>
      </c>
      <c r="L6987" s="3">
        <v>101.26125328278999</v>
      </c>
    </row>
    <row r="6988" spans="1:12" ht="15" customHeight="1" x14ac:dyDescent="0.2">
      <c r="A6988" s="2">
        <v>35908</v>
      </c>
      <c r="B6988" s="3">
        <v>7.4814920000000003</v>
      </c>
      <c r="C6988" s="1">
        <v>167399.75</v>
      </c>
      <c r="D6988" s="3">
        <v>-0.29629659999999902</v>
      </c>
      <c r="E6988" s="3">
        <v>-3.8095224136073802</v>
      </c>
      <c r="F6988" s="3">
        <v>-3.8095224136073802</v>
      </c>
      <c r="G6988" s="3">
        <v>7.4814920000000003</v>
      </c>
      <c r="H6988" s="3">
        <v>108.486018421918</v>
      </c>
      <c r="I6988" s="3">
        <v>7.8148270000000002</v>
      </c>
      <c r="J6988" s="3">
        <v>7.8518634</v>
      </c>
      <c r="K6988" s="3">
        <v>7.4814920000000003</v>
      </c>
      <c r="L6988" s="3">
        <v>108.486018421918</v>
      </c>
    </row>
    <row r="6989" spans="1:12" ht="15" customHeight="1" x14ac:dyDescent="0.2">
      <c r="A6989" s="2">
        <v>35907</v>
      </c>
      <c r="B6989" s="3">
        <v>7.7777886000000001</v>
      </c>
      <c r="C6989" s="1">
        <v>918673.7</v>
      </c>
      <c r="D6989" s="3">
        <v>7.40736000000001E-2</v>
      </c>
      <c r="E6989" s="3">
        <v>0.96153089775516898</v>
      </c>
      <c r="F6989" s="3">
        <v>0.96153089775516898</v>
      </c>
      <c r="G6989" s="3">
        <v>7.7777886000000001</v>
      </c>
      <c r="H6989" s="3">
        <v>116.742887293254</v>
      </c>
      <c r="I6989" s="3">
        <v>7.8889009999999997</v>
      </c>
      <c r="J6989" s="3">
        <v>7.8889003000000004</v>
      </c>
      <c r="K6989" s="3">
        <v>7.7037149999999999</v>
      </c>
      <c r="L6989" s="3">
        <v>116.742887293254</v>
      </c>
    </row>
    <row r="6990" spans="1:12" ht="15" customHeight="1" x14ac:dyDescent="0.2">
      <c r="A6990" s="2">
        <v>35906</v>
      </c>
      <c r="B6990" s="3">
        <v>7.7037149999999999</v>
      </c>
      <c r="C6990" s="1">
        <v>1195423.1000000001</v>
      </c>
      <c r="D6990" s="3">
        <v>-1.8518000000000201E-2</v>
      </c>
      <c r="E6990" s="3">
        <v>-0.239801104162495</v>
      </c>
      <c r="F6990" s="3">
        <v>-0.239801104162495</v>
      </c>
      <c r="G6990" s="3">
        <v>7.7037149999999999</v>
      </c>
      <c r="H6990" s="3">
        <v>114.678685402217</v>
      </c>
      <c r="I6990" s="3">
        <v>7.7777905000000001</v>
      </c>
      <c r="J6990" s="3">
        <v>7.9259370000000002</v>
      </c>
      <c r="K6990" s="3">
        <v>7.7037149999999999</v>
      </c>
      <c r="L6990" s="3">
        <v>114.678685402217</v>
      </c>
    </row>
    <row r="6991" spans="1:12" ht="15" customHeight="1" x14ac:dyDescent="0.2">
      <c r="A6991" s="2">
        <v>35905</v>
      </c>
      <c r="B6991" s="3">
        <v>7.7222330000000001</v>
      </c>
      <c r="C6991" s="1">
        <v>611211.6</v>
      </c>
      <c r="D6991" s="3">
        <v>5.55555000000005E-2</v>
      </c>
      <c r="E6991" s="3">
        <v>0.72463593257967496</v>
      </c>
      <c r="F6991" s="3">
        <v>0.72463593257967496</v>
      </c>
      <c r="G6991" s="3">
        <v>7.7222330000000001</v>
      </c>
      <c r="H6991" s="3">
        <v>115.19472472821499</v>
      </c>
      <c r="I6991" s="3">
        <v>7.7037149999999999</v>
      </c>
      <c r="J6991" s="3">
        <v>7.7407516999999997</v>
      </c>
      <c r="K6991" s="3">
        <v>7.5926036999999997</v>
      </c>
      <c r="L6991" s="3">
        <v>115.19472472821499</v>
      </c>
    </row>
    <row r="6992" spans="1:12" ht="15" customHeight="1" x14ac:dyDescent="0.2">
      <c r="A6992" s="2">
        <v>35902</v>
      </c>
      <c r="B6992" s="3">
        <v>7.6666774999999996</v>
      </c>
      <c r="C6992" s="1">
        <v>146137.31</v>
      </c>
      <c r="D6992" s="3"/>
      <c r="E6992" s="3"/>
      <c r="F6992" s="3"/>
      <c r="G6992" s="3">
        <v>7.6666774999999996</v>
      </c>
      <c r="H6992" s="3">
        <v>113.646564949866</v>
      </c>
      <c r="I6992" s="3">
        <v>7.5555659999999998</v>
      </c>
      <c r="J6992" s="3">
        <v>7.7037149999999999</v>
      </c>
      <c r="K6992" s="3">
        <v>7.5555659999999998</v>
      </c>
      <c r="L6992" s="3">
        <v>113.646564949866</v>
      </c>
    </row>
    <row r="6993" spans="1:12" ht="15" customHeight="1" x14ac:dyDescent="0.2">
      <c r="A6993" s="2">
        <v>35901</v>
      </c>
      <c r="B6993" s="3">
        <v>7.6666774999999996</v>
      </c>
      <c r="C6993" s="1">
        <v>619649.1</v>
      </c>
      <c r="D6993" s="3">
        <v>-3.7037500000000202E-2</v>
      </c>
      <c r="E6993" s="3">
        <v>-0.48077453540272802</v>
      </c>
      <c r="F6993" s="3">
        <v>-0.48077453540272802</v>
      </c>
      <c r="G6993" s="3">
        <v>7.6666774999999996</v>
      </c>
      <c r="H6993" s="3">
        <v>113.646564949866</v>
      </c>
      <c r="I6993" s="3">
        <v>7.7777905000000001</v>
      </c>
      <c r="J6993" s="3">
        <v>7.7777886000000001</v>
      </c>
      <c r="K6993" s="3">
        <v>7.5555659999999998</v>
      </c>
      <c r="L6993" s="3">
        <v>113.646564949866</v>
      </c>
    </row>
    <row r="6994" spans="1:12" ht="15" customHeight="1" x14ac:dyDescent="0.2">
      <c r="A6994" s="2">
        <v>35900</v>
      </c>
      <c r="B6994" s="3">
        <v>7.7037149999999999</v>
      </c>
      <c r="C6994" s="1">
        <v>452586.88</v>
      </c>
      <c r="D6994" s="3">
        <v>-1.8518000000000201E-2</v>
      </c>
      <c r="E6994" s="3">
        <v>-0.239801104162495</v>
      </c>
      <c r="F6994" s="3">
        <v>-0.239801104162495</v>
      </c>
      <c r="G6994" s="3">
        <v>7.7037149999999999</v>
      </c>
      <c r="H6994" s="3">
        <v>114.678685402217</v>
      </c>
      <c r="I6994" s="3">
        <v>7.6296410000000003</v>
      </c>
      <c r="J6994" s="3">
        <v>7.7777886000000001</v>
      </c>
      <c r="K6994" s="3">
        <v>7.6296410000000003</v>
      </c>
      <c r="L6994" s="3">
        <v>114.678685402217</v>
      </c>
    </row>
    <row r="6995" spans="1:12" ht="15" customHeight="1" x14ac:dyDescent="0.2">
      <c r="A6995" s="2">
        <v>35899</v>
      </c>
      <c r="B6995" s="3">
        <v>7.7222330000000001</v>
      </c>
      <c r="C6995" s="1">
        <v>1713822.5</v>
      </c>
      <c r="D6995" s="3">
        <v>-0.12963039999999901</v>
      </c>
      <c r="E6995" s="3">
        <v>-1.6509507794035201</v>
      </c>
      <c r="F6995" s="3">
        <v>-1.6509507794035201</v>
      </c>
      <c r="G6995" s="3">
        <v>7.7222330000000001</v>
      </c>
      <c r="H6995" s="3">
        <v>115.19472472821499</v>
      </c>
      <c r="I6995" s="3">
        <v>7.8518642999999999</v>
      </c>
      <c r="J6995" s="3">
        <v>7.9629744999999996</v>
      </c>
      <c r="K6995" s="3">
        <v>7.6851963999999997</v>
      </c>
      <c r="L6995" s="3">
        <v>115.19472472821499</v>
      </c>
    </row>
    <row r="6996" spans="1:12" ht="15" customHeight="1" x14ac:dyDescent="0.2">
      <c r="A6996" s="2">
        <v>35898</v>
      </c>
      <c r="B6996" s="3">
        <v>7.8518634</v>
      </c>
      <c r="C6996" s="1">
        <v>1208923.1000000001</v>
      </c>
      <c r="D6996" s="3">
        <v>0.48148199999999902</v>
      </c>
      <c r="E6996" s="3">
        <v>6.5326605757471201</v>
      </c>
      <c r="F6996" s="3">
        <v>6.5326605757471201</v>
      </c>
      <c r="G6996" s="3">
        <v>7.8518634</v>
      </c>
      <c r="H6996" s="3">
        <v>118.807122624576</v>
      </c>
      <c r="I6996" s="3">
        <v>7.4444565999999996</v>
      </c>
      <c r="J6996" s="3">
        <v>8.0000105000000001</v>
      </c>
      <c r="K6996" s="3">
        <v>7.3333440000000003</v>
      </c>
      <c r="L6996" s="3">
        <v>118.807122624576</v>
      </c>
    </row>
    <row r="6997" spans="1:12" ht="15" customHeight="1" x14ac:dyDescent="0.2">
      <c r="A6997" s="2">
        <v>35894</v>
      </c>
      <c r="B6997" s="3">
        <v>7.3703814000000003</v>
      </c>
      <c r="C6997" s="1">
        <v>639224.06000000006</v>
      </c>
      <c r="D6997" s="3">
        <v>9.2593700000000098E-2</v>
      </c>
      <c r="E6997" s="3">
        <v>1.27227811275671</v>
      </c>
      <c r="F6997" s="3">
        <v>1.27227811275671</v>
      </c>
      <c r="G6997" s="3">
        <v>7.3703814000000003</v>
      </c>
      <c r="H6997" s="3">
        <v>105.389710011982</v>
      </c>
      <c r="I6997" s="3">
        <v>7.2592707000000001</v>
      </c>
      <c r="J6997" s="3">
        <v>7.4074182999999998</v>
      </c>
      <c r="K6997" s="3">
        <v>7.2222322999999999</v>
      </c>
      <c r="L6997" s="3">
        <v>105.389710011982</v>
      </c>
    </row>
    <row r="6998" spans="1:12" ht="15" customHeight="1" x14ac:dyDescent="0.2">
      <c r="A6998" s="2">
        <v>35893</v>
      </c>
      <c r="B6998" s="3">
        <v>7.2777877000000002</v>
      </c>
      <c r="C6998" s="1">
        <v>193724.72999999899</v>
      </c>
      <c r="D6998" s="3">
        <v>0.101850999999999</v>
      </c>
      <c r="E6998" s="3">
        <v>1.41934083671613</v>
      </c>
      <c r="F6998" s="3">
        <v>1.41934083671613</v>
      </c>
      <c r="G6998" s="3">
        <v>7.2777877000000002</v>
      </c>
      <c r="H6998" s="3">
        <v>102.80941027444899</v>
      </c>
      <c r="I6998" s="3">
        <v>7.1481589999999997</v>
      </c>
      <c r="J6998" s="3">
        <v>7.3333440000000003</v>
      </c>
      <c r="K6998" s="3">
        <v>7.1481586000000004</v>
      </c>
      <c r="L6998" s="3">
        <v>102.80941027444899</v>
      </c>
    </row>
    <row r="6999" spans="1:12" ht="15" customHeight="1" x14ac:dyDescent="0.2">
      <c r="A6999" s="2">
        <v>35892</v>
      </c>
      <c r="B6999" s="3">
        <v>7.1759367000000003</v>
      </c>
      <c r="C6999" s="1">
        <v>464736.85</v>
      </c>
      <c r="D6999" s="3">
        <v>-9.2582999999999398E-3</v>
      </c>
      <c r="E6999" s="3">
        <v>-0.12885245285618699</v>
      </c>
      <c r="F6999" s="3">
        <v>-0.12885245285618699</v>
      </c>
      <c r="G6999" s="3">
        <v>7.1759367000000003</v>
      </c>
      <c r="H6999" s="3">
        <v>99.971138247654395</v>
      </c>
      <c r="I6999" s="3">
        <v>7.1851963999999997</v>
      </c>
      <c r="J6999" s="3">
        <v>7.2592699999999999</v>
      </c>
      <c r="K6999" s="3">
        <v>7.0740847999999996</v>
      </c>
      <c r="L6999" s="3">
        <v>99.971138247654395</v>
      </c>
    </row>
    <row r="7000" spans="1:12" ht="15" customHeight="1" x14ac:dyDescent="0.2">
      <c r="A7000" s="2">
        <v>35891</v>
      </c>
      <c r="B7000" s="3">
        <v>7.1851950000000002</v>
      </c>
      <c r="C7000" s="1">
        <v>445499.39999999898</v>
      </c>
      <c r="D7000" s="3"/>
      <c r="E7000" s="3"/>
      <c r="F7000" s="3"/>
      <c r="G7000" s="3">
        <v>7.1851950000000002</v>
      </c>
      <c r="H7000" s="3">
        <v>100.22913840382</v>
      </c>
      <c r="I7000" s="3">
        <v>7.1481589999999997</v>
      </c>
      <c r="J7000" s="3">
        <v>7.4074182999999998</v>
      </c>
      <c r="K7000" s="3">
        <v>7.0740847999999996</v>
      </c>
      <c r="L7000" s="3">
        <v>100.22913840382</v>
      </c>
    </row>
    <row r="7001" spans="1:12" ht="15" customHeight="1" x14ac:dyDescent="0.2">
      <c r="A7001" s="2">
        <v>35888</v>
      </c>
      <c r="B7001" s="3">
        <v>7.1851950000000002</v>
      </c>
      <c r="C7001" s="1">
        <v>631124.15</v>
      </c>
      <c r="D7001" s="3">
        <v>-5.5556000000000098E-2</v>
      </c>
      <c r="E7001" s="3">
        <v>-0.76726847809018806</v>
      </c>
      <c r="F7001" s="3">
        <v>-0.76726847809018806</v>
      </c>
      <c r="G7001" s="3">
        <v>7.1851950000000002</v>
      </c>
      <c r="H7001" s="3">
        <v>100.22913840382</v>
      </c>
      <c r="I7001" s="3">
        <v>7.1481589999999997</v>
      </c>
      <c r="J7001" s="3">
        <v>7.2592699999999999</v>
      </c>
      <c r="K7001" s="3">
        <v>7.0000105000000001</v>
      </c>
      <c r="L7001" s="3">
        <v>100.22913840382</v>
      </c>
    </row>
    <row r="7002" spans="1:12" ht="15" customHeight="1" x14ac:dyDescent="0.2">
      <c r="A7002" s="2">
        <v>35887</v>
      </c>
      <c r="B7002" s="3">
        <v>7.2407510000000004</v>
      </c>
      <c r="C7002" s="1">
        <v>1340210.3999999999</v>
      </c>
      <c r="D7002" s="3">
        <v>0.30246600000000001</v>
      </c>
      <c r="E7002" s="3">
        <v>4.3593769930177304</v>
      </c>
      <c r="F7002" s="3">
        <v>4.3593769930177304</v>
      </c>
      <c r="G7002" s="3">
        <v>7.2407510000000004</v>
      </c>
      <c r="H7002" s="3">
        <v>101.777312115621</v>
      </c>
      <c r="I7002" s="3">
        <v>7.0000114</v>
      </c>
      <c r="J7002" s="3">
        <v>7.5555659999999998</v>
      </c>
      <c r="K7002" s="3">
        <v>6.9259352999999999</v>
      </c>
      <c r="L7002" s="3">
        <v>101.777312115621</v>
      </c>
    </row>
    <row r="7003" spans="1:12" ht="15" customHeight="1" x14ac:dyDescent="0.2">
      <c r="A7003" s="2">
        <v>35886</v>
      </c>
      <c r="B7003" s="3">
        <v>6.9382849999999996</v>
      </c>
      <c r="C7003" s="1">
        <v>1118810.3999999999</v>
      </c>
      <c r="D7003" s="3">
        <v>0.358025699999999</v>
      </c>
      <c r="E7003" s="3">
        <v>5.4409056494171901</v>
      </c>
      <c r="F7003" s="3">
        <v>5.4409056494171901</v>
      </c>
      <c r="G7003" s="3">
        <v>6.9382849999999996</v>
      </c>
      <c r="H7003" s="3">
        <v>93.348521167505098</v>
      </c>
      <c r="I7003" s="3">
        <v>6.5679154000000004</v>
      </c>
      <c r="J7003" s="3">
        <v>6.9629764999999999</v>
      </c>
      <c r="K7003" s="3">
        <v>6.5185313000000003</v>
      </c>
      <c r="L7003" s="3">
        <v>93.348521167505098</v>
      </c>
    </row>
    <row r="7004" spans="1:12" ht="15" customHeight="1" x14ac:dyDescent="0.2">
      <c r="A7004" s="2">
        <v>35885</v>
      </c>
      <c r="B7004" s="3">
        <v>6.5802592999999998</v>
      </c>
      <c r="C7004" s="1">
        <v>1320803.7</v>
      </c>
      <c r="D7004" s="3">
        <v>0.30864229999999898</v>
      </c>
      <c r="E7004" s="3">
        <v>4.9212555549868497</v>
      </c>
      <c r="F7004" s="3">
        <v>4.9212555549868497</v>
      </c>
      <c r="G7004" s="3">
        <v>6.5802592999999998</v>
      </c>
      <c r="H7004" s="3">
        <v>83.371453400043706</v>
      </c>
      <c r="I7004" s="3">
        <v>6.2963089999999999</v>
      </c>
      <c r="J7004" s="3">
        <v>6.6666800000000004</v>
      </c>
      <c r="K7004" s="3">
        <v>6.1975426999999996</v>
      </c>
      <c r="L7004" s="3">
        <v>83.371453400043706</v>
      </c>
    </row>
    <row r="7005" spans="1:12" ht="15" customHeight="1" x14ac:dyDescent="0.2">
      <c r="A7005" s="2">
        <v>35884</v>
      </c>
      <c r="B7005" s="3">
        <v>6.271617</v>
      </c>
      <c r="C7005" s="1">
        <v>271855.7</v>
      </c>
      <c r="D7005" s="3">
        <v>-2.46905999999995E-2</v>
      </c>
      <c r="E7005" s="3">
        <v>-0.39214411951536898</v>
      </c>
      <c r="F7005" s="3">
        <v>-0.39214411951536898</v>
      </c>
      <c r="G7005" s="3">
        <v>6.271617</v>
      </c>
      <c r="H7005" s="3">
        <v>74.770548093510797</v>
      </c>
      <c r="I7005" s="3">
        <v>6.271617</v>
      </c>
      <c r="J7005" s="3">
        <v>6.271617</v>
      </c>
      <c r="K7005" s="3">
        <v>6.1728516000000004</v>
      </c>
      <c r="L7005" s="3">
        <v>74.770548093510797</v>
      </c>
    </row>
    <row r="7006" spans="1:12" ht="15" customHeight="1" x14ac:dyDescent="0.2">
      <c r="A7006" s="2">
        <v>35881</v>
      </c>
      <c r="B7006" s="3">
        <v>6.2963075999999996</v>
      </c>
      <c r="C7006" s="1">
        <v>331593.14</v>
      </c>
      <c r="D7006" s="3">
        <v>-3.7037800000000197E-2</v>
      </c>
      <c r="E7006" s="3">
        <v>-0.58480625421124499</v>
      </c>
      <c r="F7006" s="3">
        <v>-0.58480625421124499</v>
      </c>
      <c r="G7006" s="3">
        <v>6.2963075999999996</v>
      </c>
      <c r="H7006" s="3">
        <v>75.458598670380795</v>
      </c>
      <c r="I7006" s="3">
        <v>6.3703839999999996</v>
      </c>
      <c r="J7006" s="3">
        <v>6.3703823000000002</v>
      </c>
      <c r="K7006" s="3">
        <v>6.271617</v>
      </c>
      <c r="L7006" s="3">
        <v>75.458598670380795</v>
      </c>
    </row>
    <row r="7007" spans="1:12" ht="15" customHeight="1" x14ac:dyDescent="0.2">
      <c r="A7007" s="2">
        <v>35880</v>
      </c>
      <c r="B7007" s="3">
        <v>6.3333453999999998</v>
      </c>
      <c r="C7007" s="1">
        <v>385761.8</v>
      </c>
      <c r="D7007" s="3">
        <v>-0.11111119999999899</v>
      </c>
      <c r="E7007" s="3">
        <v>-1.7241360582675</v>
      </c>
      <c r="F7007" s="3">
        <v>-1.7241360582675</v>
      </c>
      <c r="G7007" s="3">
        <v>6.3333453999999998</v>
      </c>
      <c r="H7007" s="3">
        <v>76.490727482803095</v>
      </c>
      <c r="I7007" s="3">
        <v>6.4691485999999996</v>
      </c>
      <c r="J7007" s="3">
        <v>6.4691485999999996</v>
      </c>
      <c r="K7007" s="3">
        <v>6.2963075999999996</v>
      </c>
      <c r="L7007" s="3">
        <v>76.490727482803095</v>
      </c>
    </row>
    <row r="7008" spans="1:12" ht="15" customHeight="1" x14ac:dyDescent="0.2">
      <c r="A7008" s="2">
        <v>35879</v>
      </c>
      <c r="B7008" s="3">
        <v>6.4444565999999996</v>
      </c>
      <c r="C7008" s="1">
        <v>272361.96999999997</v>
      </c>
      <c r="D7008" s="3"/>
      <c r="E7008" s="3"/>
      <c r="F7008" s="3"/>
      <c r="G7008" s="3">
        <v>6.4444565999999996</v>
      </c>
      <c r="H7008" s="3">
        <v>79.587052612881706</v>
      </c>
      <c r="I7008" s="3">
        <v>6.4444584999999996</v>
      </c>
      <c r="J7008" s="3">
        <v>6.4938399999999996</v>
      </c>
      <c r="K7008" s="3">
        <v>6.3950740000000001</v>
      </c>
      <c r="L7008" s="3">
        <v>79.587052612881706</v>
      </c>
    </row>
    <row r="7009" spans="1:12" ht="15" customHeight="1" x14ac:dyDescent="0.2">
      <c r="A7009" s="2">
        <v>35878</v>
      </c>
      <c r="B7009" s="3">
        <v>6.4444565999999996</v>
      </c>
      <c r="C7009" s="1">
        <v>775573.4</v>
      </c>
      <c r="D7009" s="3">
        <v>7.4074299999999399E-2</v>
      </c>
      <c r="E7009" s="3">
        <v>1.1627920666550799</v>
      </c>
      <c r="F7009" s="3">
        <v>1.1627920666550799</v>
      </c>
      <c r="G7009" s="3">
        <v>6.4444565999999996</v>
      </c>
      <c r="H7009" s="3">
        <v>79.587052612881706</v>
      </c>
      <c r="I7009" s="3">
        <v>6.4197660000000001</v>
      </c>
      <c r="J7009" s="3">
        <v>6.4691485999999996</v>
      </c>
      <c r="K7009" s="3">
        <v>6.3209996000000004</v>
      </c>
      <c r="L7009" s="3">
        <v>79.587052612881706</v>
      </c>
    </row>
    <row r="7010" spans="1:12" ht="15" customHeight="1" x14ac:dyDescent="0.2">
      <c r="A7010" s="2">
        <v>35877</v>
      </c>
      <c r="B7010" s="3">
        <v>6.3703823000000002</v>
      </c>
      <c r="C7010" s="1">
        <v>395380.43</v>
      </c>
      <c r="D7010" s="3">
        <v>0.1851843</v>
      </c>
      <c r="E7010" s="3">
        <v>2.99399146155063</v>
      </c>
      <c r="F7010" s="3">
        <v>2.99399146155063</v>
      </c>
      <c r="G7010" s="3">
        <v>6.3703823000000002</v>
      </c>
      <c r="H7010" s="3">
        <v>77.522831215012005</v>
      </c>
      <c r="I7010" s="3">
        <v>6.2222350000000004</v>
      </c>
      <c r="J7010" s="3">
        <v>6.4197654999999996</v>
      </c>
      <c r="K7010" s="3">
        <v>6.1481599999999998</v>
      </c>
      <c r="L7010" s="3">
        <v>77.522831215012005</v>
      </c>
    </row>
    <row r="7011" spans="1:12" ht="15" customHeight="1" x14ac:dyDescent="0.2">
      <c r="A7011" s="2">
        <v>35874</v>
      </c>
      <c r="B7011" s="3">
        <v>6.1851979999999998</v>
      </c>
      <c r="C7011" s="1">
        <v>120487.269999999</v>
      </c>
      <c r="D7011" s="3">
        <v>1.23463999999993E-2</v>
      </c>
      <c r="E7011" s="3">
        <v>0.200011288137869</v>
      </c>
      <c r="F7011" s="3">
        <v>0.200011288137869</v>
      </c>
      <c r="G7011" s="3">
        <v>6.1851979999999998</v>
      </c>
      <c r="H7011" s="3">
        <v>72.362318127348502</v>
      </c>
      <c r="I7011" s="3">
        <v>6.1605059999999998</v>
      </c>
      <c r="J7011" s="3">
        <v>6.2222333000000001</v>
      </c>
      <c r="K7011" s="3">
        <v>6.1481599999999998</v>
      </c>
      <c r="L7011" s="3">
        <v>72.362318127348502</v>
      </c>
    </row>
    <row r="7012" spans="1:12" ht="15" customHeight="1" x14ac:dyDescent="0.2">
      <c r="A7012" s="2">
        <v>35873</v>
      </c>
      <c r="B7012" s="3">
        <v>6.1728516000000004</v>
      </c>
      <c r="C7012" s="1">
        <v>111374.77</v>
      </c>
      <c r="D7012" s="3">
        <v>-4.9381699999999598E-2</v>
      </c>
      <c r="E7012" s="3">
        <v>-0.79363305133544004</v>
      </c>
      <c r="F7012" s="3">
        <v>-0.79363305133544004</v>
      </c>
      <c r="G7012" s="3">
        <v>6.1728516000000004</v>
      </c>
      <c r="H7012" s="3">
        <v>72.018262185319202</v>
      </c>
      <c r="I7012" s="3">
        <v>6.1605059999999998</v>
      </c>
      <c r="J7012" s="3">
        <v>6.2222333000000001</v>
      </c>
      <c r="K7012" s="3">
        <v>6.1358136999999999</v>
      </c>
      <c r="L7012" s="3">
        <v>72.018262185319202</v>
      </c>
    </row>
    <row r="7013" spans="1:12" ht="15" customHeight="1" x14ac:dyDescent="0.2">
      <c r="A7013" s="2">
        <v>35872</v>
      </c>
      <c r="B7013" s="3">
        <v>6.2222333000000001</v>
      </c>
      <c r="C7013" s="1">
        <v>150355.97</v>
      </c>
      <c r="D7013" s="3">
        <v>0.17283959999999901</v>
      </c>
      <c r="E7013" s="3">
        <v>2.8571392204147501</v>
      </c>
      <c r="F7013" s="3">
        <v>2.8571392204147501</v>
      </c>
      <c r="G7013" s="3">
        <v>6.2222333000000001</v>
      </c>
      <c r="H7013" s="3">
        <v>73.394377272511093</v>
      </c>
      <c r="I7013" s="3">
        <v>6.0987773000000001</v>
      </c>
      <c r="J7013" s="3">
        <v>6.2222333000000001</v>
      </c>
      <c r="K7013" s="3">
        <v>6.0740860000000003</v>
      </c>
      <c r="L7013" s="3">
        <v>73.394377272511093</v>
      </c>
    </row>
    <row r="7014" spans="1:12" ht="15" customHeight="1" x14ac:dyDescent="0.2">
      <c r="A7014" s="2">
        <v>35871</v>
      </c>
      <c r="B7014" s="3">
        <v>6.0493937000000004</v>
      </c>
      <c r="C7014" s="1">
        <v>224268.3</v>
      </c>
      <c r="D7014" s="3">
        <v>-0.22222329999999901</v>
      </c>
      <c r="E7014" s="3">
        <v>-3.5433174570449499</v>
      </c>
      <c r="F7014" s="3">
        <v>-3.5433174570449499</v>
      </c>
      <c r="G7014" s="3">
        <v>6.0493937000000004</v>
      </c>
      <c r="H7014" s="3">
        <v>68.577872753140298</v>
      </c>
      <c r="I7014" s="3">
        <v>6.2469263000000002</v>
      </c>
      <c r="J7014" s="3">
        <v>6.3209996000000004</v>
      </c>
      <c r="K7014" s="3">
        <v>6.0493937000000004</v>
      </c>
      <c r="L7014" s="3">
        <v>68.577872753140298</v>
      </c>
    </row>
    <row r="7015" spans="1:12" ht="15" customHeight="1" x14ac:dyDescent="0.2">
      <c r="A7015" s="2">
        <v>35870</v>
      </c>
      <c r="B7015" s="3">
        <v>6.271617</v>
      </c>
      <c r="C7015" s="1">
        <v>191868.41</v>
      </c>
      <c r="D7015" s="3">
        <v>9.8765399999999504E-2</v>
      </c>
      <c r="E7015" s="3">
        <v>1.59999634528715</v>
      </c>
      <c r="F7015" s="3">
        <v>1.59999634528715</v>
      </c>
      <c r="G7015" s="3">
        <v>6.271617</v>
      </c>
      <c r="H7015" s="3">
        <v>74.770548093510797</v>
      </c>
      <c r="I7015" s="3">
        <v>6.1975426999999996</v>
      </c>
      <c r="J7015" s="3">
        <v>6.2963075999999996</v>
      </c>
      <c r="K7015" s="3">
        <v>6.1975426999999996</v>
      </c>
      <c r="L7015" s="3">
        <v>74.770548093510797</v>
      </c>
    </row>
    <row r="7016" spans="1:12" ht="15" customHeight="1" x14ac:dyDescent="0.2">
      <c r="A7016" s="2">
        <v>35867</v>
      </c>
      <c r="B7016" s="3">
        <v>6.1728516000000004</v>
      </c>
      <c r="C7016" s="1">
        <v>182755.9</v>
      </c>
      <c r="D7016" s="3">
        <v>-0.11111109999999901</v>
      </c>
      <c r="E7016" s="3">
        <v>-1.7681693113805199</v>
      </c>
      <c r="F7016" s="3">
        <v>-1.7681693113805199</v>
      </c>
      <c r="G7016" s="3">
        <v>6.1728516000000004</v>
      </c>
      <c r="H7016" s="3">
        <v>72.018262185319202</v>
      </c>
      <c r="I7016" s="3">
        <v>6.3210015000000004</v>
      </c>
      <c r="J7016" s="3">
        <v>6.3209996000000004</v>
      </c>
      <c r="K7016" s="3">
        <v>6.1234690000000001</v>
      </c>
      <c r="L7016" s="3">
        <v>72.018262185319202</v>
      </c>
    </row>
    <row r="7017" spans="1:12" ht="15" customHeight="1" x14ac:dyDescent="0.2">
      <c r="A7017" s="2">
        <v>35866</v>
      </c>
      <c r="B7017" s="3">
        <v>6.2839627</v>
      </c>
      <c r="C7017" s="1">
        <v>247049.53</v>
      </c>
      <c r="D7017" s="3">
        <v>-3.7036900000000303E-2</v>
      </c>
      <c r="E7017" s="3">
        <v>-0.58593422470711798</v>
      </c>
      <c r="F7017" s="3">
        <v>-0.58593422470711798</v>
      </c>
      <c r="G7017" s="3">
        <v>6.2839627</v>
      </c>
      <c r="H7017" s="3">
        <v>75.114584528707297</v>
      </c>
      <c r="I7017" s="3">
        <v>6.2963089999999999</v>
      </c>
      <c r="J7017" s="3">
        <v>6.2963075999999996</v>
      </c>
      <c r="K7017" s="3">
        <v>6.1851979999999998</v>
      </c>
      <c r="L7017" s="3">
        <v>75.114584528707297</v>
      </c>
    </row>
    <row r="7018" spans="1:12" ht="15" customHeight="1" x14ac:dyDescent="0.2">
      <c r="A7018" s="2">
        <v>35865</v>
      </c>
      <c r="B7018" s="3">
        <v>6.3209996000000004</v>
      </c>
      <c r="C7018" s="1">
        <v>384749.3</v>
      </c>
      <c r="D7018" s="3">
        <v>0.12345689999999999</v>
      </c>
      <c r="E7018" s="3">
        <v>1.9920298411175199</v>
      </c>
      <c r="F7018" s="3">
        <v>1.9920298411175199</v>
      </c>
      <c r="G7018" s="3">
        <v>6.3209996000000004</v>
      </c>
      <c r="H7018" s="3">
        <v>76.146688260916207</v>
      </c>
      <c r="I7018" s="3">
        <v>6.2345800000000002</v>
      </c>
      <c r="J7018" s="3">
        <v>6.3209996000000004</v>
      </c>
      <c r="K7018" s="3">
        <v>6.1975426999999996</v>
      </c>
      <c r="L7018" s="3">
        <v>76.146688260916207</v>
      </c>
    </row>
    <row r="7019" spans="1:12" ht="15" customHeight="1" x14ac:dyDescent="0.2">
      <c r="A7019" s="2">
        <v>35864</v>
      </c>
      <c r="B7019" s="3">
        <v>6.1975426999999996</v>
      </c>
      <c r="C7019" s="1">
        <v>601930.1</v>
      </c>
      <c r="D7019" s="3">
        <v>7.4073699999999507E-2</v>
      </c>
      <c r="E7019" s="3">
        <v>1.2096688984626101</v>
      </c>
      <c r="F7019" s="3">
        <v>1.2096688984626101</v>
      </c>
      <c r="G7019" s="3">
        <v>6.1975426999999996</v>
      </c>
      <c r="H7019" s="3">
        <v>72.706326695641096</v>
      </c>
      <c r="I7019" s="3">
        <v>6.1975426999999996</v>
      </c>
      <c r="J7019" s="3">
        <v>6.2963075999999996</v>
      </c>
      <c r="K7019" s="3">
        <v>6.1234690000000001</v>
      </c>
      <c r="L7019" s="3">
        <v>72.706326695641096</v>
      </c>
    </row>
    <row r="7020" spans="1:12" ht="15" customHeight="1" x14ac:dyDescent="0.2">
      <c r="A7020" s="2">
        <v>35863</v>
      </c>
      <c r="B7020" s="3">
        <v>6.1234690000000001</v>
      </c>
      <c r="C7020" s="1">
        <v>711786.2</v>
      </c>
      <c r="D7020" s="3">
        <v>7.4075299999999594E-2</v>
      </c>
      <c r="E7020" s="3">
        <v>1.22450783786811</v>
      </c>
      <c r="F7020" s="3">
        <v>1.22450783786811</v>
      </c>
      <c r="G7020" s="3">
        <v>6.1234690000000001</v>
      </c>
      <c r="H7020" s="3">
        <v>70.642122017913806</v>
      </c>
      <c r="I7020" s="3">
        <v>6.0740866999999996</v>
      </c>
      <c r="J7020" s="3">
        <v>6.2469254000000003</v>
      </c>
      <c r="K7020" s="3">
        <v>5.9259367000000003</v>
      </c>
      <c r="L7020" s="3">
        <v>70.642122017913806</v>
      </c>
    </row>
    <row r="7021" spans="1:12" ht="15" customHeight="1" x14ac:dyDescent="0.2">
      <c r="A7021" s="2">
        <v>35860</v>
      </c>
      <c r="B7021" s="3">
        <v>6.0493937000000004</v>
      </c>
      <c r="C7021" s="1">
        <v>1753646.9</v>
      </c>
      <c r="D7021" s="3">
        <v>0.34567930000000002</v>
      </c>
      <c r="E7021" s="3">
        <v>6.0605997383038801</v>
      </c>
      <c r="F7021" s="3">
        <v>6.0605997383038801</v>
      </c>
      <c r="G7021" s="3">
        <v>6.0493937000000004</v>
      </c>
      <c r="H7021" s="3">
        <v>68.577872753140298</v>
      </c>
      <c r="I7021" s="3">
        <v>5.7530985000000001</v>
      </c>
      <c r="J7021" s="3">
        <v>6.1481599999999998</v>
      </c>
      <c r="K7021" s="3">
        <v>5.6790232999999999</v>
      </c>
      <c r="L7021" s="3">
        <v>68.577872753140298</v>
      </c>
    </row>
    <row r="7022" spans="1:12" ht="15" customHeight="1" x14ac:dyDescent="0.2">
      <c r="A7022" s="2">
        <v>35859</v>
      </c>
      <c r="B7022" s="3">
        <v>5.7037144</v>
      </c>
      <c r="C7022" s="1">
        <v>549786.43999999994</v>
      </c>
      <c r="D7022" s="3">
        <v>-0.17283959999999901</v>
      </c>
      <c r="E7022" s="3">
        <v>-2.9411726668384199</v>
      </c>
      <c r="F7022" s="3">
        <v>-2.9411726668384199</v>
      </c>
      <c r="G7022" s="3">
        <v>5.7037144</v>
      </c>
      <c r="H7022" s="3">
        <v>58.944860927708099</v>
      </c>
      <c r="I7022" s="3">
        <v>5.7284063999999999</v>
      </c>
      <c r="J7022" s="3">
        <v>5.8518629999999998</v>
      </c>
      <c r="K7022" s="3">
        <v>5.6296406000000001</v>
      </c>
      <c r="L7022" s="3">
        <v>58.944860927708099</v>
      </c>
    </row>
    <row r="7023" spans="1:12" ht="15" customHeight="1" x14ac:dyDescent="0.2">
      <c r="A7023" s="2">
        <v>35858</v>
      </c>
      <c r="B7023" s="3">
        <v>5.8765539999999996</v>
      </c>
      <c r="C7023" s="1">
        <v>722923.64999999898</v>
      </c>
      <c r="D7023" s="3">
        <v>-0.14814949999999999</v>
      </c>
      <c r="E7023" s="3">
        <v>-2.4590338761069401</v>
      </c>
      <c r="F7023" s="3">
        <v>-2.4590338761069401</v>
      </c>
      <c r="G7023" s="3">
        <v>5.8765539999999996</v>
      </c>
      <c r="H7023" s="3">
        <v>63.761365447079001</v>
      </c>
      <c r="I7023" s="3">
        <v>6.0247035000000002</v>
      </c>
      <c r="J7023" s="3">
        <v>6.0247035000000002</v>
      </c>
      <c r="K7023" s="3">
        <v>5.8271712999999998</v>
      </c>
      <c r="L7023" s="3">
        <v>63.761365447079001</v>
      </c>
    </row>
    <row r="7024" spans="1:12" ht="15" customHeight="1" x14ac:dyDescent="0.2">
      <c r="A7024" s="2">
        <v>35857</v>
      </c>
      <c r="B7024" s="3">
        <v>6.0247035000000002</v>
      </c>
      <c r="C7024" s="1">
        <v>493086.55</v>
      </c>
      <c r="D7024" s="3">
        <v>-9.8765499999999798E-2</v>
      </c>
      <c r="E7024" s="3">
        <v>-1.6129011186306199</v>
      </c>
      <c r="F7024" s="3">
        <v>-1.6129011186306199</v>
      </c>
      <c r="G7024" s="3">
        <v>6.0247035000000002</v>
      </c>
      <c r="H7024" s="3">
        <v>67.889833323031795</v>
      </c>
      <c r="I7024" s="3">
        <v>6.1481614000000002</v>
      </c>
      <c r="J7024" s="3">
        <v>6.1481599999999998</v>
      </c>
      <c r="K7024" s="3">
        <v>6.0000109999999998</v>
      </c>
      <c r="L7024" s="3">
        <v>67.889833323031795</v>
      </c>
    </row>
    <row r="7025" spans="1:12" ht="15" customHeight="1" x14ac:dyDescent="0.2">
      <c r="A7025" s="2">
        <v>35856</v>
      </c>
      <c r="B7025" s="3">
        <v>6.1234690000000001</v>
      </c>
      <c r="C7025" s="1">
        <v>1900459</v>
      </c>
      <c r="D7025" s="3">
        <v>-0.2469133</v>
      </c>
      <c r="E7025" s="3">
        <v>-3.8759573346170999</v>
      </c>
      <c r="F7025" s="3">
        <v>-3.8759573346170999</v>
      </c>
      <c r="G7025" s="3">
        <v>6.1234690000000001</v>
      </c>
      <c r="H7025" s="3">
        <v>70.642122017913806</v>
      </c>
      <c r="I7025" s="3">
        <v>6.3950740000000001</v>
      </c>
      <c r="J7025" s="3">
        <v>6.4691485999999996</v>
      </c>
      <c r="K7025" s="3">
        <v>6.1234690000000001</v>
      </c>
      <c r="L7025" s="3">
        <v>70.642122017913806</v>
      </c>
    </row>
    <row r="7026" spans="1:12" ht="15" customHeight="1" x14ac:dyDescent="0.2">
      <c r="A7026" s="2">
        <v>35853</v>
      </c>
      <c r="B7026" s="3">
        <v>6.3703823000000002</v>
      </c>
      <c r="C7026" s="1">
        <v>902135.7</v>
      </c>
      <c r="D7026" s="3">
        <v>-3.7037699999999903E-2</v>
      </c>
      <c r="E7026" s="3">
        <v>-0.57804389286171198</v>
      </c>
      <c r="F7026" s="3">
        <v>-0.57804389286171198</v>
      </c>
      <c r="G7026" s="3">
        <v>6.3703823000000002</v>
      </c>
      <c r="H7026" s="3">
        <v>77.522831215012005</v>
      </c>
      <c r="I7026" s="3">
        <v>6.4691485999999996</v>
      </c>
      <c r="J7026" s="3">
        <v>6.5185313000000003</v>
      </c>
      <c r="K7026" s="3">
        <v>6.3456916999999997</v>
      </c>
      <c r="L7026" s="3">
        <v>77.522831215012005</v>
      </c>
    </row>
    <row r="7027" spans="1:12" ht="15" customHeight="1" x14ac:dyDescent="0.2">
      <c r="A7027" s="2">
        <v>35852</v>
      </c>
      <c r="B7027" s="3">
        <v>6.4074200000000001</v>
      </c>
      <c r="C7027" s="1">
        <v>903654.40000000002</v>
      </c>
      <c r="D7027" s="3">
        <v>-0.20987599999999901</v>
      </c>
      <c r="E7027" s="3">
        <v>-3.1716278068866601</v>
      </c>
      <c r="F7027" s="3">
        <v>-3.1716278068866601</v>
      </c>
      <c r="G7027" s="3">
        <v>6.4074200000000001</v>
      </c>
      <c r="H7027" s="3">
        <v>78.554957240744002</v>
      </c>
      <c r="I7027" s="3">
        <v>6.6172975999999997</v>
      </c>
      <c r="J7027" s="3">
        <v>6.6172959999999996</v>
      </c>
      <c r="K7027" s="3">
        <v>6.3827286000000001</v>
      </c>
      <c r="L7027" s="3">
        <v>78.554957240744002</v>
      </c>
    </row>
    <row r="7028" spans="1:12" ht="15" customHeight="1" x14ac:dyDescent="0.2">
      <c r="A7028" s="2">
        <v>35851</v>
      </c>
      <c r="B7028" s="3">
        <v>6.6172959999999996</v>
      </c>
      <c r="C7028" s="1">
        <v>978073.1</v>
      </c>
      <c r="D7028" s="3">
        <v>0.24691369999999899</v>
      </c>
      <c r="E7028" s="3">
        <v>3.8759636136751001</v>
      </c>
      <c r="F7028" s="3">
        <v>3.8759636136751001</v>
      </c>
      <c r="G7028" s="3">
        <v>6.6172959999999996</v>
      </c>
      <c r="H7028" s="3">
        <v>84.403551558871797</v>
      </c>
      <c r="I7028" s="3">
        <v>6.4197660000000001</v>
      </c>
      <c r="J7028" s="3">
        <v>6.6419873000000003</v>
      </c>
      <c r="K7028" s="3">
        <v>6.3209996000000004</v>
      </c>
      <c r="L7028" s="3">
        <v>84.403551558871797</v>
      </c>
    </row>
    <row r="7029" spans="1:12" ht="15" customHeight="1" x14ac:dyDescent="0.2">
      <c r="A7029" s="2">
        <v>35850</v>
      </c>
      <c r="B7029" s="3">
        <v>6.3703823000000002</v>
      </c>
      <c r="C7029" s="1">
        <v>739123.54</v>
      </c>
      <c r="D7029" s="3">
        <v>-7.4074299999999399E-2</v>
      </c>
      <c r="E7029" s="3">
        <v>-1.14942662504701</v>
      </c>
      <c r="F7029" s="3">
        <v>-1.14942662504701</v>
      </c>
      <c r="G7029" s="3">
        <v>6.3703823000000002</v>
      </c>
      <c r="H7029" s="3">
        <v>77.522831215012005</v>
      </c>
      <c r="I7029" s="3">
        <v>6.4691485999999996</v>
      </c>
      <c r="J7029" s="3">
        <v>6.4938399999999996</v>
      </c>
      <c r="K7029" s="3">
        <v>6.3209996000000004</v>
      </c>
      <c r="L7029" s="3">
        <v>77.522831215012005</v>
      </c>
    </row>
    <row r="7030" spans="1:12" ht="15" customHeight="1" x14ac:dyDescent="0.2">
      <c r="A7030" s="2">
        <v>35849</v>
      </c>
      <c r="B7030" s="3">
        <v>6.4444565999999996</v>
      </c>
      <c r="C7030" s="1">
        <v>776585.94</v>
      </c>
      <c r="D7030" s="3">
        <v>0.19753119999999899</v>
      </c>
      <c r="E7030" s="3">
        <v>3.1620547285549301</v>
      </c>
      <c r="F7030" s="3">
        <v>3.1620547285549301</v>
      </c>
      <c r="G7030" s="3">
        <v>6.4444565999999996</v>
      </c>
      <c r="H7030" s="3">
        <v>79.587052612881706</v>
      </c>
      <c r="I7030" s="3">
        <v>6.3210015000000004</v>
      </c>
      <c r="J7030" s="3">
        <v>6.5926039999999997</v>
      </c>
      <c r="K7030" s="3">
        <v>6.2222333000000001</v>
      </c>
      <c r="L7030" s="3">
        <v>79.587052612881706</v>
      </c>
    </row>
    <row r="7031" spans="1:12" ht="15" customHeight="1" x14ac:dyDescent="0.2">
      <c r="A7031" s="2">
        <v>35846</v>
      </c>
      <c r="B7031" s="3">
        <v>6.2469254000000003</v>
      </c>
      <c r="C7031" s="1">
        <v>664198.69999999995</v>
      </c>
      <c r="D7031" s="3">
        <v>0.29629660000000002</v>
      </c>
      <c r="E7031" s="3">
        <v>4.97924857957869</v>
      </c>
      <c r="F7031" s="3">
        <v>4.97924857957869</v>
      </c>
      <c r="G7031" s="3">
        <v>6.2469254000000003</v>
      </c>
      <c r="H7031" s="3">
        <v>74.082469649736893</v>
      </c>
      <c r="I7031" s="3">
        <v>5.9012475000000002</v>
      </c>
      <c r="J7031" s="3">
        <v>6.3703823000000002</v>
      </c>
      <c r="K7031" s="3">
        <v>5.9012456000000002</v>
      </c>
      <c r="L7031" s="3">
        <v>74.082469649736893</v>
      </c>
    </row>
    <row r="7032" spans="1:12" ht="15" customHeight="1" x14ac:dyDescent="0.2">
      <c r="A7032" s="2">
        <v>35845</v>
      </c>
      <c r="B7032" s="3">
        <v>5.9506287999999996</v>
      </c>
      <c r="C7032" s="1">
        <v>250593.25</v>
      </c>
      <c r="D7032" s="3">
        <v>-0.11111119999999999</v>
      </c>
      <c r="E7032" s="3">
        <v>-1.8329918472253901</v>
      </c>
      <c r="F7032" s="3">
        <v>-1.8329918472253901</v>
      </c>
      <c r="G7032" s="3">
        <v>5.9506287999999996</v>
      </c>
      <c r="H7032" s="3">
        <v>65.825600778400599</v>
      </c>
      <c r="I7032" s="3">
        <v>6.0493949999999996</v>
      </c>
      <c r="J7032" s="3">
        <v>6.0493937000000004</v>
      </c>
      <c r="K7032" s="3">
        <v>5.9012456000000002</v>
      </c>
      <c r="L7032" s="3">
        <v>65.825600778400599</v>
      </c>
    </row>
    <row r="7033" spans="1:12" ht="15" customHeight="1" x14ac:dyDescent="0.2">
      <c r="A7033" s="2">
        <v>35844</v>
      </c>
      <c r="B7033" s="3">
        <v>6.0617400000000004</v>
      </c>
      <c r="C7033" s="1">
        <v>791267.15</v>
      </c>
      <c r="D7033" s="3">
        <v>-2.4690999999999699E-2</v>
      </c>
      <c r="E7033" s="3">
        <v>-0.40567288120081302</v>
      </c>
      <c r="F7033" s="3">
        <v>-0.40567288120081302</v>
      </c>
      <c r="G7033" s="3">
        <v>6.0617400000000004</v>
      </c>
      <c r="H7033" s="3">
        <v>68.921925908479096</v>
      </c>
      <c r="I7033" s="3">
        <v>6.0740866999999996</v>
      </c>
      <c r="J7033" s="3">
        <v>6.1234690000000001</v>
      </c>
      <c r="K7033" s="3">
        <v>6.0493937000000004</v>
      </c>
      <c r="L7033" s="3">
        <v>68.921925908479096</v>
      </c>
    </row>
    <row r="7034" spans="1:12" ht="15" customHeight="1" x14ac:dyDescent="0.2">
      <c r="A7034" s="2">
        <v>35843</v>
      </c>
      <c r="B7034" s="3">
        <v>6.0864310000000001</v>
      </c>
      <c r="C7034" s="1">
        <v>910742</v>
      </c>
      <c r="D7034" s="3">
        <v>-6.1728999999999701E-2</v>
      </c>
      <c r="E7034" s="3">
        <v>-1.0040239681465599</v>
      </c>
      <c r="F7034" s="3">
        <v>-1.0040239681465599</v>
      </c>
      <c r="G7034" s="3">
        <v>6.0864310000000001</v>
      </c>
      <c r="H7034" s="3">
        <v>69.609987632110702</v>
      </c>
      <c r="I7034" s="3">
        <v>6.1481614000000002</v>
      </c>
      <c r="J7034" s="3">
        <v>6.1728516000000004</v>
      </c>
      <c r="K7034" s="3">
        <v>6.0740860000000003</v>
      </c>
      <c r="L7034" s="3">
        <v>69.609987632110702</v>
      </c>
    </row>
    <row r="7035" spans="1:12" ht="15" customHeight="1" x14ac:dyDescent="0.2">
      <c r="A7035" s="2">
        <v>35839</v>
      </c>
      <c r="B7035" s="3">
        <v>6.1481599999999998</v>
      </c>
      <c r="C7035" s="1">
        <v>1540516</v>
      </c>
      <c r="D7035" s="3">
        <v>-7.4073300000000203E-2</v>
      </c>
      <c r="E7035" s="3">
        <v>-1.1904616305531399</v>
      </c>
      <c r="F7035" s="3">
        <v>-1.1904616305531399</v>
      </c>
      <c r="G7035" s="3">
        <v>6.1481599999999998</v>
      </c>
      <c r="H7035" s="3">
        <v>71.330183741545298</v>
      </c>
      <c r="I7035" s="3">
        <v>6.271617</v>
      </c>
      <c r="J7035" s="3">
        <v>6.271617</v>
      </c>
      <c r="K7035" s="3">
        <v>6.1234690000000001</v>
      </c>
      <c r="L7035" s="3">
        <v>71.330183741545298</v>
      </c>
    </row>
    <row r="7036" spans="1:12" ht="15" customHeight="1" x14ac:dyDescent="0.2">
      <c r="A7036" s="2">
        <v>35838</v>
      </c>
      <c r="B7036" s="3">
        <v>6.2222333000000001</v>
      </c>
      <c r="C7036" s="1">
        <v>1047429.2</v>
      </c>
      <c r="D7036" s="3">
        <v>-2.4692100000000199E-2</v>
      </c>
      <c r="E7036" s="3">
        <v>-0.39526804658176401</v>
      </c>
      <c r="F7036" s="3">
        <v>-0.39526804658176401</v>
      </c>
      <c r="G7036" s="3">
        <v>6.2222333000000001</v>
      </c>
      <c r="H7036" s="3">
        <v>73.394377272511093</v>
      </c>
      <c r="I7036" s="3">
        <v>6.3456916999999997</v>
      </c>
      <c r="J7036" s="3">
        <v>6.4691485999999996</v>
      </c>
      <c r="K7036" s="3">
        <v>6.1975426999999996</v>
      </c>
      <c r="L7036" s="3">
        <v>73.394377272511093</v>
      </c>
    </row>
    <row r="7037" spans="1:12" ht="15" customHeight="1" x14ac:dyDescent="0.2">
      <c r="A7037" s="2">
        <v>35837</v>
      </c>
      <c r="B7037" s="3">
        <v>6.2469254000000003</v>
      </c>
      <c r="C7037" s="1">
        <v>807467.2</v>
      </c>
      <c r="D7037" s="3">
        <v>0.1481481</v>
      </c>
      <c r="E7037" s="3">
        <v>2.42914428110041</v>
      </c>
      <c r="F7037" s="3">
        <v>2.42914428110041</v>
      </c>
      <c r="G7037" s="3">
        <v>6.2469254000000003</v>
      </c>
      <c r="H7037" s="3">
        <v>74.082469649736893</v>
      </c>
      <c r="I7037" s="3">
        <v>6.0740866999999996</v>
      </c>
      <c r="J7037" s="3">
        <v>6.3209996000000004</v>
      </c>
      <c r="K7037" s="3">
        <v>6.0493937000000004</v>
      </c>
      <c r="L7037" s="3">
        <v>74.082469649736893</v>
      </c>
    </row>
    <row r="7038" spans="1:12" ht="15" customHeight="1" x14ac:dyDescent="0.2">
      <c r="A7038" s="2">
        <v>35836</v>
      </c>
      <c r="B7038" s="3">
        <v>6.0987773000000001</v>
      </c>
      <c r="C7038" s="1">
        <v>402468</v>
      </c>
      <c r="D7038" s="3">
        <v>-0.19753029999999899</v>
      </c>
      <c r="E7038" s="3">
        <v>-3.1372403089073799</v>
      </c>
      <c r="F7038" s="3">
        <v>-3.1372403089073799</v>
      </c>
      <c r="G7038" s="3">
        <v>6.0987773000000001</v>
      </c>
      <c r="H7038" s="3">
        <v>69.9540407874495</v>
      </c>
      <c r="I7038" s="3">
        <v>6.3456916999999997</v>
      </c>
      <c r="J7038" s="3">
        <v>6.3456916999999997</v>
      </c>
      <c r="K7038" s="3">
        <v>6.0740860000000003</v>
      </c>
      <c r="L7038" s="3">
        <v>69.9540407874495</v>
      </c>
    </row>
    <row r="7039" spans="1:12" ht="15" customHeight="1" x14ac:dyDescent="0.2">
      <c r="A7039" s="2">
        <v>35835</v>
      </c>
      <c r="B7039" s="3">
        <v>6.2963075999999996</v>
      </c>
      <c r="C7039" s="1">
        <v>428792.94</v>
      </c>
      <c r="D7039" s="3">
        <v>-7.4074700000000604E-2</v>
      </c>
      <c r="E7039" s="3">
        <v>-1.1627983457131099</v>
      </c>
      <c r="F7039" s="3">
        <v>-1.1627983457131099</v>
      </c>
      <c r="G7039" s="3">
        <v>6.2963075999999996</v>
      </c>
      <c r="H7039" s="3">
        <v>75.458598670380795</v>
      </c>
      <c r="I7039" s="3">
        <v>6.3703839999999996</v>
      </c>
      <c r="J7039" s="3">
        <v>6.4074200000000001</v>
      </c>
      <c r="K7039" s="3">
        <v>6.271617</v>
      </c>
      <c r="L7039" s="3">
        <v>75.458598670380795</v>
      </c>
    </row>
    <row r="7040" spans="1:12" ht="15" customHeight="1" x14ac:dyDescent="0.2">
      <c r="A7040" s="2">
        <v>35832</v>
      </c>
      <c r="B7040" s="3">
        <v>6.3703823000000002</v>
      </c>
      <c r="C7040" s="1">
        <v>524980.15999999898</v>
      </c>
      <c r="D7040" s="3">
        <v>0.2469133</v>
      </c>
      <c r="E7040" s="3">
        <v>4.0322454478009098</v>
      </c>
      <c r="F7040" s="3">
        <v>4.0322454478009098</v>
      </c>
      <c r="G7040" s="3">
        <v>6.3703823000000002</v>
      </c>
      <c r="H7040" s="3">
        <v>77.522831215012005</v>
      </c>
      <c r="I7040" s="3">
        <v>6.0493949999999996</v>
      </c>
      <c r="J7040" s="3">
        <v>6.3703823000000002</v>
      </c>
      <c r="K7040" s="3">
        <v>6.0493937000000004</v>
      </c>
      <c r="L7040" s="3">
        <v>77.522831215012005</v>
      </c>
    </row>
    <row r="7041" spans="1:12" ht="15" customHeight="1" x14ac:dyDescent="0.2">
      <c r="A7041" s="2">
        <v>35831</v>
      </c>
      <c r="B7041" s="3">
        <v>6.1234690000000001</v>
      </c>
      <c r="C7041" s="1">
        <v>67331.115999999995</v>
      </c>
      <c r="D7041" s="3">
        <v>-7.4073699999999507E-2</v>
      </c>
      <c r="E7041" s="3">
        <v>-1.1952108050824599</v>
      </c>
      <c r="F7041" s="3">
        <v>-1.1952108050824599</v>
      </c>
      <c r="G7041" s="3">
        <v>6.1234690000000001</v>
      </c>
      <c r="H7041" s="3">
        <v>70.642122017913806</v>
      </c>
      <c r="I7041" s="3">
        <v>6.0740866999999996</v>
      </c>
      <c r="J7041" s="3">
        <v>6.1975426999999996</v>
      </c>
      <c r="K7041" s="3">
        <v>6.0740860000000003</v>
      </c>
      <c r="L7041" s="3">
        <v>70.642122017913806</v>
      </c>
    </row>
    <row r="7042" spans="1:12" ht="15" customHeight="1" x14ac:dyDescent="0.2">
      <c r="A7042" s="2">
        <v>35830</v>
      </c>
      <c r="B7042" s="3">
        <v>6.1975426999999996</v>
      </c>
      <c r="C7042" s="1">
        <v>196424.6</v>
      </c>
      <c r="D7042" s="3">
        <v>2.4691099999999098E-2</v>
      </c>
      <c r="E7042" s="3">
        <v>0.39999503632970301</v>
      </c>
      <c r="F7042" s="3">
        <v>0.39999503632970301</v>
      </c>
      <c r="G7042" s="3">
        <v>6.1975426999999996</v>
      </c>
      <c r="H7042" s="3">
        <v>72.706326695641096</v>
      </c>
      <c r="I7042" s="3">
        <v>6.1728519999999998</v>
      </c>
      <c r="J7042" s="3">
        <v>6.2222333000000001</v>
      </c>
      <c r="K7042" s="3">
        <v>6.0493937000000004</v>
      </c>
      <c r="L7042" s="3">
        <v>72.706326695641096</v>
      </c>
    </row>
    <row r="7043" spans="1:12" ht="15" customHeight="1" x14ac:dyDescent="0.2">
      <c r="A7043" s="2">
        <v>35829</v>
      </c>
      <c r="B7043" s="3">
        <v>6.1728516000000004</v>
      </c>
      <c r="C7043" s="1">
        <v>895554.44</v>
      </c>
      <c r="D7043" s="3">
        <v>0.1234579</v>
      </c>
      <c r="E7043" s="3">
        <v>2.04083096790343</v>
      </c>
      <c r="F7043" s="3">
        <v>2.04083096790343</v>
      </c>
      <c r="G7043" s="3">
        <v>6.1728516000000004</v>
      </c>
      <c r="H7043" s="3">
        <v>72.018262185319202</v>
      </c>
      <c r="I7043" s="3">
        <v>6.0617403999999997</v>
      </c>
      <c r="J7043" s="3">
        <v>6.271617</v>
      </c>
      <c r="K7043" s="3">
        <v>5.9382824999999997</v>
      </c>
      <c r="L7043" s="3">
        <v>72.018262185319202</v>
      </c>
    </row>
    <row r="7044" spans="1:12" ht="15" customHeight="1" x14ac:dyDescent="0.2">
      <c r="A7044" s="2">
        <v>35828</v>
      </c>
      <c r="B7044" s="3">
        <v>6.0493937000000004</v>
      </c>
      <c r="C7044" s="1">
        <v>683942.5</v>
      </c>
      <c r="D7044" s="3">
        <v>0.28394970000000003</v>
      </c>
      <c r="E7044" s="3">
        <v>4.9250274566885199</v>
      </c>
      <c r="F7044" s="3">
        <v>4.9250274566885199</v>
      </c>
      <c r="G7044" s="3">
        <v>6.0493937000000004</v>
      </c>
      <c r="H7044" s="3">
        <v>68.577872753140298</v>
      </c>
      <c r="I7044" s="3">
        <v>5.8271723</v>
      </c>
      <c r="J7044" s="3">
        <v>6.0617400000000004</v>
      </c>
      <c r="K7044" s="3">
        <v>5.7530970000000003</v>
      </c>
      <c r="L7044" s="3">
        <v>68.577872753140298</v>
      </c>
    </row>
    <row r="7045" spans="1:12" ht="15" customHeight="1" x14ac:dyDescent="0.2">
      <c r="A7045" s="2">
        <v>35825</v>
      </c>
      <c r="B7045" s="3">
        <v>5.7654439999999996</v>
      </c>
      <c r="C7045" s="1">
        <v>443980.35</v>
      </c>
      <c r="D7045" s="3">
        <v>1.2346999999999201E-2</v>
      </c>
      <c r="E7045" s="3">
        <v>0.21461484136282499</v>
      </c>
      <c r="F7045" s="3">
        <v>0.21461484136282499</v>
      </c>
      <c r="G7045" s="3">
        <v>5.7654439999999996</v>
      </c>
      <c r="H7045" s="3">
        <v>60.6650737572851</v>
      </c>
      <c r="I7045" s="3">
        <v>5.7284063999999999</v>
      </c>
      <c r="J7045" s="3">
        <v>5.8271712999999998</v>
      </c>
      <c r="K7045" s="3">
        <v>5.6419860000000002</v>
      </c>
      <c r="L7045" s="3">
        <v>60.6650737572851</v>
      </c>
    </row>
    <row r="7046" spans="1:12" ht="15" customHeight="1" x14ac:dyDescent="0.2">
      <c r="A7046" s="2">
        <v>35824</v>
      </c>
      <c r="B7046" s="3">
        <v>5.7530970000000003</v>
      </c>
      <c r="C7046" s="1">
        <v>268311.98</v>
      </c>
      <c r="D7046" s="3">
        <v>0.12345639999999999</v>
      </c>
      <c r="E7046" s="3">
        <v>2.1929712529073302</v>
      </c>
      <c r="F7046" s="3">
        <v>2.1929712529073302</v>
      </c>
      <c r="G7046" s="3">
        <v>5.7530970000000003</v>
      </c>
      <c r="H7046" s="3">
        <v>60.321001095113502</v>
      </c>
      <c r="I7046" s="3">
        <v>5.7037144</v>
      </c>
      <c r="J7046" s="3">
        <v>5.7530970000000003</v>
      </c>
      <c r="K7046" s="3">
        <v>5.6296406000000001</v>
      </c>
      <c r="L7046" s="3">
        <v>60.321001095113502</v>
      </c>
    </row>
    <row r="7047" spans="1:12" ht="15" customHeight="1" x14ac:dyDescent="0.2">
      <c r="A7047" s="2">
        <v>35823</v>
      </c>
      <c r="B7047" s="3">
        <v>5.6296406000000001</v>
      </c>
      <c r="C7047" s="1">
        <v>298686.95</v>
      </c>
      <c r="D7047" s="3">
        <v>-4.9382699999999703E-2</v>
      </c>
      <c r="E7047" s="3">
        <v>-0.86956325747069496</v>
      </c>
      <c r="F7047" s="3">
        <v>-0.86956325747069496</v>
      </c>
      <c r="G7047" s="3">
        <v>5.6296406000000001</v>
      </c>
      <c r="H7047" s="3">
        <v>56.8806534632904</v>
      </c>
      <c r="I7047" s="3">
        <v>5.6543326</v>
      </c>
      <c r="J7047" s="3">
        <v>5.7160599999999997</v>
      </c>
      <c r="K7047" s="3">
        <v>5.5308757000000002</v>
      </c>
      <c r="L7047" s="3">
        <v>56.8806534632904</v>
      </c>
    </row>
    <row r="7048" spans="1:12" ht="15" customHeight="1" x14ac:dyDescent="0.2">
      <c r="A7048" s="2">
        <v>35822</v>
      </c>
      <c r="B7048" s="3">
        <v>5.6790232999999999</v>
      </c>
      <c r="C7048" s="1">
        <v>717861.2</v>
      </c>
      <c r="D7048" s="3">
        <v>0.22222230000000001</v>
      </c>
      <c r="E7048" s="3">
        <v>4.0723914982423004</v>
      </c>
      <c r="F7048" s="3">
        <v>4.0723914982423004</v>
      </c>
      <c r="G7048" s="3">
        <v>5.6790232999999999</v>
      </c>
      <c r="H7048" s="3">
        <v>58.256796417386198</v>
      </c>
      <c r="I7048" s="3">
        <v>5.5061846000000001</v>
      </c>
      <c r="J7048" s="3">
        <v>5.7160599999999997</v>
      </c>
      <c r="K7048" s="3">
        <v>5.4321099999999998</v>
      </c>
      <c r="L7048" s="3">
        <v>58.256796417386198</v>
      </c>
    </row>
    <row r="7049" spans="1:12" ht="15" customHeight="1" x14ac:dyDescent="0.2">
      <c r="A7049" s="2">
        <v>35821</v>
      </c>
      <c r="B7049" s="3">
        <v>5.4568009999999996</v>
      </c>
      <c r="C7049" s="1">
        <v>384243.07</v>
      </c>
      <c r="D7049" s="3">
        <v>0.14814859999999899</v>
      </c>
      <c r="E7049" s="3">
        <v>2.79070070588911</v>
      </c>
      <c r="F7049" s="3">
        <v>2.79070070588911</v>
      </c>
      <c r="G7049" s="3">
        <v>5.4568009999999996</v>
      </c>
      <c r="H7049" s="3">
        <v>52.064148943919498</v>
      </c>
      <c r="I7049" s="3">
        <v>5.3333449999999996</v>
      </c>
      <c r="J7049" s="3">
        <v>5.4568009999999996</v>
      </c>
      <c r="K7049" s="3">
        <v>5.2839612999999996</v>
      </c>
      <c r="L7049" s="3">
        <v>52.064148943919498</v>
      </c>
    </row>
    <row r="7050" spans="1:12" ht="15" customHeight="1" x14ac:dyDescent="0.2">
      <c r="A7050" s="2">
        <v>35818</v>
      </c>
      <c r="B7050" s="3">
        <v>5.3086523999999997</v>
      </c>
      <c r="C7050" s="1">
        <v>590792.6</v>
      </c>
      <c r="D7050" s="3">
        <v>-4.9383600000000499E-2</v>
      </c>
      <c r="E7050" s="3">
        <v>-0.921673538587652</v>
      </c>
      <c r="F7050" s="3">
        <v>-0.921673538587652</v>
      </c>
      <c r="G7050" s="3">
        <v>5.3086523999999997</v>
      </c>
      <c r="H7050" s="3">
        <v>47.935706148180202</v>
      </c>
      <c r="I7050" s="3">
        <v>5.3333449999999996</v>
      </c>
      <c r="J7050" s="3">
        <v>5.4321099999999998</v>
      </c>
      <c r="K7050" s="3">
        <v>5.2592689999999997</v>
      </c>
      <c r="L7050" s="3">
        <v>47.935706148180202</v>
      </c>
    </row>
    <row r="7051" spans="1:12" ht="15" customHeight="1" x14ac:dyDescent="0.2">
      <c r="A7051" s="2">
        <v>35817</v>
      </c>
      <c r="B7051" s="3">
        <v>5.3580360000000002</v>
      </c>
      <c r="C7051" s="1">
        <v>517892.7</v>
      </c>
      <c r="D7051" s="3">
        <v>-0.345678399999999</v>
      </c>
      <c r="E7051" s="3">
        <v>-6.0605839591126696</v>
      </c>
      <c r="F7051" s="3">
        <v>-6.0605839591126696</v>
      </c>
      <c r="G7051" s="3">
        <v>5.3580360000000002</v>
      </c>
      <c r="H7051" s="3">
        <v>49.311874182489497</v>
      </c>
      <c r="I7051" s="3">
        <v>5.5555669999999999</v>
      </c>
      <c r="J7051" s="3">
        <v>5.6049490000000004</v>
      </c>
      <c r="K7051" s="3">
        <v>5.3580360000000002</v>
      </c>
      <c r="L7051" s="3">
        <v>49.311874182489497</v>
      </c>
    </row>
    <row r="7052" spans="1:12" ht="15" customHeight="1" x14ac:dyDescent="0.2">
      <c r="A7052" s="2">
        <v>35816</v>
      </c>
      <c r="B7052" s="3">
        <v>5.7037144</v>
      </c>
      <c r="C7052" s="1">
        <v>308305.63</v>
      </c>
      <c r="D7052" s="3">
        <v>7.4073799999999801E-2</v>
      </c>
      <c r="E7052" s="3">
        <v>1.3157820412194701</v>
      </c>
      <c r="F7052" s="3">
        <v>1.3157820412194701</v>
      </c>
      <c r="G7052" s="3">
        <v>5.7037144</v>
      </c>
      <c r="H7052" s="3">
        <v>58.944860927708099</v>
      </c>
      <c r="I7052" s="3">
        <v>5.6049495</v>
      </c>
      <c r="J7052" s="3">
        <v>5.7037144</v>
      </c>
      <c r="K7052" s="3">
        <v>5.5185294000000003</v>
      </c>
      <c r="L7052" s="3">
        <v>58.944860927708099</v>
      </c>
    </row>
    <row r="7053" spans="1:12" ht="15" customHeight="1" x14ac:dyDescent="0.2">
      <c r="A7053" s="2">
        <v>35815</v>
      </c>
      <c r="B7053" s="3">
        <v>5.6296406000000001</v>
      </c>
      <c r="C7053" s="1">
        <v>475367.9</v>
      </c>
      <c r="D7053" s="3">
        <v>-7.4073799999999801E-2</v>
      </c>
      <c r="E7053" s="3">
        <v>-1.29869405803347</v>
      </c>
      <c r="F7053" s="3">
        <v>-1.29869405803347</v>
      </c>
      <c r="G7053" s="3">
        <v>5.6296406000000001</v>
      </c>
      <c r="H7053" s="3">
        <v>56.8806534632904</v>
      </c>
      <c r="I7053" s="3">
        <v>5.6543326</v>
      </c>
      <c r="J7053" s="3">
        <v>5.7037144</v>
      </c>
      <c r="K7053" s="3">
        <v>5.4814916</v>
      </c>
      <c r="L7053" s="3">
        <v>56.8806534632904</v>
      </c>
    </row>
    <row r="7054" spans="1:12" ht="15" customHeight="1" x14ac:dyDescent="0.2">
      <c r="A7054" s="2">
        <v>35811</v>
      </c>
      <c r="B7054" s="3">
        <v>5.7037144</v>
      </c>
      <c r="C7054" s="1">
        <v>556873.96</v>
      </c>
      <c r="D7054" s="3">
        <v>0.197531399999999</v>
      </c>
      <c r="E7054" s="3">
        <v>3.5874470572445598</v>
      </c>
      <c r="F7054" s="3">
        <v>3.5874470572445598</v>
      </c>
      <c r="G7054" s="3">
        <v>5.7037144</v>
      </c>
      <c r="H7054" s="3">
        <v>58.944860927708099</v>
      </c>
      <c r="I7054" s="3">
        <v>5.5555669999999999</v>
      </c>
      <c r="J7054" s="3">
        <v>5.7777890000000003</v>
      </c>
      <c r="K7054" s="3">
        <v>5.4814916</v>
      </c>
      <c r="L7054" s="3">
        <v>58.944860927708099</v>
      </c>
    </row>
    <row r="7055" spans="1:12" ht="15" customHeight="1" x14ac:dyDescent="0.2">
      <c r="A7055" s="2">
        <v>35810</v>
      </c>
      <c r="B7055" s="3">
        <v>5.506183</v>
      </c>
      <c r="C7055" s="1">
        <v>318430.63</v>
      </c>
      <c r="D7055" s="3">
        <v>-2.4692700000000099E-2</v>
      </c>
      <c r="E7055" s="3">
        <v>-0.44645190634098297</v>
      </c>
      <c r="F7055" s="3">
        <v>-0.44645190634098297</v>
      </c>
      <c r="G7055" s="3">
        <v>5.506183</v>
      </c>
      <c r="H7055" s="3">
        <v>53.440272391182603</v>
      </c>
      <c r="I7055" s="3">
        <v>5.4568009999999996</v>
      </c>
      <c r="J7055" s="3">
        <v>5.5555662999999997</v>
      </c>
      <c r="K7055" s="3">
        <v>5.4074187</v>
      </c>
      <c r="L7055" s="3">
        <v>53.440272391182603</v>
      </c>
    </row>
    <row r="7056" spans="1:12" ht="15" customHeight="1" x14ac:dyDescent="0.2">
      <c r="A7056" s="2">
        <v>35809</v>
      </c>
      <c r="B7056" s="3">
        <v>5.5308757000000002</v>
      </c>
      <c r="C7056" s="1">
        <v>492580.31999999902</v>
      </c>
      <c r="D7056" s="3">
        <v>8.6421699999999796E-2</v>
      </c>
      <c r="E7056" s="3">
        <v>1.5873345610046301</v>
      </c>
      <c r="F7056" s="3">
        <v>1.5873345610046301</v>
      </c>
      <c r="G7056" s="3">
        <v>5.5308757000000002</v>
      </c>
      <c r="H7056" s="3">
        <v>54.128381488550701</v>
      </c>
      <c r="I7056" s="3">
        <v>5.407419</v>
      </c>
      <c r="J7056" s="3">
        <v>5.5308757000000002</v>
      </c>
      <c r="K7056" s="3">
        <v>5.3086523999999997</v>
      </c>
      <c r="L7056" s="3">
        <v>54.128381488550701</v>
      </c>
    </row>
    <row r="7057" spans="1:12" ht="15" customHeight="1" x14ac:dyDescent="0.2">
      <c r="A7057" s="2">
        <v>35808</v>
      </c>
      <c r="B7057" s="3">
        <v>5.4444540000000003</v>
      </c>
      <c r="C7057" s="1">
        <v>411074.25</v>
      </c>
      <c r="D7057" s="3">
        <v>-2.4692299999999799E-2</v>
      </c>
      <c r="E7057" s="3">
        <v>-0.45148362551573601</v>
      </c>
      <c r="F7057" s="3">
        <v>-0.45148362551573601</v>
      </c>
      <c r="G7057" s="3">
        <v>5.4444540000000003</v>
      </c>
      <c r="H7057" s="3">
        <v>51.720076281748</v>
      </c>
      <c r="I7057" s="3">
        <v>5.4691470000000004</v>
      </c>
      <c r="J7057" s="3">
        <v>5.5555662999999997</v>
      </c>
      <c r="K7057" s="3">
        <v>5.4074187</v>
      </c>
      <c r="L7057" s="3">
        <v>51.720076281748</v>
      </c>
    </row>
    <row r="7058" spans="1:12" ht="15" customHeight="1" x14ac:dyDescent="0.2">
      <c r="A7058" s="2">
        <v>35807</v>
      </c>
      <c r="B7058" s="3">
        <v>5.4691463000000002</v>
      </c>
      <c r="C7058" s="1">
        <v>433855.47</v>
      </c>
      <c r="D7058" s="3">
        <v>-6.17293999999999E-2</v>
      </c>
      <c r="E7058" s="3">
        <v>-1.11608727710152</v>
      </c>
      <c r="F7058" s="3">
        <v>-1.11608727710152</v>
      </c>
      <c r="G7058" s="3">
        <v>5.4691463000000002</v>
      </c>
      <c r="H7058" s="3">
        <v>52.408174232354497</v>
      </c>
      <c r="I7058" s="3">
        <v>5.4814930000000004</v>
      </c>
      <c r="J7058" s="3">
        <v>5.5308757000000002</v>
      </c>
      <c r="K7058" s="3">
        <v>5.3086523999999997</v>
      </c>
      <c r="L7058" s="3">
        <v>52.408174232354497</v>
      </c>
    </row>
    <row r="7059" spans="1:12" ht="15" customHeight="1" x14ac:dyDescent="0.2">
      <c r="A7059" s="2">
        <v>35804</v>
      </c>
      <c r="B7059" s="3">
        <v>5.5308757000000002</v>
      </c>
      <c r="C7059" s="1">
        <v>658630</v>
      </c>
      <c r="D7059" s="3">
        <v>-1.23442999999996E-2</v>
      </c>
      <c r="E7059" s="3">
        <v>-0.222691865017077</v>
      </c>
      <c r="F7059" s="3">
        <v>-0.222691865017077</v>
      </c>
      <c r="G7059" s="3">
        <v>5.5308757000000002</v>
      </c>
      <c r="H7059" s="3">
        <v>54.128381488550701</v>
      </c>
      <c r="I7059" s="3">
        <v>5.5555669999999999</v>
      </c>
      <c r="J7059" s="3">
        <v>5.5802584</v>
      </c>
      <c r="K7059" s="3">
        <v>5.4074187</v>
      </c>
      <c r="L7059" s="3">
        <v>54.128381488550701</v>
      </c>
    </row>
    <row r="7060" spans="1:12" ht="15" customHeight="1" x14ac:dyDescent="0.2">
      <c r="A7060" s="2">
        <v>35803</v>
      </c>
      <c r="B7060" s="3">
        <v>5.5432199999999998</v>
      </c>
      <c r="C7060" s="1">
        <v>898591.9</v>
      </c>
      <c r="D7060" s="3">
        <v>0.16049329999999901</v>
      </c>
      <c r="E7060" s="3">
        <v>2.9816356828965498</v>
      </c>
      <c r="F7060" s="3">
        <v>2.9816356828965498</v>
      </c>
      <c r="G7060" s="3">
        <v>5.5432199999999998</v>
      </c>
      <c r="H7060" s="3">
        <v>54.4723789100819</v>
      </c>
      <c r="I7060" s="3">
        <v>5.3333449999999996</v>
      </c>
      <c r="J7060" s="3">
        <v>5.6049490000000004</v>
      </c>
      <c r="K7060" s="3">
        <v>5.2839612999999996</v>
      </c>
      <c r="L7060" s="3">
        <v>54.4723789100819</v>
      </c>
    </row>
    <row r="7061" spans="1:12" ht="15" customHeight="1" x14ac:dyDescent="0.2">
      <c r="A7061" s="2">
        <v>35802</v>
      </c>
      <c r="B7061" s="3">
        <v>5.3827267000000001</v>
      </c>
      <c r="C7061" s="1">
        <v>1916152.7</v>
      </c>
      <c r="D7061" s="3">
        <v>-0.12345629999999901</v>
      </c>
      <c r="E7061" s="3">
        <v>-2.24213942762163</v>
      </c>
      <c r="F7061" s="3">
        <v>-2.24213942762163</v>
      </c>
      <c r="G7061" s="3">
        <v>5.3827267000000001</v>
      </c>
      <c r="H7061" s="3">
        <v>49.999927546049904</v>
      </c>
      <c r="I7061" s="3">
        <v>5.4568009999999996</v>
      </c>
      <c r="J7061" s="3">
        <v>5.506183</v>
      </c>
      <c r="K7061" s="3">
        <v>5.0864285999999996</v>
      </c>
      <c r="L7061" s="3">
        <v>49.999927546049904</v>
      </c>
    </row>
    <row r="7062" spans="1:12" ht="15" customHeight="1" x14ac:dyDescent="0.2">
      <c r="A7062" s="2">
        <v>35801</v>
      </c>
      <c r="B7062" s="3">
        <v>5.506183</v>
      </c>
      <c r="C7062" s="1">
        <v>291093.23</v>
      </c>
      <c r="D7062" s="3">
        <v>-0.148147999999999</v>
      </c>
      <c r="E7062" s="3">
        <v>-2.62008007667042</v>
      </c>
      <c r="F7062" s="3">
        <v>-2.62008007667042</v>
      </c>
      <c r="G7062" s="3">
        <v>5.506183</v>
      </c>
      <c r="H7062" s="3">
        <v>53.440272391182603</v>
      </c>
      <c r="I7062" s="3">
        <v>5.6543326</v>
      </c>
      <c r="J7062" s="3">
        <v>5.654331</v>
      </c>
      <c r="K7062" s="3">
        <v>5.4814916</v>
      </c>
      <c r="L7062" s="3">
        <v>53.440272391182603</v>
      </c>
    </row>
    <row r="7063" spans="1:12" ht="15" customHeight="1" x14ac:dyDescent="0.2">
      <c r="A7063" s="2">
        <v>35800</v>
      </c>
      <c r="B7063" s="3">
        <v>5.654331</v>
      </c>
      <c r="C7063" s="1">
        <v>671792.5</v>
      </c>
      <c r="D7063" s="3">
        <v>-2.4692299999999799E-2</v>
      </c>
      <c r="E7063" s="3">
        <v>-0.43479835696394997</v>
      </c>
      <c r="F7063" s="3">
        <v>-0.43479835696394997</v>
      </c>
      <c r="G7063" s="3">
        <v>5.654331</v>
      </c>
      <c r="H7063" s="3">
        <v>57.568698466779601</v>
      </c>
      <c r="I7063" s="3">
        <v>5.7284063999999999</v>
      </c>
      <c r="J7063" s="3">
        <v>5.7530970000000003</v>
      </c>
      <c r="K7063" s="3">
        <v>5.5555662999999997</v>
      </c>
      <c r="L7063" s="3">
        <v>57.568698466779601</v>
      </c>
    </row>
    <row r="7064" spans="1:12" ht="15" customHeight="1" x14ac:dyDescent="0.2">
      <c r="A7064" s="2">
        <v>35797</v>
      </c>
      <c r="B7064" s="3">
        <v>5.6790232999999999</v>
      </c>
      <c r="C7064" s="1">
        <v>744186.04</v>
      </c>
      <c r="D7064" s="3">
        <v>-0.34568019999999999</v>
      </c>
      <c r="E7064" s="3">
        <v>-5.7377130675393397</v>
      </c>
      <c r="F7064" s="3">
        <v>-5.7377130675393397</v>
      </c>
      <c r="G7064" s="3">
        <v>5.6790232999999999</v>
      </c>
      <c r="H7064" s="3">
        <v>58.256796417386198</v>
      </c>
      <c r="I7064" s="3">
        <v>6.0000124000000001</v>
      </c>
      <c r="J7064" s="3">
        <v>6.0000109999999998</v>
      </c>
      <c r="K7064" s="3">
        <v>5.6296406000000001</v>
      </c>
      <c r="L7064" s="3">
        <v>58.256796417386198</v>
      </c>
    </row>
    <row r="7065" spans="1:12" ht="15" customHeight="1" x14ac:dyDescent="0.2">
      <c r="A7065" s="2">
        <v>35795</v>
      </c>
      <c r="B7065" s="3">
        <v>6.0247035000000002</v>
      </c>
      <c r="C7065" s="1">
        <v>338680.63</v>
      </c>
      <c r="D7065" s="3">
        <v>7.4074700000000604E-2</v>
      </c>
      <c r="E7065" s="3">
        <v>1.24482138761539</v>
      </c>
      <c r="F7065" s="3">
        <v>1.24482138761539</v>
      </c>
      <c r="G7065" s="3">
        <v>6.0247035000000002</v>
      </c>
      <c r="H7065" s="3">
        <v>67.889833323031795</v>
      </c>
      <c r="I7065" s="3">
        <v>6.0000124000000001</v>
      </c>
      <c r="J7065" s="3">
        <v>6.0987773000000001</v>
      </c>
      <c r="K7065" s="3">
        <v>5.9259367000000003</v>
      </c>
      <c r="L7065" s="3">
        <v>67.889833323031795</v>
      </c>
    </row>
    <row r="7066" spans="1:12" ht="15" customHeight="1" x14ac:dyDescent="0.2">
      <c r="A7066" s="2">
        <v>35794</v>
      </c>
      <c r="B7066" s="3">
        <v>5.9506287999999996</v>
      </c>
      <c r="C7066" s="1">
        <v>654073.69999999995</v>
      </c>
      <c r="D7066" s="3">
        <v>3.7036799999999197E-2</v>
      </c>
      <c r="E7066" s="3">
        <v>0.62629954856538905</v>
      </c>
      <c r="F7066" s="3">
        <v>0.62629954856538905</v>
      </c>
      <c r="G7066" s="3">
        <v>5.9506287999999996</v>
      </c>
      <c r="H7066" s="3">
        <v>65.825600778400599</v>
      </c>
      <c r="I7066" s="3">
        <v>5.8765554</v>
      </c>
      <c r="J7066" s="3">
        <v>5.9506287999999996</v>
      </c>
      <c r="K7066" s="3">
        <v>5.8765539999999996</v>
      </c>
      <c r="L7066" s="3">
        <v>65.825600778400599</v>
      </c>
    </row>
    <row r="7067" spans="1:12" ht="15" customHeight="1" x14ac:dyDescent="0.2">
      <c r="A7067" s="2">
        <v>35793</v>
      </c>
      <c r="B7067" s="3">
        <v>5.9135920000000004</v>
      </c>
      <c r="C7067" s="1">
        <v>90618.576000000001</v>
      </c>
      <c r="D7067" s="3">
        <v>6.1729000000000499E-2</v>
      </c>
      <c r="E7067" s="3">
        <v>1.0548606486515599</v>
      </c>
      <c r="F7067" s="3">
        <v>1.0548606486515599</v>
      </c>
      <c r="G7067" s="3">
        <v>5.9135920000000004</v>
      </c>
      <c r="H7067" s="3">
        <v>64.793499832882105</v>
      </c>
      <c r="I7067" s="3">
        <v>5.8271723</v>
      </c>
      <c r="J7067" s="3">
        <v>5.9506287999999996</v>
      </c>
      <c r="K7067" s="3">
        <v>5.8271712999999998</v>
      </c>
      <c r="L7067" s="3">
        <v>64.793499832882105</v>
      </c>
    </row>
    <row r="7068" spans="1:12" ht="15" customHeight="1" x14ac:dyDescent="0.2">
      <c r="A7068" s="2">
        <v>35790</v>
      </c>
      <c r="B7068" s="3">
        <v>5.8518629999999998</v>
      </c>
      <c r="C7068" s="1">
        <v>194399.61</v>
      </c>
      <c r="D7068" s="3">
        <v>-2.4690999999999699E-2</v>
      </c>
      <c r="E7068" s="3">
        <v>-0.420161203317448</v>
      </c>
      <c r="F7068" s="3">
        <v>-0.420161203317448</v>
      </c>
      <c r="G7068" s="3">
        <v>5.8518629999999998</v>
      </c>
      <c r="H7068" s="3">
        <v>63.073303723447502</v>
      </c>
      <c r="I7068" s="3">
        <v>5.8889009999999997</v>
      </c>
      <c r="J7068" s="3">
        <v>5.962974</v>
      </c>
      <c r="K7068" s="3">
        <v>5.8271712999999998</v>
      </c>
      <c r="L7068" s="3">
        <v>63.073303723447502</v>
      </c>
    </row>
    <row r="7069" spans="1:12" ht="15" customHeight="1" x14ac:dyDescent="0.2">
      <c r="A7069" s="2">
        <v>35788</v>
      </c>
      <c r="B7069" s="3">
        <v>5.8765539999999996</v>
      </c>
      <c r="C7069" s="1">
        <v>209587.1</v>
      </c>
      <c r="D7069" s="3">
        <v>-2.4691600000000501E-2</v>
      </c>
      <c r="E7069" s="3">
        <v>-0.41841336005402602</v>
      </c>
      <c r="F7069" s="3">
        <v>-0.41841336005402602</v>
      </c>
      <c r="G7069" s="3">
        <v>5.8765539999999996</v>
      </c>
      <c r="H7069" s="3">
        <v>63.761365447079001</v>
      </c>
      <c r="I7069" s="3">
        <v>5.9012475000000002</v>
      </c>
      <c r="J7069" s="3">
        <v>5.9259367000000003</v>
      </c>
      <c r="K7069" s="3">
        <v>5.8271712999999998</v>
      </c>
      <c r="L7069" s="3">
        <v>63.761365447079001</v>
      </c>
    </row>
    <row r="7070" spans="1:12" ht="15" customHeight="1" x14ac:dyDescent="0.2">
      <c r="A7070" s="2">
        <v>35787</v>
      </c>
      <c r="B7070" s="3">
        <v>5.9012456000000002</v>
      </c>
      <c r="C7070" s="1">
        <v>206549.62</v>
      </c>
      <c r="D7070" s="3">
        <v>-7.4073799999999801E-2</v>
      </c>
      <c r="E7070" s="3">
        <v>-1.2396626028058</v>
      </c>
      <c r="F7070" s="3">
        <v>-1.2396626028058</v>
      </c>
      <c r="G7070" s="3">
        <v>5.9012456000000002</v>
      </c>
      <c r="H7070" s="3">
        <v>64.449443890852905</v>
      </c>
      <c r="I7070" s="3">
        <v>5.9259380000000004</v>
      </c>
      <c r="J7070" s="3">
        <v>6.0000109999999998</v>
      </c>
      <c r="K7070" s="3">
        <v>5.8642089999999998</v>
      </c>
      <c r="L7070" s="3">
        <v>64.449443890852905</v>
      </c>
    </row>
    <row r="7071" spans="1:12" ht="15" customHeight="1" x14ac:dyDescent="0.2">
      <c r="A7071" s="2">
        <v>35786</v>
      </c>
      <c r="B7071" s="3">
        <v>5.9753194000000001</v>
      </c>
      <c r="C7071" s="1">
        <v>441449.22</v>
      </c>
      <c r="D7071" s="3">
        <v>2.4690600000000399E-2</v>
      </c>
      <c r="E7071" s="3">
        <v>0.41492421775661797</v>
      </c>
      <c r="F7071" s="3">
        <v>0.41492421775661797</v>
      </c>
      <c r="G7071" s="3">
        <v>5.9753194000000001</v>
      </c>
      <c r="H7071" s="3">
        <v>66.513651355270596</v>
      </c>
      <c r="I7071" s="3">
        <v>6.0247035000000002</v>
      </c>
      <c r="J7071" s="3">
        <v>6.0493937000000004</v>
      </c>
      <c r="K7071" s="3">
        <v>5.8765539999999996</v>
      </c>
      <c r="L7071" s="3">
        <v>66.513651355270596</v>
      </c>
    </row>
    <row r="7072" spans="1:12" ht="15" customHeight="1" x14ac:dyDescent="0.2">
      <c r="A7072" s="2">
        <v>35783</v>
      </c>
      <c r="B7072" s="3">
        <v>5.9506287999999996</v>
      </c>
      <c r="C7072" s="1">
        <v>370068.02</v>
      </c>
      <c r="D7072" s="3"/>
      <c r="E7072" s="3"/>
      <c r="F7072" s="3"/>
      <c r="G7072" s="3">
        <v>5.9506287999999996</v>
      </c>
      <c r="H7072" s="3">
        <v>65.825600778400599</v>
      </c>
      <c r="I7072" s="3">
        <v>5.8765554</v>
      </c>
      <c r="J7072" s="3">
        <v>6.0247035000000002</v>
      </c>
      <c r="K7072" s="3">
        <v>5.8518629999999998</v>
      </c>
      <c r="L7072" s="3">
        <v>65.825600778400599</v>
      </c>
    </row>
    <row r="7073" spans="1:12" ht="15" customHeight="1" x14ac:dyDescent="0.2">
      <c r="A7073" s="2">
        <v>35782</v>
      </c>
      <c r="B7073" s="3">
        <v>5.9506287999999996</v>
      </c>
      <c r="C7073" s="1">
        <v>493086.55</v>
      </c>
      <c r="D7073" s="3">
        <v>-0.13580220000000001</v>
      </c>
      <c r="E7073" s="3">
        <v>-2.2312287775874</v>
      </c>
      <c r="F7073" s="3">
        <v>-2.2312287775874</v>
      </c>
      <c r="G7073" s="3">
        <v>5.9506287999999996</v>
      </c>
      <c r="H7073" s="3">
        <v>65.825600778400599</v>
      </c>
      <c r="I7073" s="3">
        <v>6.08026</v>
      </c>
      <c r="J7073" s="3">
        <v>6.0802584</v>
      </c>
      <c r="K7073" s="3">
        <v>5.8518629999999998</v>
      </c>
      <c r="L7073" s="3">
        <v>65.825600778400599</v>
      </c>
    </row>
    <row r="7074" spans="1:12" ht="15" customHeight="1" x14ac:dyDescent="0.2">
      <c r="A7074" s="2">
        <v>35781</v>
      </c>
      <c r="B7074" s="3">
        <v>6.0864310000000001</v>
      </c>
      <c r="C7074" s="1">
        <v>329568.09999999998</v>
      </c>
      <c r="D7074" s="3">
        <v>-3.7037999999999897E-2</v>
      </c>
      <c r="E7074" s="3">
        <v>-0.604853229435797</v>
      </c>
      <c r="F7074" s="3">
        <v>-0.604853229435797</v>
      </c>
      <c r="G7074" s="3">
        <v>6.0864310000000001</v>
      </c>
      <c r="H7074" s="3">
        <v>69.609987632110702</v>
      </c>
      <c r="I7074" s="3">
        <v>6.1728519999999998</v>
      </c>
      <c r="J7074" s="3">
        <v>6.1728516000000004</v>
      </c>
      <c r="K7074" s="3">
        <v>6.0247035000000002</v>
      </c>
      <c r="L7074" s="3">
        <v>69.609987632110702</v>
      </c>
    </row>
    <row r="7075" spans="1:12" ht="15" customHeight="1" x14ac:dyDescent="0.2">
      <c r="A7075" s="2">
        <v>35780</v>
      </c>
      <c r="B7075" s="3">
        <v>6.1234690000000001</v>
      </c>
      <c r="C7075" s="1">
        <v>861129.7</v>
      </c>
      <c r="D7075" s="3">
        <v>0.19753229999999899</v>
      </c>
      <c r="E7075" s="3">
        <v>3.3333515020502902</v>
      </c>
      <c r="F7075" s="3">
        <v>3.3333515020502902</v>
      </c>
      <c r="G7075" s="3">
        <v>6.1234690000000001</v>
      </c>
      <c r="H7075" s="3">
        <v>70.642122017913806</v>
      </c>
      <c r="I7075" s="3">
        <v>5.9876659999999999</v>
      </c>
      <c r="J7075" s="3">
        <v>6.2222333000000001</v>
      </c>
      <c r="K7075" s="3">
        <v>5.9259367000000003</v>
      </c>
      <c r="L7075" s="3">
        <v>70.642122017913806</v>
      </c>
    </row>
    <row r="7076" spans="1:12" ht="15" customHeight="1" x14ac:dyDescent="0.2">
      <c r="A7076" s="2">
        <v>35779</v>
      </c>
      <c r="B7076" s="3">
        <v>5.9259367000000003</v>
      </c>
      <c r="C7076" s="1">
        <v>1117291.6000000001</v>
      </c>
      <c r="D7076" s="3">
        <v>0.19753029999999999</v>
      </c>
      <c r="E7076" s="3">
        <v>3.4482591877559501</v>
      </c>
      <c r="F7076" s="3">
        <v>3.4482591877559501</v>
      </c>
      <c r="G7076" s="3">
        <v>5.9259367000000003</v>
      </c>
      <c r="H7076" s="3">
        <v>65.137508401174799</v>
      </c>
      <c r="I7076" s="3">
        <v>5.6790250000000002</v>
      </c>
      <c r="J7076" s="3">
        <v>6.0000109999999998</v>
      </c>
      <c r="K7076" s="3">
        <v>5.6790232999999999</v>
      </c>
      <c r="L7076" s="3">
        <v>65.137508401174799</v>
      </c>
    </row>
    <row r="7077" spans="1:12" ht="15" customHeight="1" x14ac:dyDescent="0.2">
      <c r="A7077" s="2">
        <v>35776</v>
      </c>
      <c r="B7077" s="3">
        <v>5.7284063999999999</v>
      </c>
      <c r="C7077" s="1">
        <v>1275747.5999999901</v>
      </c>
      <c r="D7077" s="3">
        <v>-0.16049359999999899</v>
      </c>
      <c r="E7077" s="3">
        <v>-2.72535787668324</v>
      </c>
      <c r="F7077" s="3">
        <v>-2.72535787668324</v>
      </c>
      <c r="G7077" s="3">
        <v>5.7284063999999999</v>
      </c>
      <c r="H7077" s="3">
        <v>59.632950518243497</v>
      </c>
      <c r="I7077" s="3">
        <v>5.9197649999999999</v>
      </c>
      <c r="J7077" s="3">
        <v>5.9506287999999996</v>
      </c>
      <c r="K7077" s="3">
        <v>5.4321099999999998</v>
      </c>
      <c r="L7077" s="3">
        <v>59.632950518243497</v>
      </c>
    </row>
    <row r="7078" spans="1:12" ht="15" customHeight="1" x14ac:dyDescent="0.2">
      <c r="A7078" s="2">
        <v>35775</v>
      </c>
      <c r="B7078" s="3">
        <v>5.8888999999999996</v>
      </c>
      <c r="C7078" s="1">
        <v>1006423</v>
      </c>
      <c r="D7078" s="3">
        <v>-0.234569</v>
      </c>
      <c r="E7078" s="3">
        <v>-3.83065546669707</v>
      </c>
      <c r="F7078" s="3">
        <v>-3.83065546669707</v>
      </c>
      <c r="G7078" s="3">
        <v>5.8888999999999996</v>
      </c>
      <c r="H7078" s="3">
        <v>64.105410242346693</v>
      </c>
      <c r="I7078" s="3">
        <v>6.0740866999999996</v>
      </c>
      <c r="J7078" s="3">
        <v>6.1234690000000001</v>
      </c>
      <c r="K7078" s="3">
        <v>5.7777890000000003</v>
      </c>
      <c r="L7078" s="3">
        <v>64.105410242346693</v>
      </c>
    </row>
    <row r="7079" spans="1:12" ht="15" customHeight="1" x14ac:dyDescent="0.2">
      <c r="A7079" s="2">
        <v>35774</v>
      </c>
      <c r="B7079" s="3">
        <v>6.1234690000000001</v>
      </c>
      <c r="C7079" s="1">
        <v>749248.54</v>
      </c>
      <c r="D7079" s="3">
        <v>-4.9382600000000297E-2</v>
      </c>
      <c r="E7079" s="3">
        <v>-0.79999655264676395</v>
      </c>
      <c r="F7079" s="3">
        <v>-0.79999655264676395</v>
      </c>
      <c r="G7079" s="3">
        <v>6.1234690000000001</v>
      </c>
      <c r="H7079" s="3">
        <v>70.642122017913806</v>
      </c>
      <c r="I7079" s="3">
        <v>6.1481614000000002</v>
      </c>
      <c r="J7079" s="3">
        <v>6.1728516000000004</v>
      </c>
      <c r="K7079" s="3">
        <v>6.0740860000000003</v>
      </c>
      <c r="L7079" s="3">
        <v>70.642122017913806</v>
      </c>
    </row>
    <row r="7080" spans="1:12" ht="15" customHeight="1" x14ac:dyDescent="0.2">
      <c r="A7080" s="2">
        <v>35773</v>
      </c>
      <c r="B7080" s="3">
        <v>6.1728516000000004</v>
      </c>
      <c r="C7080" s="1">
        <v>708242.43</v>
      </c>
      <c r="D7080" s="3">
        <v>1.23456000000006E-2</v>
      </c>
      <c r="E7080" s="3">
        <v>0.200399123059047</v>
      </c>
      <c r="F7080" s="3">
        <v>0.200399123059047</v>
      </c>
      <c r="G7080" s="3">
        <v>6.1728516000000004</v>
      </c>
      <c r="H7080" s="3">
        <v>72.018262185319202</v>
      </c>
      <c r="I7080" s="3">
        <v>6.1234694000000003</v>
      </c>
      <c r="J7080" s="3">
        <v>6.2098884999999999</v>
      </c>
      <c r="K7080" s="3">
        <v>6.0493937000000004</v>
      </c>
      <c r="L7080" s="3">
        <v>72.018262185319202</v>
      </c>
    </row>
    <row r="7081" spans="1:12" ht="15" customHeight="1" x14ac:dyDescent="0.2">
      <c r="A7081" s="2">
        <v>35772</v>
      </c>
      <c r="B7081" s="3">
        <v>6.1605059999999998</v>
      </c>
      <c r="C7081" s="1">
        <v>1311185</v>
      </c>
      <c r="D7081" s="3">
        <v>0.13580249999999899</v>
      </c>
      <c r="E7081" s="3">
        <v>2.2540943301193099</v>
      </c>
      <c r="F7081" s="3">
        <v>2.2540943301193099</v>
      </c>
      <c r="G7081" s="3">
        <v>6.1605059999999998</v>
      </c>
      <c r="H7081" s="3">
        <v>71.674228536813004</v>
      </c>
      <c r="I7081" s="3">
        <v>6.0247035000000002</v>
      </c>
      <c r="J7081" s="3">
        <v>6.2222333000000001</v>
      </c>
      <c r="K7081" s="3">
        <v>5.9753194000000001</v>
      </c>
      <c r="L7081" s="3">
        <v>71.674228536813004</v>
      </c>
    </row>
    <row r="7082" spans="1:12" ht="15" customHeight="1" x14ac:dyDescent="0.2">
      <c r="A7082" s="2">
        <v>35769</v>
      </c>
      <c r="B7082" s="3">
        <v>6.0247035000000002</v>
      </c>
      <c r="C7082" s="1">
        <v>2315583.2999999998</v>
      </c>
      <c r="D7082" s="3">
        <v>-0.172839199999999</v>
      </c>
      <c r="E7082" s="3">
        <v>-2.78883435526792</v>
      </c>
      <c r="F7082" s="3">
        <v>-2.78883435526792</v>
      </c>
      <c r="G7082" s="3">
        <v>6.0247035000000002</v>
      </c>
      <c r="H7082" s="3">
        <v>67.889833323031795</v>
      </c>
      <c r="I7082" s="3">
        <v>5.9506287999999996</v>
      </c>
      <c r="J7082" s="3">
        <v>6.0987773000000001</v>
      </c>
      <c r="K7082" s="3">
        <v>5.8271712999999998</v>
      </c>
      <c r="L7082" s="3">
        <v>67.889833323031795</v>
      </c>
    </row>
    <row r="7083" spans="1:12" ht="15" customHeight="1" x14ac:dyDescent="0.2">
      <c r="A7083" s="2">
        <v>35768</v>
      </c>
      <c r="B7083" s="3">
        <v>6.1975426999999996</v>
      </c>
      <c r="C7083" s="1">
        <v>1346622.5999999901</v>
      </c>
      <c r="D7083" s="3">
        <v>2.4691099999999098E-2</v>
      </c>
      <c r="E7083" s="3">
        <v>0.39999503632970301</v>
      </c>
      <c r="F7083" s="3">
        <v>0.39999503632970301</v>
      </c>
      <c r="G7083" s="3">
        <v>6.1975426999999996</v>
      </c>
      <c r="H7083" s="3">
        <v>72.706326695641096</v>
      </c>
      <c r="I7083" s="3">
        <v>6.1234694000000003</v>
      </c>
      <c r="J7083" s="3">
        <v>6.271617</v>
      </c>
      <c r="K7083" s="3">
        <v>6.1234690000000001</v>
      </c>
      <c r="L7083" s="3">
        <v>72.706326695641096</v>
      </c>
    </row>
    <row r="7084" spans="1:12" ht="15" customHeight="1" x14ac:dyDescent="0.2">
      <c r="A7084" s="2">
        <v>35767</v>
      </c>
      <c r="B7084" s="3">
        <v>6.1728516000000004</v>
      </c>
      <c r="C7084" s="1">
        <v>1044391.7</v>
      </c>
      <c r="D7084" s="3">
        <v>-0.148147999999999</v>
      </c>
      <c r="E7084" s="3">
        <v>-2.3437432269415002</v>
      </c>
      <c r="F7084" s="3">
        <v>-2.3437432269415002</v>
      </c>
      <c r="G7084" s="3">
        <v>6.1728516000000004</v>
      </c>
      <c r="H7084" s="3">
        <v>72.018262185319202</v>
      </c>
      <c r="I7084" s="3">
        <v>6.3210015000000004</v>
      </c>
      <c r="J7084" s="3">
        <v>6.3209996000000004</v>
      </c>
      <c r="K7084" s="3">
        <v>6.0493937000000004</v>
      </c>
      <c r="L7084" s="3">
        <v>72.018262185319202</v>
      </c>
    </row>
    <row r="7085" spans="1:12" ht="15" customHeight="1" x14ac:dyDescent="0.2">
      <c r="A7085" s="2">
        <v>35766</v>
      </c>
      <c r="B7085" s="3">
        <v>6.3209996000000004</v>
      </c>
      <c r="C7085" s="1">
        <v>1621009.5</v>
      </c>
      <c r="D7085" s="3">
        <v>-2.4692099999999301E-2</v>
      </c>
      <c r="E7085" s="3">
        <v>-0.389115972967912</v>
      </c>
      <c r="F7085" s="3">
        <v>-0.389115972967912</v>
      </c>
      <c r="G7085" s="3">
        <v>6.3209996000000004</v>
      </c>
      <c r="H7085" s="3">
        <v>76.146688260916207</v>
      </c>
      <c r="I7085" s="3">
        <v>6.3333472999999998</v>
      </c>
      <c r="J7085" s="3">
        <v>6.3950740000000001</v>
      </c>
      <c r="K7085" s="3">
        <v>6.1728516000000004</v>
      </c>
      <c r="L7085" s="3">
        <v>76.146688260916207</v>
      </c>
    </row>
    <row r="7086" spans="1:12" ht="15" customHeight="1" x14ac:dyDescent="0.2">
      <c r="A7086" s="2">
        <v>35765</v>
      </c>
      <c r="B7086" s="3">
        <v>6.3456916999999997</v>
      </c>
      <c r="C7086" s="1">
        <v>1440784.79999999</v>
      </c>
      <c r="D7086" s="3">
        <v>0.27160569999999901</v>
      </c>
      <c r="E7086" s="3">
        <v>4.4715484765938296</v>
      </c>
      <c r="F7086" s="3">
        <v>4.4715484765938296</v>
      </c>
      <c r="G7086" s="3">
        <v>6.3456916999999997</v>
      </c>
      <c r="H7086" s="3">
        <v>76.834780638142007</v>
      </c>
      <c r="I7086" s="3">
        <v>6.1234694000000003</v>
      </c>
      <c r="J7086" s="3">
        <v>6.4691485999999996</v>
      </c>
      <c r="K7086" s="3">
        <v>5.9753194000000001</v>
      </c>
      <c r="L7086" s="3">
        <v>76.834780638142007</v>
      </c>
    </row>
    <row r="7087" spans="1:12" ht="15" customHeight="1" x14ac:dyDescent="0.2">
      <c r="A7087" s="2">
        <v>35762</v>
      </c>
      <c r="B7087" s="3">
        <v>6.0740860000000003</v>
      </c>
      <c r="C7087" s="1">
        <v>122512.27</v>
      </c>
      <c r="D7087" s="3">
        <v>7.4075000000000502E-2</v>
      </c>
      <c r="E7087" s="3">
        <v>1.2345810699347</v>
      </c>
      <c r="F7087" s="3">
        <v>1.2345810699347</v>
      </c>
      <c r="G7087" s="3">
        <v>6.0740860000000003</v>
      </c>
      <c r="H7087" s="3">
        <v>69.265970703746802</v>
      </c>
      <c r="I7087" s="3">
        <v>5.9753202999999999</v>
      </c>
      <c r="J7087" s="3">
        <v>6.1234690000000001</v>
      </c>
      <c r="K7087" s="3">
        <v>5.9753194000000001</v>
      </c>
      <c r="L7087" s="3">
        <v>69.265970703746802</v>
      </c>
    </row>
    <row r="7088" spans="1:12" ht="15" customHeight="1" x14ac:dyDescent="0.2">
      <c r="A7088" s="2">
        <v>35760</v>
      </c>
      <c r="B7088" s="3">
        <v>6.0000109999999998</v>
      </c>
      <c r="C7088" s="1">
        <v>1036291.7</v>
      </c>
      <c r="D7088" s="3">
        <v>0.17283969999999901</v>
      </c>
      <c r="E7088" s="3">
        <v>2.9660995207057002</v>
      </c>
      <c r="F7088" s="3">
        <v>2.9660995207057002</v>
      </c>
      <c r="G7088" s="3">
        <v>6.0000109999999998</v>
      </c>
      <c r="H7088" s="3">
        <v>67.2017297990445</v>
      </c>
      <c r="I7088" s="3">
        <v>5.8271723</v>
      </c>
      <c r="J7088" s="3">
        <v>6.0987773000000001</v>
      </c>
      <c r="K7088" s="3">
        <v>5.8024800000000001</v>
      </c>
      <c r="L7088" s="3">
        <v>67.2017297990445</v>
      </c>
    </row>
    <row r="7089" spans="1:12" ht="15" customHeight="1" x14ac:dyDescent="0.2">
      <c r="A7089" s="2">
        <v>35759</v>
      </c>
      <c r="B7089" s="3">
        <v>5.8271712999999998</v>
      </c>
      <c r="C7089" s="1">
        <v>933017</v>
      </c>
      <c r="D7089" s="3">
        <v>0.37037029999999999</v>
      </c>
      <c r="E7089" s="3">
        <v>6.7873154985860804</v>
      </c>
      <c r="F7089" s="3">
        <v>6.7873154985860804</v>
      </c>
      <c r="G7089" s="3">
        <v>5.8271712999999998</v>
      </c>
      <c r="H7089" s="3">
        <v>62.385222492983203</v>
      </c>
      <c r="I7089" s="3">
        <v>5.4568009999999996</v>
      </c>
      <c r="J7089" s="3">
        <v>5.8271712999999998</v>
      </c>
      <c r="K7089" s="3">
        <v>5.4568009999999996</v>
      </c>
      <c r="L7089" s="3">
        <v>62.385222492983203</v>
      </c>
    </row>
    <row r="7090" spans="1:12" ht="15" customHeight="1" x14ac:dyDescent="0.2">
      <c r="A7090" s="2">
        <v>35758</v>
      </c>
      <c r="B7090" s="3">
        <v>5.4568009999999996</v>
      </c>
      <c r="C7090" s="1">
        <v>1135010.3999999999</v>
      </c>
      <c r="D7090" s="3">
        <v>-0.24691340000000001</v>
      </c>
      <c r="E7090" s="3">
        <v>-4.3289930505636898</v>
      </c>
      <c r="F7090" s="3">
        <v>-4.3289930505636898</v>
      </c>
      <c r="G7090" s="3">
        <v>5.4568009999999996</v>
      </c>
      <c r="H7090" s="3">
        <v>52.064148943919498</v>
      </c>
      <c r="I7090" s="3">
        <v>5.7530985000000001</v>
      </c>
      <c r="J7090" s="3">
        <v>5.7530970000000003</v>
      </c>
      <c r="K7090" s="3">
        <v>5.4321099999999998</v>
      </c>
      <c r="L7090" s="3">
        <v>52.064148943919498</v>
      </c>
    </row>
    <row r="7091" spans="1:12" ht="15" customHeight="1" x14ac:dyDescent="0.2">
      <c r="A7091" s="2">
        <v>35755</v>
      </c>
      <c r="B7091" s="3">
        <v>5.7037144</v>
      </c>
      <c r="C7091" s="1">
        <v>904666.929999999</v>
      </c>
      <c r="D7091" s="3">
        <v>-0.123456899999999</v>
      </c>
      <c r="E7091" s="3">
        <v>-2.1186420244759199</v>
      </c>
      <c r="F7091" s="3">
        <v>-2.1186420244759199</v>
      </c>
      <c r="G7091" s="3">
        <v>5.7037144</v>
      </c>
      <c r="H7091" s="3">
        <v>58.944860927708099</v>
      </c>
      <c r="I7091" s="3">
        <v>5.8765554</v>
      </c>
      <c r="J7091" s="3">
        <v>5.9259367000000003</v>
      </c>
      <c r="K7091" s="3">
        <v>5.6790232999999999</v>
      </c>
      <c r="L7091" s="3">
        <v>58.944860927708099</v>
      </c>
    </row>
    <row r="7092" spans="1:12" ht="15" customHeight="1" x14ac:dyDescent="0.2">
      <c r="A7092" s="2">
        <v>35754</v>
      </c>
      <c r="B7092" s="3">
        <v>5.8271712999999998</v>
      </c>
      <c r="C7092" s="1">
        <v>2106502</v>
      </c>
      <c r="D7092" s="3">
        <v>0.16049379999999999</v>
      </c>
      <c r="E7092" s="3">
        <v>2.8322381148389</v>
      </c>
      <c r="F7092" s="3">
        <v>2.8322381148389</v>
      </c>
      <c r="G7092" s="3">
        <v>5.8271712999999998</v>
      </c>
      <c r="H7092" s="3">
        <v>62.385222492983203</v>
      </c>
      <c r="I7092" s="3">
        <v>5.7284063999999999</v>
      </c>
      <c r="J7092" s="3">
        <v>5.9259367000000003</v>
      </c>
      <c r="K7092" s="3">
        <v>5.654331</v>
      </c>
      <c r="L7092" s="3">
        <v>62.385222492983203</v>
      </c>
    </row>
    <row r="7093" spans="1:12" ht="15" customHeight="1" x14ac:dyDescent="0.2">
      <c r="A7093" s="2">
        <v>35753</v>
      </c>
      <c r="B7093" s="3">
        <v>5.6666774999999996</v>
      </c>
      <c r="C7093" s="1">
        <v>3280494</v>
      </c>
      <c r="D7093" s="3">
        <v>-8.6419500000000704E-2</v>
      </c>
      <c r="E7093" s="3">
        <v>-1.50213876108816</v>
      </c>
      <c r="F7093" s="3">
        <v>-1.50213876108816</v>
      </c>
      <c r="G7093" s="3">
        <v>5.6666774999999996</v>
      </c>
      <c r="H7093" s="3">
        <v>57.912757195499204</v>
      </c>
      <c r="I7093" s="3">
        <v>5.7530985000000001</v>
      </c>
      <c r="J7093" s="3">
        <v>5.9012456000000002</v>
      </c>
      <c r="K7093" s="3">
        <v>5.506183</v>
      </c>
      <c r="L7093" s="3">
        <v>57.912757195499204</v>
      </c>
    </row>
    <row r="7094" spans="1:12" ht="15" customHeight="1" x14ac:dyDescent="0.2">
      <c r="A7094" s="2">
        <v>35752</v>
      </c>
      <c r="B7094" s="3">
        <v>5.7530970000000003</v>
      </c>
      <c r="C7094" s="1">
        <v>7178610.3999999901</v>
      </c>
      <c r="D7094" s="3">
        <v>0.296296</v>
      </c>
      <c r="E7094" s="3">
        <v>5.4298480006875902</v>
      </c>
      <c r="F7094" s="3">
        <v>5.4298480006875902</v>
      </c>
      <c r="G7094" s="3">
        <v>5.7530970000000003</v>
      </c>
      <c r="H7094" s="3">
        <v>60.321001095113502</v>
      </c>
      <c r="I7094" s="3">
        <v>5.407419</v>
      </c>
      <c r="J7094" s="3">
        <v>5.7777890000000003</v>
      </c>
      <c r="K7094" s="3">
        <v>5.3827267000000001</v>
      </c>
      <c r="L7094" s="3">
        <v>60.321001095113502</v>
      </c>
    </row>
    <row r="7095" spans="1:12" ht="15" customHeight="1" x14ac:dyDescent="0.2">
      <c r="A7095" s="2">
        <v>35751</v>
      </c>
      <c r="B7095" s="3">
        <v>5.4568009999999996</v>
      </c>
      <c r="C7095" s="1">
        <v>1500015.9</v>
      </c>
      <c r="D7095" s="3">
        <v>-0.22222230000000001</v>
      </c>
      <c r="E7095" s="3">
        <v>-3.9130372999174101</v>
      </c>
      <c r="F7095" s="3">
        <v>-3.9130372999174101</v>
      </c>
      <c r="G7095" s="3">
        <v>5.4568009999999996</v>
      </c>
      <c r="H7095" s="3">
        <v>52.064148943919498</v>
      </c>
      <c r="I7095" s="3">
        <v>5.7037144</v>
      </c>
      <c r="J7095" s="3">
        <v>5.7777890000000003</v>
      </c>
      <c r="K7095" s="3">
        <v>5.4321099999999998</v>
      </c>
      <c r="L7095" s="3">
        <v>52.064148943919498</v>
      </c>
    </row>
    <row r="7096" spans="1:12" ht="15" customHeight="1" x14ac:dyDescent="0.2">
      <c r="A7096" s="2">
        <v>35748</v>
      </c>
      <c r="B7096" s="3">
        <v>5.6790232999999999</v>
      </c>
      <c r="C7096" s="1">
        <v>291599.46000000002</v>
      </c>
      <c r="D7096" s="3">
        <v>-7.4073700000000395E-2</v>
      </c>
      <c r="E7096" s="3">
        <v>-1.28754477805607</v>
      </c>
      <c r="F7096" s="3">
        <v>-1.28754477805607</v>
      </c>
      <c r="G7096" s="3">
        <v>5.6790232999999999</v>
      </c>
      <c r="H7096" s="3">
        <v>58.256796417386198</v>
      </c>
      <c r="I7096" s="3">
        <v>5.7284063999999999</v>
      </c>
      <c r="J7096" s="3">
        <v>5.7777890000000003</v>
      </c>
      <c r="K7096" s="3">
        <v>5.5802584</v>
      </c>
      <c r="L7096" s="3">
        <v>58.256796417386198</v>
      </c>
    </row>
    <row r="7097" spans="1:12" ht="15" customHeight="1" x14ac:dyDescent="0.2">
      <c r="A7097" s="2">
        <v>35747</v>
      </c>
      <c r="B7097" s="3">
        <v>5.7530970000000003</v>
      </c>
      <c r="C7097" s="1">
        <v>584211.4</v>
      </c>
      <c r="D7097" s="3">
        <v>0.148147999999999</v>
      </c>
      <c r="E7097" s="3">
        <v>2.64316410372333</v>
      </c>
      <c r="F7097" s="3">
        <v>2.64316410372333</v>
      </c>
      <c r="G7097" s="3">
        <v>5.7530970000000003</v>
      </c>
      <c r="H7097" s="3">
        <v>60.321001095113502</v>
      </c>
      <c r="I7097" s="3">
        <v>5.7037144</v>
      </c>
      <c r="J7097" s="3">
        <v>5.7530970000000003</v>
      </c>
      <c r="K7097" s="3">
        <v>5.5555662999999997</v>
      </c>
      <c r="L7097" s="3">
        <v>60.321001095113502</v>
      </c>
    </row>
    <row r="7098" spans="1:12" ht="15" customHeight="1" x14ac:dyDescent="0.2">
      <c r="A7098" s="2">
        <v>35746</v>
      </c>
      <c r="B7098" s="3">
        <v>5.6049490000000004</v>
      </c>
      <c r="C7098" s="1">
        <v>386268.07</v>
      </c>
      <c r="D7098" s="3">
        <v>-0.20987699999999901</v>
      </c>
      <c r="E7098" s="3">
        <v>-3.60934273871651</v>
      </c>
      <c r="F7098" s="3">
        <v>-3.60934273871651</v>
      </c>
      <c r="G7098" s="3">
        <v>5.6049490000000004</v>
      </c>
      <c r="H7098" s="3">
        <v>56.192575019516497</v>
      </c>
      <c r="I7098" s="3">
        <v>5.7530985000000001</v>
      </c>
      <c r="J7098" s="3">
        <v>5.8271712999999998</v>
      </c>
      <c r="K7098" s="3">
        <v>5.5555662999999997</v>
      </c>
      <c r="L7098" s="3">
        <v>56.192575019516497</v>
      </c>
    </row>
    <row r="7099" spans="1:12" ht="15" customHeight="1" x14ac:dyDescent="0.2">
      <c r="A7099" s="2">
        <v>35745</v>
      </c>
      <c r="B7099" s="3">
        <v>5.8148260000000001</v>
      </c>
      <c r="C7099" s="1">
        <v>414111.76</v>
      </c>
      <c r="D7099" s="3">
        <v>-0.16049340000000001</v>
      </c>
      <c r="E7099" s="3">
        <v>-2.6859384286637402</v>
      </c>
      <c r="F7099" s="3">
        <v>-2.6859384286637402</v>
      </c>
      <c r="G7099" s="3">
        <v>5.8148260000000001</v>
      </c>
      <c r="H7099" s="3">
        <v>62.041197204548197</v>
      </c>
      <c r="I7099" s="3">
        <v>6.0247035000000002</v>
      </c>
      <c r="J7099" s="3">
        <v>6.0247035000000002</v>
      </c>
      <c r="K7099" s="3">
        <v>5.7530970000000003</v>
      </c>
      <c r="L7099" s="3">
        <v>62.041197204548197</v>
      </c>
    </row>
    <row r="7100" spans="1:12" ht="15" customHeight="1" x14ac:dyDescent="0.2">
      <c r="A7100" s="2">
        <v>35744</v>
      </c>
      <c r="B7100" s="3">
        <v>5.9753194000000001</v>
      </c>
      <c r="C7100" s="1">
        <v>495111.56999999902</v>
      </c>
      <c r="D7100" s="3">
        <v>2.4690600000000399E-2</v>
      </c>
      <c r="E7100" s="3">
        <v>0.41492421775661797</v>
      </c>
      <c r="F7100" s="3">
        <v>0.41492421775661797</v>
      </c>
      <c r="G7100" s="3">
        <v>5.9753194000000001</v>
      </c>
      <c r="H7100" s="3">
        <v>66.513651355270596</v>
      </c>
      <c r="I7100" s="3">
        <v>6.1975426999999996</v>
      </c>
      <c r="J7100" s="3">
        <v>6.1975426999999996</v>
      </c>
      <c r="K7100" s="3">
        <v>5.9753194000000001</v>
      </c>
      <c r="L7100" s="3">
        <v>66.513651355270596</v>
      </c>
    </row>
    <row r="7101" spans="1:12" ht="15" customHeight="1" x14ac:dyDescent="0.2">
      <c r="A7101" s="2">
        <v>35741</v>
      </c>
      <c r="B7101" s="3">
        <v>5.9506287999999996</v>
      </c>
      <c r="C7101" s="1">
        <v>540167.65999999898</v>
      </c>
      <c r="D7101" s="3">
        <v>-2.4690600000000399E-2</v>
      </c>
      <c r="E7101" s="3">
        <v>-0.41320971059723899</v>
      </c>
      <c r="F7101" s="3">
        <v>-0.41320971059723899</v>
      </c>
      <c r="G7101" s="3">
        <v>5.9506287999999996</v>
      </c>
      <c r="H7101" s="3">
        <v>65.825600778400599</v>
      </c>
      <c r="I7101" s="3">
        <v>5.8765554</v>
      </c>
      <c r="J7101" s="3">
        <v>6.0370489999999997</v>
      </c>
      <c r="K7101" s="3">
        <v>5.8271712999999998</v>
      </c>
      <c r="L7101" s="3">
        <v>65.825600778400599</v>
      </c>
    </row>
    <row r="7102" spans="1:12" ht="15" customHeight="1" x14ac:dyDescent="0.2">
      <c r="A7102" s="2">
        <v>35740</v>
      </c>
      <c r="B7102" s="3">
        <v>5.9753194000000001</v>
      </c>
      <c r="C7102" s="1">
        <v>322480.62</v>
      </c>
      <c r="D7102" s="3">
        <v>-0.27160600000000001</v>
      </c>
      <c r="E7102" s="3">
        <v>-4.3478348564879603</v>
      </c>
      <c r="F7102" s="3">
        <v>-4.3478348564879603</v>
      </c>
      <c r="G7102" s="3">
        <v>5.9753194000000001</v>
      </c>
      <c r="H7102" s="3">
        <v>66.513651355270596</v>
      </c>
      <c r="I7102" s="3">
        <v>6.1481614000000002</v>
      </c>
      <c r="J7102" s="3">
        <v>6.2222333000000001</v>
      </c>
      <c r="K7102" s="3">
        <v>5.9753194000000001</v>
      </c>
      <c r="L7102" s="3">
        <v>66.513651355270596</v>
      </c>
    </row>
    <row r="7103" spans="1:12" ht="15" customHeight="1" x14ac:dyDescent="0.2">
      <c r="A7103" s="2">
        <v>35739</v>
      </c>
      <c r="B7103" s="3">
        <v>6.2469254000000003</v>
      </c>
      <c r="C7103" s="1">
        <v>614586.24</v>
      </c>
      <c r="D7103" s="3">
        <v>-9.8766299999999405E-2</v>
      </c>
      <c r="E7103" s="3">
        <v>-1.55643079855265</v>
      </c>
      <c r="F7103" s="3">
        <v>-1.55643079855265</v>
      </c>
      <c r="G7103" s="3">
        <v>6.2469254000000003</v>
      </c>
      <c r="H7103" s="3">
        <v>74.082469649736893</v>
      </c>
      <c r="I7103" s="3">
        <v>6.3210015000000004</v>
      </c>
      <c r="J7103" s="3">
        <v>6.3950740000000001</v>
      </c>
      <c r="K7103" s="3">
        <v>6.1481599999999998</v>
      </c>
      <c r="L7103" s="3">
        <v>74.082469649736893</v>
      </c>
    </row>
    <row r="7104" spans="1:12" ht="15" customHeight="1" x14ac:dyDescent="0.2">
      <c r="A7104" s="2">
        <v>35738</v>
      </c>
      <c r="B7104" s="3">
        <v>6.3456916999999997</v>
      </c>
      <c r="C7104" s="1">
        <v>1596203.2</v>
      </c>
      <c r="D7104" s="3">
        <v>-0.27160429999999902</v>
      </c>
      <c r="E7104" s="3">
        <v>-4.1044604926241703</v>
      </c>
      <c r="F7104" s="3">
        <v>-4.1044604926241703</v>
      </c>
      <c r="G7104" s="3">
        <v>6.3456916999999997</v>
      </c>
      <c r="H7104" s="3">
        <v>76.834780638142007</v>
      </c>
      <c r="I7104" s="3">
        <v>6.5679154000000004</v>
      </c>
      <c r="J7104" s="3">
        <v>6.6666800000000004</v>
      </c>
      <c r="K7104" s="3">
        <v>6.3209996000000004</v>
      </c>
      <c r="L7104" s="3">
        <v>76.834780638142007</v>
      </c>
    </row>
    <row r="7105" spans="1:12" ht="15" customHeight="1" x14ac:dyDescent="0.2">
      <c r="A7105" s="2">
        <v>35737</v>
      </c>
      <c r="B7105" s="3">
        <v>6.6172959999999996</v>
      </c>
      <c r="C7105" s="1">
        <v>2190033.1999999899</v>
      </c>
      <c r="D7105" s="3">
        <v>0.39506269999999899</v>
      </c>
      <c r="E7105" s="3">
        <v>6.3492106604231502</v>
      </c>
      <c r="F7105" s="3">
        <v>6.3492106604231502</v>
      </c>
      <c r="G7105" s="3">
        <v>6.6172959999999996</v>
      </c>
      <c r="H7105" s="3">
        <v>84.403551558871797</v>
      </c>
      <c r="I7105" s="3">
        <v>6.1975426999999996</v>
      </c>
      <c r="J7105" s="3">
        <v>6.7160624999999996</v>
      </c>
      <c r="K7105" s="3">
        <v>6.1234690000000001</v>
      </c>
      <c r="L7105" s="3">
        <v>84.403551558871797</v>
      </c>
    </row>
    <row r="7106" spans="1:12" ht="15" customHeight="1" x14ac:dyDescent="0.2">
      <c r="A7106" s="2">
        <v>35734</v>
      </c>
      <c r="B7106" s="3">
        <v>6.2222333000000001</v>
      </c>
      <c r="C7106" s="1">
        <v>1612403.2</v>
      </c>
      <c r="D7106" s="3">
        <v>0.2839508</v>
      </c>
      <c r="E7106" s="3">
        <v>4.7816990855521002</v>
      </c>
      <c r="F7106" s="3">
        <v>4.7816990855521002</v>
      </c>
      <c r="G7106" s="3">
        <v>6.2222333000000001</v>
      </c>
      <c r="H7106" s="3">
        <v>73.394377272511093</v>
      </c>
      <c r="I7106" s="3">
        <v>5.9753202999999999</v>
      </c>
      <c r="J7106" s="3">
        <v>6.2222333000000001</v>
      </c>
      <c r="K7106" s="3">
        <v>5.9012456000000002</v>
      </c>
      <c r="L7106" s="3">
        <v>73.394377272511093</v>
      </c>
    </row>
    <row r="7107" spans="1:12" ht="15" customHeight="1" x14ac:dyDescent="0.2">
      <c r="A7107" s="2">
        <v>35733</v>
      </c>
      <c r="B7107" s="3">
        <v>5.9382824999999997</v>
      </c>
      <c r="C7107" s="1">
        <v>1464578.5</v>
      </c>
      <c r="D7107" s="3">
        <v>0.22222249999999999</v>
      </c>
      <c r="E7107" s="3">
        <v>3.8876866233034502</v>
      </c>
      <c r="F7107" s="3">
        <v>3.8876866233034502</v>
      </c>
      <c r="G7107" s="3">
        <v>5.9382824999999997</v>
      </c>
      <c r="H7107" s="3">
        <v>65.481547623061701</v>
      </c>
      <c r="I7107" s="3">
        <v>5.5802589999999999</v>
      </c>
      <c r="J7107" s="3">
        <v>5.9506287999999996</v>
      </c>
      <c r="K7107" s="3">
        <v>5.5802584</v>
      </c>
      <c r="L7107" s="3">
        <v>65.481547623061701</v>
      </c>
    </row>
    <row r="7108" spans="1:12" ht="15" customHeight="1" x14ac:dyDescent="0.2">
      <c r="A7108" s="2">
        <v>35732</v>
      </c>
      <c r="B7108" s="3">
        <v>5.7160599999999997</v>
      </c>
      <c r="C7108" s="1">
        <v>910742</v>
      </c>
      <c r="D7108" s="3">
        <v>3.7036699999999798E-2</v>
      </c>
      <c r="E7108" s="3">
        <v>0.65216672028798295</v>
      </c>
      <c r="F7108" s="3">
        <v>0.65216672028798295</v>
      </c>
      <c r="G7108" s="3">
        <v>5.7160599999999997</v>
      </c>
      <c r="H7108" s="3">
        <v>59.288894576214297</v>
      </c>
      <c r="I7108" s="3">
        <v>5.7284063999999999</v>
      </c>
      <c r="J7108" s="3">
        <v>5.8518629999999998</v>
      </c>
      <c r="K7108" s="3">
        <v>5.6296406000000001</v>
      </c>
      <c r="L7108" s="3">
        <v>59.288894576214297</v>
      </c>
    </row>
    <row r="7109" spans="1:12" ht="15" customHeight="1" x14ac:dyDescent="0.2">
      <c r="A7109" s="2">
        <v>35731</v>
      </c>
      <c r="B7109" s="3">
        <v>5.6790232999999999</v>
      </c>
      <c r="C7109" s="1">
        <v>1017560.5</v>
      </c>
      <c r="D7109" s="3">
        <v>0.19753169999999901</v>
      </c>
      <c r="E7109" s="3">
        <v>3.6036121992780199</v>
      </c>
      <c r="F7109" s="3">
        <v>3.6036121992780199</v>
      </c>
      <c r="G7109" s="3">
        <v>5.6790232999999999</v>
      </c>
      <c r="H7109" s="3">
        <v>58.256796417386198</v>
      </c>
      <c r="I7109" s="3">
        <v>5.3086523999999997</v>
      </c>
      <c r="J7109" s="3">
        <v>5.7777890000000003</v>
      </c>
      <c r="K7109" s="3">
        <v>5.3086523999999997</v>
      </c>
      <c r="L7109" s="3">
        <v>58.256796417386198</v>
      </c>
    </row>
    <row r="7110" spans="1:12" ht="15" customHeight="1" x14ac:dyDescent="0.2">
      <c r="A7110" s="2">
        <v>35730</v>
      </c>
      <c r="B7110" s="3">
        <v>5.4814916</v>
      </c>
      <c r="C7110" s="1">
        <v>2184970.6999999899</v>
      </c>
      <c r="D7110" s="3">
        <v>-0.29629739999999999</v>
      </c>
      <c r="E7110" s="3">
        <v>-5.1282142701991997</v>
      </c>
      <c r="F7110" s="3">
        <v>-5.1282142701991997</v>
      </c>
      <c r="G7110" s="3">
        <v>5.4814916</v>
      </c>
      <c r="H7110" s="3">
        <v>52.752199520789503</v>
      </c>
      <c r="I7110" s="3">
        <v>5.7284063999999999</v>
      </c>
      <c r="J7110" s="3">
        <v>5.7530970000000003</v>
      </c>
      <c r="K7110" s="3">
        <v>5.4321099999999998</v>
      </c>
      <c r="L7110" s="3">
        <v>52.752199520789503</v>
      </c>
    </row>
    <row r="7111" spans="1:12" ht="15" customHeight="1" x14ac:dyDescent="0.2">
      <c r="A7111" s="2">
        <v>35727</v>
      </c>
      <c r="B7111" s="3">
        <v>5.7777890000000003</v>
      </c>
      <c r="C7111" s="1">
        <v>5192090</v>
      </c>
      <c r="D7111" s="3">
        <v>0.79012530000000003</v>
      </c>
      <c r="E7111" s="3">
        <v>15.8415913246115</v>
      </c>
      <c r="F7111" s="3">
        <v>15.8415913246115</v>
      </c>
      <c r="G7111" s="3">
        <v>5.7777890000000003</v>
      </c>
      <c r="H7111" s="3">
        <v>61.009090685648999</v>
      </c>
      <c r="I7111" s="3">
        <v>5.0370473999999996</v>
      </c>
      <c r="J7111" s="3">
        <v>5.9753194000000001</v>
      </c>
      <c r="K7111" s="3">
        <v>5.0308742999999998</v>
      </c>
      <c r="L7111" s="3">
        <v>61.009090685648999</v>
      </c>
    </row>
    <row r="7112" spans="1:12" ht="15" customHeight="1" x14ac:dyDescent="0.2">
      <c r="A7112" s="2">
        <v>35726</v>
      </c>
      <c r="B7112" s="3">
        <v>4.9876636999999997</v>
      </c>
      <c r="C7112" s="1">
        <v>114918.53</v>
      </c>
      <c r="D7112" s="3">
        <v>-7.4074300000000301E-2</v>
      </c>
      <c r="E7112" s="3">
        <v>-1.4634163206392701</v>
      </c>
      <c r="F7112" s="3">
        <v>-1.4634163206392701</v>
      </c>
      <c r="G7112" s="3">
        <v>4.9876636999999997</v>
      </c>
      <c r="H7112" s="3">
        <v>38.9907448996181</v>
      </c>
      <c r="I7112" s="3">
        <v>4.962974</v>
      </c>
      <c r="J7112" s="3">
        <v>5.0370464000000004</v>
      </c>
      <c r="K7112" s="3">
        <v>4.9135900000000001</v>
      </c>
      <c r="L7112" s="3">
        <v>38.9907448996181</v>
      </c>
    </row>
    <row r="7113" spans="1:12" ht="15" customHeight="1" x14ac:dyDescent="0.2">
      <c r="A7113" s="2">
        <v>35725</v>
      </c>
      <c r="B7113" s="3">
        <v>5.0617380000000001</v>
      </c>
      <c r="C7113" s="1">
        <v>549786.43999999994</v>
      </c>
      <c r="D7113" s="3">
        <v>-0.13580199999999901</v>
      </c>
      <c r="E7113" s="3">
        <v>-2.61281298460425</v>
      </c>
      <c r="F7113" s="3">
        <v>-2.61281298460425</v>
      </c>
      <c r="G7113" s="3">
        <v>5.0617380000000001</v>
      </c>
      <c r="H7113" s="3">
        <v>41.054966297487702</v>
      </c>
      <c r="I7113" s="3">
        <v>5.2098884999999999</v>
      </c>
      <c r="J7113" s="3">
        <v>5.234578</v>
      </c>
      <c r="K7113" s="3">
        <v>4.9382809999999999</v>
      </c>
      <c r="L7113" s="3">
        <v>41.054966297487702</v>
      </c>
    </row>
    <row r="7114" spans="1:12" ht="15" customHeight="1" x14ac:dyDescent="0.2">
      <c r="A7114" s="2">
        <v>35724</v>
      </c>
      <c r="B7114" s="3">
        <v>5.19754</v>
      </c>
      <c r="C7114" s="1">
        <v>223255.8</v>
      </c>
      <c r="D7114" s="3">
        <v>2.4690999999999699E-2</v>
      </c>
      <c r="E7114" s="3">
        <v>0.47731917169822002</v>
      </c>
      <c r="F7114" s="3">
        <v>0.47731917169822002</v>
      </c>
      <c r="G7114" s="3">
        <v>5.19754</v>
      </c>
      <c r="H7114" s="3">
        <v>44.839347577817001</v>
      </c>
      <c r="I7114" s="3">
        <v>5.2345785999999999</v>
      </c>
      <c r="J7114" s="3">
        <v>5.2839612999999996</v>
      </c>
      <c r="K7114" s="3">
        <v>5.1358113000000003</v>
      </c>
      <c r="L7114" s="3">
        <v>44.839347577817001</v>
      </c>
    </row>
    <row r="7115" spans="1:12" ht="15" customHeight="1" x14ac:dyDescent="0.2">
      <c r="A7115" s="2">
        <v>35723</v>
      </c>
      <c r="B7115" s="3">
        <v>5.1728490000000003</v>
      </c>
      <c r="C7115" s="1">
        <v>511817.75</v>
      </c>
      <c r="D7115" s="3">
        <v>0.20987639999999999</v>
      </c>
      <c r="E7115" s="3">
        <v>4.22884462428829</v>
      </c>
      <c r="F7115" s="3">
        <v>4.22884462428829</v>
      </c>
      <c r="G7115" s="3">
        <v>5.1728490000000003</v>
      </c>
      <c r="H7115" s="3">
        <v>44.151285854185502</v>
      </c>
      <c r="I7115" s="3">
        <v>5.0370473999999996</v>
      </c>
      <c r="J7115" s="3">
        <v>5.2098865999999999</v>
      </c>
      <c r="K7115" s="3">
        <v>4.9876636999999997</v>
      </c>
      <c r="L7115" s="3">
        <v>44.151285854185502</v>
      </c>
    </row>
    <row r="7116" spans="1:12" ht="15" customHeight="1" x14ac:dyDescent="0.2">
      <c r="A7116" s="2">
        <v>35720</v>
      </c>
      <c r="B7116" s="3">
        <v>4.9629725999999996</v>
      </c>
      <c r="C7116" s="1">
        <v>882392.2</v>
      </c>
      <c r="D7116" s="3">
        <v>-0.35802509999999999</v>
      </c>
      <c r="E7116" s="3">
        <v>-6.7285332598433696</v>
      </c>
      <c r="F7116" s="3">
        <v>-6.7285332598433696</v>
      </c>
      <c r="G7116" s="3">
        <v>4.9629725999999996</v>
      </c>
      <c r="H7116" s="3">
        <v>38.3026803892961</v>
      </c>
      <c r="I7116" s="3">
        <v>5.3086523999999997</v>
      </c>
      <c r="J7116" s="3">
        <v>5.3333430000000002</v>
      </c>
      <c r="K7116" s="3">
        <v>4.790133</v>
      </c>
      <c r="L7116" s="3">
        <v>38.3026803892961</v>
      </c>
    </row>
    <row r="7117" spans="1:12" ht="15" customHeight="1" x14ac:dyDescent="0.2">
      <c r="A7117" s="2">
        <v>35719</v>
      </c>
      <c r="B7117" s="3">
        <v>5.3209977000000004</v>
      </c>
      <c r="C7117" s="1">
        <v>163518.43</v>
      </c>
      <c r="D7117" s="3">
        <v>-1.23452999999997E-2</v>
      </c>
      <c r="E7117" s="3">
        <v>-0.23147395545345301</v>
      </c>
      <c r="F7117" s="3">
        <v>-0.23147395545345301</v>
      </c>
      <c r="G7117" s="3">
        <v>5.3209977000000004</v>
      </c>
      <c r="H7117" s="3">
        <v>48.279731436615201</v>
      </c>
      <c r="I7117" s="3">
        <v>5.3086523999999997</v>
      </c>
      <c r="J7117" s="3">
        <v>5.3333430000000002</v>
      </c>
      <c r="K7117" s="3">
        <v>5.3086523999999997</v>
      </c>
      <c r="L7117" s="3">
        <v>48.279731436615201</v>
      </c>
    </row>
    <row r="7118" spans="1:12" ht="15" customHeight="1" x14ac:dyDescent="0.2">
      <c r="A7118" s="2">
        <v>35718</v>
      </c>
      <c r="B7118" s="3">
        <v>5.3333430000000002</v>
      </c>
      <c r="C7118" s="1">
        <v>341211.88</v>
      </c>
      <c r="D7118" s="3">
        <v>-0.234567999999999</v>
      </c>
      <c r="E7118" s="3">
        <v>-4.2128546954144799</v>
      </c>
      <c r="F7118" s="3">
        <v>-4.2128546954144799</v>
      </c>
      <c r="G7118" s="3">
        <v>5.3333430000000002</v>
      </c>
      <c r="H7118" s="3">
        <v>48.6237567250502</v>
      </c>
      <c r="I7118" s="3">
        <v>5.5802589999999999</v>
      </c>
      <c r="J7118" s="3">
        <v>5.5802584</v>
      </c>
      <c r="K7118" s="3">
        <v>5.3086523999999997</v>
      </c>
      <c r="L7118" s="3">
        <v>48.6237567250502</v>
      </c>
    </row>
    <row r="7119" spans="1:12" ht="15" customHeight="1" x14ac:dyDescent="0.2">
      <c r="A7119" s="2">
        <v>35717</v>
      </c>
      <c r="B7119" s="3">
        <v>5.5679109999999996</v>
      </c>
      <c r="C7119" s="1">
        <v>27337.451999999899</v>
      </c>
      <c r="D7119" s="3">
        <v>3.7035299999999403E-2</v>
      </c>
      <c r="E7119" s="3">
        <v>0.66961005831318499</v>
      </c>
      <c r="F7119" s="3">
        <v>0.66961005831318499</v>
      </c>
      <c r="G7119" s="3">
        <v>5.5679109999999996</v>
      </c>
      <c r="H7119" s="3">
        <v>55.160440633713399</v>
      </c>
      <c r="I7119" s="3">
        <v>5.5555669999999999</v>
      </c>
      <c r="J7119" s="3">
        <v>5.5802584</v>
      </c>
      <c r="K7119" s="3">
        <v>5.506183</v>
      </c>
      <c r="L7119" s="3">
        <v>55.160440633713399</v>
      </c>
    </row>
    <row r="7120" spans="1:12" ht="15" customHeight="1" x14ac:dyDescent="0.2">
      <c r="A7120" s="2">
        <v>35716</v>
      </c>
      <c r="B7120" s="3">
        <v>5.5308757000000002</v>
      </c>
      <c r="C7120" s="1">
        <v>139218.49</v>
      </c>
      <c r="D7120" s="3"/>
      <c r="E7120" s="3"/>
      <c r="F7120" s="3"/>
      <c r="G7120" s="3">
        <v>5.5308757000000002</v>
      </c>
      <c r="H7120" s="3">
        <v>54.128381488550701</v>
      </c>
      <c r="I7120" s="3">
        <v>5.5308757000000002</v>
      </c>
      <c r="J7120" s="3">
        <v>5.5555662999999997</v>
      </c>
      <c r="K7120" s="3">
        <v>5.4568009999999996</v>
      </c>
      <c r="L7120" s="3">
        <v>54.128381488550701</v>
      </c>
    </row>
    <row r="7121" spans="1:12" ht="15" customHeight="1" x14ac:dyDescent="0.2">
      <c r="A7121" s="2">
        <v>35713</v>
      </c>
      <c r="B7121" s="3">
        <v>5.5308757000000002</v>
      </c>
      <c r="C7121" s="1">
        <v>239962.04</v>
      </c>
      <c r="D7121" s="3">
        <v>2.4692700000000099E-2</v>
      </c>
      <c r="E7121" s="3">
        <v>0.44845403794244698</v>
      </c>
      <c r="F7121" s="3">
        <v>0.44845403794244698</v>
      </c>
      <c r="G7121" s="3">
        <v>5.5308757000000002</v>
      </c>
      <c r="H7121" s="3">
        <v>54.128381488550701</v>
      </c>
      <c r="I7121" s="3">
        <v>5.5555669999999999</v>
      </c>
      <c r="J7121" s="3">
        <v>5.5555662999999997</v>
      </c>
      <c r="K7121" s="3">
        <v>5.4568009999999996</v>
      </c>
      <c r="L7121" s="3">
        <v>54.128381488550701</v>
      </c>
    </row>
    <row r="7122" spans="1:12" ht="15" customHeight="1" x14ac:dyDescent="0.2">
      <c r="A7122" s="2">
        <v>35712</v>
      </c>
      <c r="B7122" s="3">
        <v>5.506183</v>
      </c>
      <c r="C7122" s="1">
        <v>309824.37</v>
      </c>
      <c r="D7122" s="3">
        <v>2.4691399999999999E-2</v>
      </c>
      <c r="E7122" s="3">
        <v>0.450450384709144</v>
      </c>
      <c r="F7122" s="3">
        <v>0.450450384709144</v>
      </c>
      <c r="G7122" s="3">
        <v>5.506183</v>
      </c>
      <c r="H7122" s="3">
        <v>53.440272391182603</v>
      </c>
      <c r="I7122" s="3">
        <v>5.407419</v>
      </c>
      <c r="J7122" s="3">
        <v>5.5432199999999998</v>
      </c>
      <c r="K7122" s="3">
        <v>5.4074187</v>
      </c>
      <c r="L7122" s="3">
        <v>53.440272391182603</v>
      </c>
    </row>
    <row r="7123" spans="1:12" ht="15" customHeight="1" x14ac:dyDescent="0.2">
      <c r="A7123" s="2">
        <v>35711</v>
      </c>
      <c r="B7123" s="3">
        <v>5.4814916</v>
      </c>
      <c r="C7123" s="1">
        <v>35943.684000000001</v>
      </c>
      <c r="D7123" s="3">
        <v>2.4690600000000399E-2</v>
      </c>
      <c r="E7123" s="3">
        <v>0.45247389450340197</v>
      </c>
      <c r="F7123" s="3">
        <v>0.45247389450340197</v>
      </c>
      <c r="G7123" s="3">
        <v>5.4814916</v>
      </c>
      <c r="H7123" s="3">
        <v>52.752199520789503</v>
      </c>
      <c r="I7123" s="3">
        <v>5.4814930000000004</v>
      </c>
      <c r="J7123" s="3">
        <v>5.4814916</v>
      </c>
      <c r="K7123" s="3">
        <v>5.4074187</v>
      </c>
      <c r="L7123" s="3">
        <v>52.752199520789503</v>
      </c>
    </row>
    <row r="7124" spans="1:12" ht="15" customHeight="1" x14ac:dyDescent="0.2">
      <c r="A7124" s="2">
        <v>35710</v>
      </c>
      <c r="B7124" s="3">
        <v>5.4568009999999996</v>
      </c>
      <c r="C7124" s="1">
        <v>41006.171999999999</v>
      </c>
      <c r="D7124" s="3">
        <v>3.7037399999999998E-2</v>
      </c>
      <c r="E7124" s="3">
        <v>0.68337666978686096</v>
      </c>
      <c r="F7124" s="3">
        <v>0.68337666978686096</v>
      </c>
      <c r="G7124" s="3">
        <v>5.4568009999999996</v>
      </c>
      <c r="H7124" s="3">
        <v>52.064148943919498</v>
      </c>
      <c r="I7124" s="3">
        <v>5.4568009999999996</v>
      </c>
      <c r="J7124" s="3">
        <v>5.4568009999999996</v>
      </c>
      <c r="K7124" s="3">
        <v>5.4197635999999996</v>
      </c>
      <c r="L7124" s="3">
        <v>52.064148943919498</v>
      </c>
    </row>
    <row r="7125" spans="1:12" ht="15" customHeight="1" x14ac:dyDescent="0.2">
      <c r="A7125" s="2">
        <v>35709</v>
      </c>
      <c r="B7125" s="3">
        <v>5.4197635999999996</v>
      </c>
      <c r="C7125" s="1">
        <v>180224.66</v>
      </c>
      <c r="D7125" s="3">
        <v>-0.11111210000000001</v>
      </c>
      <c r="E7125" s="3">
        <v>-2.0089422729207298</v>
      </c>
      <c r="F7125" s="3">
        <v>-2.0089422729207298</v>
      </c>
      <c r="G7125" s="3">
        <v>5.4197635999999996</v>
      </c>
      <c r="H7125" s="3">
        <v>51.0320312782587</v>
      </c>
      <c r="I7125" s="3">
        <v>5.5061846000000001</v>
      </c>
      <c r="J7125" s="3">
        <v>5.5308757000000002</v>
      </c>
      <c r="K7125" s="3">
        <v>5.4197635999999996</v>
      </c>
      <c r="L7125" s="3">
        <v>51.0320312782587</v>
      </c>
    </row>
    <row r="7126" spans="1:12" ht="15" customHeight="1" x14ac:dyDescent="0.2">
      <c r="A7126" s="2">
        <v>35706</v>
      </c>
      <c r="B7126" s="3">
        <v>5.5308757000000002</v>
      </c>
      <c r="C7126" s="1">
        <v>206043.38</v>
      </c>
      <c r="D7126" s="3"/>
      <c r="E7126" s="3"/>
      <c r="F7126" s="3"/>
      <c r="G7126" s="3">
        <v>5.5308757000000002</v>
      </c>
      <c r="H7126" s="3">
        <v>54.128381488550701</v>
      </c>
      <c r="I7126" s="3">
        <v>5.6049495</v>
      </c>
      <c r="J7126" s="3">
        <v>5.6049490000000004</v>
      </c>
      <c r="K7126" s="3">
        <v>5.506183</v>
      </c>
      <c r="L7126" s="3">
        <v>54.128381488550701</v>
      </c>
    </row>
    <row r="7127" spans="1:12" ht="15" customHeight="1" x14ac:dyDescent="0.2">
      <c r="A7127" s="2">
        <v>35705</v>
      </c>
      <c r="B7127" s="3">
        <v>5.5308757000000002</v>
      </c>
      <c r="C7127" s="1">
        <v>685967.5</v>
      </c>
      <c r="D7127" s="3">
        <v>4.9384100000000097E-2</v>
      </c>
      <c r="E7127" s="3">
        <v>0.90092448559075899</v>
      </c>
      <c r="F7127" s="3">
        <v>0.90092448559075899</v>
      </c>
      <c r="G7127" s="3">
        <v>5.5308757000000002</v>
      </c>
      <c r="H7127" s="3">
        <v>54.128381488550701</v>
      </c>
      <c r="I7127" s="3">
        <v>5.4814930000000004</v>
      </c>
      <c r="J7127" s="3">
        <v>5.6296406000000001</v>
      </c>
      <c r="K7127" s="3">
        <v>5.4814916</v>
      </c>
      <c r="L7127" s="3">
        <v>54.128381488550701</v>
      </c>
    </row>
    <row r="7128" spans="1:12" ht="15" customHeight="1" x14ac:dyDescent="0.2">
      <c r="A7128" s="2">
        <v>35704</v>
      </c>
      <c r="B7128" s="3">
        <v>5.4814916</v>
      </c>
      <c r="C7128" s="1">
        <v>322480.62</v>
      </c>
      <c r="D7128" s="3">
        <v>3.7037599999999601E-2</v>
      </c>
      <c r="E7128" s="3">
        <v>0.68028125501655701</v>
      </c>
      <c r="F7128" s="3">
        <v>0.68028125501655701</v>
      </c>
      <c r="G7128" s="3">
        <v>5.4814916</v>
      </c>
      <c r="H7128" s="3">
        <v>52.752199520789503</v>
      </c>
      <c r="I7128" s="3">
        <v>5.4382824999999997</v>
      </c>
      <c r="J7128" s="3">
        <v>5.5555662999999997</v>
      </c>
      <c r="K7128" s="3">
        <v>5.4321099999999998</v>
      </c>
      <c r="L7128" s="3">
        <v>52.752199520789503</v>
      </c>
    </row>
    <row r="7129" spans="1:12" ht="15" customHeight="1" x14ac:dyDescent="0.2">
      <c r="A7129" s="2">
        <v>35703</v>
      </c>
      <c r="B7129" s="3">
        <v>5.4444540000000003</v>
      </c>
      <c r="C7129" s="1">
        <v>416136.7</v>
      </c>
      <c r="D7129" s="3">
        <v>0.111111</v>
      </c>
      <c r="E7129" s="3">
        <v>2.08332747396895</v>
      </c>
      <c r="F7129" s="3">
        <v>2.08332747396895</v>
      </c>
      <c r="G7129" s="3">
        <v>5.4444540000000003</v>
      </c>
      <c r="H7129" s="3">
        <v>51.720076281748</v>
      </c>
      <c r="I7129" s="3">
        <v>5.3333449999999996</v>
      </c>
      <c r="J7129" s="3">
        <v>5.4814916</v>
      </c>
      <c r="K7129" s="3">
        <v>5.3333430000000002</v>
      </c>
      <c r="L7129" s="3">
        <v>51.720076281748</v>
      </c>
    </row>
    <row r="7130" spans="1:12" ht="15" customHeight="1" x14ac:dyDescent="0.2">
      <c r="A7130" s="2">
        <v>35702</v>
      </c>
      <c r="B7130" s="3">
        <v>5.3333430000000002</v>
      </c>
      <c r="C7130" s="1">
        <v>282993.23</v>
      </c>
      <c r="D7130" s="3">
        <v>4.93817000000005E-2</v>
      </c>
      <c r="E7130" s="3">
        <v>0.93455832085675905</v>
      </c>
      <c r="F7130" s="3">
        <v>0.93455832085675905</v>
      </c>
      <c r="G7130" s="3">
        <v>5.3333430000000002</v>
      </c>
      <c r="H7130" s="3">
        <v>48.6237567250502</v>
      </c>
      <c r="I7130" s="3">
        <v>5.259271</v>
      </c>
      <c r="J7130" s="3">
        <v>5.3580360000000002</v>
      </c>
      <c r="K7130" s="3">
        <v>5.2098865999999999</v>
      </c>
      <c r="L7130" s="3">
        <v>48.6237567250502</v>
      </c>
    </row>
    <row r="7131" spans="1:12" ht="15" customHeight="1" x14ac:dyDescent="0.2">
      <c r="A7131" s="2">
        <v>35699</v>
      </c>
      <c r="B7131" s="3">
        <v>5.2839612999999996</v>
      </c>
      <c r="C7131" s="1">
        <v>235405.8</v>
      </c>
      <c r="D7131" s="3"/>
      <c r="E7131" s="3"/>
      <c r="F7131" s="3"/>
      <c r="G7131" s="3">
        <v>5.2839612999999996</v>
      </c>
      <c r="H7131" s="3">
        <v>47.247641637858301</v>
      </c>
      <c r="I7131" s="3">
        <v>5.2345785999999999</v>
      </c>
      <c r="J7131" s="3">
        <v>5.3333430000000002</v>
      </c>
      <c r="K7131" s="3">
        <v>5.234578</v>
      </c>
      <c r="L7131" s="3">
        <v>47.247641637858301</v>
      </c>
    </row>
    <row r="7132" spans="1:12" ht="15" customHeight="1" x14ac:dyDescent="0.2">
      <c r="A7132" s="2">
        <v>35698</v>
      </c>
      <c r="B7132" s="3">
        <v>5.2839612999999996</v>
      </c>
      <c r="C7132" s="1">
        <v>182249.65</v>
      </c>
      <c r="D7132" s="3">
        <v>-7.4074700000000604E-2</v>
      </c>
      <c r="E7132" s="3">
        <v>-1.3824972433929199</v>
      </c>
      <c r="F7132" s="3">
        <v>-1.3824972433929199</v>
      </c>
      <c r="G7132" s="3">
        <v>5.2839612999999996</v>
      </c>
      <c r="H7132" s="3">
        <v>47.247641637858301</v>
      </c>
      <c r="I7132" s="3">
        <v>5.3333449999999996</v>
      </c>
      <c r="J7132" s="3">
        <v>5.3827267000000001</v>
      </c>
      <c r="K7132" s="3">
        <v>5.234578</v>
      </c>
      <c r="L7132" s="3">
        <v>47.247641637858301</v>
      </c>
    </row>
    <row r="7133" spans="1:12" ht="15" customHeight="1" x14ac:dyDescent="0.2">
      <c r="A7133" s="2">
        <v>35697</v>
      </c>
      <c r="B7133" s="3">
        <v>5.3580360000000002</v>
      </c>
      <c r="C7133" s="1">
        <v>212624.59</v>
      </c>
      <c r="D7133" s="3">
        <v>-2.4690699999999802E-2</v>
      </c>
      <c r="E7133" s="3">
        <v>-0.45870246393895298</v>
      </c>
      <c r="F7133" s="3">
        <v>-0.45870246393895298</v>
      </c>
      <c r="G7133" s="3">
        <v>5.3580360000000002</v>
      </c>
      <c r="H7133" s="3">
        <v>49.311874182489497</v>
      </c>
      <c r="I7133" s="3">
        <v>5.3580364999999999</v>
      </c>
      <c r="J7133" s="3">
        <v>5.4321099999999998</v>
      </c>
      <c r="K7133" s="3">
        <v>5.3580360000000002</v>
      </c>
      <c r="L7133" s="3">
        <v>49.311874182489497</v>
      </c>
    </row>
    <row r="7134" spans="1:12" ht="15" customHeight="1" x14ac:dyDescent="0.2">
      <c r="A7134" s="2">
        <v>35696</v>
      </c>
      <c r="B7134" s="3">
        <v>5.3827267000000001</v>
      </c>
      <c r="C7134" s="1">
        <v>622180</v>
      </c>
      <c r="D7134" s="3">
        <v>-0.148149</v>
      </c>
      <c r="E7134" s="3">
        <v>-2.6785812597451799</v>
      </c>
      <c r="F7134" s="3">
        <v>-2.6785812597451799</v>
      </c>
      <c r="G7134" s="3">
        <v>5.3827267000000001</v>
      </c>
      <c r="H7134" s="3">
        <v>49.999927546049904</v>
      </c>
      <c r="I7134" s="3">
        <v>5.5802589999999999</v>
      </c>
      <c r="J7134" s="3">
        <v>5.5802584</v>
      </c>
      <c r="K7134" s="3">
        <v>5.2839612999999996</v>
      </c>
      <c r="L7134" s="3">
        <v>49.999927546049904</v>
      </c>
    </row>
    <row r="7135" spans="1:12" ht="15" customHeight="1" x14ac:dyDescent="0.2">
      <c r="A7135" s="2">
        <v>35695</v>
      </c>
      <c r="B7135" s="3">
        <v>5.5308757000000002</v>
      </c>
      <c r="C7135" s="1">
        <v>490049.06999999902</v>
      </c>
      <c r="D7135" s="3">
        <v>-2.46905999999995E-2</v>
      </c>
      <c r="E7135" s="3">
        <v>-0.44442994047249001</v>
      </c>
      <c r="F7135" s="3">
        <v>-0.44442994047249001</v>
      </c>
      <c r="G7135" s="3">
        <v>5.5308757000000002</v>
      </c>
      <c r="H7135" s="3">
        <v>54.128381488550701</v>
      </c>
      <c r="I7135" s="3">
        <v>5.5802589999999999</v>
      </c>
      <c r="J7135" s="3">
        <v>5.5802584</v>
      </c>
      <c r="K7135" s="3">
        <v>5.506183</v>
      </c>
      <c r="L7135" s="3">
        <v>54.128381488550701</v>
      </c>
    </row>
    <row r="7136" spans="1:12" ht="15" customHeight="1" x14ac:dyDescent="0.2">
      <c r="A7136" s="2">
        <v>35692</v>
      </c>
      <c r="B7136" s="3">
        <v>5.5555662999999997</v>
      </c>
      <c r="C7136" s="1">
        <v>326024.38</v>
      </c>
      <c r="D7136" s="3">
        <v>4.9383299999999603E-2</v>
      </c>
      <c r="E7136" s="3">
        <v>0.89686993694180195</v>
      </c>
      <c r="F7136" s="3">
        <v>0.89686993694180195</v>
      </c>
      <c r="G7136" s="3">
        <v>5.5555662999999997</v>
      </c>
      <c r="H7136" s="3">
        <v>54.816432065420699</v>
      </c>
      <c r="I7136" s="3">
        <v>5.5061846000000001</v>
      </c>
      <c r="J7136" s="3">
        <v>5.5802584</v>
      </c>
      <c r="K7136" s="3">
        <v>5.506183</v>
      </c>
      <c r="L7136" s="3">
        <v>54.816432065420699</v>
      </c>
    </row>
    <row r="7137" spans="1:12" ht="15" customHeight="1" x14ac:dyDescent="0.2">
      <c r="A7137" s="2">
        <v>35691</v>
      </c>
      <c r="B7137" s="3">
        <v>5.506183</v>
      </c>
      <c r="C7137" s="1">
        <v>27843.692999999999</v>
      </c>
      <c r="D7137" s="3">
        <v>-1.23464000000002E-2</v>
      </c>
      <c r="E7137" s="3">
        <v>-0.22372627026323499</v>
      </c>
      <c r="F7137" s="3">
        <v>-0.22372627026323499</v>
      </c>
      <c r="G7137" s="3">
        <v>5.506183</v>
      </c>
      <c r="H7137" s="3">
        <v>53.440272391182603</v>
      </c>
      <c r="I7137" s="3">
        <v>5.5061846000000001</v>
      </c>
      <c r="J7137" s="3">
        <v>5.5308757000000002</v>
      </c>
      <c r="K7137" s="3">
        <v>5.506183</v>
      </c>
      <c r="L7137" s="3">
        <v>53.440272391182603</v>
      </c>
    </row>
    <row r="7138" spans="1:12" ht="15" customHeight="1" x14ac:dyDescent="0.2">
      <c r="A7138" s="2">
        <v>35690</v>
      </c>
      <c r="B7138" s="3">
        <v>5.5185294000000003</v>
      </c>
      <c r="C7138" s="1">
        <v>328049.38</v>
      </c>
      <c r="D7138" s="3">
        <v>-1.23462999999999E-2</v>
      </c>
      <c r="E7138" s="3">
        <v>-0.223225049154507</v>
      </c>
      <c r="F7138" s="3">
        <v>-0.223225049154507</v>
      </c>
      <c r="G7138" s="3">
        <v>5.5185294000000003</v>
      </c>
      <c r="H7138" s="3">
        <v>53.784328333211903</v>
      </c>
      <c r="I7138" s="3">
        <v>5.5061846000000001</v>
      </c>
      <c r="J7138" s="3">
        <v>5.5802584</v>
      </c>
      <c r="K7138" s="3">
        <v>5.506183</v>
      </c>
      <c r="L7138" s="3">
        <v>53.784328333211903</v>
      </c>
    </row>
    <row r="7139" spans="1:12" ht="15" customHeight="1" x14ac:dyDescent="0.2">
      <c r="A7139" s="2">
        <v>35689</v>
      </c>
      <c r="B7139" s="3">
        <v>5.5308757000000002</v>
      </c>
      <c r="C7139" s="1">
        <v>577630.19999999995</v>
      </c>
      <c r="D7139" s="3"/>
      <c r="E7139" s="3"/>
      <c r="F7139" s="3"/>
      <c r="G7139" s="3">
        <v>5.5308757000000002</v>
      </c>
      <c r="H7139" s="3">
        <v>54.128381488550701</v>
      </c>
      <c r="I7139" s="3">
        <v>5.5308757000000002</v>
      </c>
      <c r="J7139" s="3">
        <v>5.5308757000000002</v>
      </c>
      <c r="K7139" s="3">
        <v>5.506183</v>
      </c>
      <c r="L7139" s="3">
        <v>54.128381488550701</v>
      </c>
    </row>
    <row r="7140" spans="1:12" ht="15" customHeight="1" x14ac:dyDescent="0.2">
      <c r="A7140" s="2">
        <v>35688</v>
      </c>
      <c r="B7140" s="3">
        <v>5.5308757000000002</v>
      </c>
      <c r="C7140" s="1">
        <v>574086.40000000002</v>
      </c>
      <c r="D7140" s="3">
        <v>4.9384100000000097E-2</v>
      </c>
      <c r="E7140" s="3">
        <v>0.90092448559075899</v>
      </c>
      <c r="F7140" s="3">
        <v>0.90092448559075899</v>
      </c>
      <c r="G7140" s="3">
        <v>5.5308757000000002</v>
      </c>
      <c r="H7140" s="3">
        <v>54.128381488550701</v>
      </c>
      <c r="I7140" s="3">
        <v>5.4814930000000004</v>
      </c>
      <c r="J7140" s="3">
        <v>5.5555662999999997</v>
      </c>
      <c r="K7140" s="3">
        <v>5.4568009999999996</v>
      </c>
      <c r="L7140" s="3">
        <v>54.128381488550701</v>
      </c>
    </row>
    <row r="7141" spans="1:12" ht="15" customHeight="1" x14ac:dyDescent="0.2">
      <c r="A7141" s="2">
        <v>35685</v>
      </c>
      <c r="B7141" s="3">
        <v>5.4814916</v>
      </c>
      <c r="C7141" s="1">
        <v>312355.62</v>
      </c>
      <c r="D7141" s="3">
        <v>0.1728392</v>
      </c>
      <c r="E7141" s="3">
        <v>3.2558017925603902</v>
      </c>
      <c r="F7141" s="3">
        <v>3.2558017925603902</v>
      </c>
      <c r="G7141" s="3">
        <v>5.4814916</v>
      </c>
      <c r="H7141" s="3">
        <v>52.752199520789503</v>
      </c>
      <c r="I7141" s="3">
        <v>5.3827267000000001</v>
      </c>
      <c r="J7141" s="3">
        <v>5.506183</v>
      </c>
      <c r="K7141" s="3">
        <v>5.2839612999999996</v>
      </c>
      <c r="L7141" s="3">
        <v>52.752199520789503</v>
      </c>
    </row>
    <row r="7142" spans="1:12" ht="15" customHeight="1" x14ac:dyDescent="0.2">
      <c r="A7142" s="2">
        <v>35684</v>
      </c>
      <c r="B7142" s="3">
        <v>5.3086523999999997</v>
      </c>
      <c r="C7142" s="1">
        <v>256161.99999999901</v>
      </c>
      <c r="D7142" s="3">
        <v>-2.4690600000000399E-2</v>
      </c>
      <c r="E7142" s="3">
        <v>-0.462947910906919</v>
      </c>
      <c r="F7142" s="3">
        <v>-0.462947910906919</v>
      </c>
      <c r="G7142" s="3">
        <v>5.3086523999999997</v>
      </c>
      <c r="H7142" s="3">
        <v>47.935706148180202</v>
      </c>
      <c r="I7142" s="3">
        <v>5.2839612999999996</v>
      </c>
      <c r="J7142" s="3">
        <v>5.3827267000000001</v>
      </c>
      <c r="K7142" s="3">
        <v>5.2839612999999996</v>
      </c>
      <c r="L7142" s="3">
        <v>47.935706148180202</v>
      </c>
    </row>
    <row r="7143" spans="1:12" ht="15" customHeight="1" x14ac:dyDescent="0.2">
      <c r="A7143" s="2">
        <v>35683</v>
      </c>
      <c r="B7143" s="3">
        <v>5.3333430000000002</v>
      </c>
      <c r="C7143" s="1">
        <v>867710.94</v>
      </c>
      <c r="D7143" s="3">
        <v>-0.14814859999999899</v>
      </c>
      <c r="E7143" s="3">
        <v>-2.7027059568968301</v>
      </c>
      <c r="F7143" s="3">
        <v>-2.7027059568968301</v>
      </c>
      <c r="G7143" s="3">
        <v>5.3333430000000002</v>
      </c>
      <c r="H7143" s="3">
        <v>48.6237567250502</v>
      </c>
      <c r="I7143" s="3">
        <v>5.4814930000000004</v>
      </c>
      <c r="J7143" s="3">
        <v>5.6049490000000004</v>
      </c>
      <c r="K7143" s="3">
        <v>5.234578</v>
      </c>
      <c r="L7143" s="3">
        <v>48.6237567250502</v>
      </c>
    </row>
    <row r="7144" spans="1:12" ht="15" customHeight="1" x14ac:dyDescent="0.2">
      <c r="A7144" s="2">
        <v>35682</v>
      </c>
      <c r="B7144" s="3">
        <v>5.4814916</v>
      </c>
      <c r="C7144" s="1">
        <v>100743.56</v>
      </c>
      <c r="D7144" s="3"/>
      <c r="E7144" s="3"/>
      <c r="F7144" s="3"/>
      <c r="G7144" s="3">
        <v>5.4814916</v>
      </c>
      <c r="H7144" s="3">
        <v>52.752199520789503</v>
      </c>
      <c r="I7144" s="3">
        <v>5.4568009999999996</v>
      </c>
      <c r="J7144" s="3">
        <v>5.5308757000000002</v>
      </c>
      <c r="K7144" s="3">
        <v>5.4568009999999996</v>
      </c>
      <c r="L7144" s="3">
        <v>52.752199520789503</v>
      </c>
    </row>
    <row r="7145" spans="1:12" ht="15" customHeight="1" x14ac:dyDescent="0.2">
      <c r="A7145" s="2">
        <v>35681</v>
      </c>
      <c r="B7145" s="3">
        <v>5.4814916</v>
      </c>
      <c r="C7145" s="1">
        <v>113399.77</v>
      </c>
      <c r="D7145" s="3">
        <v>1.23452999999997E-2</v>
      </c>
      <c r="E7145" s="3">
        <v>0.22572627102697099</v>
      </c>
      <c r="F7145" s="3">
        <v>0.22572627102697099</v>
      </c>
      <c r="G7145" s="3">
        <v>5.4814916</v>
      </c>
      <c r="H7145" s="3">
        <v>52.752199520789503</v>
      </c>
      <c r="I7145" s="3">
        <v>5.4568009999999996</v>
      </c>
      <c r="J7145" s="3">
        <v>5.5308757000000002</v>
      </c>
      <c r="K7145" s="3">
        <v>5.4568009999999996</v>
      </c>
      <c r="L7145" s="3">
        <v>52.752199520789503</v>
      </c>
    </row>
    <row r="7146" spans="1:12" ht="15" customHeight="1" x14ac:dyDescent="0.2">
      <c r="A7146" s="2">
        <v>35678</v>
      </c>
      <c r="B7146" s="3">
        <v>5.4691463000000002</v>
      </c>
      <c r="C7146" s="1">
        <v>232874.56</v>
      </c>
      <c r="D7146" s="3">
        <v>-1.23452999999997E-2</v>
      </c>
      <c r="E7146" s="3">
        <v>-0.22521789507074999</v>
      </c>
      <c r="F7146" s="3">
        <v>-0.22521789507074999</v>
      </c>
      <c r="G7146" s="3">
        <v>5.4691463000000002</v>
      </c>
      <c r="H7146" s="3">
        <v>52.408174232354497</v>
      </c>
      <c r="I7146" s="3">
        <v>5.4814930000000004</v>
      </c>
      <c r="J7146" s="3">
        <v>5.5308757000000002</v>
      </c>
      <c r="K7146" s="3">
        <v>5.4568009999999996</v>
      </c>
      <c r="L7146" s="3">
        <v>52.408174232354497</v>
      </c>
    </row>
    <row r="7147" spans="1:12" ht="15" customHeight="1" x14ac:dyDescent="0.2">
      <c r="A7147" s="2">
        <v>35677</v>
      </c>
      <c r="B7147" s="3">
        <v>5.4814916</v>
      </c>
      <c r="C7147" s="1">
        <v>603448.85</v>
      </c>
      <c r="D7147" s="3">
        <v>-4.9384100000000097E-2</v>
      </c>
      <c r="E7147" s="3">
        <v>-0.89288030826655196</v>
      </c>
      <c r="F7147" s="3">
        <v>-0.89288030826655196</v>
      </c>
      <c r="G7147" s="3">
        <v>5.4814916</v>
      </c>
      <c r="H7147" s="3">
        <v>52.752199520789503</v>
      </c>
      <c r="I7147" s="3">
        <v>5.5432214999999996</v>
      </c>
      <c r="J7147" s="3">
        <v>5.5555662999999997</v>
      </c>
      <c r="K7147" s="3">
        <v>5.4568009999999996</v>
      </c>
      <c r="L7147" s="3">
        <v>52.752199520789503</v>
      </c>
    </row>
    <row r="7148" spans="1:12" ht="15" customHeight="1" x14ac:dyDescent="0.2">
      <c r="A7148" s="2">
        <v>35676</v>
      </c>
      <c r="B7148" s="3">
        <v>5.5308757000000002</v>
      </c>
      <c r="C7148" s="1">
        <v>783673.46</v>
      </c>
      <c r="D7148" s="3">
        <v>-2.46905999999995E-2</v>
      </c>
      <c r="E7148" s="3">
        <v>-0.44442994047249001</v>
      </c>
      <c r="F7148" s="3">
        <v>-0.44442994047249001</v>
      </c>
      <c r="G7148" s="3">
        <v>5.5308757000000002</v>
      </c>
      <c r="H7148" s="3">
        <v>54.128381488550701</v>
      </c>
      <c r="I7148" s="3">
        <v>5.5555669999999999</v>
      </c>
      <c r="J7148" s="3">
        <v>5.5802584</v>
      </c>
      <c r="K7148" s="3">
        <v>5.506183</v>
      </c>
      <c r="L7148" s="3">
        <v>54.128381488550701</v>
      </c>
    </row>
    <row r="7149" spans="1:12" ht="15" customHeight="1" x14ac:dyDescent="0.2">
      <c r="A7149" s="2">
        <v>35675</v>
      </c>
      <c r="B7149" s="3">
        <v>5.5555662999999997</v>
      </c>
      <c r="C7149" s="1">
        <v>1093497.8999999999</v>
      </c>
      <c r="D7149" s="3">
        <v>9.8765300000000097E-2</v>
      </c>
      <c r="E7149" s="3">
        <v>1.8099487227040101</v>
      </c>
      <c r="F7149" s="3">
        <v>1.8099487227040101</v>
      </c>
      <c r="G7149" s="3">
        <v>5.5555662999999997</v>
      </c>
      <c r="H7149" s="3">
        <v>54.816432065420699</v>
      </c>
      <c r="I7149" s="3">
        <v>5.5061846000000001</v>
      </c>
      <c r="J7149" s="3">
        <v>5.5802584</v>
      </c>
      <c r="K7149" s="3">
        <v>5.4568009999999996</v>
      </c>
      <c r="L7149" s="3">
        <v>54.816432065420699</v>
      </c>
    </row>
    <row r="7150" spans="1:12" ht="15" customHeight="1" x14ac:dyDescent="0.2">
      <c r="A7150" s="2">
        <v>35671</v>
      </c>
      <c r="B7150" s="3">
        <v>5.4568009999999996</v>
      </c>
      <c r="C7150" s="1">
        <v>83531.099999999904</v>
      </c>
      <c r="D7150" s="3">
        <v>-3.7036400000000698E-2</v>
      </c>
      <c r="E7150" s="3">
        <v>-0.67414445138112</v>
      </c>
      <c r="F7150" s="3">
        <v>-0.67414445138112</v>
      </c>
      <c r="G7150" s="3">
        <v>5.4568009999999996</v>
      </c>
      <c r="H7150" s="3">
        <v>52.064148943919498</v>
      </c>
      <c r="I7150" s="3">
        <v>5.4814930000000004</v>
      </c>
      <c r="J7150" s="3">
        <v>5.5308757000000002</v>
      </c>
      <c r="K7150" s="3">
        <v>5.4568009999999996</v>
      </c>
      <c r="L7150" s="3">
        <v>52.064148943919498</v>
      </c>
    </row>
    <row r="7151" spans="1:12" ht="15" customHeight="1" x14ac:dyDescent="0.2">
      <c r="A7151" s="2">
        <v>35670</v>
      </c>
      <c r="B7151" s="3">
        <v>5.4938374000000003</v>
      </c>
      <c r="C7151" s="1">
        <v>471824.13</v>
      </c>
      <c r="D7151" s="3">
        <v>-1.23455999999997E-2</v>
      </c>
      <c r="E7151" s="3">
        <v>-0.22421339792011399</v>
      </c>
      <c r="F7151" s="3">
        <v>-0.22421339792011399</v>
      </c>
      <c r="G7151" s="3">
        <v>5.4938374000000003</v>
      </c>
      <c r="H7151" s="3">
        <v>53.096238742676498</v>
      </c>
      <c r="I7151" s="3">
        <v>5.4568009999999996</v>
      </c>
      <c r="J7151" s="3">
        <v>5.506183</v>
      </c>
      <c r="K7151" s="3">
        <v>5.4074187</v>
      </c>
      <c r="L7151" s="3">
        <v>53.096238742676498</v>
      </c>
    </row>
    <row r="7152" spans="1:12" ht="15" customHeight="1" x14ac:dyDescent="0.2">
      <c r="A7152" s="2">
        <v>35669</v>
      </c>
      <c r="B7152" s="3">
        <v>5.506183</v>
      </c>
      <c r="C7152" s="1">
        <v>865179.7</v>
      </c>
      <c r="D7152" s="3"/>
      <c r="E7152" s="3"/>
      <c r="F7152" s="3"/>
      <c r="G7152" s="3">
        <v>5.506183</v>
      </c>
      <c r="H7152" s="3">
        <v>53.440272391182603</v>
      </c>
      <c r="I7152" s="3">
        <v>5.5432214999999996</v>
      </c>
      <c r="J7152" s="3">
        <v>5.5432199999999998</v>
      </c>
      <c r="K7152" s="3">
        <v>5.3950715000000002</v>
      </c>
      <c r="L7152" s="3">
        <v>53.440272391182603</v>
      </c>
    </row>
    <row r="7153" spans="1:12" ht="15" customHeight="1" x14ac:dyDescent="0.2">
      <c r="A7153" s="2">
        <v>35668</v>
      </c>
      <c r="B7153" s="3">
        <v>5.506183</v>
      </c>
      <c r="C7153" s="1">
        <v>2526688.7000000002</v>
      </c>
      <c r="D7153" s="3">
        <v>1.23455999999997E-2</v>
      </c>
      <c r="E7153" s="3">
        <v>0.22471724408879001</v>
      </c>
      <c r="F7153" s="3">
        <v>0.22471724408879001</v>
      </c>
      <c r="G7153" s="3">
        <v>5.506183</v>
      </c>
      <c r="H7153" s="3">
        <v>53.440272391182603</v>
      </c>
      <c r="I7153" s="3">
        <v>5.4568009999999996</v>
      </c>
      <c r="J7153" s="3">
        <v>5.6049490000000004</v>
      </c>
      <c r="K7153" s="3">
        <v>5.4568009999999996</v>
      </c>
      <c r="L7153" s="3">
        <v>53.440272391182603</v>
      </c>
    </row>
    <row r="7154" spans="1:12" ht="15" customHeight="1" x14ac:dyDescent="0.2">
      <c r="A7154" s="2">
        <v>35667</v>
      </c>
      <c r="B7154" s="3">
        <v>5.4938374000000003</v>
      </c>
      <c r="C7154" s="1">
        <v>595855.1</v>
      </c>
      <c r="D7154" s="3">
        <v>0.13580139999999999</v>
      </c>
      <c r="E7154" s="3">
        <v>2.5345369086732399</v>
      </c>
      <c r="F7154" s="3">
        <v>2.5345369086732399</v>
      </c>
      <c r="G7154" s="3">
        <v>5.4938374000000003</v>
      </c>
      <c r="H7154" s="3">
        <v>53.096238742676498</v>
      </c>
      <c r="I7154" s="3">
        <v>5.4321099999999998</v>
      </c>
      <c r="J7154" s="3">
        <v>5.5555662999999997</v>
      </c>
      <c r="K7154" s="3">
        <v>5.3827267000000001</v>
      </c>
      <c r="L7154" s="3">
        <v>53.096238742676498</v>
      </c>
    </row>
    <row r="7155" spans="1:12" ht="15" customHeight="1" x14ac:dyDescent="0.2">
      <c r="A7155" s="2">
        <v>35664</v>
      </c>
      <c r="B7155" s="3">
        <v>5.3580360000000002</v>
      </c>
      <c r="C7155" s="1">
        <v>346274.35</v>
      </c>
      <c r="D7155" s="3">
        <v>-0.148146999999999</v>
      </c>
      <c r="E7155" s="3">
        <v>-2.6905571427611399</v>
      </c>
      <c r="F7155" s="3">
        <v>-2.6905571427611399</v>
      </c>
      <c r="G7155" s="3">
        <v>5.3580360000000002</v>
      </c>
      <c r="H7155" s="3">
        <v>49.311874182489497</v>
      </c>
      <c r="I7155" s="3">
        <v>5.4568009999999996</v>
      </c>
      <c r="J7155" s="3">
        <v>5.4814916</v>
      </c>
      <c r="K7155" s="3">
        <v>5.3580360000000002</v>
      </c>
      <c r="L7155" s="3">
        <v>49.311874182489497</v>
      </c>
    </row>
    <row r="7156" spans="1:12" ht="15" customHeight="1" x14ac:dyDescent="0.2">
      <c r="A7156" s="2">
        <v>35663</v>
      </c>
      <c r="B7156" s="3">
        <v>5.506183</v>
      </c>
      <c r="C7156" s="1">
        <v>774054.9</v>
      </c>
      <c r="D7156" s="3">
        <v>6.1728999999999701E-2</v>
      </c>
      <c r="E7156" s="3">
        <v>1.13379596925604</v>
      </c>
      <c r="F7156" s="3">
        <v>1.13379596925604</v>
      </c>
      <c r="G7156" s="3">
        <v>5.506183</v>
      </c>
      <c r="H7156" s="3">
        <v>53.440272391182603</v>
      </c>
      <c r="I7156" s="3">
        <v>5.4568009999999996</v>
      </c>
      <c r="J7156" s="3">
        <v>5.5308757000000002</v>
      </c>
      <c r="K7156" s="3">
        <v>5.3827267000000001</v>
      </c>
      <c r="L7156" s="3">
        <v>53.440272391182603</v>
      </c>
    </row>
    <row r="7157" spans="1:12" ht="15" customHeight="1" x14ac:dyDescent="0.2">
      <c r="A7157" s="2">
        <v>35662</v>
      </c>
      <c r="B7157" s="3">
        <v>5.4444540000000003</v>
      </c>
      <c r="C7157" s="1">
        <v>3252650.0999999898</v>
      </c>
      <c r="D7157" s="3">
        <v>0.17283850000000001</v>
      </c>
      <c r="E7157" s="3">
        <v>3.2786628690958102</v>
      </c>
      <c r="F7157" s="3">
        <v>3.2786628690958102</v>
      </c>
      <c r="G7157" s="3">
        <v>5.4444540000000003</v>
      </c>
      <c r="H7157" s="3">
        <v>51.720076281748</v>
      </c>
      <c r="I7157" s="3">
        <v>5.2839612999999996</v>
      </c>
      <c r="J7157" s="3">
        <v>5.5555662999999997</v>
      </c>
      <c r="K7157" s="3">
        <v>5.2098865999999999</v>
      </c>
      <c r="L7157" s="3">
        <v>51.720076281748</v>
      </c>
    </row>
    <row r="7158" spans="1:12" ht="15" customHeight="1" x14ac:dyDescent="0.2">
      <c r="A7158" s="2">
        <v>35661</v>
      </c>
      <c r="B7158" s="3">
        <v>5.2716155000000002</v>
      </c>
      <c r="C7158" s="1">
        <v>2259389.4</v>
      </c>
      <c r="D7158" s="3">
        <v>0.1111135</v>
      </c>
      <c r="E7158" s="3">
        <v>2.1531529296956</v>
      </c>
      <c r="F7158" s="3">
        <v>2.1531529296956</v>
      </c>
      <c r="G7158" s="3">
        <v>5.2716155000000002</v>
      </c>
      <c r="H7158" s="3">
        <v>46.903602415971299</v>
      </c>
      <c r="I7158" s="3">
        <v>5.1605033999999996</v>
      </c>
      <c r="J7158" s="3">
        <v>5.2839612999999996</v>
      </c>
      <c r="K7158" s="3">
        <v>5.0123559999999996</v>
      </c>
      <c r="L7158" s="3">
        <v>46.903602415971299</v>
      </c>
    </row>
    <row r="7159" spans="1:12" ht="15" customHeight="1" x14ac:dyDescent="0.2">
      <c r="A7159" s="2">
        <v>35660</v>
      </c>
      <c r="B7159" s="3">
        <v>5.1605020000000001</v>
      </c>
      <c r="C7159" s="1">
        <v>813036</v>
      </c>
      <c r="D7159" s="3">
        <v>0.222221</v>
      </c>
      <c r="E7159" s="3">
        <v>4.4999666888133802</v>
      </c>
      <c r="F7159" s="3">
        <v>4.4999666888133802</v>
      </c>
      <c r="G7159" s="3">
        <v>5.1605020000000001</v>
      </c>
      <c r="H7159" s="3">
        <v>43.807213192013897</v>
      </c>
      <c r="I7159" s="3">
        <v>4.9876646999999998</v>
      </c>
      <c r="J7159" s="3">
        <v>5.1851950000000002</v>
      </c>
      <c r="K7159" s="3">
        <v>4.9382809999999999</v>
      </c>
      <c r="L7159" s="3">
        <v>43.807213192013897</v>
      </c>
    </row>
    <row r="7160" spans="1:12" ht="15" customHeight="1" x14ac:dyDescent="0.2">
      <c r="A7160" s="2">
        <v>35657</v>
      </c>
      <c r="B7160" s="3">
        <v>4.9382809999999999</v>
      </c>
      <c r="C7160" s="1">
        <v>1527859.7</v>
      </c>
      <c r="D7160" s="3">
        <v>0.17283999999999899</v>
      </c>
      <c r="E7160" s="3">
        <v>3.6269465931904201</v>
      </c>
      <c r="F7160" s="3">
        <v>3.6269465931904201</v>
      </c>
      <c r="G7160" s="3">
        <v>4.9382809999999999</v>
      </c>
      <c r="H7160" s="3">
        <v>37.614601945522303</v>
      </c>
      <c r="I7160" s="3">
        <v>4.8395159999999997</v>
      </c>
      <c r="J7160" s="3">
        <v>5.0864285999999996</v>
      </c>
      <c r="K7160" s="3">
        <v>4.8395159999999997</v>
      </c>
      <c r="L7160" s="3">
        <v>37.614601945522303</v>
      </c>
    </row>
    <row r="7161" spans="1:12" ht="15" customHeight="1" x14ac:dyDescent="0.2">
      <c r="A7161" s="2">
        <v>35656</v>
      </c>
      <c r="B7161" s="3">
        <v>4.765441</v>
      </c>
      <c r="C7161" s="1">
        <v>179718.39999999999</v>
      </c>
      <c r="D7161" s="3">
        <v>6.1727000000004698E-3</v>
      </c>
      <c r="E7161" s="3">
        <v>0.129698508487119</v>
      </c>
      <c r="F7161" s="3">
        <v>0.129698508487119</v>
      </c>
      <c r="G7161" s="3">
        <v>4.765441</v>
      </c>
      <c r="H7161" s="3">
        <v>32.7980862793898</v>
      </c>
      <c r="I7161" s="3">
        <v>4.7654414000000003</v>
      </c>
      <c r="J7161" s="3">
        <v>4.765441</v>
      </c>
      <c r="K7161" s="3">
        <v>4.7407500000000002</v>
      </c>
      <c r="L7161" s="3">
        <v>32.7980862793898</v>
      </c>
    </row>
    <row r="7162" spans="1:12" ht="15" customHeight="1" x14ac:dyDescent="0.2">
      <c r="A7162" s="2">
        <v>35655</v>
      </c>
      <c r="B7162" s="3">
        <v>4.7592682999999996</v>
      </c>
      <c r="C7162" s="1">
        <v>108843.549999999</v>
      </c>
      <c r="D7162" s="3">
        <v>-6.1727000000004698E-3</v>
      </c>
      <c r="E7162" s="3">
        <v>-0.129530509348463</v>
      </c>
      <c r="F7162" s="3">
        <v>-0.129530509348463</v>
      </c>
      <c r="G7162" s="3">
        <v>4.7592682999999996</v>
      </c>
      <c r="H7162" s="3">
        <v>32.626072241827103</v>
      </c>
      <c r="I7162" s="3">
        <v>4.8024792999999999</v>
      </c>
      <c r="J7162" s="3">
        <v>4.8024792999999999</v>
      </c>
      <c r="K7162" s="3">
        <v>4.7407500000000002</v>
      </c>
      <c r="L7162" s="3">
        <v>32.626072241827103</v>
      </c>
    </row>
    <row r="7163" spans="1:12" ht="15" customHeight="1" x14ac:dyDescent="0.2">
      <c r="A7163" s="2">
        <v>35654</v>
      </c>
      <c r="B7163" s="3">
        <v>4.765441</v>
      </c>
      <c r="C7163" s="1">
        <v>342730.62</v>
      </c>
      <c r="D7163" s="3">
        <v>-0.111112</v>
      </c>
      <c r="E7163" s="3">
        <v>-2.27849466621198</v>
      </c>
      <c r="F7163" s="3">
        <v>-2.27849466621198</v>
      </c>
      <c r="G7163" s="3">
        <v>4.765441</v>
      </c>
      <c r="H7163" s="3">
        <v>32.7980862793898</v>
      </c>
      <c r="I7163" s="3">
        <v>4.8518619999999997</v>
      </c>
      <c r="J7163" s="3">
        <v>4.9135900000000001</v>
      </c>
      <c r="K7163" s="3">
        <v>4.7407500000000002</v>
      </c>
      <c r="L7163" s="3">
        <v>32.7980862793898</v>
      </c>
    </row>
    <row r="7164" spans="1:12" ht="15" customHeight="1" x14ac:dyDescent="0.2">
      <c r="A7164" s="2">
        <v>35653</v>
      </c>
      <c r="B7164" s="3">
        <v>4.8765530000000004</v>
      </c>
      <c r="C7164" s="1">
        <v>177693.42</v>
      </c>
      <c r="D7164" s="3">
        <v>-6.1727999999999499E-2</v>
      </c>
      <c r="E7164" s="3">
        <v>-1.24998962189473</v>
      </c>
      <c r="F7164" s="3">
        <v>-1.24998962189473</v>
      </c>
      <c r="G7164" s="3">
        <v>4.8765530000000004</v>
      </c>
      <c r="H7164" s="3">
        <v>35.894433702991499</v>
      </c>
      <c r="I7164" s="3">
        <v>4.9382809999999999</v>
      </c>
      <c r="J7164" s="3">
        <v>5.0123559999999996</v>
      </c>
      <c r="K7164" s="3">
        <v>4.8518610000000004</v>
      </c>
      <c r="L7164" s="3">
        <v>35.894433702991499</v>
      </c>
    </row>
    <row r="7165" spans="1:12" ht="15" customHeight="1" x14ac:dyDescent="0.2">
      <c r="A7165" s="2">
        <v>35650</v>
      </c>
      <c r="B7165" s="3">
        <v>4.9382809999999999</v>
      </c>
      <c r="C7165" s="1">
        <v>816073.5</v>
      </c>
      <c r="D7165" s="3">
        <v>-0.234568</v>
      </c>
      <c r="E7165" s="3">
        <v>-4.53459979210683</v>
      </c>
      <c r="F7165" s="3">
        <v>-4.53459979210683</v>
      </c>
      <c r="G7165" s="3">
        <v>4.9382809999999999</v>
      </c>
      <c r="H7165" s="3">
        <v>37.614601945522303</v>
      </c>
      <c r="I7165" s="3">
        <v>5.1605033999999996</v>
      </c>
      <c r="J7165" s="3">
        <v>5.1605020000000001</v>
      </c>
      <c r="K7165" s="3">
        <v>4.8642073000000003</v>
      </c>
      <c r="L7165" s="3">
        <v>37.614601945522303</v>
      </c>
    </row>
    <row r="7166" spans="1:12" ht="15" customHeight="1" x14ac:dyDescent="0.2">
      <c r="A7166" s="2">
        <v>35649</v>
      </c>
      <c r="B7166" s="3">
        <v>5.1728490000000003</v>
      </c>
      <c r="C7166" s="1">
        <v>484986.56999999902</v>
      </c>
      <c r="D7166" s="3">
        <v>-8.6419999999999497E-2</v>
      </c>
      <c r="E7166" s="3">
        <v>-1.64319413971788</v>
      </c>
      <c r="F7166" s="3">
        <v>-1.64319413971788</v>
      </c>
      <c r="G7166" s="3">
        <v>5.1728490000000003</v>
      </c>
      <c r="H7166" s="3">
        <v>44.151285854185502</v>
      </c>
      <c r="I7166" s="3">
        <v>5.2839612999999996</v>
      </c>
      <c r="J7166" s="3">
        <v>5.3086523999999997</v>
      </c>
      <c r="K7166" s="3">
        <v>5.1605020000000001</v>
      </c>
      <c r="L7166" s="3">
        <v>44.151285854185502</v>
      </c>
    </row>
    <row r="7167" spans="1:12" ht="15" customHeight="1" x14ac:dyDescent="0.2">
      <c r="A7167" s="2">
        <v>35648</v>
      </c>
      <c r="B7167" s="3">
        <v>5.2592689999999997</v>
      </c>
      <c r="C7167" s="1">
        <v>644961.24</v>
      </c>
      <c r="D7167" s="3">
        <v>9.8766999999999605E-2</v>
      </c>
      <c r="E7167" s="3">
        <v>1.9139029497517701</v>
      </c>
      <c r="F7167" s="3">
        <v>1.9139029497517701</v>
      </c>
      <c r="G7167" s="3">
        <v>5.2592689999999997</v>
      </c>
      <c r="H7167" s="3">
        <v>46.559543687251697</v>
      </c>
      <c r="I7167" s="3">
        <v>5.1358128000000001</v>
      </c>
      <c r="J7167" s="3">
        <v>5.3086523999999997</v>
      </c>
      <c r="K7167" s="3">
        <v>5.1358113000000003</v>
      </c>
      <c r="L7167" s="3">
        <v>46.559543687251697</v>
      </c>
    </row>
    <row r="7168" spans="1:12" ht="15" customHeight="1" x14ac:dyDescent="0.2">
      <c r="A7168" s="2">
        <v>35647</v>
      </c>
      <c r="B7168" s="3">
        <v>5.1605020000000001</v>
      </c>
      <c r="C7168" s="1">
        <v>1252460</v>
      </c>
      <c r="D7168" s="3">
        <v>3.7036500000000097E-2</v>
      </c>
      <c r="E7168" s="3">
        <v>0.72287985544159294</v>
      </c>
      <c r="F7168" s="3">
        <v>0.72287985544159294</v>
      </c>
      <c r="G7168" s="3">
        <v>5.1605020000000001</v>
      </c>
      <c r="H7168" s="3">
        <v>43.807213192013897</v>
      </c>
      <c r="I7168" s="3">
        <v>5.1358128000000001</v>
      </c>
      <c r="J7168" s="3">
        <v>5.3333430000000002</v>
      </c>
      <c r="K7168" s="3">
        <v>5.0864285999999996</v>
      </c>
      <c r="L7168" s="3">
        <v>43.807213192013897</v>
      </c>
    </row>
    <row r="7169" spans="1:12" ht="15" customHeight="1" x14ac:dyDescent="0.2">
      <c r="A7169" s="2">
        <v>35646</v>
      </c>
      <c r="B7169" s="3">
        <v>5.1234655</v>
      </c>
      <c r="C7169" s="1">
        <v>593323.85</v>
      </c>
      <c r="D7169" s="3">
        <v>1.23448000000001E-2</v>
      </c>
      <c r="E7169" s="3">
        <v>0.241528242524191</v>
      </c>
      <c r="F7169" s="3">
        <v>0.241528242524191</v>
      </c>
      <c r="G7169" s="3">
        <v>5.1234655</v>
      </c>
      <c r="H7169" s="3">
        <v>42.775120606566603</v>
      </c>
      <c r="I7169" s="3">
        <v>5.0617380000000001</v>
      </c>
      <c r="J7169" s="3">
        <v>5.234578</v>
      </c>
      <c r="K7169" s="3">
        <v>5.0617380000000001</v>
      </c>
      <c r="L7169" s="3">
        <v>42.775120606566603</v>
      </c>
    </row>
    <row r="7170" spans="1:12" ht="15" customHeight="1" x14ac:dyDescent="0.2">
      <c r="A7170" s="2">
        <v>35643</v>
      </c>
      <c r="B7170" s="3">
        <v>5.1111206999999999</v>
      </c>
      <c r="C7170" s="1">
        <v>409049.26</v>
      </c>
      <c r="D7170" s="3">
        <v>-8.6419300000000199E-2</v>
      </c>
      <c r="E7170" s="3">
        <v>-1.6626961985862501</v>
      </c>
      <c r="F7170" s="3">
        <v>-1.6626961985862501</v>
      </c>
      <c r="G7170" s="3">
        <v>5.1111206999999999</v>
      </c>
      <c r="H7170" s="3">
        <v>42.4311092515835</v>
      </c>
      <c r="I7170" s="3">
        <v>5.2222340000000003</v>
      </c>
      <c r="J7170" s="3">
        <v>5.222232</v>
      </c>
      <c r="K7170" s="3">
        <v>5.0864285999999996</v>
      </c>
      <c r="L7170" s="3">
        <v>42.4311092515835</v>
      </c>
    </row>
    <row r="7171" spans="1:12" ht="15" customHeight="1" x14ac:dyDescent="0.2">
      <c r="A7171" s="2">
        <v>35642</v>
      </c>
      <c r="B7171" s="3">
        <v>5.19754</v>
      </c>
      <c r="C7171" s="1">
        <v>519917.69999999902</v>
      </c>
      <c r="D7171" s="3">
        <v>-3.7037999999999897E-2</v>
      </c>
      <c r="E7171" s="3">
        <v>-0.70756420097283201</v>
      </c>
      <c r="F7171" s="3">
        <v>-0.70756420097283201</v>
      </c>
      <c r="G7171" s="3">
        <v>5.19754</v>
      </c>
      <c r="H7171" s="3">
        <v>44.839347577817001</v>
      </c>
      <c r="I7171" s="3">
        <v>5.2345785999999999</v>
      </c>
      <c r="J7171" s="3">
        <v>5.3333430000000002</v>
      </c>
      <c r="K7171" s="3">
        <v>5.19754</v>
      </c>
      <c r="L7171" s="3">
        <v>44.839347577817001</v>
      </c>
    </row>
    <row r="7172" spans="1:12" ht="15" customHeight="1" x14ac:dyDescent="0.2">
      <c r="A7172" s="2">
        <v>35641</v>
      </c>
      <c r="B7172" s="3">
        <v>5.234578</v>
      </c>
      <c r="C7172" s="1">
        <v>1262078.7</v>
      </c>
      <c r="D7172" s="3">
        <v>7.4075999999999795E-2</v>
      </c>
      <c r="E7172" s="3">
        <v>1.4354417457836499</v>
      </c>
      <c r="F7172" s="3">
        <v>1.4354417457836499</v>
      </c>
      <c r="G7172" s="3">
        <v>5.234578</v>
      </c>
      <c r="H7172" s="3">
        <v>45.871481963620198</v>
      </c>
      <c r="I7172" s="3">
        <v>5.1358128000000001</v>
      </c>
      <c r="J7172" s="3">
        <v>5.3333430000000002</v>
      </c>
      <c r="K7172" s="3">
        <v>5.0864285999999996</v>
      </c>
      <c r="L7172" s="3">
        <v>45.871481963620198</v>
      </c>
    </row>
    <row r="7173" spans="1:12" ht="15" customHeight="1" x14ac:dyDescent="0.2">
      <c r="A7173" s="2">
        <v>35640</v>
      </c>
      <c r="B7173" s="3">
        <v>5.1605020000000001</v>
      </c>
      <c r="C7173" s="1">
        <v>2169783.1999999899</v>
      </c>
      <c r="D7173" s="3">
        <v>2.4690699999999802E-2</v>
      </c>
      <c r="E7173" s="3">
        <v>0.48075559162386</v>
      </c>
      <c r="F7173" s="3">
        <v>0.48075559162386</v>
      </c>
      <c r="G7173" s="3">
        <v>5.1605020000000001</v>
      </c>
      <c r="H7173" s="3">
        <v>43.807213192013897</v>
      </c>
      <c r="I7173" s="3">
        <v>5.1111219999999999</v>
      </c>
      <c r="J7173" s="3">
        <v>5.3086523999999997</v>
      </c>
      <c r="K7173" s="3">
        <v>4.9753183999999999</v>
      </c>
      <c r="L7173" s="3">
        <v>43.807213192013897</v>
      </c>
    </row>
    <row r="7174" spans="1:12" ht="15" customHeight="1" x14ac:dyDescent="0.2">
      <c r="A7174" s="2">
        <v>35639</v>
      </c>
      <c r="B7174" s="3">
        <v>5.1358113000000003</v>
      </c>
      <c r="C7174" s="1">
        <v>3731055.4</v>
      </c>
      <c r="D7174" s="3">
        <v>0.32098769999999899</v>
      </c>
      <c r="E7174" s="3">
        <v>6.6666554513025096</v>
      </c>
      <c r="F7174" s="3">
        <v>6.6666554513025096</v>
      </c>
      <c r="G7174" s="3">
        <v>5.1358113000000003</v>
      </c>
      <c r="H7174" s="3">
        <v>43.119159828453498</v>
      </c>
      <c r="I7174" s="3">
        <v>4.8395159999999997</v>
      </c>
      <c r="J7174" s="3">
        <v>5.234578</v>
      </c>
      <c r="K7174" s="3">
        <v>4.790133</v>
      </c>
      <c r="L7174" s="3">
        <v>43.119159828453498</v>
      </c>
    </row>
    <row r="7175" spans="1:12" ht="15" customHeight="1" x14ac:dyDescent="0.2">
      <c r="A7175" s="2">
        <v>35636</v>
      </c>
      <c r="B7175" s="3">
        <v>4.8148236000000004</v>
      </c>
      <c r="C7175" s="1">
        <v>5987408</v>
      </c>
      <c r="D7175" s="3">
        <v>0.64197630000000006</v>
      </c>
      <c r="E7175" s="3">
        <v>15.384610407382899</v>
      </c>
      <c r="F7175" s="3">
        <v>15.384610407382899</v>
      </c>
      <c r="G7175" s="3">
        <v>4.8148236000000004</v>
      </c>
      <c r="H7175" s="3">
        <v>34.174226446795302</v>
      </c>
      <c r="I7175" s="3">
        <v>4.2222303999999999</v>
      </c>
      <c r="J7175" s="3">
        <v>4.8888984000000004</v>
      </c>
      <c r="K7175" s="3">
        <v>4.1728472999999999</v>
      </c>
      <c r="L7175" s="3">
        <v>34.174226446795302</v>
      </c>
    </row>
    <row r="7176" spans="1:12" ht="15" customHeight="1" x14ac:dyDescent="0.2">
      <c r="A7176" s="2">
        <v>35635</v>
      </c>
      <c r="B7176" s="3">
        <v>4.1728472999999999</v>
      </c>
      <c r="C7176" s="1">
        <v>180730.91</v>
      </c>
      <c r="D7176" s="3">
        <v>2.4691299999999701E-2</v>
      </c>
      <c r="E7176" s="3">
        <v>0.595235569732666</v>
      </c>
      <c r="F7176" s="3">
        <v>0.595235569732666</v>
      </c>
      <c r="G7176" s="3">
        <v>4.1728472999999999</v>
      </c>
      <c r="H7176" s="3">
        <v>16.284334603265201</v>
      </c>
      <c r="I7176" s="3">
        <v>4.1728487000000003</v>
      </c>
      <c r="J7176" s="3">
        <v>4.1728472999999999</v>
      </c>
      <c r="K7176" s="3">
        <v>4.1234640000000002</v>
      </c>
      <c r="L7176" s="3">
        <v>16.284334603265201</v>
      </c>
    </row>
    <row r="7177" spans="1:12" ht="15" customHeight="1" x14ac:dyDescent="0.2">
      <c r="A7177" s="2">
        <v>35634</v>
      </c>
      <c r="B7177" s="3">
        <v>4.1481560000000002</v>
      </c>
      <c r="C7177" s="1">
        <v>3837873.8</v>
      </c>
      <c r="D7177" s="3"/>
      <c r="E7177" s="3"/>
      <c r="F7177" s="3"/>
      <c r="G7177" s="3">
        <v>4.1481560000000002</v>
      </c>
      <c r="H7177" s="3">
        <v>15.596264519562499</v>
      </c>
      <c r="I7177" s="3">
        <v>4.1234650000000004</v>
      </c>
      <c r="J7177" s="3">
        <v>4.19754</v>
      </c>
      <c r="K7177" s="3">
        <v>4.1234640000000002</v>
      </c>
      <c r="L7177" s="3">
        <v>15.596264519562499</v>
      </c>
    </row>
    <row r="7178" spans="1:12" ht="15" customHeight="1" x14ac:dyDescent="0.2">
      <c r="A7178" s="2">
        <v>35633</v>
      </c>
      <c r="B7178" s="3">
        <v>4.1481560000000002</v>
      </c>
      <c r="C7178" s="1">
        <v>500174</v>
      </c>
      <c r="D7178" s="3">
        <v>2.4691999999999902E-2</v>
      </c>
      <c r="E7178" s="3">
        <v>0.598816917038691</v>
      </c>
      <c r="F7178" s="3">
        <v>0.598816917038691</v>
      </c>
      <c r="G7178" s="3">
        <v>4.1481560000000002</v>
      </c>
      <c r="H7178" s="3">
        <v>15.596264519562499</v>
      </c>
      <c r="I7178" s="3">
        <v>4.1234650000000004</v>
      </c>
      <c r="J7178" s="3">
        <v>4.1728472999999999</v>
      </c>
      <c r="K7178" s="3">
        <v>4.1234640000000002</v>
      </c>
      <c r="L7178" s="3">
        <v>15.596264519562499</v>
      </c>
    </row>
    <row r="7179" spans="1:12" ht="15" customHeight="1" x14ac:dyDescent="0.2">
      <c r="A7179" s="2">
        <v>35632</v>
      </c>
      <c r="B7179" s="3">
        <v>4.1234640000000002</v>
      </c>
      <c r="C7179" s="1">
        <v>313368.13</v>
      </c>
      <c r="D7179" s="3">
        <v>-4.9383299999999603E-2</v>
      </c>
      <c r="E7179" s="3">
        <v>-1.18344373636676</v>
      </c>
      <c r="F7179" s="3">
        <v>-1.18344373636676</v>
      </c>
      <c r="G7179" s="3">
        <v>4.1234640000000002</v>
      </c>
      <c r="H7179" s="3">
        <v>14.9081749290271</v>
      </c>
      <c r="I7179" s="3">
        <v>4.1728487000000003</v>
      </c>
      <c r="J7179" s="3">
        <v>4.19754</v>
      </c>
      <c r="K7179" s="3">
        <v>4.0987730000000004</v>
      </c>
      <c r="L7179" s="3">
        <v>14.9081749290271</v>
      </c>
    </row>
    <row r="7180" spans="1:12" ht="15" customHeight="1" x14ac:dyDescent="0.2">
      <c r="A7180" s="2">
        <v>35629</v>
      </c>
      <c r="B7180" s="3">
        <v>4.1728472999999999</v>
      </c>
      <c r="C7180" s="1">
        <v>1618478.3</v>
      </c>
      <c r="D7180" s="3">
        <v>-4.9382699999999703E-2</v>
      </c>
      <c r="E7180" s="3">
        <v>-1.1695881086534701</v>
      </c>
      <c r="F7180" s="3">
        <v>-1.1695881086534701</v>
      </c>
      <c r="G7180" s="3">
        <v>4.1728472999999999</v>
      </c>
      <c r="H7180" s="3">
        <v>16.284334603265201</v>
      </c>
      <c r="I7180" s="3">
        <v>4.2469229999999998</v>
      </c>
      <c r="J7180" s="3">
        <v>4.2469215</v>
      </c>
      <c r="K7180" s="3">
        <v>4.1728472999999999</v>
      </c>
      <c r="L7180" s="3">
        <v>16.284334603265201</v>
      </c>
    </row>
    <row r="7181" spans="1:12" ht="15" customHeight="1" x14ac:dyDescent="0.2">
      <c r="A7181" s="2">
        <v>35628</v>
      </c>
      <c r="B7181" s="3">
        <v>4.2222299999999997</v>
      </c>
      <c r="C7181" s="1">
        <v>104793.55</v>
      </c>
      <c r="D7181" s="3"/>
      <c r="E7181" s="3"/>
      <c r="F7181" s="3"/>
      <c r="G7181" s="3">
        <v>4.2222299999999997</v>
      </c>
      <c r="H7181" s="3">
        <v>17.660477557360998</v>
      </c>
      <c r="I7181" s="3">
        <v>4.2469229999999998</v>
      </c>
      <c r="J7181" s="3">
        <v>4.2716136000000002</v>
      </c>
      <c r="K7181" s="3">
        <v>4.2222299999999997</v>
      </c>
      <c r="L7181" s="3">
        <v>17.660477557360998</v>
      </c>
    </row>
    <row r="7182" spans="1:12" ht="15" customHeight="1" x14ac:dyDescent="0.2">
      <c r="A7182" s="2">
        <v>35627</v>
      </c>
      <c r="B7182" s="3">
        <v>4.2222299999999997</v>
      </c>
      <c r="C7182" s="1">
        <v>935548.3</v>
      </c>
      <c r="D7182" s="3">
        <v>-2.46915000000003E-2</v>
      </c>
      <c r="E7182" s="3">
        <v>-0.58139760765534199</v>
      </c>
      <c r="F7182" s="3">
        <v>-0.58139760765534199</v>
      </c>
      <c r="G7182" s="3">
        <v>4.2222299999999997</v>
      </c>
      <c r="H7182" s="3">
        <v>17.660477557360998</v>
      </c>
      <c r="I7182" s="3">
        <v>4.2469229999999998</v>
      </c>
      <c r="J7182" s="3">
        <v>4.2716136000000002</v>
      </c>
      <c r="K7182" s="3">
        <v>4.2222299999999997</v>
      </c>
      <c r="L7182" s="3">
        <v>17.660477557360998</v>
      </c>
    </row>
    <row r="7183" spans="1:12" ht="15" customHeight="1" x14ac:dyDescent="0.2">
      <c r="A7183" s="2">
        <v>35626</v>
      </c>
      <c r="B7183" s="3">
        <v>4.2469215</v>
      </c>
      <c r="C7183" s="1">
        <v>288055.73</v>
      </c>
      <c r="D7183" s="3">
        <v>-3.7036500000000097E-2</v>
      </c>
      <c r="E7183" s="3">
        <v>-0.86453928820030501</v>
      </c>
      <c r="F7183" s="3">
        <v>-0.86453928820030501</v>
      </c>
      <c r="G7183" s="3">
        <v>4.2469215</v>
      </c>
      <c r="H7183" s="3">
        <v>18.3485532144445</v>
      </c>
      <c r="I7183" s="3">
        <v>4.2592679999999996</v>
      </c>
      <c r="J7183" s="3">
        <v>4.3209963</v>
      </c>
      <c r="K7183" s="3">
        <v>4.2469215</v>
      </c>
      <c r="L7183" s="3">
        <v>18.3485532144445</v>
      </c>
    </row>
    <row r="7184" spans="1:12" ht="15" customHeight="1" x14ac:dyDescent="0.2">
      <c r="A7184" s="2">
        <v>35625</v>
      </c>
      <c r="B7184" s="3">
        <v>4.2839580000000002</v>
      </c>
      <c r="C7184" s="1">
        <v>262236.96999999997</v>
      </c>
      <c r="D7184" s="3">
        <v>3.7036500000000097E-2</v>
      </c>
      <c r="E7184" s="3">
        <v>0.87207875163222104</v>
      </c>
      <c r="F7184" s="3">
        <v>0.87207875163222104</v>
      </c>
      <c r="G7184" s="3">
        <v>4.2839580000000002</v>
      </c>
      <c r="H7184" s="3">
        <v>19.380645799891798</v>
      </c>
      <c r="I7184" s="3">
        <v>4.2469229999999998</v>
      </c>
      <c r="J7184" s="3">
        <v>4.2963040000000001</v>
      </c>
      <c r="K7184" s="3">
        <v>4.2469215</v>
      </c>
      <c r="L7184" s="3">
        <v>19.380645799891798</v>
      </c>
    </row>
    <row r="7185" spans="1:12" ht="15" customHeight="1" x14ac:dyDescent="0.2">
      <c r="A7185" s="2">
        <v>35622</v>
      </c>
      <c r="B7185" s="3">
        <v>4.2469215</v>
      </c>
      <c r="C7185" s="1">
        <v>203005.87</v>
      </c>
      <c r="D7185" s="3">
        <v>-4.93825000000001E-2</v>
      </c>
      <c r="E7185" s="3">
        <v>-1.14941819759495</v>
      </c>
      <c r="F7185" s="3">
        <v>-1.14941819759495</v>
      </c>
      <c r="G7185" s="3">
        <v>4.2469215</v>
      </c>
      <c r="H7185" s="3">
        <v>18.3485532144445</v>
      </c>
      <c r="I7185" s="3">
        <v>4.2716139999999996</v>
      </c>
      <c r="J7185" s="3">
        <v>4.2963040000000001</v>
      </c>
      <c r="K7185" s="3">
        <v>4.2469215</v>
      </c>
      <c r="L7185" s="3">
        <v>18.3485532144445</v>
      </c>
    </row>
    <row r="7186" spans="1:12" ht="15" customHeight="1" x14ac:dyDescent="0.2">
      <c r="A7186" s="2">
        <v>35621</v>
      </c>
      <c r="B7186" s="3">
        <v>4.2963040000000001</v>
      </c>
      <c r="C7186" s="1">
        <v>140230.99</v>
      </c>
      <c r="D7186" s="3">
        <v>-1.23464999999995E-2</v>
      </c>
      <c r="E7186" s="3">
        <v>-0.28655143878575301</v>
      </c>
      <c r="F7186" s="3">
        <v>-0.28655143878575301</v>
      </c>
      <c r="G7186" s="3">
        <v>4.2963040000000001</v>
      </c>
      <c r="H7186" s="3">
        <v>19.724690595159501</v>
      </c>
      <c r="I7186" s="3">
        <v>4.2963050000000003</v>
      </c>
      <c r="J7186" s="3">
        <v>4.3209963</v>
      </c>
      <c r="K7186" s="3">
        <v>4.2716136000000002</v>
      </c>
      <c r="L7186" s="3">
        <v>19.724690595159501</v>
      </c>
    </row>
    <row r="7187" spans="1:12" ht="15" customHeight="1" x14ac:dyDescent="0.2">
      <c r="A7187" s="2">
        <v>35620</v>
      </c>
      <c r="B7187" s="3">
        <v>4.3086504999999997</v>
      </c>
      <c r="C7187" s="1">
        <v>149343.48000000001</v>
      </c>
      <c r="D7187" s="3">
        <v>-3.7036900000000303E-2</v>
      </c>
      <c r="E7187" s="3">
        <v>-0.85226792888969305</v>
      </c>
      <c r="F7187" s="3">
        <v>-0.85226792888969305</v>
      </c>
      <c r="G7187" s="3">
        <v>4.3086504999999997</v>
      </c>
      <c r="H7187" s="3">
        <v>20.068749323879199</v>
      </c>
      <c r="I7187" s="3">
        <v>4.2963050000000003</v>
      </c>
      <c r="J7187" s="3">
        <v>4.3456874000000001</v>
      </c>
      <c r="K7187" s="3">
        <v>4.2963040000000001</v>
      </c>
      <c r="L7187" s="3">
        <v>20.068749323879199</v>
      </c>
    </row>
    <row r="7188" spans="1:12" ht="15" customHeight="1" x14ac:dyDescent="0.2">
      <c r="A7188" s="2">
        <v>35619</v>
      </c>
      <c r="B7188" s="3">
        <v>4.3456874000000001</v>
      </c>
      <c r="C7188" s="1">
        <v>265780.73</v>
      </c>
      <c r="D7188" s="3">
        <v>4.9383399999999897E-2</v>
      </c>
      <c r="E7188" s="3">
        <v>1.14943914583325</v>
      </c>
      <c r="F7188" s="3">
        <v>1.14943914583325</v>
      </c>
      <c r="G7188" s="3">
        <v>4.3456874000000001</v>
      </c>
      <c r="H7188" s="3">
        <v>21.100853056088098</v>
      </c>
      <c r="I7188" s="3">
        <v>4.2716139999999996</v>
      </c>
      <c r="J7188" s="3">
        <v>4.3456874000000001</v>
      </c>
      <c r="K7188" s="3">
        <v>4.2716136000000002</v>
      </c>
      <c r="L7188" s="3">
        <v>21.100853056088098</v>
      </c>
    </row>
    <row r="7189" spans="1:12" ht="15" customHeight="1" x14ac:dyDescent="0.2">
      <c r="A7189" s="2">
        <v>35618</v>
      </c>
      <c r="B7189" s="3">
        <v>4.2963040000000001</v>
      </c>
      <c r="C7189" s="1">
        <v>384749.3</v>
      </c>
      <c r="D7189" s="3">
        <v>-2.4692299999999799E-2</v>
      </c>
      <c r="E7189" s="3">
        <v>-0.57144922804029896</v>
      </c>
      <c r="F7189" s="3">
        <v>-0.57144922804029896</v>
      </c>
      <c r="G7189" s="3">
        <v>4.2963040000000001</v>
      </c>
      <c r="H7189" s="3">
        <v>19.724690595159501</v>
      </c>
      <c r="I7189" s="3">
        <v>4.2963050000000003</v>
      </c>
      <c r="J7189" s="3">
        <v>4.3703785000000002</v>
      </c>
      <c r="K7189" s="3">
        <v>4.2716136000000002</v>
      </c>
      <c r="L7189" s="3">
        <v>19.724690595159501</v>
      </c>
    </row>
    <row r="7190" spans="1:12" ht="15" customHeight="1" x14ac:dyDescent="0.2">
      <c r="A7190" s="2">
        <v>35614</v>
      </c>
      <c r="B7190" s="3">
        <v>4.3209963</v>
      </c>
      <c r="C7190" s="1">
        <v>317418.12</v>
      </c>
      <c r="D7190" s="3">
        <v>-2.4691100000000001E-2</v>
      </c>
      <c r="E7190" s="3">
        <v>-0.56817478403992006</v>
      </c>
      <c r="F7190" s="3">
        <v>-0.56817478403992006</v>
      </c>
      <c r="G7190" s="3">
        <v>4.3209963</v>
      </c>
      <c r="H7190" s="3">
        <v>20.412788545766102</v>
      </c>
      <c r="I7190" s="3">
        <v>4.3209963</v>
      </c>
      <c r="J7190" s="3">
        <v>4.3456874000000001</v>
      </c>
      <c r="K7190" s="3">
        <v>4.3209963</v>
      </c>
      <c r="L7190" s="3">
        <v>20.412788545766102</v>
      </c>
    </row>
    <row r="7191" spans="1:12" ht="15" customHeight="1" x14ac:dyDescent="0.2">
      <c r="A7191" s="2">
        <v>35613</v>
      </c>
      <c r="B7191" s="3">
        <v>4.3456874000000001</v>
      </c>
      <c r="C7191" s="1">
        <v>413099.24</v>
      </c>
      <c r="D7191" s="3">
        <v>6.17293999999999E-2</v>
      </c>
      <c r="E7191" s="3">
        <v>1.4409431651757501</v>
      </c>
      <c r="F7191" s="3">
        <v>1.4409431651757501</v>
      </c>
      <c r="G7191" s="3">
        <v>4.3456874000000001</v>
      </c>
      <c r="H7191" s="3">
        <v>21.100853056088098</v>
      </c>
      <c r="I7191" s="3">
        <v>4.2469229999999998</v>
      </c>
      <c r="J7191" s="3">
        <v>4.3703785000000002</v>
      </c>
      <c r="K7191" s="3">
        <v>4.2469215</v>
      </c>
      <c r="L7191" s="3">
        <v>21.100853056088098</v>
      </c>
    </row>
    <row r="7192" spans="1:12" ht="15" customHeight="1" x14ac:dyDescent="0.2">
      <c r="A7192" s="2">
        <v>35612</v>
      </c>
      <c r="B7192" s="3">
        <v>4.2839580000000002</v>
      </c>
      <c r="C7192" s="1">
        <v>936054.5</v>
      </c>
      <c r="D7192" s="3">
        <v>0.13580199999999901</v>
      </c>
      <c r="E7192" s="3">
        <v>3.2737920174651101</v>
      </c>
      <c r="F7192" s="3">
        <v>3.2737920174651101</v>
      </c>
      <c r="G7192" s="3">
        <v>4.2839580000000002</v>
      </c>
      <c r="H7192" s="3">
        <v>19.380645799891798</v>
      </c>
      <c r="I7192" s="3">
        <v>4.1234650000000004</v>
      </c>
      <c r="J7192" s="3">
        <v>4.3209963</v>
      </c>
      <c r="K7192" s="3">
        <v>4.1234640000000002</v>
      </c>
      <c r="L7192" s="3">
        <v>19.380645799891798</v>
      </c>
    </row>
    <row r="7193" spans="1:12" ht="15" customHeight="1" x14ac:dyDescent="0.2">
      <c r="A7193" s="2">
        <v>35611</v>
      </c>
      <c r="B7193" s="3">
        <v>4.1481560000000002</v>
      </c>
      <c r="C7193" s="1">
        <v>787723.4</v>
      </c>
      <c r="D7193" s="3">
        <v>0.17283999999999999</v>
      </c>
      <c r="E7193" s="3">
        <v>4.3478304617796404</v>
      </c>
      <c r="F7193" s="3">
        <v>4.3478304617796404</v>
      </c>
      <c r="G7193" s="3">
        <v>4.1481560000000002</v>
      </c>
      <c r="H7193" s="3">
        <v>15.596264519562499</v>
      </c>
      <c r="I7193" s="3">
        <v>4.0000086000000001</v>
      </c>
      <c r="J7193" s="3">
        <v>4.1728472999999999</v>
      </c>
      <c r="K7193" s="3">
        <v>3.9753159999999998</v>
      </c>
      <c r="L7193" s="3">
        <v>15.596264519562499</v>
      </c>
    </row>
    <row r="7194" spans="1:12" ht="15" customHeight="1" x14ac:dyDescent="0.2">
      <c r="A7194" s="2">
        <v>35608</v>
      </c>
      <c r="B7194" s="3">
        <v>3.9753159999999998</v>
      </c>
      <c r="C7194" s="1">
        <v>222243.3</v>
      </c>
      <c r="D7194" s="3">
        <v>-1.23459999999999E-2</v>
      </c>
      <c r="E7194" s="3">
        <v>-0.30960497655017</v>
      </c>
      <c r="F7194" s="3">
        <v>-0.30960497655017</v>
      </c>
      <c r="G7194" s="3">
        <v>3.9753159999999998</v>
      </c>
      <c r="H7194" s="3">
        <v>10.7797488534301</v>
      </c>
      <c r="I7194" s="3">
        <v>3.9753167999999999</v>
      </c>
      <c r="J7194" s="3">
        <v>4.0000076</v>
      </c>
      <c r="K7194" s="3">
        <v>3.9753159999999998</v>
      </c>
      <c r="L7194" s="3">
        <v>10.7797488534301</v>
      </c>
    </row>
    <row r="7195" spans="1:12" ht="15" customHeight="1" x14ac:dyDescent="0.2">
      <c r="A7195" s="2">
        <v>35607</v>
      </c>
      <c r="B7195" s="3">
        <v>3.9876619999999998</v>
      </c>
      <c r="C7195" s="1">
        <v>483974.06</v>
      </c>
      <c r="D7195" s="3">
        <v>-3.7035999999999999E-2</v>
      </c>
      <c r="E7195" s="3">
        <v>-0.92021811325968506</v>
      </c>
      <c r="F7195" s="3">
        <v>-0.92021811325968506</v>
      </c>
      <c r="G7195" s="3">
        <v>3.9876619999999998</v>
      </c>
      <c r="H7195" s="3">
        <v>11.1237936486978</v>
      </c>
      <c r="I7195" s="3">
        <v>4.024699</v>
      </c>
      <c r="J7195" s="3">
        <v>4.0493902999999998</v>
      </c>
      <c r="K7195" s="3">
        <v>3.9753159999999998</v>
      </c>
      <c r="L7195" s="3">
        <v>11.1237936486978</v>
      </c>
    </row>
    <row r="7196" spans="1:12" ht="15" customHeight="1" x14ac:dyDescent="0.2">
      <c r="A7196" s="2">
        <v>35606</v>
      </c>
      <c r="B7196" s="3">
        <v>4.0246979999999999</v>
      </c>
      <c r="C7196" s="1">
        <v>465242.9</v>
      </c>
      <c r="D7196" s="3">
        <v>2.46903999999998E-2</v>
      </c>
      <c r="E7196" s="3">
        <v>0.61725882720822201</v>
      </c>
      <c r="F7196" s="3">
        <v>0.61725882720822201</v>
      </c>
      <c r="G7196" s="3">
        <v>4.0246979999999999</v>
      </c>
      <c r="H7196" s="3">
        <v>12.155872300693201</v>
      </c>
      <c r="I7196" s="3">
        <v>4.0000086000000001</v>
      </c>
      <c r="J7196" s="3">
        <v>4.1481560000000002</v>
      </c>
      <c r="K7196" s="3">
        <v>4.0000076</v>
      </c>
      <c r="L7196" s="3">
        <v>12.155872300693201</v>
      </c>
    </row>
    <row r="7197" spans="1:12" ht="15" customHeight="1" x14ac:dyDescent="0.2">
      <c r="A7197" s="2">
        <v>35605</v>
      </c>
      <c r="B7197" s="3">
        <v>4.0000076</v>
      </c>
      <c r="C7197" s="1">
        <v>286536.96000000002</v>
      </c>
      <c r="D7197" s="3">
        <v>2.4691600000000102E-2</v>
      </c>
      <c r="E7197" s="3">
        <v>0.62112294972274096</v>
      </c>
      <c r="F7197" s="3">
        <v>0.62112294972274096</v>
      </c>
      <c r="G7197" s="3">
        <v>4.0000076</v>
      </c>
      <c r="H7197" s="3">
        <v>11.467827297204</v>
      </c>
      <c r="I7197" s="3">
        <v>3.9259339999999998</v>
      </c>
      <c r="J7197" s="3">
        <v>4.0493902999999998</v>
      </c>
      <c r="K7197" s="3">
        <v>3.9259336</v>
      </c>
      <c r="L7197" s="3">
        <v>11.467827297204</v>
      </c>
    </row>
    <row r="7198" spans="1:12" ht="15" customHeight="1" x14ac:dyDescent="0.2">
      <c r="A7198" s="2">
        <v>35604</v>
      </c>
      <c r="B7198" s="3">
        <v>3.9753159999999998</v>
      </c>
      <c r="C7198" s="1">
        <v>124031.01</v>
      </c>
      <c r="D7198" s="3">
        <v>4.9382399999999799E-2</v>
      </c>
      <c r="E7198" s="3">
        <v>1.2578511261626999</v>
      </c>
      <c r="F7198" s="3">
        <v>1.2578511261626999</v>
      </c>
      <c r="G7198" s="3">
        <v>3.9753159999999998</v>
      </c>
      <c r="H7198" s="3">
        <v>10.7797488534301</v>
      </c>
      <c r="I7198" s="3">
        <v>3.9506252000000002</v>
      </c>
      <c r="J7198" s="3">
        <v>3.9753159999999998</v>
      </c>
      <c r="K7198" s="3">
        <v>3.9259336</v>
      </c>
      <c r="L7198" s="3">
        <v>10.7797488534301</v>
      </c>
    </row>
    <row r="7199" spans="1:12" ht="15" customHeight="1" x14ac:dyDescent="0.2">
      <c r="A7199" s="2">
        <v>35601</v>
      </c>
      <c r="B7199" s="3">
        <v>3.9259336</v>
      </c>
      <c r="C7199" s="1">
        <v>232874.56</v>
      </c>
      <c r="D7199" s="3">
        <v>-8.6419800000000199E-2</v>
      </c>
      <c r="E7199" s="3">
        <v>-2.1538431784199301</v>
      </c>
      <c r="F7199" s="3">
        <v>-2.1538431784199301</v>
      </c>
      <c r="G7199" s="3">
        <v>3.9259336</v>
      </c>
      <c r="H7199" s="3">
        <v>9.4036142594055292</v>
      </c>
      <c r="I7199" s="3">
        <v>4.0000086000000001</v>
      </c>
      <c r="J7199" s="3">
        <v>4.0000076</v>
      </c>
      <c r="K7199" s="3">
        <v>3.9259336</v>
      </c>
      <c r="L7199" s="3">
        <v>9.4036142594055292</v>
      </c>
    </row>
    <row r="7200" spans="1:12" ht="15" customHeight="1" x14ac:dyDescent="0.2">
      <c r="A7200" s="2">
        <v>35600</v>
      </c>
      <c r="B7200" s="3">
        <v>4.0123534000000003</v>
      </c>
      <c r="C7200" s="1">
        <v>598892.64</v>
      </c>
      <c r="D7200" s="3">
        <v>0.1358027</v>
      </c>
      <c r="E7200" s="3">
        <v>3.50318390005837</v>
      </c>
      <c r="F7200" s="3">
        <v>3.50318390005837</v>
      </c>
      <c r="G7200" s="3">
        <v>4.0123534000000003</v>
      </c>
      <c r="H7200" s="3">
        <v>11.8118665190909</v>
      </c>
      <c r="I7200" s="3">
        <v>3.8765507000000001</v>
      </c>
      <c r="J7200" s="3">
        <v>4.0246979999999999</v>
      </c>
      <c r="K7200" s="3">
        <v>3.8518590000000001</v>
      </c>
      <c r="L7200" s="3">
        <v>11.8118665190909</v>
      </c>
    </row>
    <row r="7201" spans="1:12" ht="15" customHeight="1" x14ac:dyDescent="0.2">
      <c r="A7201" s="2">
        <v>35599</v>
      </c>
      <c r="B7201" s="3">
        <v>3.8765507000000001</v>
      </c>
      <c r="C7201" s="1">
        <v>377661.77</v>
      </c>
      <c r="D7201" s="3">
        <v>2.46916999999999E-2</v>
      </c>
      <c r="E7201" s="3">
        <v>0.64103332962084303</v>
      </c>
      <c r="F7201" s="3">
        <v>0.64103332962084303</v>
      </c>
      <c r="G7201" s="3">
        <v>3.8765507000000001</v>
      </c>
      <c r="H7201" s="3">
        <v>8.0274657319289595</v>
      </c>
      <c r="I7201" s="3">
        <v>3.8271687000000001</v>
      </c>
      <c r="J7201" s="3">
        <v>3.8765507000000001</v>
      </c>
      <c r="K7201" s="3">
        <v>3.8024764000000002</v>
      </c>
      <c r="L7201" s="3">
        <v>8.0274657319289595</v>
      </c>
    </row>
    <row r="7202" spans="1:12" ht="15" customHeight="1" x14ac:dyDescent="0.2">
      <c r="A7202" s="2">
        <v>35598</v>
      </c>
      <c r="B7202" s="3">
        <v>3.8518590000000001</v>
      </c>
      <c r="C7202" s="1">
        <v>571555.19999999995</v>
      </c>
      <c r="D7202" s="3">
        <v>-7.4074599999999796E-2</v>
      </c>
      <c r="E7202" s="3">
        <v>-1.88680216089237</v>
      </c>
      <c r="F7202" s="3">
        <v>-1.88680216089237</v>
      </c>
      <c r="G7202" s="3">
        <v>3.8518590000000001</v>
      </c>
      <c r="H7202" s="3">
        <v>7.3393845014647097</v>
      </c>
      <c r="I7202" s="3">
        <v>3.9506252000000002</v>
      </c>
      <c r="J7202" s="3">
        <v>3.9506247000000001</v>
      </c>
      <c r="K7202" s="3">
        <v>3.8518590000000001</v>
      </c>
      <c r="L7202" s="3">
        <v>7.3393845014647097</v>
      </c>
    </row>
    <row r="7203" spans="1:12" ht="15" customHeight="1" x14ac:dyDescent="0.2">
      <c r="A7203" s="2">
        <v>35597</v>
      </c>
      <c r="B7203" s="3">
        <v>3.9259336</v>
      </c>
      <c r="C7203" s="1">
        <v>201487.12</v>
      </c>
      <c r="D7203" s="3">
        <v>-3.7037100000000003E-2</v>
      </c>
      <c r="E7203" s="3">
        <v>-0.93457920342434597</v>
      </c>
      <c r="F7203" s="3">
        <v>-0.93457920342434597</v>
      </c>
      <c r="G7203" s="3">
        <v>3.9259336</v>
      </c>
      <c r="H7203" s="3">
        <v>9.4036142594055292</v>
      </c>
      <c r="I7203" s="3">
        <v>3.9506252000000002</v>
      </c>
      <c r="J7203" s="3">
        <v>3.9753159999999998</v>
      </c>
      <c r="K7203" s="3">
        <v>3.9259336</v>
      </c>
      <c r="L7203" s="3">
        <v>9.4036142594055292</v>
      </c>
    </row>
    <row r="7204" spans="1:12" ht="15" customHeight="1" x14ac:dyDescent="0.2">
      <c r="A7204" s="2">
        <v>35594</v>
      </c>
      <c r="B7204" s="3">
        <v>3.9629707000000001</v>
      </c>
      <c r="C7204" s="1">
        <v>225787.05</v>
      </c>
      <c r="D7204" s="3">
        <v>-3.70368999999999E-2</v>
      </c>
      <c r="E7204" s="3">
        <v>-0.92592074075058495</v>
      </c>
      <c r="F7204" s="3">
        <v>-0.92592074075058495</v>
      </c>
      <c r="G7204" s="3">
        <v>3.9629707000000001</v>
      </c>
      <c r="H7204" s="3">
        <v>10.435723564995101</v>
      </c>
      <c r="I7204" s="3">
        <v>4.0000086000000001</v>
      </c>
      <c r="J7204" s="3">
        <v>4.0493902999999998</v>
      </c>
      <c r="K7204" s="3">
        <v>3.9506247000000001</v>
      </c>
      <c r="L7204" s="3">
        <v>10.435723564995101</v>
      </c>
    </row>
    <row r="7205" spans="1:12" ht="15" customHeight="1" x14ac:dyDescent="0.2">
      <c r="A7205" s="2">
        <v>35593</v>
      </c>
      <c r="B7205" s="3">
        <v>4.0000076</v>
      </c>
      <c r="C7205" s="1">
        <v>245530.78</v>
      </c>
      <c r="D7205" s="3">
        <v>-2.46903999999998E-2</v>
      </c>
      <c r="E7205" s="3">
        <v>-0.61347211641717903</v>
      </c>
      <c r="F7205" s="3">
        <v>-0.61347211641717903</v>
      </c>
      <c r="G7205" s="3">
        <v>4.0000076</v>
      </c>
      <c r="H7205" s="3">
        <v>11.467827297204</v>
      </c>
      <c r="I7205" s="3">
        <v>4.024699</v>
      </c>
      <c r="J7205" s="3">
        <v>4.0493902999999998</v>
      </c>
      <c r="K7205" s="3">
        <v>4.0000076</v>
      </c>
      <c r="L7205" s="3">
        <v>11.467827297204</v>
      </c>
    </row>
    <row r="7206" spans="1:12" ht="15" customHeight="1" x14ac:dyDescent="0.2">
      <c r="A7206" s="2">
        <v>35592</v>
      </c>
      <c r="B7206" s="3">
        <v>4.0246979999999999</v>
      </c>
      <c r="C7206" s="1">
        <v>164530.93999999901</v>
      </c>
      <c r="D7206" s="3">
        <v>-4.9384999999999998E-2</v>
      </c>
      <c r="E7206" s="3">
        <v>-1.21217461696288</v>
      </c>
      <c r="F7206" s="3">
        <v>-1.21217461696288</v>
      </c>
      <c r="G7206" s="3">
        <v>4.0246979999999999</v>
      </c>
      <c r="H7206" s="3">
        <v>12.155872300693201</v>
      </c>
      <c r="I7206" s="3">
        <v>4.0493912999999999</v>
      </c>
      <c r="J7206" s="3">
        <v>4.0987730000000004</v>
      </c>
      <c r="K7206" s="3">
        <v>4.0246979999999999</v>
      </c>
      <c r="L7206" s="3">
        <v>12.155872300693201</v>
      </c>
    </row>
    <row r="7207" spans="1:12" ht="15" customHeight="1" x14ac:dyDescent="0.2">
      <c r="A7207" s="2">
        <v>35591</v>
      </c>
      <c r="B7207" s="3">
        <v>4.0740829999999999</v>
      </c>
      <c r="C7207" s="1">
        <v>169087.19</v>
      </c>
      <c r="D7207" s="3">
        <v>-6.1727400000000501E-2</v>
      </c>
      <c r="E7207" s="3">
        <v>-1.4925103916756</v>
      </c>
      <c r="F7207" s="3">
        <v>-1.4925103916756</v>
      </c>
      <c r="G7207" s="3">
        <v>4.0740829999999999</v>
      </c>
      <c r="H7207" s="3">
        <v>13.532079348667899</v>
      </c>
      <c r="I7207" s="3">
        <v>4.1234650000000004</v>
      </c>
      <c r="J7207" s="3">
        <v>4.1481560000000002</v>
      </c>
      <c r="K7207" s="3">
        <v>4.0493902999999998</v>
      </c>
      <c r="L7207" s="3">
        <v>13.532079348667899</v>
      </c>
    </row>
    <row r="7208" spans="1:12" ht="15" customHeight="1" x14ac:dyDescent="0.2">
      <c r="A7208" s="2">
        <v>35590</v>
      </c>
      <c r="B7208" s="3">
        <v>4.1358104000000004</v>
      </c>
      <c r="C7208" s="1">
        <v>96693.58</v>
      </c>
      <c r="D7208" s="3">
        <v>-1.23455999999997E-2</v>
      </c>
      <c r="E7208" s="3">
        <v>-0.29761657951147202</v>
      </c>
      <c r="F7208" s="3">
        <v>-0.29761657951147202</v>
      </c>
      <c r="G7208" s="3">
        <v>4.1358104000000004</v>
      </c>
      <c r="H7208" s="3">
        <v>15.252230871056399</v>
      </c>
      <c r="I7208" s="3">
        <v>4.1481560000000002</v>
      </c>
      <c r="J7208" s="3">
        <v>4.1481560000000002</v>
      </c>
      <c r="K7208" s="3">
        <v>4.0987730000000004</v>
      </c>
      <c r="L7208" s="3">
        <v>15.252230871056399</v>
      </c>
    </row>
    <row r="7209" spans="1:12" ht="15" customHeight="1" x14ac:dyDescent="0.2">
      <c r="A7209" s="2">
        <v>35587</v>
      </c>
      <c r="B7209" s="3">
        <v>4.1481560000000002</v>
      </c>
      <c r="C7209" s="1">
        <v>166049.68</v>
      </c>
      <c r="D7209" s="3"/>
      <c r="E7209" s="3"/>
      <c r="F7209" s="3"/>
      <c r="G7209" s="3">
        <v>4.1481560000000002</v>
      </c>
      <c r="H7209" s="3">
        <v>15.596264519562499</v>
      </c>
      <c r="I7209" s="3">
        <v>4.1234650000000004</v>
      </c>
      <c r="J7209" s="3">
        <v>4.1481560000000002</v>
      </c>
      <c r="K7209" s="3">
        <v>4.0987730000000004</v>
      </c>
      <c r="L7209" s="3">
        <v>15.596264519562499</v>
      </c>
    </row>
    <row r="7210" spans="1:12" ht="15" customHeight="1" x14ac:dyDescent="0.2">
      <c r="A7210" s="2">
        <v>35586</v>
      </c>
      <c r="B7210" s="3">
        <v>4.1481560000000002</v>
      </c>
      <c r="C7210" s="1">
        <v>101756.065</v>
      </c>
      <c r="D7210" s="3"/>
      <c r="E7210" s="3"/>
      <c r="F7210" s="3"/>
      <c r="G7210" s="3">
        <v>4.1481560000000002</v>
      </c>
      <c r="H7210" s="3">
        <v>15.596264519562499</v>
      </c>
      <c r="I7210" s="3">
        <v>4.1728487000000003</v>
      </c>
      <c r="J7210" s="3">
        <v>4.1728472999999999</v>
      </c>
      <c r="K7210" s="3">
        <v>4.1234640000000002</v>
      </c>
      <c r="L7210" s="3">
        <v>15.596264519562499</v>
      </c>
    </row>
    <row r="7211" spans="1:12" ht="15" customHeight="1" x14ac:dyDescent="0.2">
      <c r="A7211" s="2">
        <v>35585</v>
      </c>
      <c r="B7211" s="3">
        <v>4.1481560000000002</v>
      </c>
      <c r="C7211" s="1">
        <v>239455.81</v>
      </c>
      <c r="D7211" s="3"/>
      <c r="E7211" s="3"/>
      <c r="F7211" s="3"/>
      <c r="G7211" s="3">
        <v>4.1481560000000002</v>
      </c>
      <c r="H7211" s="3">
        <v>15.596264519562499</v>
      </c>
      <c r="I7211" s="3">
        <v>4.1481560000000002</v>
      </c>
      <c r="J7211" s="3">
        <v>4.1728472999999999</v>
      </c>
      <c r="K7211" s="3">
        <v>4.1234640000000002</v>
      </c>
      <c r="L7211" s="3">
        <v>15.596264519562499</v>
      </c>
    </row>
    <row r="7212" spans="1:12" ht="15" customHeight="1" x14ac:dyDescent="0.2">
      <c r="A7212" s="2">
        <v>35584</v>
      </c>
      <c r="B7212" s="3">
        <v>4.1481560000000002</v>
      </c>
      <c r="C7212" s="1">
        <v>328049.38</v>
      </c>
      <c r="D7212" s="3">
        <v>2.4691999999999902E-2</v>
      </c>
      <c r="E7212" s="3">
        <v>0.598816917038691</v>
      </c>
      <c r="F7212" s="3">
        <v>0.598816917038691</v>
      </c>
      <c r="G7212" s="3">
        <v>4.1481560000000002</v>
      </c>
      <c r="H7212" s="3">
        <v>15.596264519562499</v>
      </c>
      <c r="I7212" s="3">
        <v>4.0740829999999999</v>
      </c>
      <c r="J7212" s="3">
        <v>4.1728472999999999</v>
      </c>
      <c r="K7212" s="3">
        <v>4.0740829999999999</v>
      </c>
      <c r="L7212" s="3">
        <v>15.596264519562499</v>
      </c>
    </row>
    <row r="7213" spans="1:12" ht="15" customHeight="1" x14ac:dyDescent="0.2">
      <c r="A7213" s="2">
        <v>35583</v>
      </c>
      <c r="B7213" s="3">
        <v>4.1234640000000002</v>
      </c>
      <c r="C7213" s="1">
        <v>703686.15999999898</v>
      </c>
      <c r="D7213" s="3">
        <v>0.1728393</v>
      </c>
      <c r="E7213" s="3">
        <v>4.3749865685799003</v>
      </c>
      <c r="F7213" s="3">
        <v>4.3749865685799003</v>
      </c>
      <c r="G7213" s="3">
        <v>4.1234640000000002</v>
      </c>
      <c r="H7213" s="3">
        <v>14.9081749290271</v>
      </c>
      <c r="I7213" s="3">
        <v>3.9506252000000002</v>
      </c>
      <c r="J7213" s="3">
        <v>4.1234640000000002</v>
      </c>
      <c r="K7213" s="3">
        <v>3.9506247000000001</v>
      </c>
      <c r="L7213" s="3">
        <v>14.9081749290271</v>
      </c>
    </row>
    <row r="7214" spans="1:12" ht="15" customHeight="1" x14ac:dyDescent="0.2">
      <c r="A7214" s="2">
        <v>35580</v>
      </c>
      <c r="B7214" s="3">
        <v>3.9506247000000001</v>
      </c>
      <c r="C7214" s="1">
        <v>338680.63</v>
      </c>
      <c r="D7214" s="3"/>
      <c r="E7214" s="3"/>
      <c r="F7214" s="3"/>
      <c r="G7214" s="3">
        <v>3.9506247000000001</v>
      </c>
      <c r="H7214" s="3">
        <v>10.0916787697274</v>
      </c>
      <c r="I7214" s="3">
        <v>3.9012424999999999</v>
      </c>
      <c r="J7214" s="3">
        <v>4.0000076</v>
      </c>
      <c r="K7214" s="3">
        <v>3.9012422999999998</v>
      </c>
      <c r="L7214" s="3">
        <v>10.0916787697274</v>
      </c>
    </row>
    <row r="7215" spans="1:12" ht="15" customHeight="1" x14ac:dyDescent="0.2">
      <c r="A7215" s="2">
        <v>35579</v>
      </c>
      <c r="B7215" s="3">
        <v>3.9506247000000001</v>
      </c>
      <c r="C7215" s="1">
        <v>367536.8</v>
      </c>
      <c r="D7215" s="3">
        <v>-0.16049430000000001</v>
      </c>
      <c r="E7215" s="3">
        <v>-3.90390791412266</v>
      </c>
      <c r="F7215" s="3">
        <v>-3.90390791412266</v>
      </c>
      <c r="G7215" s="3">
        <v>3.9506247000000001</v>
      </c>
      <c r="H7215" s="3">
        <v>10.0916787697274</v>
      </c>
      <c r="I7215" s="3">
        <v>4.1481560000000002</v>
      </c>
      <c r="J7215" s="3">
        <v>4.1481560000000002</v>
      </c>
      <c r="K7215" s="3">
        <v>3.9506247000000001</v>
      </c>
      <c r="L7215" s="3">
        <v>10.0916787697274</v>
      </c>
    </row>
    <row r="7216" spans="1:12" ht="15" customHeight="1" x14ac:dyDescent="0.2">
      <c r="A7216" s="2">
        <v>35578</v>
      </c>
      <c r="B7216" s="3">
        <v>4.1111190000000004</v>
      </c>
      <c r="C7216" s="1">
        <v>255655.75</v>
      </c>
      <c r="D7216" s="3">
        <v>-1.2344999999999801E-2</v>
      </c>
      <c r="E7216" s="3">
        <v>-0.29938420706473401</v>
      </c>
      <c r="F7216" s="3">
        <v>-0.29938420706473401</v>
      </c>
      <c r="G7216" s="3">
        <v>4.1111190000000004</v>
      </c>
      <c r="H7216" s="3">
        <v>14.5641580006633</v>
      </c>
      <c r="I7216" s="3">
        <v>4.1728487000000003</v>
      </c>
      <c r="J7216" s="3">
        <v>4.1728472999999999</v>
      </c>
      <c r="K7216" s="3">
        <v>4.0987730000000004</v>
      </c>
      <c r="L7216" s="3">
        <v>14.5641580006633</v>
      </c>
    </row>
    <row r="7217" spans="1:12" ht="15" customHeight="1" x14ac:dyDescent="0.2">
      <c r="A7217" s="2">
        <v>35577</v>
      </c>
      <c r="B7217" s="3">
        <v>4.1234640000000002</v>
      </c>
      <c r="C7217" s="1">
        <v>407024.26</v>
      </c>
      <c r="D7217" s="3">
        <v>-2.4691999999999902E-2</v>
      </c>
      <c r="E7217" s="3">
        <v>-0.59525244470073302</v>
      </c>
      <c r="F7217" s="3">
        <v>-0.59525244470073302</v>
      </c>
      <c r="G7217" s="3">
        <v>4.1234640000000002</v>
      </c>
      <c r="H7217" s="3">
        <v>14.9081749290271</v>
      </c>
      <c r="I7217" s="3">
        <v>4.1728487000000003</v>
      </c>
      <c r="J7217" s="3">
        <v>4.1728472999999999</v>
      </c>
      <c r="K7217" s="3">
        <v>4.0987730000000004</v>
      </c>
      <c r="L7217" s="3">
        <v>14.9081749290271</v>
      </c>
    </row>
    <row r="7218" spans="1:12" ht="15" customHeight="1" x14ac:dyDescent="0.2">
      <c r="A7218" s="2">
        <v>35573</v>
      </c>
      <c r="B7218" s="3">
        <v>4.1481560000000002</v>
      </c>
      <c r="C7218" s="1">
        <v>248568.28</v>
      </c>
      <c r="D7218" s="3">
        <v>0.135802599999999</v>
      </c>
      <c r="E7218" s="3">
        <v>3.3846121331186598</v>
      </c>
      <c r="F7218" s="3">
        <v>3.3846121331186598</v>
      </c>
      <c r="G7218" s="3">
        <v>4.1481560000000002</v>
      </c>
      <c r="H7218" s="3">
        <v>15.596264519562499</v>
      </c>
      <c r="I7218" s="3">
        <v>3.9753167999999999</v>
      </c>
      <c r="J7218" s="3">
        <v>4.1481560000000002</v>
      </c>
      <c r="K7218" s="3">
        <v>3.9753159999999998</v>
      </c>
      <c r="L7218" s="3">
        <v>15.596264519562499</v>
      </c>
    </row>
    <row r="7219" spans="1:12" ht="15" customHeight="1" x14ac:dyDescent="0.2">
      <c r="A7219" s="2">
        <v>35572</v>
      </c>
      <c r="B7219" s="3">
        <v>4.0123534000000003</v>
      </c>
      <c r="C7219" s="1">
        <v>527511.4</v>
      </c>
      <c r="D7219" s="3">
        <v>-0.14814859999999899</v>
      </c>
      <c r="E7219" s="3">
        <v>-3.56083472619409</v>
      </c>
      <c r="F7219" s="3">
        <v>-3.56083472619409</v>
      </c>
      <c r="G7219" s="3">
        <v>4.0123534000000003</v>
      </c>
      <c r="H7219" s="3">
        <v>11.8118665190909</v>
      </c>
      <c r="I7219" s="3">
        <v>4.1728487000000003</v>
      </c>
      <c r="J7219" s="3">
        <v>4.1728472999999999</v>
      </c>
      <c r="K7219" s="3">
        <v>4.0000076</v>
      </c>
      <c r="L7219" s="3">
        <v>11.8118665190909</v>
      </c>
    </row>
    <row r="7220" spans="1:12" ht="15" customHeight="1" x14ac:dyDescent="0.2">
      <c r="A7220" s="2">
        <v>35571</v>
      </c>
      <c r="B7220" s="3">
        <v>4.1605020000000001</v>
      </c>
      <c r="C7220" s="1">
        <v>317418.12</v>
      </c>
      <c r="D7220" s="3">
        <v>0.13580400000000001</v>
      </c>
      <c r="E7220" s="3">
        <v>3.3742655970709001</v>
      </c>
      <c r="F7220" s="3">
        <v>3.3742655970709001</v>
      </c>
      <c r="G7220" s="3">
        <v>4.1605020000000001</v>
      </c>
      <c r="H7220" s="3">
        <v>15.9403093148303</v>
      </c>
      <c r="I7220" s="3">
        <v>4.0000086000000001</v>
      </c>
      <c r="J7220" s="3">
        <v>4.1728472999999999</v>
      </c>
      <c r="K7220" s="3">
        <v>3.9753159999999998</v>
      </c>
      <c r="L7220" s="3">
        <v>15.9403093148303</v>
      </c>
    </row>
    <row r="7221" spans="1:12" ht="15" customHeight="1" x14ac:dyDescent="0.2">
      <c r="A7221" s="2">
        <v>35570</v>
      </c>
      <c r="B7221" s="3">
        <v>4.0246979999999999</v>
      </c>
      <c r="C7221" s="1">
        <v>465749.1</v>
      </c>
      <c r="D7221" s="3">
        <v>0.1234557</v>
      </c>
      <c r="E7221" s="3">
        <v>3.1645227470234301</v>
      </c>
      <c r="F7221" s="3">
        <v>3.1645227470234301</v>
      </c>
      <c r="G7221" s="3">
        <v>4.0246979999999999</v>
      </c>
      <c r="H7221" s="3">
        <v>12.155872300693201</v>
      </c>
      <c r="I7221" s="3">
        <v>3.9259339999999998</v>
      </c>
      <c r="J7221" s="3">
        <v>4.0493902999999998</v>
      </c>
      <c r="K7221" s="3">
        <v>3.8765507000000001</v>
      </c>
      <c r="L7221" s="3">
        <v>12.155872300693201</v>
      </c>
    </row>
    <row r="7222" spans="1:12" ht="15" customHeight="1" x14ac:dyDescent="0.2">
      <c r="A7222" s="2">
        <v>35569</v>
      </c>
      <c r="B7222" s="3">
        <v>3.9012422999999998</v>
      </c>
      <c r="C7222" s="1">
        <v>388799.22</v>
      </c>
      <c r="D7222" s="3">
        <v>2.4691599999999699E-2</v>
      </c>
      <c r="E7222" s="3">
        <v>0.63694768650903699</v>
      </c>
      <c r="F7222" s="3">
        <v>0.63694768650903699</v>
      </c>
      <c r="G7222" s="3">
        <v>3.9012422999999998</v>
      </c>
      <c r="H7222" s="3">
        <v>8.7155441757028207</v>
      </c>
      <c r="I7222" s="3">
        <v>3.8271687000000001</v>
      </c>
      <c r="J7222" s="3">
        <v>3.9506247000000001</v>
      </c>
      <c r="K7222" s="3">
        <v>3.8271679999999999</v>
      </c>
      <c r="L7222" s="3">
        <v>8.7155441757028207</v>
      </c>
    </row>
    <row r="7223" spans="1:12" ht="15" customHeight="1" x14ac:dyDescent="0.2">
      <c r="A7223" s="2">
        <v>35566</v>
      </c>
      <c r="B7223" s="3">
        <v>3.8765507000000001</v>
      </c>
      <c r="C7223" s="1">
        <v>86062.33</v>
      </c>
      <c r="D7223" s="3">
        <v>-2.4691599999999699E-2</v>
      </c>
      <c r="E7223" s="3">
        <v>-0.63291634052055001</v>
      </c>
      <c r="F7223" s="3">
        <v>-0.63291634052055001</v>
      </c>
      <c r="G7223" s="3">
        <v>3.8765507000000001</v>
      </c>
      <c r="H7223" s="3">
        <v>8.0274657319289595</v>
      </c>
      <c r="I7223" s="3">
        <v>3.8765507000000001</v>
      </c>
      <c r="J7223" s="3">
        <v>3.8765507000000001</v>
      </c>
      <c r="K7223" s="3">
        <v>3.8518590000000001</v>
      </c>
      <c r="L7223" s="3">
        <v>8.0274657319289595</v>
      </c>
    </row>
    <row r="7224" spans="1:12" ht="15" customHeight="1" x14ac:dyDescent="0.2">
      <c r="A7224" s="2">
        <v>35565</v>
      </c>
      <c r="B7224" s="3">
        <v>3.9012422999999998</v>
      </c>
      <c r="C7224" s="1">
        <v>210599.6</v>
      </c>
      <c r="D7224" s="3">
        <v>-2.46913000000001E-2</v>
      </c>
      <c r="E7224" s="3">
        <v>-0.628928110246185</v>
      </c>
      <c r="F7224" s="3">
        <v>-0.628928110246185</v>
      </c>
      <c r="G7224" s="3">
        <v>3.9012422999999998</v>
      </c>
      <c r="H7224" s="3">
        <v>8.7155441757028207</v>
      </c>
      <c r="I7224" s="3">
        <v>3.9259339999999998</v>
      </c>
      <c r="J7224" s="3">
        <v>3.9259336</v>
      </c>
      <c r="K7224" s="3">
        <v>3.8518590000000001</v>
      </c>
      <c r="L7224" s="3">
        <v>8.7155441757028207</v>
      </c>
    </row>
    <row r="7225" spans="1:12" ht="15" customHeight="1" x14ac:dyDescent="0.2">
      <c r="A7225" s="2">
        <v>35564</v>
      </c>
      <c r="B7225" s="3">
        <v>3.9259336</v>
      </c>
      <c r="C7225" s="1">
        <v>354880.58</v>
      </c>
      <c r="D7225" s="3">
        <v>-0.14814939999999899</v>
      </c>
      <c r="E7225" s="3">
        <v>-3.6363863966443399</v>
      </c>
      <c r="F7225" s="3">
        <v>-3.6363863966443399</v>
      </c>
      <c r="G7225" s="3">
        <v>3.9259336</v>
      </c>
      <c r="H7225" s="3">
        <v>9.4036142594055292</v>
      </c>
      <c r="I7225" s="3">
        <v>4.0987730000000004</v>
      </c>
      <c r="J7225" s="3">
        <v>4.0987730000000004</v>
      </c>
      <c r="K7225" s="3">
        <v>3.8024764000000002</v>
      </c>
      <c r="L7225" s="3">
        <v>9.4036142594055292</v>
      </c>
    </row>
    <row r="7226" spans="1:12" ht="15" customHeight="1" x14ac:dyDescent="0.2">
      <c r="A7226" s="2">
        <v>35563</v>
      </c>
      <c r="B7226" s="3">
        <v>4.0740829999999999</v>
      </c>
      <c r="C7226" s="1">
        <v>88087.3299999999</v>
      </c>
      <c r="D7226" s="3">
        <v>-4.93810000000003E-2</v>
      </c>
      <c r="E7226" s="3">
        <v>-1.1975610797135701</v>
      </c>
      <c r="F7226" s="3">
        <v>-1.1975610797135701</v>
      </c>
      <c r="G7226" s="3">
        <v>4.0740829999999999</v>
      </c>
      <c r="H7226" s="3">
        <v>13.532079348667899</v>
      </c>
      <c r="I7226" s="3">
        <v>4.1234650000000004</v>
      </c>
      <c r="J7226" s="3">
        <v>4.1481560000000002</v>
      </c>
      <c r="K7226" s="3">
        <v>4.0740829999999999</v>
      </c>
      <c r="L7226" s="3">
        <v>13.532079348667899</v>
      </c>
    </row>
    <row r="7227" spans="1:12" ht="15" customHeight="1" x14ac:dyDescent="0.2">
      <c r="A7227" s="2">
        <v>35562</v>
      </c>
      <c r="B7227" s="3">
        <v>4.1234640000000002</v>
      </c>
      <c r="C7227" s="1">
        <v>437399.23</v>
      </c>
      <c r="D7227" s="3">
        <v>-4.9383299999999603E-2</v>
      </c>
      <c r="E7227" s="3">
        <v>-1.18344373636676</v>
      </c>
      <c r="F7227" s="3">
        <v>-1.18344373636676</v>
      </c>
      <c r="G7227" s="3">
        <v>4.1234640000000002</v>
      </c>
      <c r="H7227" s="3">
        <v>14.9081749290271</v>
      </c>
      <c r="I7227" s="3">
        <v>4.19754</v>
      </c>
      <c r="J7227" s="3">
        <v>4.2469215</v>
      </c>
      <c r="K7227" s="3">
        <v>4.1234640000000002</v>
      </c>
      <c r="L7227" s="3">
        <v>14.9081749290271</v>
      </c>
    </row>
    <row r="7228" spans="1:12" ht="15" customHeight="1" x14ac:dyDescent="0.2">
      <c r="A7228" s="2">
        <v>35559</v>
      </c>
      <c r="B7228" s="3">
        <v>4.1728472999999999</v>
      </c>
      <c r="C7228" s="1">
        <v>208574.6</v>
      </c>
      <c r="D7228" s="3">
        <v>-1.2345699999999999E-2</v>
      </c>
      <c r="E7228" s="3">
        <v>-0.294985201399311</v>
      </c>
      <c r="F7228" s="3">
        <v>-0.294985201399311</v>
      </c>
      <c r="G7228" s="3">
        <v>4.1728472999999999</v>
      </c>
      <c r="H7228" s="3">
        <v>16.284334603265201</v>
      </c>
      <c r="I7228" s="3">
        <v>4.1728487000000003</v>
      </c>
      <c r="J7228" s="3">
        <v>4.19754</v>
      </c>
      <c r="K7228" s="3">
        <v>4.1481560000000002</v>
      </c>
      <c r="L7228" s="3">
        <v>16.284334603265201</v>
      </c>
    </row>
    <row r="7229" spans="1:12" ht="15" customHeight="1" x14ac:dyDescent="0.2">
      <c r="A7229" s="2">
        <v>35558</v>
      </c>
      <c r="B7229" s="3">
        <v>4.1851929999999999</v>
      </c>
      <c r="C7229" s="1">
        <v>863154.66</v>
      </c>
      <c r="D7229" s="3">
        <v>8.6419999999999497E-2</v>
      </c>
      <c r="E7229" s="3">
        <v>2.1084358660506202</v>
      </c>
      <c r="F7229" s="3">
        <v>2.1084358660506202</v>
      </c>
      <c r="G7229" s="3">
        <v>4.1851929999999999</v>
      </c>
      <c r="H7229" s="3">
        <v>16.6283710384618</v>
      </c>
      <c r="I7229" s="3">
        <v>4.0987730000000004</v>
      </c>
      <c r="J7229" s="3">
        <v>4.19754</v>
      </c>
      <c r="K7229" s="3">
        <v>4.0740829999999999</v>
      </c>
      <c r="L7229" s="3">
        <v>16.6283710384618</v>
      </c>
    </row>
    <row r="7230" spans="1:12" ht="15" customHeight="1" x14ac:dyDescent="0.2">
      <c r="A7230" s="2">
        <v>35557</v>
      </c>
      <c r="B7230" s="3">
        <v>4.0987730000000004</v>
      </c>
      <c r="C7230" s="1">
        <v>559405.19999999995</v>
      </c>
      <c r="D7230" s="3">
        <v>-4.9382999999999698E-2</v>
      </c>
      <c r="E7230" s="3">
        <v>-1.1904807823042201</v>
      </c>
      <c r="F7230" s="3">
        <v>-1.1904807823042201</v>
      </c>
      <c r="G7230" s="3">
        <v>4.0987730000000004</v>
      </c>
      <c r="H7230" s="3">
        <v>14.220113205395601</v>
      </c>
      <c r="I7230" s="3">
        <v>4.0987730000000004</v>
      </c>
      <c r="J7230" s="3">
        <v>4.1481560000000002</v>
      </c>
      <c r="K7230" s="3">
        <v>4.0740829999999999</v>
      </c>
      <c r="L7230" s="3">
        <v>14.220113205395601</v>
      </c>
    </row>
    <row r="7231" spans="1:12" ht="15" customHeight="1" x14ac:dyDescent="0.2">
      <c r="A7231" s="2">
        <v>35556</v>
      </c>
      <c r="B7231" s="3">
        <v>4.1481560000000002</v>
      </c>
      <c r="C7231" s="1">
        <v>773548.64999999898</v>
      </c>
      <c r="D7231" s="3">
        <v>9.87657000000004E-2</v>
      </c>
      <c r="E7231" s="3">
        <v>2.4390264381282298</v>
      </c>
      <c r="F7231" s="3">
        <v>2.4390264381282298</v>
      </c>
      <c r="G7231" s="3">
        <v>4.1481560000000002</v>
      </c>
      <c r="H7231" s="3">
        <v>15.596264519562499</v>
      </c>
      <c r="I7231" s="3">
        <v>4.0740829999999999</v>
      </c>
      <c r="J7231" s="3">
        <v>4.1728472999999999</v>
      </c>
      <c r="K7231" s="3">
        <v>4.0000076</v>
      </c>
      <c r="L7231" s="3">
        <v>15.596264519562499</v>
      </c>
    </row>
    <row r="7232" spans="1:12" ht="15" customHeight="1" x14ac:dyDescent="0.2">
      <c r="A7232" s="2">
        <v>35555</v>
      </c>
      <c r="B7232" s="3">
        <v>4.0493902999999998</v>
      </c>
      <c r="C7232" s="1">
        <v>1404841.1</v>
      </c>
      <c r="D7232" s="3">
        <v>9.8765599999999606E-2</v>
      </c>
      <c r="E7232" s="3">
        <v>2.4999995570320799</v>
      </c>
      <c r="F7232" s="3">
        <v>2.4999995570320799</v>
      </c>
      <c r="G7232" s="3">
        <v>4.0493902999999998</v>
      </c>
      <c r="H7232" s="3">
        <v>12.843970251299799</v>
      </c>
      <c r="I7232" s="3">
        <v>3.9753167999999999</v>
      </c>
      <c r="J7232" s="3">
        <v>4.2716136000000002</v>
      </c>
      <c r="K7232" s="3">
        <v>3.9753159999999998</v>
      </c>
      <c r="L7232" s="3">
        <v>12.843970251299799</v>
      </c>
    </row>
    <row r="7233" spans="1:12" ht="15" customHeight="1" x14ac:dyDescent="0.2">
      <c r="A7233" s="2">
        <v>35552</v>
      </c>
      <c r="B7233" s="3">
        <v>3.9506247000000001</v>
      </c>
      <c r="C7233" s="1">
        <v>941117</v>
      </c>
      <c r="D7233" s="3">
        <v>0.2716055</v>
      </c>
      <c r="E7233" s="3">
        <v>7.38255184968863</v>
      </c>
      <c r="F7233" s="3">
        <v>7.38255184968863</v>
      </c>
      <c r="G7233" s="3">
        <v>3.9506247000000001</v>
      </c>
      <c r="H7233" s="3">
        <v>10.0916787697274</v>
      </c>
      <c r="I7233" s="3">
        <v>3.6790197</v>
      </c>
      <c r="J7233" s="3">
        <v>4.0246979999999999</v>
      </c>
      <c r="K7233" s="3">
        <v>3.6543279000000002</v>
      </c>
      <c r="L7233" s="3">
        <v>10.0916787697274</v>
      </c>
    </row>
    <row r="7234" spans="1:12" ht="15" customHeight="1" x14ac:dyDescent="0.2">
      <c r="A7234" s="2">
        <v>35551</v>
      </c>
      <c r="B7234" s="3">
        <v>3.6790191999999999</v>
      </c>
      <c r="C7234" s="1">
        <v>296661.93</v>
      </c>
      <c r="D7234" s="3">
        <v>7.4073799999999801E-2</v>
      </c>
      <c r="E7234" s="3">
        <v>2.0547828546862301</v>
      </c>
      <c r="F7234" s="3">
        <v>2.0547828546862301</v>
      </c>
      <c r="G7234" s="3">
        <v>3.6790191999999999</v>
      </c>
      <c r="H7234" s="3">
        <v>2.5228744087130499</v>
      </c>
      <c r="I7234" s="3">
        <v>3.6049457</v>
      </c>
      <c r="J7234" s="3">
        <v>3.7037113000000002</v>
      </c>
      <c r="K7234" s="3">
        <v>3.5555625000000002</v>
      </c>
      <c r="L7234" s="3">
        <v>2.5228744087130499</v>
      </c>
    </row>
    <row r="7235" spans="1:12" ht="15" customHeight="1" x14ac:dyDescent="0.2">
      <c r="A7235" s="2">
        <v>35550</v>
      </c>
      <c r="B7235" s="3">
        <v>3.6049454000000001</v>
      </c>
      <c r="C7235" s="1">
        <v>402468</v>
      </c>
      <c r="D7235" s="3">
        <v>7.4074200000000007E-2</v>
      </c>
      <c r="E7235" s="3">
        <v>2.0979015037422002</v>
      </c>
      <c r="F7235" s="3">
        <v>2.0979015037422002</v>
      </c>
      <c r="G7235" s="3">
        <v>3.6049454000000001</v>
      </c>
      <c r="H7235" s="3">
        <v>0.458666944295338</v>
      </c>
      <c r="I7235" s="3">
        <v>3.4814892</v>
      </c>
      <c r="J7235" s="3">
        <v>3.6296365000000002</v>
      </c>
      <c r="K7235" s="3">
        <v>3.4814881999999998</v>
      </c>
      <c r="L7235" s="3">
        <v>0.458666944295338</v>
      </c>
    </row>
    <row r="7236" spans="1:12" ht="15" customHeight="1" x14ac:dyDescent="0.2">
      <c r="A7236" s="2">
        <v>35549</v>
      </c>
      <c r="B7236" s="3">
        <v>3.5308712</v>
      </c>
      <c r="C7236" s="1">
        <v>294636.95999999897</v>
      </c>
      <c r="D7236" s="3">
        <v>2.4691600000000102E-2</v>
      </c>
      <c r="E7236" s="3">
        <v>0.70423089564493002</v>
      </c>
      <c r="F7236" s="3">
        <v>0.70423089564493002</v>
      </c>
      <c r="G7236" s="3">
        <v>3.5308712</v>
      </c>
      <c r="H7236" s="3">
        <v>-1.60555166688394</v>
      </c>
      <c r="I7236" s="3">
        <v>3.4814892</v>
      </c>
      <c r="J7236" s="3">
        <v>3.5555625000000002</v>
      </c>
      <c r="K7236" s="3">
        <v>3.4814881999999998</v>
      </c>
      <c r="L7236" s="3">
        <v>-1.60555166688394</v>
      </c>
    </row>
    <row r="7237" spans="1:12" ht="15" customHeight="1" x14ac:dyDescent="0.2">
      <c r="A7237" s="2">
        <v>35548</v>
      </c>
      <c r="B7237" s="3">
        <v>3.5061795999999998</v>
      </c>
      <c r="C7237" s="1">
        <v>785698.4</v>
      </c>
      <c r="D7237" s="3">
        <v>-7.4073999999999904E-2</v>
      </c>
      <c r="E7237" s="3">
        <v>-2.0689595843154698</v>
      </c>
      <c r="F7237" s="3">
        <v>-2.0689595843154698</v>
      </c>
      <c r="G7237" s="3">
        <v>3.5061795999999998</v>
      </c>
      <c r="H7237" s="3">
        <v>-2.2936301106578099</v>
      </c>
      <c r="I7237" s="3">
        <v>3.6049457</v>
      </c>
      <c r="J7237" s="3">
        <v>3.6049454000000001</v>
      </c>
      <c r="K7237" s="3">
        <v>3.4567966000000001</v>
      </c>
      <c r="L7237" s="3">
        <v>-2.2936301106578099</v>
      </c>
    </row>
    <row r="7238" spans="1:12" ht="15" customHeight="1" x14ac:dyDescent="0.2">
      <c r="A7238" s="2">
        <v>35545</v>
      </c>
      <c r="B7238" s="3">
        <v>3.5802535999999998</v>
      </c>
      <c r="C7238" s="1">
        <v>1366872.5999999901</v>
      </c>
      <c r="D7238" s="3">
        <v>-7.4074300000000301E-2</v>
      </c>
      <c r="E7238" s="3">
        <v>-2.02702937522383</v>
      </c>
      <c r="F7238" s="3">
        <v>-2.02702937522383</v>
      </c>
      <c r="G7238" s="3">
        <v>3.5802535999999998</v>
      </c>
      <c r="H7238" s="3">
        <v>-0.22941707285931201</v>
      </c>
      <c r="I7238" s="3">
        <v>3.4567974000000001</v>
      </c>
      <c r="J7238" s="3">
        <v>3.6296365000000002</v>
      </c>
      <c r="K7238" s="3">
        <v>3.4567966000000001</v>
      </c>
      <c r="L7238" s="3">
        <v>-0.22941707285931201</v>
      </c>
    </row>
    <row r="7239" spans="1:12" ht="15" customHeight="1" x14ac:dyDescent="0.2">
      <c r="A7239" s="2">
        <v>35544</v>
      </c>
      <c r="B7239" s="3">
        <v>3.6543279000000002</v>
      </c>
      <c r="C7239" s="1">
        <v>203005.87</v>
      </c>
      <c r="D7239" s="3">
        <v>-2.4691299999999701E-2</v>
      </c>
      <c r="E7239" s="3">
        <v>-0.67113811202724705</v>
      </c>
      <c r="F7239" s="3">
        <v>-0.67113811202724705</v>
      </c>
      <c r="G7239" s="3">
        <v>3.6543279000000002</v>
      </c>
      <c r="H7239" s="3">
        <v>1.8348043250103601</v>
      </c>
      <c r="I7239" s="3">
        <v>3.6790197</v>
      </c>
      <c r="J7239" s="3">
        <v>3.7284017</v>
      </c>
      <c r="K7239" s="3">
        <v>3.6049454000000001</v>
      </c>
      <c r="L7239" s="3">
        <v>1.8348043250103601</v>
      </c>
    </row>
    <row r="7240" spans="1:12" ht="15" customHeight="1" x14ac:dyDescent="0.2">
      <c r="A7240" s="2">
        <v>35543</v>
      </c>
      <c r="B7240" s="3">
        <v>3.6790191999999999</v>
      </c>
      <c r="C7240" s="1">
        <v>281980.7</v>
      </c>
      <c r="D7240" s="3">
        <v>-0.11111169999999899</v>
      </c>
      <c r="E7240" s="3">
        <v>-2.9316058714489199</v>
      </c>
      <c r="F7240" s="3">
        <v>-2.9316058714489199</v>
      </c>
      <c r="G7240" s="3">
        <v>3.6790191999999999</v>
      </c>
      <c r="H7240" s="3">
        <v>2.5228744087130499</v>
      </c>
      <c r="I7240" s="3">
        <v>3.7777854999999998</v>
      </c>
      <c r="J7240" s="3">
        <v>3.8271679999999999</v>
      </c>
      <c r="K7240" s="3">
        <v>3.6790191999999999</v>
      </c>
      <c r="L7240" s="3">
        <v>2.5228744087130499</v>
      </c>
    </row>
    <row r="7241" spans="1:12" ht="15" customHeight="1" x14ac:dyDescent="0.2">
      <c r="A7241" s="2">
        <v>35542</v>
      </c>
      <c r="B7241" s="3">
        <v>3.7901308999999999</v>
      </c>
      <c r="C7241" s="1">
        <v>223762.05</v>
      </c>
      <c r="D7241" s="3">
        <v>3.7037199999999798E-2</v>
      </c>
      <c r="E7241" s="3">
        <v>0.98684453308479603</v>
      </c>
      <c r="F7241" s="3">
        <v>0.98684453308479603</v>
      </c>
      <c r="G7241" s="3">
        <v>3.7901308999999999</v>
      </c>
      <c r="H7241" s="3">
        <v>5.6192134722435201</v>
      </c>
      <c r="I7241" s="3">
        <v>3.7530939999999999</v>
      </c>
      <c r="J7241" s="3">
        <v>3.8271679999999999</v>
      </c>
      <c r="K7241" s="3">
        <v>3.7037113000000002</v>
      </c>
      <c r="L7241" s="3">
        <v>5.6192134722435201</v>
      </c>
    </row>
    <row r="7242" spans="1:12" ht="15" customHeight="1" x14ac:dyDescent="0.2">
      <c r="A7242" s="2">
        <v>35541</v>
      </c>
      <c r="B7242" s="3">
        <v>3.7530937</v>
      </c>
      <c r="C7242" s="1">
        <v>181237.15</v>
      </c>
      <c r="D7242" s="3"/>
      <c r="E7242" s="3"/>
      <c r="F7242" s="3"/>
      <c r="G7242" s="3">
        <v>3.7530937</v>
      </c>
      <c r="H7242" s="3">
        <v>4.5871013799635003</v>
      </c>
      <c r="I7242" s="3">
        <v>3.7284036</v>
      </c>
      <c r="J7242" s="3">
        <v>3.7530937</v>
      </c>
      <c r="K7242" s="3">
        <v>3.7037113000000002</v>
      </c>
      <c r="L7242" s="3">
        <v>4.5871013799635003</v>
      </c>
    </row>
    <row r="7243" spans="1:12" ht="15" customHeight="1" x14ac:dyDescent="0.2">
      <c r="A7243" s="2">
        <v>35538</v>
      </c>
      <c r="B7243" s="3">
        <v>3.7530937</v>
      </c>
      <c r="C7243" s="1">
        <v>115931.03</v>
      </c>
      <c r="D7243" s="3">
        <v>2.4691999999999902E-2</v>
      </c>
      <c r="E7243" s="3">
        <v>0.66226769502868399</v>
      </c>
      <c r="F7243" s="3">
        <v>0.66226769502868399</v>
      </c>
      <c r="G7243" s="3">
        <v>3.7530937</v>
      </c>
      <c r="H7243" s="3">
        <v>4.5871013799635003</v>
      </c>
      <c r="I7243" s="3">
        <v>3.7284036</v>
      </c>
      <c r="J7243" s="3">
        <v>3.7777848000000001</v>
      </c>
      <c r="K7243" s="3">
        <v>3.7284017</v>
      </c>
      <c r="L7243" s="3">
        <v>4.5871013799635003</v>
      </c>
    </row>
    <row r="7244" spans="1:12" ht="15" customHeight="1" x14ac:dyDescent="0.2">
      <c r="A7244" s="2">
        <v>35537</v>
      </c>
      <c r="B7244" s="3">
        <v>3.7284017</v>
      </c>
      <c r="C7244" s="1">
        <v>79987.34</v>
      </c>
      <c r="D7244" s="3">
        <v>-4.9383099999999999E-2</v>
      </c>
      <c r="E7244" s="3">
        <v>-1.3071972760332999</v>
      </c>
      <c r="F7244" s="3">
        <v>-1.3071972760332999</v>
      </c>
      <c r="G7244" s="3">
        <v>3.7284017</v>
      </c>
      <c r="H7244" s="3">
        <v>3.89901178942808</v>
      </c>
      <c r="I7244" s="3">
        <v>3.7777854999999998</v>
      </c>
      <c r="J7244" s="3">
        <v>3.7777848000000001</v>
      </c>
      <c r="K7244" s="3">
        <v>3.7284017</v>
      </c>
      <c r="L7244" s="3">
        <v>3.89901178942808</v>
      </c>
    </row>
    <row r="7245" spans="1:12" ht="15" customHeight="1" x14ac:dyDescent="0.2">
      <c r="A7245" s="2">
        <v>35536</v>
      </c>
      <c r="B7245" s="3">
        <v>3.7777848000000001</v>
      </c>
      <c r="C7245" s="1">
        <v>148330.96</v>
      </c>
      <c r="D7245" s="3">
        <v>-4.9383199999999801E-2</v>
      </c>
      <c r="E7245" s="3">
        <v>-1.2903326950894201</v>
      </c>
      <c r="F7245" s="3">
        <v>-1.2903326950894201</v>
      </c>
      <c r="G7245" s="3">
        <v>3.7777848000000001</v>
      </c>
      <c r="H7245" s="3">
        <v>5.2751658902854297</v>
      </c>
      <c r="I7245" s="3">
        <v>3.8271687000000001</v>
      </c>
      <c r="J7245" s="3">
        <v>3.8271679999999999</v>
      </c>
      <c r="K7245" s="3">
        <v>3.7284017</v>
      </c>
      <c r="L7245" s="3">
        <v>5.2751658902854297</v>
      </c>
    </row>
    <row r="7246" spans="1:12" ht="15" customHeight="1" x14ac:dyDescent="0.2">
      <c r="A7246" s="2">
        <v>35535</v>
      </c>
      <c r="B7246" s="3">
        <v>3.8271679999999999</v>
      </c>
      <c r="C7246" s="1">
        <v>428286.68</v>
      </c>
      <c r="D7246" s="3">
        <v>0.123456699999999</v>
      </c>
      <c r="E7246" s="3">
        <v>3.3333240633523298</v>
      </c>
      <c r="F7246" s="3">
        <v>3.3333240633523298</v>
      </c>
      <c r="G7246" s="3">
        <v>3.8271679999999999</v>
      </c>
      <c r="H7246" s="3">
        <v>6.6513227778331601</v>
      </c>
      <c r="I7246" s="3">
        <v>3.7284036</v>
      </c>
      <c r="J7246" s="3">
        <v>3.8518590000000001</v>
      </c>
      <c r="K7246" s="3">
        <v>3.7284017</v>
      </c>
      <c r="L7246" s="3">
        <v>6.6513227778331601</v>
      </c>
    </row>
    <row r="7247" spans="1:12" ht="15" customHeight="1" x14ac:dyDescent="0.2">
      <c r="A7247" s="2">
        <v>35534</v>
      </c>
      <c r="B7247" s="3">
        <v>3.7037113000000002</v>
      </c>
      <c r="C7247" s="1">
        <v>364499.3</v>
      </c>
      <c r="D7247" s="3"/>
      <c r="E7247" s="3"/>
      <c r="F7247" s="3"/>
      <c r="G7247" s="3">
        <v>3.7037113000000002</v>
      </c>
      <c r="H7247" s="3">
        <v>3.21096678593887</v>
      </c>
      <c r="I7247" s="3">
        <v>3.7037113000000002</v>
      </c>
      <c r="J7247" s="3">
        <v>3.7037113000000002</v>
      </c>
      <c r="K7247" s="3">
        <v>3.6543279000000002</v>
      </c>
      <c r="L7247" s="3">
        <v>3.21096678593887</v>
      </c>
    </row>
    <row r="7248" spans="1:12" ht="15" customHeight="1" x14ac:dyDescent="0.2">
      <c r="A7248" s="2">
        <v>35531</v>
      </c>
      <c r="B7248" s="3">
        <v>3.7037113000000002</v>
      </c>
      <c r="C7248" s="1">
        <v>346274.35</v>
      </c>
      <c r="D7248" s="3">
        <v>-7.4073499999999903E-2</v>
      </c>
      <c r="E7248" s="3">
        <v>-1.9607654729300501</v>
      </c>
      <c r="F7248" s="3">
        <v>-1.9607654729300501</v>
      </c>
      <c r="G7248" s="3">
        <v>3.7037113000000002</v>
      </c>
      <c r="H7248" s="3">
        <v>3.21096678593887</v>
      </c>
      <c r="I7248" s="3">
        <v>3.7777854999999998</v>
      </c>
      <c r="J7248" s="3">
        <v>3.8024764000000002</v>
      </c>
      <c r="K7248" s="3">
        <v>3.6543279000000002</v>
      </c>
      <c r="L7248" s="3">
        <v>3.21096678593887</v>
      </c>
    </row>
    <row r="7249" spans="1:12" ht="15" customHeight="1" x14ac:dyDescent="0.2">
      <c r="A7249" s="2">
        <v>35530</v>
      </c>
      <c r="B7249" s="3">
        <v>3.7777848000000001</v>
      </c>
      <c r="C7249" s="1">
        <v>272868.23</v>
      </c>
      <c r="D7249" s="3">
        <v>-3.7037399999999998E-2</v>
      </c>
      <c r="E7249" s="3">
        <v>-0.97088142141984402</v>
      </c>
      <c r="F7249" s="3">
        <v>-0.97088142141984402</v>
      </c>
      <c r="G7249" s="3">
        <v>3.7777848000000001</v>
      </c>
      <c r="H7249" s="3">
        <v>5.2751658902854297</v>
      </c>
      <c r="I7249" s="3">
        <v>3.7777854999999998</v>
      </c>
      <c r="J7249" s="3">
        <v>3.8271679999999999</v>
      </c>
      <c r="K7249" s="3">
        <v>3.7037113000000002</v>
      </c>
      <c r="L7249" s="3">
        <v>5.2751658902854297</v>
      </c>
    </row>
    <row r="7250" spans="1:12" ht="15" customHeight="1" x14ac:dyDescent="0.2">
      <c r="A7250" s="2">
        <v>35529</v>
      </c>
      <c r="B7250" s="3">
        <v>3.8148222000000001</v>
      </c>
      <c r="C7250" s="1">
        <v>231862.06</v>
      </c>
      <c r="D7250" s="3">
        <v>-3.7036800000000002E-2</v>
      </c>
      <c r="E7250" s="3">
        <v>-0.96153052331354705</v>
      </c>
      <c r="F7250" s="3">
        <v>-0.96153052331354705</v>
      </c>
      <c r="G7250" s="3">
        <v>3.8148222000000001</v>
      </c>
      <c r="H7250" s="3">
        <v>6.3072835559462304</v>
      </c>
      <c r="I7250" s="3">
        <v>3.8271687000000001</v>
      </c>
      <c r="J7250" s="3">
        <v>3.8765507000000001</v>
      </c>
      <c r="K7250" s="3">
        <v>3.8024764000000002</v>
      </c>
      <c r="L7250" s="3">
        <v>6.3072835559462304</v>
      </c>
    </row>
    <row r="7251" spans="1:12" ht="15" customHeight="1" x14ac:dyDescent="0.2">
      <c r="A7251" s="2">
        <v>35528</v>
      </c>
      <c r="B7251" s="3">
        <v>3.8518590000000001</v>
      </c>
      <c r="C7251" s="1">
        <v>236418.32</v>
      </c>
      <c r="D7251" s="3">
        <v>-2.46916999999999E-2</v>
      </c>
      <c r="E7251" s="3">
        <v>-0.63695026612189398</v>
      </c>
      <c r="F7251" s="3">
        <v>-0.63695026612189398</v>
      </c>
      <c r="G7251" s="3">
        <v>3.8518590000000001</v>
      </c>
      <c r="H7251" s="3">
        <v>7.3393845014647097</v>
      </c>
      <c r="I7251" s="3">
        <v>3.9259339999999998</v>
      </c>
      <c r="J7251" s="3">
        <v>3.9259336</v>
      </c>
      <c r="K7251" s="3">
        <v>3.8271679999999999</v>
      </c>
      <c r="L7251" s="3">
        <v>7.3393845014647097</v>
      </c>
    </row>
    <row r="7252" spans="1:12" ht="15" customHeight="1" x14ac:dyDescent="0.2">
      <c r="A7252" s="2">
        <v>35527</v>
      </c>
      <c r="B7252" s="3">
        <v>3.8765507000000001</v>
      </c>
      <c r="C7252" s="1">
        <v>704192.44</v>
      </c>
      <c r="D7252" s="3">
        <v>2.46916999999999E-2</v>
      </c>
      <c r="E7252" s="3">
        <v>0.64103332962084303</v>
      </c>
      <c r="F7252" s="3">
        <v>0.64103332962084303</v>
      </c>
      <c r="G7252" s="3">
        <v>3.8765507000000001</v>
      </c>
      <c r="H7252" s="3">
        <v>8.0274657319289595</v>
      </c>
      <c r="I7252" s="3">
        <v>3.8765507000000001</v>
      </c>
      <c r="J7252" s="3">
        <v>4.0000076</v>
      </c>
      <c r="K7252" s="3">
        <v>3.8518590000000001</v>
      </c>
      <c r="L7252" s="3">
        <v>8.0274657319289595</v>
      </c>
    </row>
    <row r="7253" spans="1:12" ht="15" customHeight="1" x14ac:dyDescent="0.2">
      <c r="A7253" s="2">
        <v>35524</v>
      </c>
      <c r="B7253" s="3">
        <v>3.8518590000000001</v>
      </c>
      <c r="C7253" s="1">
        <v>726973.63</v>
      </c>
      <c r="D7253" s="3">
        <v>7.4074200000000007E-2</v>
      </c>
      <c r="E7253" s="3">
        <v>1.9607840023073899</v>
      </c>
      <c r="F7253" s="3">
        <v>1.9607840023073899</v>
      </c>
      <c r="G7253" s="3">
        <v>3.8518590000000001</v>
      </c>
      <c r="H7253" s="3">
        <v>7.3393845014647097</v>
      </c>
      <c r="I7253" s="3">
        <v>3.7037113000000002</v>
      </c>
      <c r="J7253" s="3">
        <v>3.9012422999999998</v>
      </c>
      <c r="K7253" s="3">
        <v>3.7037113000000002</v>
      </c>
      <c r="L7253" s="3">
        <v>7.3393845014647097</v>
      </c>
    </row>
    <row r="7254" spans="1:12" ht="15" customHeight="1" x14ac:dyDescent="0.2">
      <c r="A7254" s="2">
        <v>35523</v>
      </c>
      <c r="B7254" s="3">
        <v>3.7777848000000001</v>
      </c>
      <c r="C7254" s="1">
        <v>533080.19999999995</v>
      </c>
      <c r="D7254" s="3">
        <v>7.4073499999999903E-2</v>
      </c>
      <c r="E7254" s="3">
        <v>1.99998039804019</v>
      </c>
      <c r="F7254" s="3">
        <v>1.99998039804019</v>
      </c>
      <c r="G7254" s="3">
        <v>3.7777848000000001</v>
      </c>
      <c r="H7254" s="3">
        <v>5.2751658902854297</v>
      </c>
      <c r="I7254" s="3">
        <v>3.7284036</v>
      </c>
      <c r="J7254" s="3">
        <v>3.8765507000000001</v>
      </c>
      <c r="K7254" s="3">
        <v>3.7037113000000002</v>
      </c>
      <c r="L7254" s="3">
        <v>5.2751658902854297</v>
      </c>
    </row>
    <row r="7255" spans="1:12" ht="15" customHeight="1" x14ac:dyDescent="0.2">
      <c r="A7255" s="2">
        <v>35522</v>
      </c>
      <c r="B7255" s="3">
        <v>3.7037113000000002</v>
      </c>
      <c r="C7255" s="1">
        <v>320455.63</v>
      </c>
      <c r="D7255" s="3">
        <v>-0.123456699999999</v>
      </c>
      <c r="E7255" s="3">
        <v>-3.2257977700482301</v>
      </c>
      <c r="F7255" s="3">
        <v>-3.2257977700482301</v>
      </c>
      <c r="G7255" s="3">
        <v>3.7037113000000002</v>
      </c>
      <c r="H7255" s="3">
        <v>3.21096678593887</v>
      </c>
      <c r="I7255" s="3">
        <v>3.8271687000000001</v>
      </c>
      <c r="J7255" s="3">
        <v>3.8271679999999999</v>
      </c>
      <c r="K7255" s="3">
        <v>3.7037113000000002</v>
      </c>
      <c r="L7255" s="3">
        <v>3.21096678593887</v>
      </c>
    </row>
    <row r="7256" spans="1:12" ht="15" customHeight="1" x14ac:dyDescent="0.2">
      <c r="A7256" s="2">
        <v>35521</v>
      </c>
      <c r="B7256" s="3">
        <v>3.8271679999999999</v>
      </c>
      <c r="C7256" s="1">
        <v>1711628</v>
      </c>
      <c r="D7256" s="3">
        <v>-7.4074299999999899E-2</v>
      </c>
      <c r="E7256" s="3">
        <v>-1.8987362051313701</v>
      </c>
      <c r="F7256" s="3">
        <v>-1.8987362051313701</v>
      </c>
      <c r="G7256" s="3">
        <v>3.8271679999999999</v>
      </c>
      <c r="H7256" s="3">
        <v>6.6513227778331601</v>
      </c>
      <c r="I7256" s="3">
        <v>3.9012424999999999</v>
      </c>
      <c r="J7256" s="3">
        <v>3.9135878000000002</v>
      </c>
      <c r="K7256" s="3">
        <v>3.6790191999999999</v>
      </c>
      <c r="L7256" s="3">
        <v>6.6513227778331601</v>
      </c>
    </row>
    <row r="7257" spans="1:12" ht="15" customHeight="1" x14ac:dyDescent="0.2">
      <c r="A7257" s="2">
        <v>35520</v>
      </c>
      <c r="B7257" s="3">
        <v>3.9012422999999998</v>
      </c>
      <c r="C7257" s="1">
        <v>446511.6</v>
      </c>
      <c r="D7257" s="3">
        <v>-0.22222169999999999</v>
      </c>
      <c r="E7257" s="3">
        <v>-5.3891994691841596</v>
      </c>
      <c r="F7257" s="3">
        <v>-5.3891994691841596</v>
      </c>
      <c r="G7257" s="3">
        <v>3.9012422999999998</v>
      </c>
      <c r="H7257" s="3">
        <v>8.7155441757028207</v>
      </c>
      <c r="I7257" s="3">
        <v>4.0493912999999999</v>
      </c>
      <c r="J7257" s="3">
        <v>4.0987730000000004</v>
      </c>
      <c r="K7257" s="3">
        <v>3.9012422999999998</v>
      </c>
      <c r="L7257" s="3">
        <v>8.7155441757028207</v>
      </c>
    </row>
    <row r="7258" spans="1:12" ht="15" customHeight="1" x14ac:dyDescent="0.2">
      <c r="A7258" s="2">
        <v>35516</v>
      </c>
      <c r="B7258" s="3">
        <v>4.1234640000000002</v>
      </c>
      <c r="C7258" s="1">
        <v>410061.74</v>
      </c>
      <c r="D7258" s="3"/>
      <c r="E7258" s="3"/>
      <c r="F7258" s="3"/>
      <c r="G7258" s="3">
        <v>4.1234640000000002</v>
      </c>
      <c r="H7258" s="3">
        <v>14.9081749290271</v>
      </c>
      <c r="I7258" s="3">
        <v>4.1234650000000004</v>
      </c>
      <c r="J7258" s="3">
        <v>4.1728472999999999</v>
      </c>
      <c r="K7258" s="3">
        <v>4.0987730000000004</v>
      </c>
      <c r="L7258" s="3">
        <v>14.9081749290271</v>
      </c>
    </row>
    <row r="7259" spans="1:12" ht="15" customHeight="1" x14ac:dyDescent="0.2">
      <c r="A7259" s="2">
        <v>35515</v>
      </c>
      <c r="B7259" s="3">
        <v>4.1234640000000002</v>
      </c>
      <c r="C7259" s="1">
        <v>633317.5</v>
      </c>
      <c r="D7259" s="3">
        <v>-4.9383299999999603E-2</v>
      </c>
      <c r="E7259" s="3">
        <v>-1.18344373636676</v>
      </c>
      <c r="F7259" s="3">
        <v>-1.18344373636676</v>
      </c>
      <c r="G7259" s="3">
        <v>4.1234640000000002</v>
      </c>
      <c r="H7259" s="3">
        <v>14.9081749290271</v>
      </c>
      <c r="I7259" s="3">
        <v>4.19754</v>
      </c>
      <c r="J7259" s="3">
        <v>4.19754</v>
      </c>
      <c r="K7259" s="3">
        <v>4.0987730000000004</v>
      </c>
      <c r="L7259" s="3">
        <v>14.9081749290271</v>
      </c>
    </row>
    <row r="7260" spans="1:12" ht="15" customHeight="1" x14ac:dyDescent="0.2">
      <c r="A7260" s="2">
        <v>35514</v>
      </c>
      <c r="B7260" s="3">
        <v>4.1728472999999999</v>
      </c>
      <c r="C7260" s="1">
        <v>860623.39999999898</v>
      </c>
      <c r="D7260" s="3">
        <v>-8.0247400000000094E-2</v>
      </c>
      <c r="E7260" s="3">
        <v>-1.88680021632248</v>
      </c>
      <c r="F7260" s="3">
        <v>-1.88680021632248</v>
      </c>
      <c r="G7260" s="3">
        <v>4.1728472999999999</v>
      </c>
      <c r="H7260" s="3">
        <v>16.284334603265201</v>
      </c>
      <c r="I7260" s="3">
        <v>4.2963050000000003</v>
      </c>
      <c r="J7260" s="3">
        <v>4.2963040000000001</v>
      </c>
      <c r="K7260" s="3">
        <v>4.1481560000000002</v>
      </c>
      <c r="L7260" s="3">
        <v>16.284334603265201</v>
      </c>
    </row>
    <row r="7261" spans="1:12" ht="15" customHeight="1" x14ac:dyDescent="0.2">
      <c r="A7261" s="2">
        <v>35513</v>
      </c>
      <c r="B7261" s="3">
        <v>4.2530947000000001</v>
      </c>
      <c r="C7261" s="1">
        <v>354880.58</v>
      </c>
      <c r="D7261" s="3">
        <v>-4.3209299999999999E-2</v>
      </c>
      <c r="E7261" s="3">
        <v>-1.0057319035151999</v>
      </c>
      <c r="F7261" s="3">
        <v>-1.0057319035151999</v>
      </c>
      <c r="G7261" s="3">
        <v>4.2530947000000001</v>
      </c>
      <c r="H7261" s="3">
        <v>18.5205811854592</v>
      </c>
      <c r="I7261" s="3">
        <v>4.345688</v>
      </c>
      <c r="J7261" s="3">
        <v>4.3456874000000001</v>
      </c>
      <c r="K7261" s="3">
        <v>4.2469215</v>
      </c>
      <c r="L7261" s="3">
        <v>18.5205811854592</v>
      </c>
    </row>
    <row r="7262" spans="1:12" ht="15" customHeight="1" x14ac:dyDescent="0.2">
      <c r="A7262" s="2">
        <v>35510</v>
      </c>
      <c r="B7262" s="3">
        <v>4.2963040000000001</v>
      </c>
      <c r="C7262" s="1">
        <v>358930.6</v>
      </c>
      <c r="D7262" s="3">
        <v>-0.17283999999999899</v>
      </c>
      <c r="E7262" s="3">
        <v>-3.86740727083306</v>
      </c>
      <c r="F7262" s="3">
        <v>-3.86740727083306</v>
      </c>
      <c r="G7262" s="3">
        <v>4.2963040000000001</v>
      </c>
      <c r="H7262" s="3">
        <v>19.724690595159501</v>
      </c>
      <c r="I7262" s="3">
        <v>4.4444537000000004</v>
      </c>
      <c r="J7262" s="3">
        <v>4.4444512999999999</v>
      </c>
      <c r="K7262" s="3">
        <v>4.2963040000000001</v>
      </c>
      <c r="L7262" s="3">
        <v>19.724690595159501</v>
      </c>
    </row>
    <row r="7263" spans="1:12" ht="15" customHeight="1" x14ac:dyDescent="0.2">
      <c r="A7263" s="2">
        <v>35509</v>
      </c>
      <c r="B7263" s="3">
        <v>4.469144</v>
      </c>
      <c r="C7263" s="1">
        <v>223762.05</v>
      </c>
      <c r="D7263" s="3">
        <v>2.4692700000000099E-2</v>
      </c>
      <c r="E7263" s="3">
        <v>0.555584893010308</v>
      </c>
      <c r="F7263" s="3">
        <v>0.555584893010308</v>
      </c>
      <c r="G7263" s="3">
        <v>4.469144</v>
      </c>
      <c r="H7263" s="3">
        <v>24.541206261292</v>
      </c>
      <c r="I7263" s="3">
        <v>4.4444537000000004</v>
      </c>
      <c r="J7263" s="3">
        <v>4.4938354</v>
      </c>
      <c r="K7263" s="3">
        <v>4.4197616999999996</v>
      </c>
      <c r="L7263" s="3">
        <v>24.541206261292</v>
      </c>
    </row>
    <row r="7264" spans="1:12" ht="15" customHeight="1" x14ac:dyDescent="0.2">
      <c r="A7264" s="2">
        <v>35508</v>
      </c>
      <c r="B7264" s="3">
        <v>4.4444512999999999</v>
      </c>
      <c r="C7264" s="1">
        <v>59231.14</v>
      </c>
      <c r="D7264" s="3">
        <v>-4.9384100000000097E-2</v>
      </c>
      <c r="E7264" s="3">
        <v>-1.0989298806983501</v>
      </c>
      <c r="F7264" s="3">
        <v>-1.0989298806983501</v>
      </c>
      <c r="G7264" s="3">
        <v>4.4444512999999999</v>
      </c>
      <c r="H7264" s="3">
        <v>23.853097163923799</v>
      </c>
      <c r="I7264" s="3">
        <v>4.4938364000000002</v>
      </c>
      <c r="J7264" s="3">
        <v>4.4938354</v>
      </c>
      <c r="K7264" s="3">
        <v>4.4444512999999999</v>
      </c>
      <c r="L7264" s="3">
        <v>23.853097163923799</v>
      </c>
    </row>
    <row r="7265" spans="1:12" ht="15" customHeight="1" x14ac:dyDescent="0.2">
      <c r="A7265" s="2">
        <v>35507</v>
      </c>
      <c r="B7265" s="3">
        <v>4.4938354</v>
      </c>
      <c r="C7265" s="1">
        <v>117956.03</v>
      </c>
      <c r="D7265" s="3">
        <v>-2.16051000000003E-2</v>
      </c>
      <c r="E7265" s="3">
        <v>-0.47847159097767999</v>
      </c>
      <c r="F7265" s="3">
        <v>-0.47847159097767999</v>
      </c>
      <c r="G7265" s="3">
        <v>4.4938354</v>
      </c>
      <c r="H7265" s="3">
        <v>25.2292791316851</v>
      </c>
      <c r="I7265" s="3">
        <v>4.5185275000000003</v>
      </c>
      <c r="J7265" s="3">
        <v>4.5432186000000003</v>
      </c>
      <c r="K7265" s="3">
        <v>4.469144</v>
      </c>
      <c r="L7265" s="3">
        <v>25.2292791316851</v>
      </c>
    </row>
    <row r="7266" spans="1:12" ht="15" customHeight="1" x14ac:dyDescent="0.2">
      <c r="A7266" s="2">
        <v>35506</v>
      </c>
      <c r="B7266" s="3">
        <v>4.5154405000000004</v>
      </c>
      <c r="C7266" s="1">
        <v>487517.81999999902</v>
      </c>
      <c r="D7266" s="3">
        <v>2.16051000000003E-2</v>
      </c>
      <c r="E7266" s="3">
        <v>0.48077194816704599</v>
      </c>
      <c r="F7266" s="3">
        <v>0.48077194816704599</v>
      </c>
      <c r="G7266" s="3">
        <v>4.5154405000000004</v>
      </c>
      <c r="H7266" s="3">
        <v>25.831346376641999</v>
      </c>
      <c r="I7266" s="3">
        <v>4.4938364000000002</v>
      </c>
      <c r="J7266" s="3">
        <v>4.5679097000000004</v>
      </c>
      <c r="K7266" s="3">
        <v>4.4197616999999996</v>
      </c>
      <c r="L7266" s="3">
        <v>25.831346376641999</v>
      </c>
    </row>
    <row r="7267" spans="1:12" ht="15" customHeight="1" x14ac:dyDescent="0.2">
      <c r="A7267" s="2">
        <v>35503</v>
      </c>
      <c r="B7267" s="3">
        <v>4.4938354</v>
      </c>
      <c r="C7267" s="1">
        <v>154912.19</v>
      </c>
      <c r="D7267" s="3">
        <v>-4.9383200000000203E-2</v>
      </c>
      <c r="E7267" s="3">
        <v>-1.08696508682193</v>
      </c>
      <c r="F7267" s="3">
        <v>-1.08696508682193</v>
      </c>
      <c r="G7267" s="3">
        <v>4.4938354</v>
      </c>
      <c r="H7267" s="3">
        <v>25.2292791316851</v>
      </c>
      <c r="I7267" s="3">
        <v>4.5679109999999996</v>
      </c>
      <c r="J7267" s="3">
        <v>4.5802554999999998</v>
      </c>
      <c r="K7267" s="3">
        <v>4.4444512999999999</v>
      </c>
      <c r="L7267" s="3">
        <v>25.2292791316851</v>
      </c>
    </row>
    <row r="7268" spans="1:12" ht="15" customHeight="1" x14ac:dyDescent="0.2">
      <c r="A7268" s="2">
        <v>35502</v>
      </c>
      <c r="B7268" s="3">
        <v>4.5432186000000003</v>
      </c>
      <c r="C7268" s="1">
        <v>287549.46999999997</v>
      </c>
      <c r="D7268" s="3">
        <v>-0.172841099999999</v>
      </c>
      <c r="E7268" s="3">
        <v>-3.6649472439884301</v>
      </c>
      <c r="F7268" s="3">
        <v>-3.6649472439884301</v>
      </c>
      <c r="G7268" s="3">
        <v>4.5432186000000003</v>
      </c>
      <c r="H7268" s="3">
        <v>26.605436019232801</v>
      </c>
      <c r="I7268" s="3">
        <v>4.7407503000000002</v>
      </c>
      <c r="J7268" s="3">
        <v>4.7407500000000002</v>
      </c>
      <c r="K7268" s="3">
        <v>4.5432186000000003</v>
      </c>
      <c r="L7268" s="3">
        <v>26.605436019232801</v>
      </c>
    </row>
    <row r="7269" spans="1:12" ht="15" customHeight="1" x14ac:dyDescent="0.2">
      <c r="A7269" s="2">
        <v>35501</v>
      </c>
      <c r="B7269" s="3">
        <v>4.7160596999999997</v>
      </c>
      <c r="C7269" s="1">
        <v>1432178.5999999901</v>
      </c>
      <c r="D7269" s="3"/>
      <c r="E7269" s="3"/>
      <c r="F7269" s="3"/>
      <c r="G7269" s="3">
        <v>4.7160596999999997</v>
      </c>
      <c r="H7269" s="3">
        <v>31.421982338959499</v>
      </c>
      <c r="I7269" s="3">
        <v>4.6913676000000004</v>
      </c>
      <c r="J7269" s="3">
        <v>4.8642073000000003</v>
      </c>
      <c r="K7269" s="3">
        <v>4.6666759999999998</v>
      </c>
      <c r="L7269" s="3">
        <v>31.421982338959499</v>
      </c>
    </row>
    <row r="7270" spans="1:12" ht="15" customHeight="1" x14ac:dyDescent="0.2">
      <c r="A7270" s="2">
        <v>35500</v>
      </c>
      <c r="B7270" s="3">
        <v>4.7160596999999997</v>
      </c>
      <c r="C7270" s="1">
        <v>1462553.5</v>
      </c>
      <c r="D7270" s="3">
        <v>2.4692099999999301E-2</v>
      </c>
      <c r="E7270" s="3">
        <v>0.52633053099482296</v>
      </c>
      <c r="F7270" s="3">
        <v>0.52633053099482296</v>
      </c>
      <c r="G7270" s="3">
        <v>4.7160596999999997</v>
      </c>
      <c r="H7270" s="3">
        <v>31.421982338959499</v>
      </c>
      <c r="I7270" s="3">
        <v>4.7160596999999997</v>
      </c>
      <c r="J7270" s="3">
        <v>4.7407500000000002</v>
      </c>
      <c r="K7270" s="3">
        <v>4.5679097000000004</v>
      </c>
      <c r="L7270" s="3">
        <v>31.421982338959499</v>
      </c>
    </row>
    <row r="7271" spans="1:12" ht="15" customHeight="1" x14ac:dyDescent="0.2">
      <c r="A7271" s="2">
        <v>35499</v>
      </c>
      <c r="B7271" s="3">
        <v>4.6913676000000004</v>
      </c>
      <c r="C7271" s="1">
        <v>1687328</v>
      </c>
      <c r="D7271" s="3">
        <v>0.37037130000000001</v>
      </c>
      <c r="E7271" s="3">
        <v>8.5714329355014804</v>
      </c>
      <c r="F7271" s="3">
        <v>8.5714329355014804</v>
      </c>
      <c r="G7271" s="3">
        <v>4.6913676000000004</v>
      </c>
      <c r="H7271" s="3">
        <v>30.733889961733698</v>
      </c>
      <c r="I7271" s="3">
        <v>4.2963050000000003</v>
      </c>
      <c r="J7271" s="3">
        <v>4.6913676000000004</v>
      </c>
      <c r="K7271" s="3">
        <v>4.2963040000000001</v>
      </c>
      <c r="L7271" s="3">
        <v>30.733889961733698</v>
      </c>
    </row>
    <row r="7272" spans="1:12" ht="15" customHeight="1" x14ac:dyDescent="0.2">
      <c r="A7272" s="2">
        <v>35496</v>
      </c>
      <c r="B7272" s="3">
        <v>4.3209963</v>
      </c>
      <c r="C7272" s="1">
        <v>826198.5</v>
      </c>
      <c r="D7272" s="3">
        <v>0.19753229999999899</v>
      </c>
      <c r="E7272" s="3">
        <v>4.7904456059274203</v>
      </c>
      <c r="F7272" s="3">
        <v>4.7904456059274203</v>
      </c>
      <c r="G7272" s="3">
        <v>4.3209963</v>
      </c>
      <c r="H7272" s="3">
        <v>20.412788545766102</v>
      </c>
      <c r="I7272" s="3">
        <v>4.1481560000000002</v>
      </c>
      <c r="J7272" s="3">
        <v>4.3209963</v>
      </c>
      <c r="K7272" s="3">
        <v>4.1234640000000002</v>
      </c>
      <c r="L7272" s="3">
        <v>20.412788545766102</v>
      </c>
    </row>
    <row r="7273" spans="1:12" ht="15" customHeight="1" x14ac:dyDescent="0.2">
      <c r="A7273" s="2">
        <v>35495</v>
      </c>
      <c r="B7273" s="3">
        <v>4.1234640000000002</v>
      </c>
      <c r="C7273" s="1">
        <v>463217.86</v>
      </c>
      <c r="D7273" s="3">
        <v>-9.8765999999999396E-2</v>
      </c>
      <c r="E7273" s="3">
        <v>-2.3391904278070901</v>
      </c>
      <c r="F7273" s="3">
        <v>-2.3391904278070901</v>
      </c>
      <c r="G7273" s="3">
        <v>4.1234640000000002</v>
      </c>
      <c r="H7273" s="3">
        <v>14.9081749290271</v>
      </c>
      <c r="I7273" s="3">
        <v>4.2469229999999998</v>
      </c>
      <c r="J7273" s="3">
        <v>4.2469215</v>
      </c>
      <c r="K7273" s="3">
        <v>4.1234640000000002</v>
      </c>
      <c r="L7273" s="3">
        <v>14.9081749290271</v>
      </c>
    </row>
    <row r="7274" spans="1:12" ht="15" customHeight="1" x14ac:dyDescent="0.2">
      <c r="A7274" s="2">
        <v>35494</v>
      </c>
      <c r="B7274" s="3">
        <v>4.2222299999999997</v>
      </c>
      <c r="C7274" s="1">
        <v>547255.19999999995</v>
      </c>
      <c r="D7274" s="3">
        <v>-9.8766300000000307E-2</v>
      </c>
      <c r="E7274" s="3">
        <v>-2.2857297980097799</v>
      </c>
      <c r="F7274" s="3">
        <v>-2.2857297980097799</v>
      </c>
      <c r="G7274" s="3">
        <v>4.2222299999999997</v>
      </c>
      <c r="H7274" s="3">
        <v>17.660477557360998</v>
      </c>
      <c r="I7274" s="3">
        <v>4.2963050000000003</v>
      </c>
      <c r="J7274" s="3">
        <v>4.3209963</v>
      </c>
      <c r="K7274" s="3">
        <v>4.1481560000000002</v>
      </c>
      <c r="L7274" s="3">
        <v>17.660477557360998</v>
      </c>
    </row>
    <row r="7275" spans="1:12" ht="15" customHeight="1" x14ac:dyDescent="0.2">
      <c r="A7275" s="2">
        <v>35493</v>
      </c>
      <c r="B7275" s="3">
        <v>4.3209963</v>
      </c>
      <c r="C7275" s="1">
        <v>1268660</v>
      </c>
      <c r="D7275" s="3">
        <v>0.2469133</v>
      </c>
      <c r="E7275" s="3">
        <v>6.0605859036254301</v>
      </c>
      <c r="F7275" s="3">
        <v>6.0605859036254301</v>
      </c>
      <c r="G7275" s="3">
        <v>4.3209963</v>
      </c>
      <c r="H7275" s="3">
        <v>20.412788545766102</v>
      </c>
      <c r="I7275" s="3">
        <v>4.0987730000000004</v>
      </c>
      <c r="J7275" s="3">
        <v>4.3950696000000002</v>
      </c>
      <c r="K7275" s="3">
        <v>4.0740829999999999</v>
      </c>
      <c r="L7275" s="3">
        <v>20.412788545766102</v>
      </c>
    </row>
    <row r="7276" spans="1:12" ht="15" customHeight="1" x14ac:dyDescent="0.2">
      <c r="A7276" s="2">
        <v>35492</v>
      </c>
      <c r="B7276" s="3">
        <v>4.0740829999999999</v>
      </c>
      <c r="C7276" s="1">
        <v>1229172.5</v>
      </c>
      <c r="D7276" s="3">
        <v>-0.123457</v>
      </c>
      <c r="E7276" s="3">
        <v>-2.9411750692071998</v>
      </c>
      <c r="F7276" s="3">
        <v>-2.9411750692071998</v>
      </c>
      <c r="G7276" s="3">
        <v>4.0740829999999999</v>
      </c>
      <c r="H7276" s="3">
        <v>13.532079348667899</v>
      </c>
      <c r="I7276" s="3">
        <v>4.19754</v>
      </c>
      <c r="J7276" s="3">
        <v>4.2222299999999997</v>
      </c>
      <c r="K7276" s="3">
        <v>4.0246979999999999</v>
      </c>
      <c r="L7276" s="3">
        <v>13.532079348667899</v>
      </c>
    </row>
    <row r="7277" spans="1:12" ht="15" customHeight="1" x14ac:dyDescent="0.2">
      <c r="A7277" s="2">
        <v>35489</v>
      </c>
      <c r="B7277" s="3">
        <v>4.19754</v>
      </c>
      <c r="C7277" s="1">
        <v>463724.12</v>
      </c>
      <c r="D7277" s="3">
        <v>9.8766999999999605E-2</v>
      </c>
      <c r="E7277" s="3">
        <v>2.4096723580447001</v>
      </c>
      <c r="F7277" s="3">
        <v>2.4096723580447001</v>
      </c>
      <c r="G7277" s="3">
        <v>4.19754</v>
      </c>
      <c r="H7277" s="3">
        <v>16.972443700633399</v>
      </c>
      <c r="I7277" s="3">
        <v>4.1111196999999997</v>
      </c>
      <c r="J7277" s="3">
        <v>4.2469215</v>
      </c>
      <c r="K7277" s="3">
        <v>4.0493902999999998</v>
      </c>
      <c r="L7277" s="3">
        <v>16.972443700633399</v>
      </c>
    </row>
    <row r="7278" spans="1:12" ht="15" customHeight="1" x14ac:dyDescent="0.2">
      <c r="A7278" s="2">
        <v>35488</v>
      </c>
      <c r="B7278" s="3">
        <v>4.0987730000000004</v>
      </c>
      <c r="C7278" s="1">
        <v>437399.23</v>
      </c>
      <c r="D7278" s="3">
        <v>-0.111110999999999</v>
      </c>
      <c r="E7278" s="3">
        <v>-2.6392888735176401</v>
      </c>
      <c r="F7278" s="3">
        <v>-2.6392888735176401</v>
      </c>
      <c r="G7278" s="3">
        <v>4.0987730000000004</v>
      </c>
      <c r="H7278" s="3">
        <v>14.220113205395601</v>
      </c>
      <c r="I7278" s="3">
        <v>4.1728487000000003</v>
      </c>
      <c r="J7278" s="3">
        <v>4.19754</v>
      </c>
      <c r="K7278" s="3">
        <v>4.0987730000000004</v>
      </c>
      <c r="L7278" s="3">
        <v>14.220113205395601</v>
      </c>
    </row>
    <row r="7279" spans="1:12" ht="15" customHeight="1" x14ac:dyDescent="0.2">
      <c r="A7279" s="2">
        <v>35487</v>
      </c>
      <c r="B7279" s="3">
        <v>4.2098839999999997</v>
      </c>
      <c r="C7279" s="1">
        <v>581173.94999999995</v>
      </c>
      <c r="D7279" s="3">
        <v>-0.18518560000000001</v>
      </c>
      <c r="E7279" s="3">
        <v>-4.2134850378706199</v>
      </c>
      <c r="F7279" s="3">
        <v>-4.2134850378706199</v>
      </c>
      <c r="G7279" s="3">
        <v>4.2098839999999997</v>
      </c>
      <c r="H7279" s="3">
        <v>17.316432762093299</v>
      </c>
      <c r="I7279" s="3">
        <v>4.345688</v>
      </c>
      <c r="J7279" s="3">
        <v>4.3456874000000001</v>
      </c>
      <c r="K7279" s="3">
        <v>4.1728472999999999</v>
      </c>
      <c r="L7279" s="3">
        <v>17.316432762093299</v>
      </c>
    </row>
    <row r="7280" spans="1:12" ht="15" customHeight="1" x14ac:dyDescent="0.2">
      <c r="A7280" s="2">
        <v>35486</v>
      </c>
      <c r="B7280" s="3">
        <v>4.3950696000000002</v>
      </c>
      <c r="C7280" s="1">
        <v>560923.94999999995</v>
      </c>
      <c r="D7280" s="3">
        <v>-0.148149</v>
      </c>
      <c r="E7280" s="3">
        <v>-3.2608820539694001</v>
      </c>
      <c r="F7280" s="3">
        <v>-3.2608820539694001</v>
      </c>
      <c r="G7280" s="3">
        <v>4.3950696000000002</v>
      </c>
      <c r="H7280" s="3">
        <v>22.4769820767319</v>
      </c>
      <c r="I7280" s="3">
        <v>4.3950709999999997</v>
      </c>
      <c r="J7280" s="3">
        <v>4.5185275000000003</v>
      </c>
      <c r="K7280" s="3">
        <v>4.3950696000000002</v>
      </c>
      <c r="L7280" s="3">
        <v>22.4769820767319</v>
      </c>
    </row>
    <row r="7281" spans="1:12" ht="15" customHeight="1" x14ac:dyDescent="0.2">
      <c r="A7281" s="2">
        <v>35485</v>
      </c>
      <c r="B7281" s="3">
        <v>4.5432186000000003</v>
      </c>
      <c r="C7281" s="1">
        <v>1122860.3999999999</v>
      </c>
      <c r="D7281" s="3"/>
      <c r="E7281" s="3"/>
      <c r="F7281" s="3"/>
      <c r="G7281" s="3">
        <v>4.5432186000000003</v>
      </c>
      <c r="H7281" s="3">
        <v>26.605436019232801</v>
      </c>
      <c r="I7281" s="3">
        <v>4.5432189999999997</v>
      </c>
      <c r="J7281" s="3">
        <v>4.7160596999999997</v>
      </c>
      <c r="K7281" s="3">
        <v>4.469144</v>
      </c>
      <c r="L7281" s="3">
        <v>26.605436019232801</v>
      </c>
    </row>
    <row r="7282" spans="1:12" ht="15" customHeight="1" x14ac:dyDescent="0.2">
      <c r="A7282" s="2">
        <v>35482</v>
      </c>
      <c r="B7282" s="3">
        <v>4.5432186000000003</v>
      </c>
      <c r="C7282" s="1">
        <v>357918.1</v>
      </c>
      <c r="D7282" s="3">
        <v>-8.6419399999999494E-2</v>
      </c>
      <c r="E7282" s="3">
        <v>-1.86665566508654</v>
      </c>
      <c r="F7282" s="3">
        <v>-1.86665566508654</v>
      </c>
      <c r="G7282" s="3">
        <v>4.5432186000000003</v>
      </c>
      <c r="H7282" s="3">
        <v>26.605436019232801</v>
      </c>
      <c r="I7282" s="3">
        <v>4.5926023000000002</v>
      </c>
      <c r="J7282" s="3">
        <v>4.6419839999999999</v>
      </c>
      <c r="K7282" s="3">
        <v>4.5432186000000003</v>
      </c>
      <c r="L7282" s="3">
        <v>26.605436019232801</v>
      </c>
    </row>
    <row r="7283" spans="1:12" ht="15" customHeight="1" x14ac:dyDescent="0.2">
      <c r="A7283" s="2">
        <v>35481</v>
      </c>
      <c r="B7283" s="3">
        <v>4.6296379999999999</v>
      </c>
      <c r="C7283" s="1">
        <v>449549.1</v>
      </c>
      <c r="D7283" s="3">
        <v>-8.6421699999999796E-2</v>
      </c>
      <c r="E7283" s="3">
        <v>-1.83249800675763</v>
      </c>
      <c r="F7283" s="3">
        <v>-1.83249800675763</v>
      </c>
      <c r="G7283" s="3">
        <v>4.6296379999999999</v>
      </c>
      <c r="H7283" s="3">
        <v>29.013677132156701</v>
      </c>
      <c r="I7283" s="3">
        <v>4.641985</v>
      </c>
      <c r="J7283" s="3">
        <v>4.6666759999999998</v>
      </c>
      <c r="K7283" s="3">
        <v>4.5432186000000003</v>
      </c>
      <c r="L7283" s="3">
        <v>29.013677132156701</v>
      </c>
    </row>
    <row r="7284" spans="1:12" ht="15" customHeight="1" x14ac:dyDescent="0.2">
      <c r="A7284" s="2">
        <v>35480</v>
      </c>
      <c r="B7284" s="3">
        <v>4.7160596999999997</v>
      </c>
      <c r="C7284" s="1">
        <v>445499.08</v>
      </c>
      <c r="D7284" s="3">
        <v>-2.4690300000000401E-2</v>
      </c>
      <c r="E7284" s="3">
        <v>-0.52080999841798103</v>
      </c>
      <c r="F7284" s="3">
        <v>-0.52080999841798103</v>
      </c>
      <c r="G7284" s="3">
        <v>4.7160596999999997</v>
      </c>
      <c r="H7284" s="3">
        <v>31.421982338959499</v>
      </c>
      <c r="I7284" s="3">
        <v>4.7160596999999997</v>
      </c>
      <c r="J7284" s="3">
        <v>4.790133</v>
      </c>
      <c r="K7284" s="3">
        <v>4.6666759999999998</v>
      </c>
      <c r="L7284" s="3">
        <v>31.421982338959499</v>
      </c>
    </row>
    <row r="7285" spans="1:12" ht="15" customHeight="1" x14ac:dyDescent="0.2">
      <c r="A7285" s="2">
        <v>35479</v>
      </c>
      <c r="B7285" s="3">
        <v>4.7407500000000002</v>
      </c>
      <c r="C7285" s="1">
        <v>792786</v>
      </c>
      <c r="D7285" s="3">
        <v>4.9382399999999799E-2</v>
      </c>
      <c r="E7285" s="3">
        <v>1.0526226936469401</v>
      </c>
      <c r="F7285" s="3">
        <v>1.0526226936469401</v>
      </c>
      <c r="G7285" s="3">
        <v>4.7407500000000002</v>
      </c>
      <c r="H7285" s="3">
        <v>32.110024555758301</v>
      </c>
      <c r="I7285" s="3">
        <v>4.6666765000000003</v>
      </c>
      <c r="J7285" s="3">
        <v>4.765441</v>
      </c>
      <c r="K7285" s="3">
        <v>4.6172924000000002</v>
      </c>
      <c r="L7285" s="3">
        <v>32.110024555758301</v>
      </c>
    </row>
    <row r="7286" spans="1:12" ht="15" customHeight="1" x14ac:dyDescent="0.2">
      <c r="A7286" s="2">
        <v>35475</v>
      </c>
      <c r="B7286" s="3">
        <v>4.6913676000000004</v>
      </c>
      <c r="C7286" s="1">
        <v>918842</v>
      </c>
      <c r="D7286" s="3">
        <v>-0.123456</v>
      </c>
      <c r="E7286" s="3">
        <v>-2.5640814753836501</v>
      </c>
      <c r="F7286" s="3">
        <v>-2.5640814753836501</v>
      </c>
      <c r="G7286" s="3">
        <v>4.6913676000000004</v>
      </c>
      <c r="H7286" s="3">
        <v>30.733889961733698</v>
      </c>
      <c r="I7286" s="3">
        <v>4.790133</v>
      </c>
      <c r="J7286" s="3">
        <v>4.8395159999999997</v>
      </c>
      <c r="K7286" s="3">
        <v>4.6419839999999999</v>
      </c>
      <c r="L7286" s="3">
        <v>30.733889961733698</v>
      </c>
    </row>
    <row r="7287" spans="1:12" ht="15" customHeight="1" x14ac:dyDescent="0.2">
      <c r="A7287" s="2">
        <v>35474</v>
      </c>
      <c r="B7287" s="3">
        <v>4.8148236000000004</v>
      </c>
      <c r="C7287" s="1">
        <v>1830596.6</v>
      </c>
      <c r="D7287" s="3">
        <v>4.9382600000000297E-2</v>
      </c>
      <c r="E7287" s="3">
        <v>1.03626505920439</v>
      </c>
      <c r="F7287" s="3">
        <v>1.03626505920439</v>
      </c>
      <c r="G7287" s="3">
        <v>4.8148236000000004</v>
      </c>
      <c r="H7287" s="3">
        <v>34.174226446795302</v>
      </c>
      <c r="I7287" s="3">
        <v>4.7407503000000002</v>
      </c>
      <c r="J7287" s="3">
        <v>4.9629725999999996</v>
      </c>
      <c r="K7287" s="3">
        <v>4.7160596999999997</v>
      </c>
      <c r="L7287" s="3">
        <v>34.174226446795302</v>
      </c>
    </row>
    <row r="7288" spans="1:12" ht="15" customHeight="1" x14ac:dyDescent="0.2">
      <c r="A7288" s="2">
        <v>35473</v>
      </c>
      <c r="B7288" s="3">
        <v>4.765441</v>
      </c>
      <c r="C7288" s="1">
        <v>3283025.0999999898</v>
      </c>
      <c r="D7288" s="3">
        <v>0.24691349999999901</v>
      </c>
      <c r="E7288" s="3">
        <v>5.4644682366102604</v>
      </c>
      <c r="F7288" s="3">
        <v>5.4644682366102604</v>
      </c>
      <c r="G7288" s="3">
        <v>4.765441</v>
      </c>
      <c r="H7288" s="3">
        <v>32.7980862793898</v>
      </c>
      <c r="I7288" s="3">
        <v>4.4938364000000002</v>
      </c>
      <c r="J7288" s="3">
        <v>4.8888984000000004</v>
      </c>
      <c r="K7288" s="3">
        <v>4.4938354</v>
      </c>
      <c r="L7288" s="3">
        <v>32.7980862793898</v>
      </c>
    </row>
    <row r="7289" spans="1:12" ht="15" customHeight="1" x14ac:dyDescent="0.2">
      <c r="A7289" s="2">
        <v>35472</v>
      </c>
      <c r="B7289" s="3">
        <v>4.5185275000000003</v>
      </c>
      <c r="C7289" s="1">
        <v>1003385.5</v>
      </c>
      <c r="D7289" s="3">
        <v>2.4692100000000199E-2</v>
      </c>
      <c r="E7289" s="3">
        <v>0.54946605298449303</v>
      </c>
      <c r="F7289" s="3">
        <v>0.54946605298449303</v>
      </c>
      <c r="G7289" s="3">
        <v>4.5185275000000003</v>
      </c>
      <c r="H7289" s="3">
        <v>25.9173715089109</v>
      </c>
      <c r="I7289" s="3">
        <v>4.4938364000000002</v>
      </c>
      <c r="J7289" s="3">
        <v>4.5926023000000002</v>
      </c>
      <c r="K7289" s="3">
        <v>4.4197616999999996</v>
      </c>
      <c r="L7289" s="3">
        <v>25.9173715089109</v>
      </c>
    </row>
    <row r="7290" spans="1:12" ht="15" customHeight="1" x14ac:dyDescent="0.2">
      <c r="A7290" s="2">
        <v>35471</v>
      </c>
      <c r="B7290" s="3">
        <v>4.4938354</v>
      </c>
      <c r="C7290" s="1">
        <v>2807151</v>
      </c>
      <c r="D7290" s="3">
        <v>0.37037139999999902</v>
      </c>
      <c r="E7290" s="3">
        <v>8.9820451930706593</v>
      </c>
      <c r="F7290" s="3">
        <v>8.9820451930706593</v>
      </c>
      <c r="G7290" s="3">
        <v>4.4938354</v>
      </c>
      <c r="H7290" s="3">
        <v>25.2292791316851</v>
      </c>
      <c r="I7290" s="3">
        <v>4.1728487000000003</v>
      </c>
      <c r="J7290" s="3">
        <v>4.5926023000000002</v>
      </c>
      <c r="K7290" s="3">
        <v>4.1481560000000002</v>
      </c>
      <c r="L7290" s="3">
        <v>25.2292791316851</v>
      </c>
    </row>
    <row r="7291" spans="1:12" ht="15" customHeight="1" x14ac:dyDescent="0.2">
      <c r="A7291" s="2">
        <v>35468</v>
      </c>
      <c r="B7291" s="3">
        <v>4.1234640000000002</v>
      </c>
      <c r="C7291" s="1">
        <v>278436.98</v>
      </c>
      <c r="D7291" s="3"/>
      <c r="E7291" s="3"/>
      <c r="F7291" s="3"/>
      <c r="G7291" s="3">
        <v>4.1234640000000002</v>
      </c>
      <c r="H7291" s="3">
        <v>14.9081749290271</v>
      </c>
      <c r="I7291" s="3">
        <v>4.0740829999999999</v>
      </c>
      <c r="J7291" s="3">
        <v>4.1481560000000002</v>
      </c>
      <c r="K7291" s="3">
        <v>4.0740829999999999</v>
      </c>
      <c r="L7291" s="3">
        <v>14.9081749290271</v>
      </c>
    </row>
    <row r="7292" spans="1:12" ht="15" customHeight="1" x14ac:dyDescent="0.2">
      <c r="A7292" s="2">
        <v>35467</v>
      </c>
      <c r="B7292" s="3">
        <v>4.1234640000000002</v>
      </c>
      <c r="C7292" s="1">
        <v>247555.79</v>
      </c>
      <c r="D7292" s="3">
        <v>-4.9383299999999603E-2</v>
      </c>
      <c r="E7292" s="3">
        <v>-1.18344373636676</v>
      </c>
      <c r="F7292" s="3">
        <v>-1.18344373636676</v>
      </c>
      <c r="G7292" s="3">
        <v>4.1234640000000002</v>
      </c>
      <c r="H7292" s="3">
        <v>14.9081749290271</v>
      </c>
      <c r="I7292" s="3">
        <v>4.0987730000000004</v>
      </c>
      <c r="J7292" s="3">
        <v>4.1481560000000002</v>
      </c>
      <c r="K7292" s="3">
        <v>4.0493902999999998</v>
      </c>
      <c r="L7292" s="3">
        <v>14.9081749290271</v>
      </c>
    </row>
    <row r="7293" spans="1:12" ht="15" customHeight="1" x14ac:dyDescent="0.2">
      <c r="A7293" s="2">
        <v>35466</v>
      </c>
      <c r="B7293" s="3">
        <v>4.1728472999999999</v>
      </c>
      <c r="C7293" s="1">
        <v>131118.48000000001</v>
      </c>
      <c r="D7293" s="3">
        <v>6.17282999999995E-2</v>
      </c>
      <c r="E7293" s="3">
        <v>1.5014963079394901</v>
      </c>
      <c r="F7293" s="3">
        <v>1.5014963079394901</v>
      </c>
      <c r="G7293" s="3">
        <v>4.1728472999999999</v>
      </c>
      <c r="H7293" s="3">
        <v>16.284334603265201</v>
      </c>
      <c r="I7293" s="3">
        <v>4.1481560000000002</v>
      </c>
      <c r="J7293" s="3">
        <v>4.19754</v>
      </c>
      <c r="K7293" s="3">
        <v>4.0987730000000004</v>
      </c>
      <c r="L7293" s="3">
        <v>16.284334603265201</v>
      </c>
    </row>
    <row r="7294" spans="1:12" ht="15" customHeight="1" x14ac:dyDescent="0.2">
      <c r="A7294" s="2">
        <v>35465</v>
      </c>
      <c r="B7294" s="3">
        <v>4.1111190000000004</v>
      </c>
      <c r="C7294" s="1">
        <v>362980.56</v>
      </c>
      <c r="D7294" s="3">
        <v>-8.6420999999999595E-2</v>
      </c>
      <c r="E7294" s="3">
        <v>-2.0588487542703402</v>
      </c>
      <c r="F7294" s="3">
        <v>-2.0588487542703402</v>
      </c>
      <c r="G7294" s="3">
        <v>4.1111190000000004</v>
      </c>
      <c r="H7294" s="3">
        <v>14.5641580006633</v>
      </c>
      <c r="I7294" s="3">
        <v>4.2469229999999998</v>
      </c>
      <c r="J7294" s="3">
        <v>4.2469215</v>
      </c>
      <c r="K7294" s="3">
        <v>4.0987730000000004</v>
      </c>
      <c r="L7294" s="3">
        <v>14.5641580006633</v>
      </c>
    </row>
    <row r="7295" spans="1:12" ht="15" customHeight="1" x14ac:dyDescent="0.2">
      <c r="A7295" s="2">
        <v>35464</v>
      </c>
      <c r="B7295" s="3">
        <v>4.19754</v>
      </c>
      <c r="C7295" s="1">
        <v>3686505.6</v>
      </c>
      <c r="D7295" s="3">
        <v>-7.40736000000001E-2</v>
      </c>
      <c r="E7295" s="3">
        <v>-1.7340894316845601</v>
      </c>
      <c r="F7295" s="3">
        <v>-1.7340894316845601</v>
      </c>
      <c r="G7295" s="3">
        <v>4.19754</v>
      </c>
      <c r="H7295" s="3">
        <v>16.972443700633399</v>
      </c>
      <c r="I7295" s="3">
        <v>4.2469229999999998</v>
      </c>
      <c r="J7295" s="3">
        <v>4.3703785000000002</v>
      </c>
      <c r="K7295" s="3">
        <v>4.1728472999999999</v>
      </c>
      <c r="L7295" s="3">
        <v>16.972443700633399</v>
      </c>
    </row>
    <row r="7296" spans="1:12" ht="15" customHeight="1" x14ac:dyDescent="0.2">
      <c r="A7296" s="2">
        <v>35461</v>
      </c>
      <c r="B7296" s="3">
        <v>4.2716136000000002</v>
      </c>
      <c r="C7296" s="1">
        <v>224268.3</v>
      </c>
      <c r="D7296" s="3">
        <v>4.9383600000000499E-2</v>
      </c>
      <c r="E7296" s="3">
        <v>1.1696094244036901</v>
      </c>
      <c r="F7296" s="3">
        <v>1.1696094244036901</v>
      </c>
      <c r="G7296" s="3">
        <v>4.2716136000000002</v>
      </c>
      <c r="H7296" s="3">
        <v>19.0366455916703</v>
      </c>
      <c r="I7296" s="3">
        <v>4.2469229999999998</v>
      </c>
      <c r="J7296" s="3">
        <v>4.2963040000000001</v>
      </c>
      <c r="K7296" s="3">
        <v>4.2222299999999997</v>
      </c>
      <c r="L7296" s="3">
        <v>19.0366455916703</v>
      </c>
    </row>
    <row r="7297" spans="1:12" ht="15" customHeight="1" x14ac:dyDescent="0.2">
      <c r="A7297" s="2">
        <v>35460</v>
      </c>
      <c r="B7297" s="3">
        <v>4.2222299999999997</v>
      </c>
      <c r="C7297" s="1">
        <v>904666.929999999</v>
      </c>
      <c r="D7297" s="3">
        <v>0.123456999999999</v>
      </c>
      <c r="E7297" s="3">
        <v>3.0120477518515698</v>
      </c>
      <c r="F7297" s="3">
        <v>3.0120477518515698</v>
      </c>
      <c r="G7297" s="3">
        <v>4.2222299999999997</v>
      </c>
      <c r="H7297" s="3">
        <v>17.660477557360998</v>
      </c>
      <c r="I7297" s="3">
        <v>4.1481560000000002</v>
      </c>
      <c r="J7297" s="3">
        <v>4.2716136000000002</v>
      </c>
      <c r="K7297" s="3">
        <v>4.0987730000000004</v>
      </c>
      <c r="L7297" s="3">
        <v>17.660477557360998</v>
      </c>
    </row>
    <row r="7298" spans="1:12" ht="15" customHeight="1" x14ac:dyDescent="0.2">
      <c r="A7298" s="2">
        <v>35459</v>
      </c>
      <c r="B7298" s="3">
        <v>4.0987730000000004</v>
      </c>
      <c r="C7298" s="1">
        <v>1035279.2</v>
      </c>
      <c r="D7298" s="3">
        <v>-7.4074299999999399E-2</v>
      </c>
      <c r="E7298" s="3">
        <v>-1.77515002765615</v>
      </c>
      <c r="F7298" s="3">
        <v>-1.77515002765615</v>
      </c>
      <c r="G7298" s="3">
        <v>4.0987730000000004</v>
      </c>
      <c r="H7298" s="3">
        <v>14.220113205395601</v>
      </c>
      <c r="I7298" s="3">
        <v>4.1481560000000002</v>
      </c>
      <c r="J7298" s="3">
        <v>4.1728472999999999</v>
      </c>
      <c r="K7298" s="3">
        <v>4.0246979999999999</v>
      </c>
      <c r="L7298" s="3">
        <v>14.220113205395601</v>
      </c>
    </row>
    <row r="7299" spans="1:12" ht="15" customHeight="1" x14ac:dyDescent="0.2">
      <c r="A7299" s="2">
        <v>35458</v>
      </c>
      <c r="B7299" s="3">
        <v>4.1728472999999999</v>
      </c>
      <c r="C7299" s="1">
        <v>507261.5</v>
      </c>
      <c r="D7299" s="3">
        <v>2.4691299999999701E-2</v>
      </c>
      <c r="E7299" s="3">
        <v>0.595235569732666</v>
      </c>
      <c r="F7299" s="3">
        <v>0.595235569732666</v>
      </c>
      <c r="G7299" s="3">
        <v>4.1728472999999999</v>
      </c>
      <c r="H7299" s="3">
        <v>16.284334603265201</v>
      </c>
      <c r="I7299" s="3">
        <v>4.1481560000000002</v>
      </c>
      <c r="J7299" s="3">
        <v>4.19754</v>
      </c>
      <c r="K7299" s="3">
        <v>4.0987730000000004</v>
      </c>
      <c r="L7299" s="3">
        <v>16.284334603265201</v>
      </c>
    </row>
    <row r="7300" spans="1:12" ht="15" customHeight="1" x14ac:dyDescent="0.2">
      <c r="A7300" s="2">
        <v>35457</v>
      </c>
      <c r="B7300" s="3">
        <v>4.1481560000000002</v>
      </c>
      <c r="C7300" s="1">
        <v>849485.9</v>
      </c>
      <c r="D7300" s="3">
        <v>-7.4073999999999501E-2</v>
      </c>
      <c r="E7300" s="3">
        <v>-1.75438097877187</v>
      </c>
      <c r="F7300" s="3">
        <v>-1.75438097877187</v>
      </c>
      <c r="G7300" s="3">
        <v>4.1481560000000002</v>
      </c>
      <c r="H7300" s="3">
        <v>15.596264519562499</v>
      </c>
      <c r="I7300" s="3">
        <v>4.2469229999999998</v>
      </c>
      <c r="J7300" s="3">
        <v>4.2469215</v>
      </c>
      <c r="K7300" s="3">
        <v>4.0987730000000004</v>
      </c>
      <c r="L7300" s="3">
        <v>15.596264519562499</v>
      </c>
    </row>
    <row r="7301" spans="1:12" ht="15" customHeight="1" x14ac:dyDescent="0.2">
      <c r="A7301" s="2">
        <v>35454</v>
      </c>
      <c r="B7301" s="3">
        <v>4.2222299999999997</v>
      </c>
      <c r="C7301" s="1">
        <v>1003891.7</v>
      </c>
      <c r="D7301" s="3">
        <v>7.4073999999999501E-2</v>
      </c>
      <c r="E7301" s="3">
        <v>1.78570911990771</v>
      </c>
      <c r="F7301" s="3">
        <v>1.78570911990771</v>
      </c>
      <c r="G7301" s="3">
        <v>4.2222299999999997</v>
      </c>
      <c r="H7301" s="3">
        <v>17.660477557360998</v>
      </c>
      <c r="I7301" s="3">
        <v>4.1728487000000003</v>
      </c>
      <c r="J7301" s="3">
        <v>4.3209963</v>
      </c>
      <c r="K7301" s="3">
        <v>4.0740829999999999</v>
      </c>
      <c r="L7301" s="3">
        <v>17.660477557360998</v>
      </c>
    </row>
    <row r="7302" spans="1:12" ht="15" customHeight="1" x14ac:dyDescent="0.2">
      <c r="A7302" s="2">
        <v>35453</v>
      </c>
      <c r="B7302" s="3">
        <v>4.1481560000000002</v>
      </c>
      <c r="C7302" s="1">
        <v>1148679.1000000001</v>
      </c>
      <c r="D7302" s="3">
        <v>4.9382999999999698E-2</v>
      </c>
      <c r="E7302" s="3">
        <v>1.2048239802497001</v>
      </c>
      <c r="F7302" s="3">
        <v>1.2048239802497001</v>
      </c>
      <c r="G7302" s="3">
        <v>4.1481560000000002</v>
      </c>
      <c r="H7302" s="3">
        <v>15.596264519562499</v>
      </c>
      <c r="I7302" s="3">
        <v>4.0740829999999999</v>
      </c>
      <c r="J7302" s="3">
        <v>4.2716136000000002</v>
      </c>
      <c r="K7302" s="3">
        <v>4.0246979999999999</v>
      </c>
      <c r="L7302" s="3">
        <v>15.596264519562499</v>
      </c>
    </row>
    <row r="7303" spans="1:12" ht="15" customHeight="1" x14ac:dyDescent="0.2">
      <c r="A7303" s="2">
        <v>35452</v>
      </c>
      <c r="B7303" s="3">
        <v>4.0987730000000004</v>
      </c>
      <c r="C7303" s="1">
        <v>3335168.5</v>
      </c>
      <c r="D7303" s="3">
        <v>0.1728394</v>
      </c>
      <c r="E7303" s="3">
        <v>4.4025044132177804</v>
      </c>
      <c r="F7303" s="3">
        <v>4.4025044132177804</v>
      </c>
      <c r="G7303" s="3">
        <v>4.0987730000000004</v>
      </c>
      <c r="H7303" s="3">
        <v>14.220113205395601</v>
      </c>
      <c r="I7303" s="3">
        <v>3.6049457</v>
      </c>
      <c r="J7303" s="3">
        <v>4.2963040000000001</v>
      </c>
      <c r="K7303" s="3">
        <v>3.5555625000000002</v>
      </c>
      <c r="L7303" s="3">
        <v>14.220113205395601</v>
      </c>
    </row>
    <row r="7304" spans="1:12" ht="15" customHeight="1" x14ac:dyDescent="0.2">
      <c r="A7304" s="2">
        <v>35451</v>
      </c>
      <c r="B7304" s="3">
        <v>3.9259336</v>
      </c>
      <c r="C7304" s="1">
        <v>388292.97</v>
      </c>
      <c r="D7304" s="3">
        <v>9.8765600000000106E-2</v>
      </c>
      <c r="E7304" s="3">
        <v>2.5806444869940401</v>
      </c>
      <c r="F7304" s="3">
        <v>2.5806444869940401</v>
      </c>
      <c r="G7304" s="3">
        <v>3.9259336</v>
      </c>
      <c r="H7304" s="3">
        <v>9.4036142594055292</v>
      </c>
      <c r="I7304" s="3">
        <v>3.8271687000000001</v>
      </c>
      <c r="J7304" s="3">
        <v>4.0246979999999999</v>
      </c>
      <c r="K7304" s="3">
        <v>3.8271679999999999</v>
      </c>
      <c r="L7304" s="3">
        <v>9.4036142594055292</v>
      </c>
    </row>
    <row r="7305" spans="1:12" ht="15" customHeight="1" x14ac:dyDescent="0.2">
      <c r="A7305" s="2">
        <v>35450</v>
      </c>
      <c r="B7305" s="3">
        <v>3.8271679999999999</v>
      </c>
      <c r="C7305" s="1">
        <v>280968.23</v>
      </c>
      <c r="D7305" s="3"/>
      <c r="E7305" s="3"/>
      <c r="F7305" s="3"/>
      <c r="G7305" s="3">
        <v>3.8271679999999999</v>
      </c>
      <c r="H7305" s="3">
        <v>6.6513227778331601</v>
      </c>
      <c r="I7305" s="3">
        <v>3.8024770000000001</v>
      </c>
      <c r="J7305" s="3">
        <v>3.9259336</v>
      </c>
      <c r="K7305" s="3">
        <v>3.7530937</v>
      </c>
      <c r="L7305" s="3">
        <v>6.6513227778331601</v>
      </c>
    </row>
    <row r="7306" spans="1:12" ht="15" customHeight="1" x14ac:dyDescent="0.2">
      <c r="A7306" s="2">
        <v>35447</v>
      </c>
      <c r="B7306" s="3">
        <v>3.8271679999999999</v>
      </c>
      <c r="C7306" s="1">
        <v>284511.95999999897</v>
      </c>
      <c r="D7306" s="3">
        <v>7.4074299999999899E-2</v>
      </c>
      <c r="E7306" s="3">
        <v>1.97368640170108</v>
      </c>
      <c r="F7306" s="3">
        <v>1.97368640170108</v>
      </c>
      <c r="G7306" s="3">
        <v>3.8271679999999999</v>
      </c>
      <c r="H7306" s="3">
        <v>6.6513227778331601</v>
      </c>
      <c r="I7306" s="3">
        <v>3.8024770000000001</v>
      </c>
      <c r="J7306" s="3">
        <v>3.8271679999999999</v>
      </c>
      <c r="K7306" s="3">
        <v>3.7530937</v>
      </c>
      <c r="L7306" s="3">
        <v>6.6513227778331601</v>
      </c>
    </row>
    <row r="7307" spans="1:12" ht="15" customHeight="1" x14ac:dyDescent="0.2">
      <c r="A7307" s="2">
        <v>35446</v>
      </c>
      <c r="B7307" s="3">
        <v>3.7530937</v>
      </c>
      <c r="C7307" s="1">
        <v>322986.88</v>
      </c>
      <c r="D7307" s="3"/>
      <c r="E7307" s="3"/>
      <c r="F7307" s="3"/>
      <c r="G7307" s="3">
        <v>3.7530937</v>
      </c>
      <c r="H7307" s="3">
        <v>4.5871013799635003</v>
      </c>
      <c r="I7307" s="3">
        <v>3.7530939999999999</v>
      </c>
      <c r="J7307" s="3">
        <v>3.8518590000000001</v>
      </c>
      <c r="K7307" s="3">
        <v>3.6790191999999999</v>
      </c>
      <c r="L7307" s="3">
        <v>4.5871013799635003</v>
      </c>
    </row>
    <row r="7308" spans="1:12" ht="15" customHeight="1" x14ac:dyDescent="0.2">
      <c r="A7308" s="2">
        <v>35445</v>
      </c>
      <c r="B7308" s="3">
        <v>3.7530937</v>
      </c>
      <c r="C7308" s="1">
        <v>346274.35</v>
      </c>
      <c r="D7308" s="3">
        <v>2.4691999999999902E-2</v>
      </c>
      <c r="E7308" s="3">
        <v>0.66226769502868399</v>
      </c>
      <c r="F7308" s="3">
        <v>0.66226769502868399</v>
      </c>
      <c r="G7308" s="3">
        <v>3.7530937</v>
      </c>
      <c r="H7308" s="3">
        <v>4.5871013799635003</v>
      </c>
      <c r="I7308" s="3">
        <v>3.7284036</v>
      </c>
      <c r="J7308" s="3">
        <v>3.8024764000000002</v>
      </c>
      <c r="K7308" s="3">
        <v>3.7037113000000002</v>
      </c>
      <c r="L7308" s="3">
        <v>4.5871013799635003</v>
      </c>
    </row>
    <row r="7309" spans="1:12" ht="15" customHeight="1" x14ac:dyDescent="0.2">
      <c r="A7309" s="2">
        <v>35444</v>
      </c>
      <c r="B7309" s="3">
        <v>3.7284017</v>
      </c>
      <c r="C7309" s="1">
        <v>323493.13</v>
      </c>
      <c r="D7309" s="3">
        <v>-1.23462999999999E-2</v>
      </c>
      <c r="E7309" s="3">
        <v>-0.33004896346933099</v>
      </c>
      <c r="F7309" s="3">
        <v>-0.33004896346933099</v>
      </c>
      <c r="G7309" s="3">
        <v>3.7284017</v>
      </c>
      <c r="H7309" s="3">
        <v>3.89901178942808</v>
      </c>
      <c r="I7309" s="3">
        <v>3.7530939999999999</v>
      </c>
      <c r="J7309" s="3">
        <v>3.8024764000000002</v>
      </c>
      <c r="K7309" s="3">
        <v>3.7037113000000002</v>
      </c>
      <c r="L7309" s="3">
        <v>3.89901178942808</v>
      </c>
    </row>
    <row r="7310" spans="1:12" ht="15" customHeight="1" x14ac:dyDescent="0.2">
      <c r="A7310" s="2">
        <v>35443</v>
      </c>
      <c r="B7310" s="3">
        <v>3.740748</v>
      </c>
      <c r="C7310" s="1">
        <v>180730.91</v>
      </c>
      <c r="D7310" s="3">
        <v>6.17288E-2</v>
      </c>
      <c r="E7310" s="3">
        <v>1.6778602297047001</v>
      </c>
      <c r="F7310" s="3">
        <v>1.6778602297047001</v>
      </c>
      <c r="G7310" s="3">
        <v>3.740748</v>
      </c>
      <c r="H7310" s="3">
        <v>4.2430649447669504</v>
      </c>
      <c r="I7310" s="3">
        <v>3.6790197</v>
      </c>
      <c r="J7310" s="3">
        <v>3.7777848000000001</v>
      </c>
      <c r="K7310" s="3">
        <v>3.6543279000000002</v>
      </c>
      <c r="L7310" s="3">
        <v>4.2430649447669504</v>
      </c>
    </row>
    <row r="7311" spans="1:12" ht="15" customHeight="1" x14ac:dyDescent="0.2">
      <c r="A7311" s="2">
        <v>35440</v>
      </c>
      <c r="B7311" s="3">
        <v>3.6790191999999999</v>
      </c>
      <c r="C7311" s="1">
        <v>459674.13</v>
      </c>
      <c r="D7311" s="3">
        <v>-4.93825000000001E-2</v>
      </c>
      <c r="E7311" s="3">
        <v>-1.3244951583409099</v>
      </c>
      <c r="F7311" s="3">
        <v>-1.3244951583409099</v>
      </c>
      <c r="G7311" s="3">
        <v>3.6790191999999999</v>
      </c>
      <c r="H7311" s="3">
        <v>2.5228744087130499</v>
      </c>
      <c r="I7311" s="3">
        <v>3.6049457</v>
      </c>
      <c r="J7311" s="3">
        <v>3.7037113000000002</v>
      </c>
      <c r="K7311" s="3">
        <v>3.6049454000000001</v>
      </c>
      <c r="L7311" s="3">
        <v>2.5228744087130499</v>
      </c>
    </row>
    <row r="7312" spans="1:12" ht="15" customHeight="1" x14ac:dyDescent="0.2">
      <c r="A7312" s="2">
        <v>35439</v>
      </c>
      <c r="B7312" s="3">
        <v>3.7284017</v>
      </c>
      <c r="C7312" s="1">
        <v>43537.42</v>
      </c>
      <c r="D7312" s="3">
        <v>-9.8766299999999793E-2</v>
      </c>
      <c r="E7312" s="3">
        <v>-2.58066277728074</v>
      </c>
      <c r="F7312" s="3">
        <v>-2.58066277728074</v>
      </c>
      <c r="G7312" s="3">
        <v>3.7284017</v>
      </c>
      <c r="H7312" s="3">
        <v>3.89901178942808</v>
      </c>
      <c r="I7312" s="3">
        <v>3.8271687000000001</v>
      </c>
      <c r="J7312" s="3">
        <v>3.8271679999999999</v>
      </c>
      <c r="K7312" s="3">
        <v>3.7284017</v>
      </c>
      <c r="L7312" s="3">
        <v>3.89901178942808</v>
      </c>
    </row>
    <row r="7313" spans="1:12" ht="15" customHeight="1" x14ac:dyDescent="0.2">
      <c r="A7313" s="2">
        <v>35438</v>
      </c>
      <c r="B7313" s="3">
        <v>3.8271679999999999</v>
      </c>
      <c r="C7313" s="1">
        <v>416642.94</v>
      </c>
      <c r="D7313" s="3">
        <v>-4.9382700000000203E-2</v>
      </c>
      <c r="E7313" s="3">
        <v>-1.27388247495383</v>
      </c>
      <c r="F7313" s="3">
        <v>-1.27388247495383</v>
      </c>
      <c r="G7313" s="3">
        <v>3.8271679999999999</v>
      </c>
      <c r="H7313" s="3">
        <v>6.6513227778331601</v>
      </c>
      <c r="I7313" s="3">
        <v>3.9012424999999999</v>
      </c>
      <c r="J7313" s="3">
        <v>3.9012422999999998</v>
      </c>
      <c r="K7313" s="3">
        <v>3.7160573000000001</v>
      </c>
      <c r="L7313" s="3">
        <v>6.6513227778331601</v>
      </c>
    </row>
    <row r="7314" spans="1:12" ht="15" customHeight="1" x14ac:dyDescent="0.2">
      <c r="A7314" s="2">
        <v>35437</v>
      </c>
      <c r="B7314" s="3">
        <v>3.8765507000000001</v>
      </c>
      <c r="C7314" s="1">
        <v>667236.27</v>
      </c>
      <c r="D7314" s="3">
        <v>0.20987729999999999</v>
      </c>
      <c r="E7314" s="3">
        <v>5.7239158524454199</v>
      </c>
      <c r="F7314" s="3">
        <v>5.7239158524454199</v>
      </c>
      <c r="G7314" s="3">
        <v>3.8765507000000001</v>
      </c>
      <c r="H7314" s="3">
        <v>8.0274657319289595</v>
      </c>
      <c r="I7314" s="3">
        <v>3.7037113000000002</v>
      </c>
      <c r="J7314" s="3">
        <v>3.9012422999999998</v>
      </c>
      <c r="K7314" s="3">
        <v>3.6543279000000002</v>
      </c>
      <c r="L7314" s="3">
        <v>8.0274657319289595</v>
      </c>
    </row>
    <row r="7315" spans="1:12" ht="15" customHeight="1" x14ac:dyDescent="0.2">
      <c r="A7315" s="2">
        <v>35436</v>
      </c>
      <c r="B7315" s="3">
        <v>3.6666734000000001</v>
      </c>
      <c r="C7315" s="1">
        <v>274386.95999999897</v>
      </c>
      <c r="D7315" s="3">
        <v>-3.7037899999999999E-2</v>
      </c>
      <c r="E7315" s="3">
        <v>-1.00002124895641</v>
      </c>
      <c r="F7315" s="3">
        <v>-1.00002124895641</v>
      </c>
      <c r="G7315" s="3">
        <v>3.6666734000000001</v>
      </c>
      <c r="H7315" s="3">
        <v>2.17883518682613</v>
      </c>
      <c r="I7315" s="3">
        <v>3.7037113000000002</v>
      </c>
      <c r="J7315" s="3">
        <v>3.7037113000000002</v>
      </c>
      <c r="K7315" s="3">
        <v>3.6049454000000001</v>
      </c>
      <c r="L7315" s="3">
        <v>2.17883518682613</v>
      </c>
    </row>
    <row r="7316" spans="1:12" ht="15" customHeight="1" x14ac:dyDescent="0.2">
      <c r="A7316" s="2">
        <v>35433</v>
      </c>
      <c r="B7316" s="3">
        <v>3.7037113000000002</v>
      </c>
      <c r="C7316" s="1">
        <v>77962.34</v>
      </c>
      <c r="D7316" s="3">
        <v>2.4692100000000199E-2</v>
      </c>
      <c r="E7316" s="3">
        <v>0.67115985695318503</v>
      </c>
      <c r="F7316" s="3">
        <v>0.67115985695318503</v>
      </c>
      <c r="G7316" s="3">
        <v>3.7037113000000002</v>
      </c>
      <c r="H7316" s="3">
        <v>3.21096678593887</v>
      </c>
      <c r="I7316" s="3">
        <v>3.6049457</v>
      </c>
      <c r="J7316" s="3">
        <v>3.7037113000000002</v>
      </c>
      <c r="K7316" s="3">
        <v>3.6049454000000001</v>
      </c>
      <c r="L7316" s="3">
        <v>3.21096678593887</v>
      </c>
    </row>
    <row r="7317" spans="1:12" ht="15" customHeight="1" x14ac:dyDescent="0.2">
      <c r="A7317" s="2">
        <v>35432</v>
      </c>
      <c r="B7317" s="3">
        <v>3.6790191999999999</v>
      </c>
      <c r="C7317" s="1">
        <v>733554.9</v>
      </c>
      <c r="D7317" s="3">
        <v>9.8765600000000106E-2</v>
      </c>
      <c r="E7317" s="3">
        <v>2.7586202273492502</v>
      </c>
      <c r="F7317" s="3">
        <v>2.7586202273492502</v>
      </c>
      <c r="G7317" s="3">
        <v>3.6790191999999999</v>
      </c>
      <c r="H7317" s="3">
        <v>2.5228744087130499</v>
      </c>
      <c r="I7317" s="3">
        <v>3.6049457</v>
      </c>
      <c r="J7317" s="3">
        <v>3.7037113000000002</v>
      </c>
      <c r="K7317" s="3">
        <v>3.5061795999999998</v>
      </c>
      <c r="L7317" s="3">
        <v>2.5228744087130499</v>
      </c>
    </row>
    <row r="7318" spans="1:12" ht="15" customHeight="1" x14ac:dyDescent="0.2">
      <c r="A7318" s="2">
        <v>35430</v>
      </c>
      <c r="B7318" s="3">
        <v>3.5802535999999998</v>
      </c>
      <c r="C7318" s="1">
        <v>553330.19999999995</v>
      </c>
      <c r="D7318" s="3">
        <v>-4.9382900000000299E-2</v>
      </c>
      <c r="E7318" s="3">
        <v>-1.3605467103937301</v>
      </c>
      <c r="F7318" s="3">
        <v>-1.3605467103937301</v>
      </c>
      <c r="G7318" s="3">
        <v>3.5802535999999998</v>
      </c>
      <c r="H7318" s="3">
        <v>-0.22941707285931201</v>
      </c>
      <c r="I7318" s="3">
        <v>3.5555629999999998</v>
      </c>
      <c r="J7318" s="3">
        <v>3.6296365000000002</v>
      </c>
      <c r="K7318" s="3">
        <v>3.4567966000000001</v>
      </c>
      <c r="L7318" s="3">
        <v>-0.22941707285931201</v>
      </c>
    </row>
    <row r="7319" spans="1:12" ht="15" customHeight="1" x14ac:dyDescent="0.2">
      <c r="A7319" s="2">
        <v>35429</v>
      </c>
      <c r="B7319" s="3">
        <v>3.6296365000000002</v>
      </c>
      <c r="C7319" s="1">
        <v>397911.74</v>
      </c>
      <c r="D7319" s="3">
        <v>-2.4691399999999999E-2</v>
      </c>
      <c r="E7319" s="3">
        <v>-0.67567554624751103</v>
      </c>
      <c r="F7319" s="3">
        <v>-0.67567554624751103</v>
      </c>
      <c r="G7319" s="3">
        <v>3.6296365000000002</v>
      </c>
      <c r="H7319" s="3">
        <v>1.14673145461726</v>
      </c>
      <c r="I7319" s="3">
        <v>3.5802535999999998</v>
      </c>
      <c r="J7319" s="3">
        <v>3.7037113000000002</v>
      </c>
      <c r="K7319" s="3">
        <v>3.5555625000000002</v>
      </c>
      <c r="L7319" s="3">
        <v>1.14673145461726</v>
      </c>
    </row>
    <row r="7320" spans="1:12" ht="15" customHeight="1" x14ac:dyDescent="0.2">
      <c r="A7320" s="2">
        <v>35426</v>
      </c>
      <c r="B7320" s="3">
        <v>3.6543279000000002</v>
      </c>
      <c r="C7320" s="1">
        <v>225280.79</v>
      </c>
      <c r="D7320" s="3">
        <v>-4.9383399999999897E-2</v>
      </c>
      <c r="E7320" s="3">
        <v>-1.33334906530107</v>
      </c>
      <c r="F7320" s="3">
        <v>-1.33334906530107</v>
      </c>
      <c r="G7320" s="3">
        <v>3.6543279000000002</v>
      </c>
      <c r="H7320" s="3">
        <v>1.8348043250103601</v>
      </c>
      <c r="I7320" s="3">
        <v>3.7037113000000002</v>
      </c>
      <c r="J7320" s="3">
        <v>3.7037113000000002</v>
      </c>
      <c r="K7320" s="3">
        <v>3.5555625000000002</v>
      </c>
      <c r="L7320" s="3">
        <v>1.8348043250103601</v>
      </c>
    </row>
    <row r="7321" spans="1:12" ht="15" customHeight="1" x14ac:dyDescent="0.2">
      <c r="A7321" s="2">
        <v>35425</v>
      </c>
      <c r="B7321" s="3">
        <v>3.7037113000000002</v>
      </c>
      <c r="C7321" s="1">
        <v>749248.54</v>
      </c>
      <c r="D7321" s="3">
        <v>2.4692100000000199E-2</v>
      </c>
      <c r="E7321" s="3">
        <v>0.67115985695318503</v>
      </c>
      <c r="F7321" s="3">
        <v>0.67115985695318503</v>
      </c>
      <c r="G7321" s="3">
        <v>3.7037113000000002</v>
      </c>
      <c r="H7321" s="3">
        <v>3.21096678593887</v>
      </c>
      <c r="I7321" s="3">
        <v>3.6790197</v>
      </c>
      <c r="J7321" s="3">
        <v>3.7037113000000002</v>
      </c>
      <c r="K7321" s="3">
        <v>3.5308712</v>
      </c>
      <c r="L7321" s="3">
        <v>3.21096678593887</v>
      </c>
    </row>
    <row r="7322" spans="1:12" ht="15" customHeight="1" x14ac:dyDescent="0.2">
      <c r="A7322" s="2">
        <v>35423</v>
      </c>
      <c r="B7322" s="3">
        <v>3.6790191999999999</v>
      </c>
      <c r="C7322" s="1">
        <v>103274.81</v>
      </c>
      <c r="D7322" s="3">
        <v>-2.4692100000000199E-2</v>
      </c>
      <c r="E7322" s="3">
        <v>-0.66668533262839103</v>
      </c>
      <c r="F7322" s="3">
        <v>-0.66668533262839103</v>
      </c>
      <c r="G7322" s="3">
        <v>3.6790191999999999</v>
      </c>
      <c r="H7322" s="3">
        <v>2.5228744087130499</v>
      </c>
      <c r="I7322" s="3">
        <v>3.654328</v>
      </c>
      <c r="J7322" s="3">
        <v>3.7037113000000002</v>
      </c>
      <c r="K7322" s="3">
        <v>3.6296365000000002</v>
      </c>
      <c r="L7322" s="3">
        <v>2.5228744087130499</v>
      </c>
    </row>
    <row r="7323" spans="1:12" ht="15" customHeight="1" x14ac:dyDescent="0.2">
      <c r="A7323" s="2">
        <v>35422</v>
      </c>
      <c r="B7323" s="3">
        <v>3.7037113000000002</v>
      </c>
      <c r="C7323" s="1">
        <v>114918.53</v>
      </c>
      <c r="D7323" s="3">
        <v>-9.8765099999999995E-2</v>
      </c>
      <c r="E7323" s="3">
        <v>-2.5973889016115899</v>
      </c>
      <c r="F7323" s="3">
        <v>-2.5973889016115899</v>
      </c>
      <c r="G7323" s="3">
        <v>3.7037113000000002</v>
      </c>
      <c r="H7323" s="3">
        <v>3.21096678593887</v>
      </c>
      <c r="I7323" s="3">
        <v>3.7284036</v>
      </c>
      <c r="J7323" s="3">
        <v>3.8024764000000002</v>
      </c>
      <c r="K7323" s="3">
        <v>3.6543279000000002</v>
      </c>
      <c r="L7323" s="3">
        <v>3.21096678593887</v>
      </c>
    </row>
    <row r="7324" spans="1:12" ht="15" customHeight="1" x14ac:dyDescent="0.2">
      <c r="A7324" s="2">
        <v>35419</v>
      </c>
      <c r="B7324" s="3">
        <v>3.8024764000000002</v>
      </c>
      <c r="C7324" s="1">
        <v>255655.75</v>
      </c>
      <c r="D7324" s="3"/>
      <c r="E7324" s="3"/>
      <c r="F7324" s="3"/>
      <c r="G7324" s="3">
        <v>3.8024764000000002</v>
      </c>
      <c r="H7324" s="3">
        <v>5.9632443340592998</v>
      </c>
      <c r="I7324" s="3">
        <v>3.8024770000000001</v>
      </c>
      <c r="J7324" s="3">
        <v>3.8024764000000002</v>
      </c>
      <c r="K7324" s="3">
        <v>3.7284017</v>
      </c>
      <c r="L7324" s="3">
        <v>5.9632443340592998</v>
      </c>
    </row>
    <row r="7325" spans="1:12" ht="15" customHeight="1" x14ac:dyDescent="0.2">
      <c r="A7325" s="2">
        <v>35418</v>
      </c>
      <c r="B7325" s="3">
        <v>3.8024764000000002</v>
      </c>
      <c r="C7325" s="1">
        <v>864167.2</v>
      </c>
      <c r="D7325" s="3">
        <v>0.17283989999999999</v>
      </c>
      <c r="E7325" s="3">
        <v>4.7619065986359699</v>
      </c>
      <c r="F7325" s="3">
        <v>4.7619065986359699</v>
      </c>
      <c r="G7325" s="3">
        <v>3.8024764000000002</v>
      </c>
      <c r="H7325" s="3">
        <v>5.9632443340592998</v>
      </c>
      <c r="I7325" s="3">
        <v>3.6790197</v>
      </c>
      <c r="J7325" s="3">
        <v>3.8518590000000001</v>
      </c>
      <c r="K7325" s="3">
        <v>3.6296365000000002</v>
      </c>
      <c r="L7325" s="3">
        <v>5.9632443340592998</v>
      </c>
    </row>
    <row r="7326" spans="1:12" ht="15" customHeight="1" x14ac:dyDescent="0.2">
      <c r="A7326" s="2">
        <v>35417</v>
      </c>
      <c r="B7326" s="3">
        <v>3.6296365000000002</v>
      </c>
      <c r="C7326" s="1">
        <v>298180.7</v>
      </c>
      <c r="D7326" s="3">
        <v>7.4073999999999904E-2</v>
      </c>
      <c r="E7326" s="3">
        <v>2.0833271810015899</v>
      </c>
      <c r="F7326" s="3">
        <v>2.0833271810015899</v>
      </c>
      <c r="G7326" s="3">
        <v>3.6296365000000002</v>
      </c>
      <c r="H7326" s="3">
        <v>1.14673145461726</v>
      </c>
      <c r="I7326" s="3">
        <v>3.7037113000000002</v>
      </c>
      <c r="J7326" s="3">
        <v>3.7530937</v>
      </c>
      <c r="K7326" s="3">
        <v>3.6296365000000002</v>
      </c>
      <c r="L7326" s="3">
        <v>1.14673145461726</v>
      </c>
    </row>
    <row r="7327" spans="1:12" ht="15" customHeight="1" x14ac:dyDescent="0.2">
      <c r="A7327" s="2">
        <v>35416</v>
      </c>
      <c r="B7327" s="3">
        <v>3.5555625000000002</v>
      </c>
      <c r="C7327" s="1">
        <v>272868.23</v>
      </c>
      <c r="D7327" s="3">
        <v>-9.8765400000000003E-2</v>
      </c>
      <c r="E7327" s="3">
        <v>-2.7026967120273899</v>
      </c>
      <c r="F7327" s="3">
        <v>-2.7026967120273899</v>
      </c>
      <c r="G7327" s="3">
        <v>3.5555625000000002</v>
      </c>
      <c r="H7327" s="3">
        <v>-0.91748158318123096</v>
      </c>
      <c r="I7327" s="3">
        <v>3.6296374999999999</v>
      </c>
      <c r="J7327" s="3">
        <v>3.6543279000000002</v>
      </c>
      <c r="K7327" s="3">
        <v>3.5308712</v>
      </c>
      <c r="L7327" s="3">
        <v>-0.91748158318123096</v>
      </c>
    </row>
    <row r="7328" spans="1:12" ht="15" customHeight="1" x14ac:dyDescent="0.2">
      <c r="A7328" s="2">
        <v>35415</v>
      </c>
      <c r="B7328" s="3">
        <v>3.6543279000000002</v>
      </c>
      <c r="C7328" s="1">
        <v>710773.7</v>
      </c>
      <c r="D7328" s="3">
        <v>-1.2345499999999799E-2</v>
      </c>
      <c r="E7328" s="3">
        <v>-0.33669483625129398</v>
      </c>
      <c r="F7328" s="3">
        <v>-0.33669483625129398</v>
      </c>
      <c r="G7328" s="3">
        <v>3.6543279000000002</v>
      </c>
      <c r="H7328" s="3">
        <v>1.8348043250103601</v>
      </c>
      <c r="I7328" s="3">
        <v>3.7037113000000002</v>
      </c>
      <c r="J7328" s="3">
        <v>3.7037113000000002</v>
      </c>
      <c r="K7328" s="3">
        <v>3.4567966000000001</v>
      </c>
      <c r="L7328" s="3">
        <v>1.8348043250103601</v>
      </c>
    </row>
    <row r="7329" spans="1:12" ht="15" customHeight="1" x14ac:dyDescent="0.2">
      <c r="A7329" s="2">
        <v>35412</v>
      </c>
      <c r="B7329" s="3">
        <v>3.6666734000000001</v>
      </c>
      <c r="C7329" s="1">
        <v>276411.96000000002</v>
      </c>
      <c r="D7329" s="3">
        <v>-3.7037899999999999E-2</v>
      </c>
      <c r="E7329" s="3">
        <v>-1.00002124895641</v>
      </c>
      <c r="F7329" s="3">
        <v>-1.00002124895641</v>
      </c>
      <c r="G7329" s="3">
        <v>3.6666734000000001</v>
      </c>
      <c r="H7329" s="3">
        <v>2.17883518682613</v>
      </c>
      <c r="I7329" s="3">
        <v>3.5802535999999998</v>
      </c>
      <c r="J7329" s="3">
        <v>3.8024764000000002</v>
      </c>
      <c r="K7329" s="3">
        <v>3.5802535999999998</v>
      </c>
      <c r="L7329" s="3">
        <v>2.17883518682613</v>
      </c>
    </row>
    <row r="7330" spans="1:12" ht="15" customHeight="1" x14ac:dyDescent="0.2">
      <c r="A7330" s="2">
        <v>35411</v>
      </c>
      <c r="B7330" s="3">
        <v>3.7037113000000002</v>
      </c>
      <c r="C7330" s="1">
        <v>473342.86</v>
      </c>
      <c r="D7330" s="3">
        <v>-9.8765099999999995E-2</v>
      </c>
      <c r="E7330" s="3">
        <v>-2.5973889016115899</v>
      </c>
      <c r="F7330" s="3">
        <v>-2.5973889016115899</v>
      </c>
      <c r="G7330" s="3">
        <v>3.7037113000000002</v>
      </c>
      <c r="H7330" s="3">
        <v>3.21096678593887</v>
      </c>
      <c r="I7330" s="3">
        <v>3.7530939999999999</v>
      </c>
      <c r="J7330" s="3">
        <v>3.8518590000000001</v>
      </c>
      <c r="K7330" s="3">
        <v>3.6049454000000001</v>
      </c>
      <c r="L7330" s="3">
        <v>3.21096678593887</v>
      </c>
    </row>
    <row r="7331" spans="1:12" ht="15" customHeight="1" x14ac:dyDescent="0.2">
      <c r="A7331" s="2">
        <v>35410</v>
      </c>
      <c r="B7331" s="3">
        <v>3.8024764000000002</v>
      </c>
      <c r="C7331" s="1">
        <v>816073.5</v>
      </c>
      <c r="D7331" s="3">
        <v>-0.22222159999999899</v>
      </c>
      <c r="E7331" s="3">
        <v>-5.52144782043273</v>
      </c>
      <c r="F7331" s="3">
        <v>-5.52144782043273</v>
      </c>
      <c r="G7331" s="3">
        <v>3.8024764000000002</v>
      </c>
      <c r="H7331" s="3">
        <v>5.9632443340592998</v>
      </c>
      <c r="I7331" s="3">
        <v>3.8518599999999998</v>
      </c>
      <c r="J7331" s="3">
        <v>3.9506247000000001</v>
      </c>
      <c r="K7331" s="3">
        <v>3.6790191999999999</v>
      </c>
      <c r="L7331" s="3">
        <v>5.9632443340592998</v>
      </c>
    </row>
    <row r="7332" spans="1:12" ht="15" customHeight="1" x14ac:dyDescent="0.2">
      <c r="A7332" s="2">
        <v>35409</v>
      </c>
      <c r="B7332" s="3">
        <v>4.0246979999999999</v>
      </c>
      <c r="C7332" s="1">
        <v>343743.13</v>
      </c>
      <c r="D7332" s="3">
        <v>-2.4692299999999799E-2</v>
      </c>
      <c r="E7332" s="3">
        <v>-0.609778217723289</v>
      </c>
      <c r="F7332" s="3">
        <v>-0.609778217723289</v>
      </c>
      <c r="G7332" s="3">
        <v>4.0246979999999999</v>
      </c>
      <c r="H7332" s="3">
        <v>12.155872300693201</v>
      </c>
      <c r="I7332" s="3">
        <v>4.0987730000000004</v>
      </c>
      <c r="J7332" s="3">
        <v>4.0987730000000004</v>
      </c>
      <c r="K7332" s="3">
        <v>4.0246979999999999</v>
      </c>
      <c r="L7332" s="3">
        <v>12.155872300693201</v>
      </c>
    </row>
    <row r="7333" spans="1:12" ht="15" customHeight="1" x14ac:dyDescent="0.2">
      <c r="A7333" s="2">
        <v>35408</v>
      </c>
      <c r="B7333" s="3">
        <v>4.0493902999999998</v>
      </c>
      <c r="C7333" s="1">
        <v>542698.9</v>
      </c>
      <c r="D7333" s="3">
        <v>-0.19753119999999999</v>
      </c>
      <c r="E7333" s="3">
        <v>-4.6511620240685003</v>
      </c>
      <c r="F7333" s="3">
        <v>-4.6511620240685003</v>
      </c>
      <c r="G7333" s="3">
        <v>4.0493902999999998</v>
      </c>
      <c r="H7333" s="3">
        <v>12.843970251299799</v>
      </c>
      <c r="I7333" s="3">
        <v>4.19754</v>
      </c>
      <c r="J7333" s="3">
        <v>4.2469215</v>
      </c>
      <c r="K7333" s="3">
        <v>3.9506247000000001</v>
      </c>
      <c r="L7333" s="3">
        <v>12.843970251299799</v>
      </c>
    </row>
    <row r="7334" spans="1:12" ht="15" customHeight="1" x14ac:dyDescent="0.2">
      <c r="A7334" s="2">
        <v>35405</v>
      </c>
      <c r="B7334" s="3">
        <v>4.2469215</v>
      </c>
      <c r="C7334" s="1">
        <v>542192.69999999995</v>
      </c>
      <c r="D7334" s="3">
        <v>-9.8765900000000004E-2</v>
      </c>
      <c r="E7334" s="3">
        <v>-2.2727336531385101</v>
      </c>
      <c r="F7334" s="3">
        <v>-2.2727336531385101</v>
      </c>
      <c r="G7334" s="3">
        <v>4.2469215</v>
      </c>
      <c r="H7334" s="3">
        <v>18.3485532144445</v>
      </c>
      <c r="I7334" s="3">
        <v>4.2716139999999996</v>
      </c>
      <c r="J7334" s="3">
        <v>4.3456874000000001</v>
      </c>
      <c r="K7334" s="3">
        <v>4.1481560000000002</v>
      </c>
      <c r="L7334" s="3">
        <v>18.3485532144445</v>
      </c>
    </row>
    <row r="7335" spans="1:12" ht="15" customHeight="1" x14ac:dyDescent="0.2">
      <c r="A7335" s="2">
        <v>35404</v>
      </c>
      <c r="B7335" s="3">
        <v>4.3456874000000001</v>
      </c>
      <c r="C7335" s="1">
        <v>404493</v>
      </c>
      <c r="D7335" s="3">
        <v>9.8765900000000004E-2</v>
      </c>
      <c r="E7335" s="3">
        <v>2.3255880759745602</v>
      </c>
      <c r="F7335" s="3">
        <v>2.3255880759745602</v>
      </c>
      <c r="G7335" s="3">
        <v>4.3456874000000001</v>
      </c>
      <c r="H7335" s="3">
        <v>21.100853056088098</v>
      </c>
      <c r="I7335" s="3">
        <v>4.2963050000000003</v>
      </c>
      <c r="J7335" s="3">
        <v>4.3950696000000002</v>
      </c>
      <c r="K7335" s="3">
        <v>4.19754</v>
      </c>
      <c r="L7335" s="3">
        <v>21.100853056088098</v>
      </c>
    </row>
    <row r="7336" spans="1:12" ht="15" customHeight="1" x14ac:dyDescent="0.2">
      <c r="A7336" s="2">
        <v>35403</v>
      </c>
      <c r="B7336" s="3">
        <v>4.2469215</v>
      </c>
      <c r="C7336" s="1">
        <v>408036.74</v>
      </c>
      <c r="D7336" s="3">
        <v>2.46915000000003E-2</v>
      </c>
      <c r="E7336" s="3">
        <v>0.58479760695178096</v>
      </c>
      <c r="F7336" s="3">
        <v>0.58479760695178096</v>
      </c>
      <c r="G7336" s="3">
        <v>4.2469215</v>
      </c>
      <c r="H7336" s="3">
        <v>18.3485532144445</v>
      </c>
      <c r="I7336" s="3">
        <v>4.2222303999999999</v>
      </c>
      <c r="J7336" s="3">
        <v>4.3456874000000001</v>
      </c>
      <c r="K7336" s="3">
        <v>4.1481560000000002</v>
      </c>
      <c r="L7336" s="3">
        <v>18.3485532144445</v>
      </c>
    </row>
    <row r="7337" spans="1:12" ht="15" customHeight="1" x14ac:dyDescent="0.2">
      <c r="A7337" s="2">
        <v>35402</v>
      </c>
      <c r="B7337" s="3">
        <v>4.2222299999999997</v>
      </c>
      <c r="C7337" s="1">
        <v>612561.299999999</v>
      </c>
      <c r="D7337" s="3">
        <v>4.9382699999999703E-2</v>
      </c>
      <c r="E7337" s="3">
        <v>1.18342935769539</v>
      </c>
      <c r="F7337" s="3">
        <v>1.18342935769539</v>
      </c>
      <c r="G7337" s="3">
        <v>4.2222299999999997</v>
      </c>
      <c r="H7337" s="3">
        <v>17.660477557360998</v>
      </c>
      <c r="I7337" s="3">
        <v>4.19754</v>
      </c>
      <c r="J7337" s="3">
        <v>4.3456874000000001</v>
      </c>
      <c r="K7337" s="3">
        <v>4.1481560000000002</v>
      </c>
      <c r="L7337" s="3">
        <v>17.660477557360998</v>
      </c>
    </row>
    <row r="7338" spans="1:12" ht="15" customHeight="1" x14ac:dyDescent="0.2">
      <c r="A7338" s="2">
        <v>35401</v>
      </c>
      <c r="B7338" s="3">
        <v>4.1728472999999999</v>
      </c>
      <c r="C7338" s="1">
        <v>710773.7</v>
      </c>
      <c r="D7338" s="3">
        <v>0.17283969999999901</v>
      </c>
      <c r="E7338" s="3">
        <v>4.3209842901298297</v>
      </c>
      <c r="F7338" s="3">
        <v>4.3209842901298297</v>
      </c>
      <c r="G7338" s="3">
        <v>4.1728472999999999</v>
      </c>
      <c r="H7338" s="3">
        <v>16.284334603265201</v>
      </c>
      <c r="I7338" s="3">
        <v>3.9506252000000002</v>
      </c>
      <c r="J7338" s="3">
        <v>4.19754</v>
      </c>
      <c r="K7338" s="3">
        <v>3.9506247000000001</v>
      </c>
      <c r="L7338" s="3">
        <v>16.284334603265201</v>
      </c>
    </row>
    <row r="7339" spans="1:12" ht="15" customHeight="1" x14ac:dyDescent="0.2">
      <c r="A7339" s="2">
        <v>35398</v>
      </c>
      <c r="B7339" s="3">
        <v>4.0000076</v>
      </c>
      <c r="C7339" s="1">
        <v>160480.94</v>
      </c>
      <c r="D7339" s="3">
        <v>9.8765300000000097E-2</v>
      </c>
      <c r="E7339" s="3">
        <v>2.5316371659355799</v>
      </c>
      <c r="F7339" s="3">
        <v>2.5316371659355799</v>
      </c>
      <c r="G7339" s="3">
        <v>4.0000076</v>
      </c>
      <c r="H7339" s="3">
        <v>11.467827297204</v>
      </c>
      <c r="I7339" s="3">
        <v>3.9506252000000002</v>
      </c>
      <c r="J7339" s="3">
        <v>4.0246979999999999</v>
      </c>
      <c r="K7339" s="3">
        <v>3.8518590000000001</v>
      </c>
      <c r="L7339" s="3">
        <v>11.467827297204</v>
      </c>
    </row>
    <row r="7340" spans="1:12" ht="15" customHeight="1" x14ac:dyDescent="0.2">
      <c r="A7340" s="2">
        <v>35396</v>
      </c>
      <c r="B7340" s="3">
        <v>3.9012422999999998</v>
      </c>
      <c r="C7340" s="1">
        <v>101249.81</v>
      </c>
      <c r="D7340" s="3">
        <v>-3.7037100000000003E-2</v>
      </c>
      <c r="E7340" s="3">
        <v>-0.94043860879956498</v>
      </c>
      <c r="F7340" s="3">
        <v>-0.94043860879956498</v>
      </c>
      <c r="G7340" s="3">
        <v>3.9012422999999998</v>
      </c>
      <c r="H7340" s="3">
        <v>8.7155441757028207</v>
      </c>
      <c r="I7340" s="3">
        <v>3.9012424999999999</v>
      </c>
      <c r="J7340" s="3">
        <v>3.9506247000000001</v>
      </c>
      <c r="K7340" s="3">
        <v>3.9012422999999998</v>
      </c>
      <c r="L7340" s="3">
        <v>8.7155441757028207</v>
      </c>
    </row>
    <row r="7341" spans="1:12" ht="15" customHeight="1" x14ac:dyDescent="0.2">
      <c r="A7341" s="2">
        <v>35395</v>
      </c>
      <c r="B7341" s="3">
        <v>3.9382793999999999</v>
      </c>
      <c r="C7341" s="1">
        <v>168074.69</v>
      </c>
      <c r="D7341" s="3">
        <v>8.6420399999999703E-2</v>
      </c>
      <c r="E7341" s="3">
        <v>2.2436023748532801</v>
      </c>
      <c r="F7341" s="3">
        <v>2.2436023748532801</v>
      </c>
      <c r="G7341" s="3">
        <v>3.9382793999999999</v>
      </c>
      <c r="H7341" s="3">
        <v>9.7476534812924598</v>
      </c>
      <c r="I7341" s="3">
        <v>3.8518599999999998</v>
      </c>
      <c r="J7341" s="3">
        <v>3.9506247000000001</v>
      </c>
      <c r="K7341" s="3">
        <v>3.8518590000000001</v>
      </c>
      <c r="L7341" s="3">
        <v>9.7476534812924598</v>
      </c>
    </row>
    <row r="7342" spans="1:12" ht="15" customHeight="1" x14ac:dyDescent="0.2">
      <c r="A7342" s="2">
        <v>35394</v>
      </c>
      <c r="B7342" s="3">
        <v>3.8518590000000001</v>
      </c>
      <c r="C7342" s="1">
        <v>117956.03</v>
      </c>
      <c r="D7342" s="3">
        <v>-0.123456999999999</v>
      </c>
      <c r="E7342" s="3">
        <v>-3.1055895933807398</v>
      </c>
      <c r="F7342" s="3">
        <v>-3.1055895933807398</v>
      </c>
      <c r="G7342" s="3">
        <v>3.8518590000000001</v>
      </c>
      <c r="H7342" s="3">
        <v>7.3393845014647097</v>
      </c>
      <c r="I7342" s="3">
        <v>4.0000086000000001</v>
      </c>
      <c r="J7342" s="3">
        <v>4.0000076</v>
      </c>
      <c r="K7342" s="3">
        <v>3.8518590000000001</v>
      </c>
      <c r="L7342" s="3">
        <v>7.3393845014647097</v>
      </c>
    </row>
    <row r="7343" spans="1:12" ht="15" customHeight="1" x14ac:dyDescent="0.2">
      <c r="A7343" s="2">
        <v>35391</v>
      </c>
      <c r="B7343" s="3">
        <v>3.9753159999999998</v>
      </c>
      <c r="C7343" s="1">
        <v>132130.97999999899</v>
      </c>
      <c r="D7343" s="3">
        <v>2.4691299999999701E-2</v>
      </c>
      <c r="E7343" s="3">
        <v>0.62499735801275702</v>
      </c>
      <c r="F7343" s="3">
        <v>0.62499735801275702</v>
      </c>
      <c r="G7343" s="3">
        <v>3.9753159999999998</v>
      </c>
      <c r="H7343" s="3">
        <v>10.7797488534301</v>
      </c>
      <c r="I7343" s="3">
        <v>3.9506252000000002</v>
      </c>
      <c r="J7343" s="3">
        <v>4.0000076</v>
      </c>
      <c r="K7343" s="3">
        <v>3.9012422999999998</v>
      </c>
      <c r="L7343" s="3">
        <v>10.7797488534301</v>
      </c>
    </row>
    <row r="7344" spans="1:12" ht="15" customHeight="1" x14ac:dyDescent="0.2">
      <c r="A7344" s="2">
        <v>35390</v>
      </c>
      <c r="B7344" s="3">
        <v>3.9506247000000001</v>
      </c>
      <c r="C7344" s="1">
        <v>153899.69</v>
      </c>
      <c r="D7344" s="3"/>
      <c r="E7344" s="3"/>
      <c r="F7344" s="3"/>
      <c r="G7344" s="3">
        <v>3.9506247000000001</v>
      </c>
      <c r="H7344" s="3">
        <v>10.0916787697274</v>
      </c>
      <c r="I7344" s="3">
        <v>3.9506252000000002</v>
      </c>
      <c r="J7344" s="3">
        <v>4.0000076</v>
      </c>
      <c r="K7344" s="3">
        <v>3.9012422999999998</v>
      </c>
      <c r="L7344" s="3">
        <v>10.0916787697274</v>
      </c>
    </row>
    <row r="7345" spans="1:12" ht="15" customHeight="1" x14ac:dyDescent="0.2">
      <c r="A7345" s="2">
        <v>35389</v>
      </c>
      <c r="B7345" s="3">
        <v>3.9506247000000001</v>
      </c>
      <c r="C7345" s="1">
        <v>128080.999999999</v>
      </c>
      <c r="D7345" s="3"/>
      <c r="E7345" s="3"/>
      <c r="F7345" s="3"/>
      <c r="G7345" s="3">
        <v>3.9506247000000001</v>
      </c>
      <c r="H7345" s="3">
        <v>10.0916787697274</v>
      </c>
      <c r="I7345" s="3">
        <v>4.0000086000000001</v>
      </c>
      <c r="J7345" s="3">
        <v>4.0000076</v>
      </c>
      <c r="K7345" s="3">
        <v>3.9506247000000001</v>
      </c>
      <c r="L7345" s="3">
        <v>10.0916787697274</v>
      </c>
    </row>
    <row r="7346" spans="1:12" ht="15" customHeight="1" x14ac:dyDescent="0.2">
      <c r="A7346" s="2">
        <v>35388</v>
      </c>
      <c r="B7346" s="3">
        <v>3.9506247000000001</v>
      </c>
      <c r="C7346" s="1">
        <v>182249.65</v>
      </c>
      <c r="D7346" s="3"/>
      <c r="E7346" s="3"/>
      <c r="F7346" s="3"/>
      <c r="G7346" s="3">
        <v>3.9506247000000001</v>
      </c>
      <c r="H7346" s="3">
        <v>10.0916787697274</v>
      </c>
      <c r="I7346" s="3">
        <v>3.8518599999999998</v>
      </c>
      <c r="J7346" s="3">
        <v>4.0000076</v>
      </c>
      <c r="K7346" s="3">
        <v>3.8518590000000001</v>
      </c>
      <c r="L7346" s="3">
        <v>10.0916787697274</v>
      </c>
    </row>
    <row r="7347" spans="1:12" ht="15" customHeight="1" x14ac:dyDescent="0.2">
      <c r="A7347" s="2">
        <v>35387</v>
      </c>
      <c r="B7347" s="3">
        <v>3.9506247000000001</v>
      </c>
      <c r="C7347" s="1">
        <v>216674.6</v>
      </c>
      <c r="D7347" s="3">
        <v>-9.8765599999999606E-2</v>
      </c>
      <c r="E7347" s="3">
        <v>-2.4390239686206399</v>
      </c>
      <c r="F7347" s="3">
        <v>-2.4390239686206399</v>
      </c>
      <c r="G7347" s="3">
        <v>3.9506247000000001</v>
      </c>
      <c r="H7347" s="3">
        <v>10.0916787697274</v>
      </c>
      <c r="I7347" s="3">
        <v>4.0493912999999999</v>
      </c>
      <c r="J7347" s="3">
        <v>4.0493902999999998</v>
      </c>
      <c r="K7347" s="3">
        <v>3.8518590000000001</v>
      </c>
      <c r="L7347" s="3">
        <v>10.0916787697274</v>
      </c>
    </row>
    <row r="7348" spans="1:12" ht="15" customHeight="1" x14ac:dyDescent="0.2">
      <c r="A7348" s="2">
        <v>35384</v>
      </c>
      <c r="B7348" s="3">
        <v>4.0493902999999998</v>
      </c>
      <c r="C7348" s="1">
        <v>424742.95</v>
      </c>
      <c r="D7348" s="3">
        <v>2.4692299999999799E-2</v>
      </c>
      <c r="E7348" s="3">
        <v>0.61351932492823502</v>
      </c>
      <c r="F7348" s="3">
        <v>0.61351932492823502</v>
      </c>
      <c r="G7348" s="3">
        <v>4.0493902999999998</v>
      </c>
      <c r="H7348" s="3">
        <v>12.843970251299799</v>
      </c>
      <c r="I7348" s="3">
        <v>3.9753167999999999</v>
      </c>
      <c r="J7348" s="3">
        <v>4.0987730000000004</v>
      </c>
      <c r="K7348" s="3">
        <v>3.9506247000000001</v>
      </c>
      <c r="L7348" s="3">
        <v>12.843970251299799</v>
      </c>
    </row>
    <row r="7349" spans="1:12" ht="15" customHeight="1" x14ac:dyDescent="0.2">
      <c r="A7349" s="2">
        <v>35383</v>
      </c>
      <c r="B7349" s="3">
        <v>4.0246979999999999</v>
      </c>
      <c r="C7349" s="1">
        <v>666223.75</v>
      </c>
      <c r="D7349" s="3">
        <v>0.14814729999999901</v>
      </c>
      <c r="E7349" s="3">
        <v>3.8216267879586701</v>
      </c>
      <c r="F7349" s="3">
        <v>3.8216267879586701</v>
      </c>
      <c r="G7349" s="3">
        <v>4.0246979999999999</v>
      </c>
      <c r="H7349" s="3">
        <v>12.155872300693201</v>
      </c>
      <c r="I7349" s="3">
        <v>3.9259339999999998</v>
      </c>
      <c r="J7349" s="3">
        <v>4.0987730000000004</v>
      </c>
      <c r="K7349" s="3">
        <v>3.8271679999999999</v>
      </c>
      <c r="L7349" s="3">
        <v>12.155872300693201</v>
      </c>
    </row>
    <row r="7350" spans="1:12" ht="15" customHeight="1" x14ac:dyDescent="0.2">
      <c r="A7350" s="2">
        <v>35382</v>
      </c>
      <c r="B7350" s="3">
        <v>3.8765507000000001</v>
      </c>
      <c r="C7350" s="1">
        <v>807973.5</v>
      </c>
      <c r="D7350" s="3">
        <v>0.123457</v>
      </c>
      <c r="E7350" s="3">
        <v>3.2894728953876098</v>
      </c>
      <c r="F7350" s="3">
        <v>3.2894728953876098</v>
      </c>
      <c r="G7350" s="3">
        <v>3.8765507000000001</v>
      </c>
      <c r="H7350" s="3">
        <v>8.0274657319289595</v>
      </c>
      <c r="I7350" s="3">
        <v>3.7530939999999999</v>
      </c>
      <c r="J7350" s="3">
        <v>3.9753159999999998</v>
      </c>
      <c r="K7350" s="3">
        <v>3.7530937</v>
      </c>
      <c r="L7350" s="3">
        <v>8.0274657319289595</v>
      </c>
    </row>
    <row r="7351" spans="1:12" ht="15" customHeight="1" x14ac:dyDescent="0.2">
      <c r="A7351" s="2">
        <v>35381</v>
      </c>
      <c r="B7351" s="3">
        <v>3.7530937</v>
      </c>
      <c r="C7351" s="1">
        <v>722417.36</v>
      </c>
      <c r="D7351" s="3">
        <v>0.345680499999999</v>
      </c>
      <c r="E7351" s="3">
        <v>10.1449539492304</v>
      </c>
      <c r="F7351" s="3">
        <v>10.1449539492304</v>
      </c>
      <c r="G7351" s="3">
        <v>3.7530937</v>
      </c>
      <c r="H7351" s="3">
        <v>4.5871013799635003</v>
      </c>
      <c r="I7351" s="3">
        <v>3.4567974000000001</v>
      </c>
      <c r="J7351" s="3">
        <v>3.7530937</v>
      </c>
      <c r="K7351" s="3">
        <v>3.4567966000000001</v>
      </c>
      <c r="L7351" s="3">
        <v>4.5871013799635003</v>
      </c>
    </row>
    <row r="7352" spans="1:12" ht="15" customHeight="1" x14ac:dyDescent="0.2">
      <c r="A7352" s="2">
        <v>35380</v>
      </c>
      <c r="B7352" s="3">
        <v>3.4074132000000001</v>
      </c>
      <c r="C7352" s="1">
        <v>263249.48</v>
      </c>
      <c r="D7352" s="3">
        <v>-9.8766399999999699E-2</v>
      </c>
      <c r="E7352" s="3">
        <v>-2.8169235825797299</v>
      </c>
      <c r="F7352" s="3">
        <v>-2.8169235825797299</v>
      </c>
      <c r="G7352" s="3">
        <v>3.4074132000000001</v>
      </c>
      <c r="H7352" s="3">
        <v>-5.0459438857532701</v>
      </c>
      <c r="I7352" s="3">
        <v>3.4074141999999998</v>
      </c>
      <c r="J7352" s="3">
        <v>3.5555625000000002</v>
      </c>
      <c r="K7352" s="3">
        <v>3.4074132000000001</v>
      </c>
      <c r="L7352" s="3">
        <v>-5.0459438857532701</v>
      </c>
    </row>
    <row r="7353" spans="1:12" ht="15" customHeight="1" x14ac:dyDescent="0.2">
      <c r="A7353" s="2">
        <v>35377</v>
      </c>
      <c r="B7353" s="3">
        <v>3.5061795999999998</v>
      </c>
      <c r="C7353" s="1">
        <v>323493.13</v>
      </c>
      <c r="D7353" s="3"/>
      <c r="E7353" s="3"/>
      <c r="F7353" s="3"/>
      <c r="G7353" s="3">
        <v>3.5061795999999998</v>
      </c>
      <c r="H7353" s="3">
        <v>-2.2936301106578099</v>
      </c>
      <c r="I7353" s="3">
        <v>3.4567974000000001</v>
      </c>
      <c r="J7353" s="3">
        <v>3.5061795999999998</v>
      </c>
      <c r="K7353" s="3">
        <v>3.3827229000000001</v>
      </c>
      <c r="L7353" s="3">
        <v>-2.2936301106578099</v>
      </c>
    </row>
    <row r="7354" spans="1:12" ht="15" customHeight="1" x14ac:dyDescent="0.2">
      <c r="A7354" s="2">
        <v>35376</v>
      </c>
      <c r="B7354" s="3">
        <v>3.5061795999999998</v>
      </c>
      <c r="C7354" s="1">
        <v>295143.19999999902</v>
      </c>
      <c r="D7354" s="3">
        <v>1.23455999999997E-2</v>
      </c>
      <c r="E7354" s="3">
        <v>0.35335393725057701</v>
      </c>
      <c r="F7354" s="3">
        <v>0.35335393725057701</v>
      </c>
      <c r="G7354" s="3">
        <v>3.5061795999999998</v>
      </c>
      <c r="H7354" s="3">
        <v>-2.2936301106578099</v>
      </c>
      <c r="I7354" s="3">
        <v>3.5061805000000001</v>
      </c>
      <c r="J7354" s="3">
        <v>3.5061795999999998</v>
      </c>
      <c r="K7354" s="3">
        <v>3.4567966000000001</v>
      </c>
      <c r="L7354" s="3">
        <v>-2.2936301106578099</v>
      </c>
    </row>
    <row r="7355" spans="1:12" ht="15" customHeight="1" x14ac:dyDescent="0.2">
      <c r="A7355" s="2">
        <v>35375</v>
      </c>
      <c r="B7355" s="3">
        <v>3.4938340000000001</v>
      </c>
      <c r="C7355" s="1">
        <v>302230.68</v>
      </c>
      <c r="D7355" s="3">
        <v>-6.1728499999999999E-2</v>
      </c>
      <c r="E7355" s="3">
        <v>-1.7361106716588399</v>
      </c>
      <c r="F7355" s="3">
        <v>-1.7361106716588399</v>
      </c>
      <c r="G7355" s="3">
        <v>3.4938340000000001</v>
      </c>
      <c r="H7355" s="3">
        <v>-2.63766375916396</v>
      </c>
      <c r="I7355" s="3">
        <v>3.5802535999999998</v>
      </c>
      <c r="J7355" s="3">
        <v>3.5802535999999998</v>
      </c>
      <c r="K7355" s="3">
        <v>3.4567966000000001</v>
      </c>
      <c r="L7355" s="3">
        <v>-2.63766375916396</v>
      </c>
    </row>
    <row r="7356" spans="1:12" ht="15" customHeight="1" x14ac:dyDescent="0.2">
      <c r="A7356" s="2">
        <v>35374</v>
      </c>
      <c r="B7356" s="3">
        <v>3.5555625000000002</v>
      </c>
      <c r="C7356" s="1">
        <v>395380.43</v>
      </c>
      <c r="D7356" s="3"/>
      <c r="E7356" s="3"/>
      <c r="F7356" s="3"/>
      <c r="G7356" s="3">
        <v>3.5555625000000002</v>
      </c>
      <c r="H7356" s="3">
        <v>-0.91748158318123096</v>
      </c>
      <c r="I7356" s="3">
        <v>3.5802535999999998</v>
      </c>
      <c r="J7356" s="3">
        <v>3.5802535999999998</v>
      </c>
      <c r="K7356" s="3">
        <v>3.5308712</v>
      </c>
      <c r="L7356" s="3">
        <v>-0.91748158318123096</v>
      </c>
    </row>
    <row r="7357" spans="1:12" ht="15" customHeight="1" x14ac:dyDescent="0.2">
      <c r="A7357" s="2">
        <v>35373</v>
      </c>
      <c r="B7357" s="3">
        <v>3.5555625000000002</v>
      </c>
      <c r="C7357" s="1">
        <v>786710.9</v>
      </c>
      <c r="D7357" s="3">
        <v>4.9382900000000299E-2</v>
      </c>
      <c r="E7357" s="3">
        <v>1.4084532349683401</v>
      </c>
      <c r="F7357" s="3">
        <v>1.4084532349683401</v>
      </c>
      <c r="G7357" s="3">
        <v>3.5555625000000002</v>
      </c>
      <c r="H7357" s="3">
        <v>-0.91748158318123096</v>
      </c>
      <c r="I7357" s="3">
        <v>3.4567974000000001</v>
      </c>
      <c r="J7357" s="3">
        <v>3.5802535999999998</v>
      </c>
      <c r="K7357" s="3">
        <v>3.4567966000000001</v>
      </c>
      <c r="L7357" s="3">
        <v>-0.91748158318123096</v>
      </c>
    </row>
    <row r="7358" spans="1:12" ht="15" customHeight="1" x14ac:dyDescent="0.2">
      <c r="A7358" s="2">
        <v>35370</v>
      </c>
      <c r="B7358" s="3">
        <v>3.5061795999999998</v>
      </c>
      <c r="C7358" s="1">
        <v>1879702.8</v>
      </c>
      <c r="D7358" s="3">
        <v>-0.14814830000000001</v>
      </c>
      <c r="E7358" s="3">
        <v>-4.0540505410037202</v>
      </c>
      <c r="F7358" s="3">
        <v>-4.0540505410037202</v>
      </c>
      <c r="G7358" s="3">
        <v>3.5061795999999998</v>
      </c>
      <c r="H7358" s="3">
        <v>-2.2936301106578099</v>
      </c>
      <c r="I7358" s="3">
        <v>3.7530939999999999</v>
      </c>
      <c r="J7358" s="3">
        <v>3.7530937</v>
      </c>
      <c r="K7358" s="3">
        <v>3.4567966000000001</v>
      </c>
      <c r="L7358" s="3">
        <v>-2.2936301106578099</v>
      </c>
    </row>
    <row r="7359" spans="1:12" ht="15" customHeight="1" x14ac:dyDescent="0.2">
      <c r="A7359" s="2">
        <v>35369</v>
      </c>
      <c r="B7359" s="3">
        <v>3.6543279000000002</v>
      </c>
      <c r="C7359" s="1">
        <v>691029.9</v>
      </c>
      <c r="D7359" s="3">
        <v>0.14814830000000001</v>
      </c>
      <c r="E7359" s="3">
        <v>4.2253482964763096</v>
      </c>
      <c r="F7359" s="3">
        <v>4.2253482964763096</v>
      </c>
      <c r="G7359" s="3">
        <v>3.6543279000000002</v>
      </c>
      <c r="H7359" s="3">
        <v>1.8348043250103601</v>
      </c>
      <c r="I7359" s="3">
        <v>3.5061805000000001</v>
      </c>
      <c r="J7359" s="3">
        <v>3.6543279000000002</v>
      </c>
      <c r="K7359" s="3">
        <v>3.5061795999999998</v>
      </c>
      <c r="L7359" s="3">
        <v>1.8348043250103601</v>
      </c>
    </row>
    <row r="7360" spans="1:12" ht="15" customHeight="1" x14ac:dyDescent="0.2">
      <c r="A7360" s="2">
        <v>35368</v>
      </c>
      <c r="B7360" s="3">
        <v>3.5061795999999998</v>
      </c>
      <c r="C7360" s="1">
        <v>394367.95</v>
      </c>
      <c r="D7360" s="3"/>
      <c r="E7360" s="3"/>
      <c r="F7360" s="3"/>
      <c r="G7360" s="3">
        <v>3.5061795999999998</v>
      </c>
      <c r="H7360" s="3">
        <v>-2.2936301106578099</v>
      </c>
      <c r="I7360" s="3">
        <v>3.5061805000000001</v>
      </c>
      <c r="J7360" s="3">
        <v>3.5061795999999998</v>
      </c>
      <c r="K7360" s="3">
        <v>3.4567966000000001</v>
      </c>
      <c r="L7360" s="3">
        <v>-2.2936301106578099</v>
      </c>
    </row>
    <row r="7361" spans="1:12" ht="15" customHeight="1" x14ac:dyDescent="0.2">
      <c r="A7361" s="2">
        <v>35367</v>
      </c>
      <c r="B7361" s="3">
        <v>3.5061795999999998</v>
      </c>
      <c r="C7361" s="1">
        <v>786204.7</v>
      </c>
      <c r="D7361" s="3">
        <v>-9.8765800000000195E-2</v>
      </c>
      <c r="E7361" s="3">
        <v>-2.73973081534051</v>
      </c>
      <c r="F7361" s="3">
        <v>-2.73973081534051</v>
      </c>
      <c r="G7361" s="3">
        <v>3.5061795999999998</v>
      </c>
      <c r="H7361" s="3">
        <v>-2.2936301106578099</v>
      </c>
      <c r="I7361" s="3">
        <v>3.5555629999999998</v>
      </c>
      <c r="J7361" s="3">
        <v>3.6543279000000002</v>
      </c>
      <c r="K7361" s="3">
        <v>3.4567966000000001</v>
      </c>
      <c r="L7361" s="3">
        <v>-2.2936301106578099</v>
      </c>
    </row>
    <row r="7362" spans="1:12" ht="15" customHeight="1" x14ac:dyDescent="0.2">
      <c r="A7362" s="2">
        <v>35366</v>
      </c>
      <c r="B7362" s="3">
        <v>3.6049454000000001</v>
      </c>
      <c r="C7362" s="1">
        <v>497136.57</v>
      </c>
      <c r="D7362" s="3">
        <v>-0.19753100000000001</v>
      </c>
      <c r="E7362" s="3">
        <v>-5.1947988421440296</v>
      </c>
      <c r="F7362" s="3">
        <v>-5.1947988421440296</v>
      </c>
      <c r="G7362" s="3">
        <v>3.6049454000000001</v>
      </c>
      <c r="H7362" s="3">
        <v>0.458666944295338</v>
      </c>
      <c r="I7362" s="3">
        <v>3.8271687000000001</v>
      </c>
      <c r="J7362" s="3">
        <v>3.8271679999999999</v>
      </c>
      <c r="K7362" s="3">
        <v>3.5555625000000002</v>
      </c>
      <c r="L7362" s="3">
        <v>0.458666944295338</v>
      </c>
    </row>
    <row r="7363" spans="1:12" ht="15" customHeight="1" x14ac:dyDescent="0.2">
      <c r="A7363" s="2">
        <v>35363</v>
      </c>
      <c r="B7363" s="3">
        <v>3.8024764000000002</v>
      </c>
      <c r="C7363" s="1">
        <v>733554.9</v>
      </c>
      <c r="D7363" s="3">
        <v>-0.14814829999999901</v>
      </c>
      <c r="E7363" s="3">
        <v>-3.7499968043028602</v>
      </c>
      <c r="F7363" s="3">
        <v>-3.7499968043028602</v>
      </c>
      <c r="G7363" s="3">
        <v>3.8024764000000002</v>
      </c>
      <c r="H7363" s="3">
        <v>5.9632443340592998</v>
      </c>
      <c r="I7363" s="3">
        <v>3.9506252000000002</v>
      </c>
      <c r="J7363" s="3">
        <v>3.9506247000000001</v>
      </c>
      <c r="K7363" s="3">
        <v>3.7777848000000001</v>
      </c>
      <c r="L7363" s="3">
        <v>5.9632443340592998</v>
      </c>
    </row>
    <row r="7364" spans="1:12" ht="15" customHeight="1" x14ac:dyDescent="0.2">
      <c r="A7364" s="2">
        <v>35362</v>
      </c>
      <c r="B7364" s="3">
        <v>3.9506247000000001</v>
      </c>
      <c r="C7364" s="1">
        <v>107831.05499999999</v>
      </c>
      <c r="D7364" s="3"/>
      <c r="E7364" s="3"/>
      <c r="F7364" s="3"/>
      <c r="G7364" s="3">
        <v>3.9506247000000001</v>
      </c>
      <c r="H7364" s="3">
        <v>10.0916787697274</v>
      </c>
      <c r="I7364" s="3">
        <v>3.9506252000000002</v>
      </c>
      <c r="J7364" s="3">
        <v>3.9506247000000001</v>
      </c>
      <c r="K7364" s="3">
        <v>3.8518590000000001</v>
      </c>
      <c r="L7364" s="3">
        <v>10.0916787697274</v>
      </c>
    </row>
    <row r="7365" spans="1:12" ht="15" customHeight="1" x14ac:dyDescent="0.2">
      <c r="A7365" s="2">
        <v>35361</v>
      </c>
      <c r="B7365" s="3">
        <v>3.9506247000000001</v>
      </c>
      <c r="C7365" s="1">
        <v>559911.43999999994</v>
      </c>
      <c r="D7365" s="3">
        <v>9.8765699999999901E-2</v>
      </c>
      <c r="E7365" s="3">
        <v>2.5641047608440499</v>
      </c>
      <c r="F7365" s="3">
        <v>2.5641047608440499</v>
      </c>
      <c r="G7365" s="3">
        <v>3.9506247000000001</v>
      </c>
      <c r="H7365" s="3">
        <v>10.0916787697274</v>
      </c>
      <c r="I7365" s="3">
        <v>3.7777854999999998</v>
      </c>
      <c r="J7365" s="3">
        <v>3.9506247000000001</v>
      </c>
      <c r="K7365" s="3">
        <v>3.7530937</v>
      </c>
      <c r="L7365" s="3">
        <v>10.0916787697274</v>
      </c>
    </row>
    <row r="7366" spans="1:12" ht="15" customHeight="1" x14ac:dyDescent="0.2">
      <c r="A7366" s="2">
        <v>35360</v>
      </c>
      <c r="B7366" s="3">
        <v>3.8518590000000001</v>
      </c>
      <c r="C7366" s="1">
        <v>441955.47</v>
      </c>
      <c r="D7366" s="3">
        <v>-0.123456999999999</v>
      </c>
      <c r="E7366" s="3">
        <v>-3.1055895933807398</v>
      </c>
      <c r="F7366" s="3">
        <v>-3.1055895933807398</v>
      </c>
      <c r="G7366" s="3">
        <v>3.8518590000000001</v>
      </c>
      <c r="H7366" s="3">
        <v>7.3393845014647097</v>
      </c>
      <c r="I7366" s="3">
        <v>4.0493912999999999</v>
      </c>
      <c r="J7366" s="3">
        <v>4.0493902999999998</v>
      </c>
      <c r="K7366" s="3">
        <v>3.8271679999999999</v>
      </c>
      <c r="L7366" s="3">
        <v>7.3393845014647097</v>
      </c>
    </row>
    <row r="7367" spans="1:12" ht="15" customHeight="1" x14ac:dyDescent="0.2">
      <c r="A7367" s="2">
        <v>35359</v>
      </c>
      <c r="B7367" s="3">
        <v>3.9753159999999998</v>
      </c>
      <c r="C7367" s="1">
        <v>227812.06</v>
      </c>
      <c r="D7367" s="3">
        <v>-7.4074299999999899E-2</v>
      </c>
      <c r="E7367" s="3">
        <v>-1.82927044597306</v>
      </c>
      <c r="F7367" s="3">
        <v>-1.82927044597306</v>
      </c>
      <c r="G7367" s="3">
        <v>3.9753159999999998</v>
      </c>
      <c r="H7367" s="3">
        <v>10.7797488534301</v>
      </c>
      <c r="I7367" s="3">
        <v>4.0987730000000004</v>
      </c>
      <c r="J7367" s="3">
        <v>4.0987730000000004</v>
      </c>
      <c r="K7367" s="3">
        <v>3.9506247000000001</v>
      </c>
      <c r="L7367" s="3">
        <v>10.7797488534301</v>
      </c>
    </row>
    <row r="7368" spans="1:12" ht="15" customHeight="1" x14ac:dyDescent="0.2">
      <c r="A7368" s="2">
        <v>35356</v>
      </c>
      <c r="B7368" s="3">
        <v>4.0493902999999998</v>
      </c>
      <c r="C7368" s="1">
        <v>224268.3</v>
      </c>
      <c r="D7368" s="3">
        <v>-2.4692700000000099E-2</v>
      </c>
      <c r="E7368" s="3">
        <v>-0.60609221756160403</v>
      </c>
      <c r="F7368" s="3">
        <v>-0.60609221756160403</v>
      </c>
      <c r="G7368" s="3">
        <v>4.0493902999999998</v>
      </c>
      <c r="H7368" s="3">
        <v>12.843970251299799</v>
      </c>
      <c r="I7368" s="3">
        <v>4.0987730000000004</v>
      </c>
      <c r="J7368" s="3">
        <v>4.0987730000000004</v>
      </c>
      <c r="K7368" s="3">
        <v>4.0493902999999998</v>
      </c>
      <c r="L7368" s="3">
        <v>12.843970251299799</v>
      </c>
    </row>
    <row r="7369" spans="1:12" ht="15" customHeight="1" x14ac:dyDescent="0.2">
      <c r="A7369" s="2">
        <v>35355</v>
      </c>
      <c r="B7369" s="3">
        <v>4.0740829999999999</v>
      </c>
      <c r="C7369" s="1">
        <v>1342572.5</v>
      </c>
      <c r="D7369" s="3">
        <v>0.14814939999999899</v>
      </c>
      <c r="E7369" s="3">
        <v>3.7736094161144198</v>
      </c>
      <c r="F7369" s="3">
        <v>3.7736094161144198</v>
      </c>
      <c r="G7369" s="3">
        <v>4.0740829999999999</v>
      </c>
      <c r="H7369" s="3">
        <v>13.532079348667899</v>
      </c>
      <c r="I7369" s="3">
        <v>3.9506252000000002</v>
      </c>
      <c r="J7369" s="3">
        <v>4.19754</v>
      </c>
      <c r="K7369" s="3">
        <v>3.8765507000000001</v>
      </c>
      <c r="L7369" s="3">
        <v>13.532079348667899</v>
      </c>
    </row>
    <row r="7370" spans="1:12" ht="15" customHeight="1" x14ac:dyDescent="0.2">
      <c r="A7370" s="2">
        <v>35354</v>
      </c>
      <c r="B7370" s="3">
        <v>3.9259336</v>
      </c>
      <c r="C7370" s="1">
        <v>1187154</v>
      </c>
      <c r="D7370" s="3">
        <v>-2.4691100000000001E-2</v>
      </c>
      <c r="E7370" s="3">
        <v>-0.62499229552227498</v>
      </c>
      <c r="F7370" s="3">
        <v>-0.62499229552227498</v>
      </c>
      <c r="G7370" s="3">
        <v>3.9259336</v>
      </c>
      <c r="H7370" s="3">
        <v>9.4036142594055292</v>
      </c>
      <c r="I7370" s="3">
        <v>4.0000086000000001</v>
      </c>
      <c r="J7370" s="3">
        <v>4.0000076</v>
      </c>
      <c r="K7370" s="3">
        <v>3.8518590000000001</v>
      </c>
      <c r="L7370" s="3">
        <v>9.4036142594055292</v>
      </c>
    </row>
    <row r="7371" spans="1:12" ht="15" customHeight="1" x14ac:dyDescent="0.2">
      <c r="A7371" s="2">
        <v>35353</v>
      </c>
      <c r="B7371" s="3">
        <v>3.9506247000000001</v>
      </c>
      <c r="C7371" s="1">
        <v>538648.9</v>
      </c>
      <c r="D7371" s="3">
        <v>-0.19753129999999999</v>
      </c>
      <c r="E7371" s="3">
        <v>-4.7619062542488804</v>
      </c>
      <c r="F7371" s="3">
        <v>-4.7619062542488804</v>
      </c>
      <c r="G7371" s="3">
        <v>3.9506247000000001</v>
      </c>
      <c r="H7371" s="3">
        <v>10.0916787697274</v>
      </c>
      <c r="I7371" s="3">
        <v>4.0493912999999999</v>
      </c>
      <c r="J7371" s="3">
        <v>4.1481560000000002</v>
      </c>
      <c r="K7371" s="3">
        <v>3.9506247000000001</v>
      </c>
      <c r="L7371" s="3">
        <v>10.0916787697274</v>
      </c>
    </row>
    <row r="7372" spans="1:12" ht="15" customHeight="1" x14ac:dyDescent="0.2">
      <c r="A7372" s="2">
        <v>35352</v>
      </c>
      <c r="B7372" s="3">
        <v>4.1481560000000002</v>
      </c>
      <c r="C7372" s="1">
        <v>709761.17</v>
      </c>
      <c r="D7372" s="3">
        <v>-0.1234576</v>
      </c>
      <c r="E7372" s="3">
        <v>-2.89018650937903</v>
      </c>
      <c r="F7372" s="3">
        <v>-2.89018650937903</v>
      </c>
      <c r="G7372" s="3">
        <v>4.1481560000000002</v>
      </c>
      <c r="H7372" s="3">
        <v>15.596264519562499</v>
      </c>
      <c r="I7372" s="3">
        <v>4.345688</v>
      </c>
      <c r="J7372" s="3">
        <v>4.3456874000000001</v>
      </c>
      <c r="K7372" s="3">
        <v>4.0493902999999998</v>
      </c>
      <c r="L7372" s="3">
        <v>15.596264519562499</v>
      </c>
    </row>
    <row r="7373" spans="1:12" ht="15" customHeight="1" x14ac:dyDescent="0.2">
      <c r="A7373" s="2">
        <v>35349</v>
      </c>
      <c r="B7373" s="3">
        <v>4.2716136000000002</v>
      </c>
      <c r="C7373" s="1">
        <v>272361.96999999997</v>
      </c>
      <c r="D7373" s="3">
        <v>-4.9382699999999703E-2</v>
      </c>
      <c r="E7373" s="3">
        <v>-1.14285448474</v>
      </c>
      <c r="F7373" s="3">
        <v>-1.14285448474</v>
      </c>
      <c r="G7373" s="3">
        <v>4.2716136000000002</v>
      </c>
      <c r="H7373" s="3">
        <v>19.0366455916703</v>
      </c>
      <c r="I7373" s="3">
        <v>4.3209963</v>
      </c>
      <c r="J7373" s="3">
        <v>4.3456874000000001</v>
      </c>
      <c r="K7373" s="3">
        <v>4.2469215</v>
      </c>
      <c r="L7373" s="3">
        <v>19.0366455916703</v>
      </c>
    </row>
    <row r="7374" spans="1:12" ht="15" customHeight="1" x14ac:dyDescent="0.2">
      <c r="A7374" s="2">
        <v>35348</v>
      </c>
      <c r="B7374" s="3">
        <v>4.3209963</v>
      </c>
      <c r="C7374" s="1">
        <v>453599.1</v>
      </c>
      <c r="D7374" s="3">
        <v>2.4692299999999799E-2</v>
      </c>
      <c r="E7374" s="3">
        <v>0.57473353840882202</v>
      </c>
      <c r="F7374" s="3">
        <v>0.57473353840882202</v>
      </c>
      <c r="G7374" s="3">
        <v>4.3209963</v>
      </c>
      <c r="H7374" s="3">
        <v>20.412788545766102</v>
      </c>
      <c r="I7374" s="3">
        <v>4.3950709999999997</v>
      </c>
      <c r="J7374" s="3">
        <v>4.3950696000000002</v>
      </c>
      <c r="K7374" s="3">
        <v>4.19754</v>
      </c>
      <c r="L7374" s="3">
        <v>20.412788545766102</v>
      </c>
    </row>
    <row r="7375" spans="1:12" ht="15" customHeight="1" x14ac:dyDescent="0.2">
      <c r="A7375" s="2">
        <v>35347</v>
      </c>
      <c r="B7375" s="3">
        <v>4.2963040000000001</v>
      </c>
      <c r="C7375" s="1">
        <v>264261.95999999897</v>
      </c>
      <c r="D7375" s="3"/>
      <c r="E7375" s="3"/>
      <c r="F7375" s="3"/>
      <c r="G7375" s="3">
        <v>4.2963040000000001</v>
      </c>
      <c r="H7375" s="3">
        <v>19.724690595159501</v>
      </c>
      <c r="I7375" s="3">
        <v>4.345688</v>
      </c>
      <c r="J7375" s="3">
        <v>4.4444512999999999</v>
      </c>
      <c r="K7375" s="3">
        <v>4.2963040000000001</v>
      </c>
      <c r="L7375" s="3">
        <v>19.724690595159501</v>
      </c>
    </row>
    <row r="7376" spans="1:12" ht="15" customHeight="1" x14ac:dyDescent="0.2">
      <c r="A7376" s="2">
        <v>35346</v>
      </c>
      <c r="B7376" s="3">
        <v>4.2963040000000001</v>
      </c>
      <c r="C7376" s="1">
        <v>668248.799999999</v>
      </c>
      <c r="D7376" s="3">
        <v>-9.8765600000000106E-2</v>
      </c>
      <c r="E7376" s="3">
        <v>-2.2471908067166901</v>
      </c>
      <c r="F7376" s="3">
        <v>-2.2471908067166901</v>
      </c>
      <c r="G7376" s="3">
        <v>4.2963040000000001</v>
      </c>
      <c r="H7376" s="3">
        <v>19.724690595159501</v>
      </c>
      <c r="I7376" s="3">
        <v>4.4444537000000004</v>
      </c>
      <c r="J7376" s="3">
        <v>4.4444512999999999</v>
      </c>
      <c r="K7376" s="3">
        <v>4.2963040000000001</v>
      </c>
      <c r="L7376" s="3">
        <v>19.724690595159501</v>
      </c>
    </row>
    <row r="7377" spans="1:12" ht="15" customHeight="1" x14ac:dyDescent="0.2">
      <c r="A7377" s="2">
        <v>35345</v>
      </c>
      <c r="B7377" s="3">
        <v>4.3950696000000002</v>
      </c>
      <c r="C7377" s="1">
        <v>432842.96</v>
      </c>
      <c r="D7377" s="3">
        <v>-0.24691439999999901</v>
      </c>
      <c r="E7377" s="3">
        <v>-5.3191566364726697</v>
      </c>
      <c r="F7377" s="3">
        <v>-5.3191566364726697</v>
      </c>
      <c r="G7377" s="3">
        <v>4.3950696000000002</v>
      </c>
      <c r="H7377" s="3">
        <v>22.4769820767319</v>
      </c>
      <c r="I7377" s="3">
        <v>4.5926023000000002</v>
      </c>
      <c r="J7377" s="3">
        <v>4.6913676000000004</v>
      </c>
      <c r="K7377" s="3">
        <v>4.3950696000000002</v>
      </c>
      <c r="L7377" s="3">
        <v>22.4769820767319</v>
      </c>
    </row>
    <row r="7378" spans="1:12" ht="15" customHeight="1" x14ac:dyDescent="0.2">
      <c r="A7378" s="2">
        <v>35342</v>
      </c>
      <c r="B7378" s="3">
        <v>4.6419839999999999</v>
      </c>
      <c r="C7378" s="1">
        <v>604967.65</v>
      </c>
      <c r="D7378" s="3">
        <v>-9.8766000000000298E-2</v>
      </c>
      <c r="E7378" s="3">
        <v>-2.0833412434741398</v>
      </c>
      <c r="F7378" s="3">
        <v>-2.0833412434741398</v>
      </c>
      <c r="G7378" s="3">
        <v>4.6419839999999999</v>
      </c>
      <c r="H7378" s="3">
        <v>29.3577219274244</v>
      </c>
      <c r="I7378" s="3">
        <v>4.790133</v>
      </c>
      <c r="J7378" s="3">
        <v>4.790133</v>
      </c>
      <c r="K7378" s="3">
        <v>4.6419839999999999</v>
      </c>
      <c r="L7378" s="3">
        <v>29.3577219274244</v>
      </c>
    </row>
    <row r="7379" spans="1:12" ht="15" customHeight="1" x14ac:dyDescent="0.2">
      <c r="A7379" s="2">
        <v>35341</v>
      </c>
      <c r="B7379" s="3">
        <v>4.7407500000000002</v>
      </c>
      <c r="C7379" s="1">
        <v>823161</v>
      </c>
      <c r="D7379" s="3">
        <v>-4.9382999999999698E-2</v>
      </c>
      <c r="E7379" s="3">
        <v>-1.03093170899429</v>
      </c>
      <c r="F7379" s="3">
        <v>-1.03093170899429</v>
      </c>
      <c r="G7379" s="3">
        <v>4.7407500000000002</v>
      </c>
      <c r="H7379" s="3">
        <v>32.110024555758301</v>
      </c>
      <c r="I7379" s="3">
        <v>4.790133</v>
      </c>
      <c r="J7379" s="3">
        <v>4.790133</v>
      </c>
      <c r="K7379" s="3">
        <v>4.6419839999999999</v>
      </c>
      <c r="L7379" s="3">
        <v>32.110024555758301</v>
      </c>
    </row>
    <row r="7380" spans="1:12" ht="15" customHeight="1" x14ac:dyDescent="0.2">
      <c r="A7380" s="2">
        <v>35340</v>
      </c>
      <c r="B7380" s="3">
        <v>4.790133</v>
      </c>
      <c r="C7380" s="1">
        <v>1216010.29999999</v>
      </c>
      <c r="D7380" s="3">
        <v>0.37037130000000001</v>
      </c>
      <c r="E7380" s="3">
        <v>8.3798929702477007</v>
      </c>
      <c r="F7380" s="3">
        <v>8.3798929702477007</v>
      </c>
      <c r="G7380" s="3">
        <v>4.790133</v>
      </c>
      <c r="H7380" s="3">
        <v>33.486175869925297</v>
      </c>
      <c r="I7380" s="3">
        <v>4.345688</v>
      </c>
      <c r="J7380" s="3">
        <v>4.8395159999999997</v>
      </c>
      <c r="K7380" s="3">
        <v>4.2469215</v>
      </c>
      <c r="L7380" s="3">
        <v>33.486175869925297</v>
      </c>
    </row>
    <row r="7381" spans="1:12" ht="15" customHeight="1" x14ac:dyDescent="0.2">
      <c r="A7381" s="2">
        <v>35339</v>
      </c>
      <c r="B7381" s="3">
        <v>4.4197616999999996</v>
      </c>
      <c r="C7381" s="1">
        <v>1768834.4</v>
      </c>
      <c r="D7381" s="3">
        <v>-7.4073700000000395E-2</v>
      </c>
      <c r="E7381" s="3">
        <v>-1.64834030191671</v>
      </c>
      <c r="F7381" s="3">
        <v>-1.64834030191671</v>
      </c>
      <c r="G7381" s="3">
        <v>4.4197616999999996</v>
      </c>
      <c r="H7381" s="3">
        <v>23.1650744539577</v>
      </c>
      <c r="I7381" s="3">
        <v>4.5432189999999997</v>
      </c>
      <c r="J7381" s="3">
        <v>4.6419839999999999</v>
      </c>
      <c r="K7381" s="3">
        <v>4.1481560000000002</v>
      </c>
      <c r="L7381" s="3">
        <v>23.1650744539577</v>
      </c>
    </row>
    <row r="7382" spans="1:12" ht="15" customHeight="1" x14ac:dyDescent="0.2">
      <c r="A7382" s="2">
        <v>35338</v>
      </c>
      <c r="B7382" s="3">
        <v>4.4938354</v>
      </c>
      <c r="C7382" s="1">
        <v>813036</v>
      </c>
      <c r="D7382" s="3">
        <v>0.148147999999999</v>
      </c>
      <c r="E7382" s="3">
        <v>3.4090809200864198</v>
      </c>
      <c r="F7382" s="3">
        <v>3.4090809200864198</v>
      </c>
      <c r="G7382" s="3">
        <v>4.4938354</v>
      </c>
      <c r="H7382" s="3">
        <v>25.2292791316851</v>
      </c>
      <c r="I7382" s="3">
        <v>4.19754</v>
      </c>
      <c r="J7382" s="3">
        <v>4.6419839999999999</v>
      </c>
      <c r="K7382" s="3">
        <v>4.19754</v>
      </c>
      <c r="L7382" s="3">
        <v>25.2292791316851</v>
      </c>
    </row>
    <row r="7383" spans="1:12" ht="15" customHeight="1" x14ac:dyDescent="0.2">
      <c r="A7383" s="2">
        <v>35335</v>
      </c>
      <c r="B7383" s="3">
        <v>4.3456874000000001</v>
      </c>
      <c r="C7383" s="1">
        <v>1561271.9</v>
      </c>
      <c r="D7383" s="3">
        <v>-0.19753119999999999</v>
      </c>
      <c r="E7383" s="3">
        <v>-4.34782512996403</v>
      </c>
      <c r="F7383" s="3">
        <v>-4.34782512996403</v>
      </c>
      <c r="G7383" s="3">
        <v>4.3456874000000001</v>
      </c>
      <c r="H7383" s="3">
        <v>21.100853056088098</v>
      </c>
      <c r="I7383" s="3">
        <v>4.4938364000000002</v>
      </c>
      <c r="J7383" s="3">
        <v>4.4938354</v>
      </c>
      <c r="K7383" s="3">
        <v>4.19754</v>
      </c>
      <c r="L7383" s="3">
        <v>21.100853056088098</v>
      </c>
    </row>
    <row r="7384" spans="1:12" ht="15" customHeight="1" x14ac:dyDescent="0.2">
      <c r="A7384" s="2">
        <v>35334</v>
      </c>
      <c r="B7384" s="3">
        <v>4.5432186000000003</v>
      </c>
      <c r="C7384" s="1">
        <v>490555.3</v>
      </c>
      <c r="D7384" s="3">
        <v>-0.29629739999999899</v>
      </c>
      <c r="E7384" s="3">
        <v>-6.1224593533733396</v>
      </c>
      <c r="F7384" s="3">
        <v>-6.1224593533733396</v>
      </c>
      <c r="G7384" s="3">
        <v>4.5432186000000003</v>
      </c>
      <c r="H7384" s="3">
        <v>26.605436019232801</v>
      </c>
      <c r="I7384" s="3">
        <v>4.6913676000000004</v>
      </c>
      <c r="J7384" s="3">
        <v>4.790133</v>
      </c>
      <c r="K7384" s="3">
        <v>4.4938354</v>
      </c>
      <c r="L7384" s="3">
        <v>26.605436019232801</v>
      </c>
    </row>
    <row r="7385" spans="1:12" ht="15" customHeight="1" x14ac:dyDescent="0.2">
      <c r="A7385" s="2">
        <v>35333</v>
      </c>
      <c r="B7385" s="3">
        <v>4.8395159999999997</v>
      </c>
      <c r="C7385" s="1">
        <v>303243.2</v>
      </c>
      <c r="D7385" s="3">
        <v>-9.87650000000002E-2</v>
      </c>
      <c r="E7385" s="3">
        <v>-1.9999874450238799</v>
      </c>
      <c r="F7385" s="3">
        <v>-1.9999874450238799</v>
      </c>
      <c r="G7385" s="3">
        <v>4.8395159999999997</v>
      </c>
      <c r="H7385" s="3">
        <v>34.862327184092202</v>
      </c>
      <c r="I7385" s="3">
        <v>4.9876646999999998</v>
      </c>
      <c r="J7385" s="3">
        <v>4.9876636999999997</v>
      </c>
      <c r="K7385" s="3">
        <v>4.790133</v>
      </c>
      <c r="L7385" s="3">
        <v>34.862327184092202</v>
      </c>
    </row>
    <row r="7386" spans="1:12" ht="15" customHeight="1" x14ac:dyDescent="0.2">
      <c r="A7386" s="2">
        <v>35332</v>
      </c>
      <c r="B7386" s="3">
        <v>4.9382809999999999</v>
      </c>
      <c r="C7386" s="1">
        <v>319949.37</v>
      </c>
      <c r="D7386" s="3"/>
      <c r="E7386" s="3"/>
      <c r="F7386" s="3"/>
      <c r="G7386" s="3">
        <v>4.9382809999999999</v>
      </c>
      <c r="H7386" s="3">
        <v>37.614601945522303</v>
      </c>
      <c r="I7386" s="3">
        <v>4.9382809999999999</v>
      </c>
      <c r="J7386" s="3">
        <v>5.0370464000000004</v>
      </c>
      <c r="K7386" s="3">
        <v>4.8888984000000004</v>
      </c>
      <c r="L7386" s="3">
        <v>37.614601945522303</v>
      </c>
    </row>
    <row r="7387" spans="1:12" ht="15" customHeight="1" x14ac:dyDescent="0.2">
      <c r="A7387" s="2">
        <v>35331</v>
      </c>
      <c r="B7387" s="3">
        <v>4.9382809999999999</v>
      </c>
      <c r="C7387" s="1">
        <v>54674.9039999999</v>
      </c>
      <c r="D7387" s="3">
        <v>-9.8765400000000406E-2</v>
      </c>
      <c r="E7387" s="3">
        <v>-1.96078003172653</v>
      </c>
      <c r="F7387" s="3">
        <v>-1.96078003172653</v>
      </c>
      <c r="G7387" s="3">
        <v>4.9382809999999999</v>
      </c>
      <c r="H7387" s="3">
        <v>37.614601945522303</v>
      </c>
      <c r="I7387" s="3">
        <v>5.0370473999999996</v>
      </c>
      <c r="J7387" s="3">
        <v>5.0370464000000004</v>
      </c>
      <c r="K7387" s="3">
        <v>4.9382809999999999</v>
      </c>
      <c r="L7387" s="3">
        <v>37.614601945522303</v>
      </c>
    </row>
    <row r="7388" spans="1:12" ht="15" customHeight="1" x14ac:dyDescent="0.2">
      <c r="A7388" s="2">
        <v>35328</v>
      </c>
      <c r="B7388" s="3">
        <v>5.0370464000000004</v>
      </c>
      <c r="C7388" s="1">
        <v>167062.19999999899</v>
      </c>
      <c r="D7388" s="3">
        <v>9.8765400000000406E-2</v>
      </c>
      <c r="E7388" s="3">
        <v>1.9999955450084901</v>
      </c>
      <c r="F7388" s="3">
        <v>1.9999955450084901</v>
      </c>
      <c r="G7388" s="3">
        <v>5.0370464000000004</v>
      </c>
      <c r="H7388" s="3">
        <v>40.366887853713898</v>
      </c>
      <c r="I7388" s="3">
        <v>4.8642073000000003</v>
      </c>
      <c r="J7388" s="3">
        <v>5.0370464000000004</v>
      </c>
      <c r="K7388" s="3">
        <v>4.8642073000000003</v>
      </c>
      <c r="L7388" s="3">
        <v>40.366887853713898</v>
      </c>
    </row>
    <row r="7389" spans="1:12" ht="15" customHeight="1" x14ac:dyDescent="0.2">
      <c r="A7389" s="2">
        <v>35327</v>
      </c>
      <c r="B7389" s="3">
        <v>4.9382809999999999</v>
      </c>
      <c r="C7389" s="1">
        <v>253124.5</v>
      </c>
      <c r="D7389" s="3"/>
      <c r="E7389" s="3"/>
      <c r="F7389" s="3"/>
      <c r="G7389" s="3">
        <v>4.9382809999999999</v>
      </c>
      <c r="H7389" s="3">
        <v>37.614601945522303</v>
      </c>
      <c r="I7389" s="3">
        <v>4.9382809999999999</v>
      </c>
      <c r="J7389" s="3">
        <v>5.0370464000000004</v>
      </c>
      <c r="K7389" s="3">
        <v>4.8642073000000003</v>
      </c>
      <c r="L7389" s="3">
        <v>37.614601945522303</v>
      </c>
    </row>
    <row r="7390" spans="1:12" ht="15" customHeight="1" x14ac:dyDescent="0.2">
      <c r="A7390" s="2">
        <v>35326</v>
      </c>
      <c r="B7390" s="3">
        <v>4.9382809999999999</v>
      </c>
      <c r="C7390" s="1">
        <v>355386.84</v>
      </c>
      <c r="D7390" s="3">
        <v>-0.14814759999999899</v>
      </c>
      <c r="E7390" s="3">
        <v>-2.9126055165701099</v>
      </c>
      <c r="F7390" s="3">
        <v>-2.9126055165701099</v>
      </c>
      <c r="G7390" s="3">
        <v>4.9382809999999999</v>
      </c>
      <c r="H7390" s="3">
        <v>37.614601945522303</v>
      </c>
      <c r="I7390" s="3">
        <v>4.9876646999999998</v>
      </c>
      <c r="J7390" s="3">
        <v>5.1358113000000003</v>
      </c>
      <c r="K7390" s="3">
        <v>4.9382809999999999</v>
      </c>
      <c r="L7390" s="3">
        <v>37.614601945522303</v>
      </c>
    </row>
    <row r="7391" spans="1:12" ht="15" customHeight="1" x14ac:dyDescent="0.2">
      <c r="A7391" s="2">
        <v>35325</v>
      </c>
      <c r="B7391" s="3">
        <v>5.0864285999999996</v>
      </c>
      <c r="C7391" s="1">
        <v>840373.35</v>
      </c>
      <c r="D7391" s="3">
        <v>0.19753019999999899</v>
      </c>
      <c r="E7391" s="3">
        <v>4.0403825941647398</v>
      </c>
      <c r="F7391" s="3">
        <v>4.0403825941647398</v>
      </c>
      <c r="G7391" s="3">
        <v>5.0864285999999996</v>
      </c>
      <c r="H7391" s="3">
        <v>41.7430168743577</v>
      </c>
      <c r="I7391" s="3">
        <v>4.8888999999999996</v>
      </c>
      <c r="J7391" s="3">
        <v>5.1851950000000002</v>
      </c>
      <c r="K7391" s="3">
        <v>4.790133</v>
      </c>
      <c r="L7391" s="3">
        <v>41.7430168743577</v>
      </c>
    </row>
    <row r="7392" spans="1:12" ht="15" customHeight="1" x14ac:dyDescent="0.2">
      <c r="A7392" s="2">
        <v>35324</v>
      </c>
      <c r="B7392" s="3">
        <v>4.8888984000000004</v>
      </c>
      <c r="C7392" s="1">
        <v>75431.11</v>
      </c>
      <c r="D7392" s="3">
        <v>9.8765400000000406E-2</v>
      </c>
      <c r="E7392" s="3">
        <v>2.06185089224038</v>
      </c>
      <c r="F7392" s="3">
        <v>2.06185089224038</v>
      </c>
      <c r="G7392" s="3">
        <v>4.8888984000000004</v>
      </c>
      <c r="H7392" s="3">
        <v>36.2384617781169</v>
      </c>
      <c r="I7392" s="3">
        <v>4.8888999999999996</v>
      </c>
      <c r="J7392" s="3">
        <v>4.8888984000000004</v>
      </c>
      <c r="K7392" s="3">
        <v>4.790133</v>
      </c>
      <c r="L7392" s="3">
        <v>36.2384617781169</v>
      </c>
    </row>
    <row r="7393" spans="1:12" ht="15" customHeight="1" x14ac:dyDescent="0.2">
      <c r="A7393" s="2">
        <v>35321</v>
      </c>
      <c r="B7393" s="3">
        <v>4.790133</v>
      </c>
      <c r="C7393" s="1">
        <v>119474.785</v>
      </c>
      <c r="D7393" s="3"/>
      <c r="E7393" s="3"/>
      <c r="F7393" s="3"/>
      <c r="G7393" s="3">
        <v>4.790133</v>
      </c>
      <c r="H7393" s="3">
        <v>33.486175869925297</v>
      </c>
      <c r="I7393" s="3">
        <v>4.7407503000000002</v>
      </c>
      <c r="J7393" s="3">
        <v>4.8888984000000004</v>
      </c>
      <c r="K7393" s="3">
        <v>4.6913676000000004</v>
      </c>
      <c r="L7393" s="3">
        <v>33.486175869925297</v>
      </c>
    </row>
    <row r="7394" spans="1:12" ht="15" customHeight="1" x14ac:dyDescent="0.2">
      <c r="A7394" s="2">
        <v>35320</v>
      </c>
      <c r="B7394" s="3">
        <v>4.790133</v>
      </c>
      <c r="C7394" s="1">
        <v>38474.921999999999</v>
      </c>
      <c r="D7394" s="3">
        <v>4.9382999999999698E-2</v>
      </c>
      <c r="E7394" s="3">
        <v>1.0416706217370499</v>
      </c>
      <c r="F7394" s="3">
        <v>1.0416706217370499</v>
      </c>
      <c r="G7394" s="3">
        <v>4.790133</v>
      </c>
      <c r="H7394" s="3">
        <v>33.486175869925297</v>
      </c>
      <c r="I7394" s="3">
        <v>4.6913676000000004</v>
      </c>
      <c r="J7394" s="3">
        <v>4.8395159999999997</v>
      </c>
      <c r="K7394" s="3">
        <v>4.6913676000000004</v>
      </c>
      <c r="L7394" s="3">
        <v>33.486175869925297</v>
      </c>
    </row>
    <row r="7395" spans="1:12" ht="15" customHeight="1" x14ac:dyDescent="0.2">
      <c r="A7395" s="2">
        <v>35319</v>
      </c>
      <c r="B7395" s="3">
        <v>4.7407500000000002</v>
      </c>
      <c r="C7395" s="1">
        <v>117956.03</v>
      </c>
      <c r="D7395" s="3">
        <v>-0.12345730000000001</v>
      </c>
      <c r="E7395" s="3">
        <v>-2.5380764508124498</v>
      </c>
      <c r="F7395" s="3">
        <v>-2.5380764508124498</v>
      </c>
      <c r="G7395" s="3">
        <v>4.7407500000000002</v>
      </c>
      <c r="H7395" s="3">
        <v>32.110024555758301</v>
      </c>
      <c r="I7395" s="3">
        <v>4.7407503000000002</v>
      </c>
      <c r="J7395" s="3">
        <v>4.8888984000000004</v>
      </c>
      <c r="K7395" s="3">
        <v>4.6913676000000004</v>
      </c>
      <c r="L7395" s="3">
        <v>32.110024555758301</v>
      </c>
    </row>
    <row r="7396" spans="1:12" ht="15" customHeight="1" x14ac:dyDescent="0.2">
      <c r="A7396" s="2">
        <v>35318</v>
      </c>
      <c r="B7396" s="3">
        <v>4.8642073000000003</v>
      </c>
      <c r="C7396" s="1">
        <v>106818.55</v>
      </c>
      <c r="D7396" s="3">
        <v>7.4074300000000301E-2</v>
      </c>
      <c r="E7396" s="3">
        <v>1.54639338824205</v>
      </c>
      <c r="F7396" s="3">
        <v>1.54639338824205</v>
      </c>
      <c r="G7396" s="3">
        <v>4.8642073000000003</v>
      </c>
      <c r="H7396" s="3">
        <v>35.550397267794899</v>
      </c>
      <c r="I7396" s="3">
        <v>4.790133</v>
      </c>
      <c r="J7396" s="3">
        <v>4.8888984000000004</v>
      </c>
      <c r="K7396" s="3">
        <v>4.6913676000000004</v>
      </c>
      <c r="L7396" s="3">
        <v>35.550397267794899</v>
      </c>
    </row>
    <row r="7397" spans="1:12" ht="15" customHeight="1" x14ac:dyDescent="0.2">
      <c r="A7397" s="2">
        <v>35317</v>
      </c>
      <c r="B7397" s="3">
        <v>4.790133</v>
      </c>
      <c r="C7397" s="1">
        <v>197437.09</v>
      </c>
      <c r="D7397" s="3">
        <v>0.148149</v>
      </c>
      <c r="E7397" s="3">
        <v>3.1915017371882199</v>
      </c>
      <c r="F7397" s="3">
        <v>3.1915017371882199</v>
      </c>
      <c r="G7397" s="3">
        <v>4.790133</v>
      </c>
      <c r="H7397" s="3">
        <v>33.486175869925297</v>
      </c>
      <c r="I7397" s="3">
        <v>4.5926023000000002</v>
      </c>
      <c r="J7397" s="3">
        <v>4.790133</v>
      </c>
      <c r="K7397" s="3">
        <v>4.5926023000000002</v>
      </c>
      <c r="L7397" s="3">
        <v>33.486175869925297</v>
      </c>
    </row>
    <row r="7398" spans="1:12" ht="15" customHeight="1" x14ac:dyDescent="0.2">
      <c r="A7398" s="2">
        <v>35314</v>
      </c>
      <c r="B7398" s="3">
        <v>4.6419839999999999</v>
      </c>
      <c r="C7398" s="1">
        <v>824173.5</v>
      </c>
      <c r="D7398" s="3"/>
      <c r="E7398" s="3"/>
      <c r="F7398" s="3"/>
      <c r="G7398" s="3">
        <v>4.6419839999999999</v>
      </c>
      <c r="H7398" s="3">
        <v>29.3577219274244</v>
      </c>
      <c r="I7398" s="3">
        <v>4.5926023000000002</v>
      </c>
      <c r="J7398" s="3">
        <v>4.6419839999999999</v>
      </c>
      <c r="K7398" s="3">
        <v>4.5926023000000002</v>
      </c>
      <c r="L7398" s="3">
        <v>29.3577219274244</v>
      </c>
    </row>
    <row r="7399" spans="1:12" ht="15" customHeight="1" x14ac:dyDescent="0.2">
      <c r="A7399" s="2">
        <v>35313</v>
      </c>
      <c r="B7399" s="3">
        <v>4.6419839999999999</v>
      </c>
      <c r="C7399" s="1">
        <v>93656.07</v>
      </c>
      <c r="D7399" s="3">
        <v>2.4691599999999699E-2</v>
      </c>
      <c r="E7399" s="3">
        <v>0.53476362034163805</v>
      </c>
      <c r="F7399" s="3">
        <v>0.53476362034163805</v>
      </c>
      <c r="G7399" s="3">
        <v>4.6419839999999999</v>
      </c>
      <c r="H7399" s="3">
        <v>29.3577219274244</v>
      </c>
      <c r="I7399" s="3">
        <v>4.6172940000000002</v>
      </c>
      <c r="J7399" s="3">
        <v>4.6419839999999999</v>
      </c>
      <c r="K7399" s="3">
        <v>4.5926023000000002</v>
      </c>
      <c r="L7399" s="3">
        <v>29.3577219274244</v>
      </c>
    </row>
    <row r="7400" spans="1:12" ht="15" customHeight="1" x14ac:dyDescent="0.2">
      <c r="A7400" s="2">
        <v>35312</v>
      </c>
      <c r="B7400" s="3">
        <v>4.6172924000000002</v>
      </c>
      <c r="C7400" s="1">
        <v>187312.13</v>
      </c>
      <c r="D7400" s="3">
        <v>-1.8518900000000098E-2</v>
      </c>
      <c r="E7400" s="3">
        <v>-0.39947484488853602</v>
      </c>
      <c r="F7400" s="3">
        <v>-0.39947484488853602</v>
      </c>
      <c r="G7400" s="3">
        <v>4.6172924000000002</v>
      </c>
      <c r="H7400" s="3">
        <v>28.6696434836505</v>
      </c>
      <c r="I7400" s="3">
        <v>4.641985</v>
      </c>
      <c r="J7400" s="3">
        <v>4.7160596999999997</v>
      </c>
      <c r="K7400" s="3">
        <v>4.5926023000000002</v>
      </c>
      <c r="L7400" s="3">
        <v>28.6696434836505</v>
      </c>
    </row>
    <row r="7401" spans="1:12" ht="15" customHeight="1" x14ac:dyDescent="0.2">
      <c r="A7401" s="2">
        <v>35311</v>
      </c>
      <c r="B7401" s="3">
        <v>4.6358113000000003</v>
      </c>
      <c r="C7401" s="1">
        <v>82518.59</v>
      </c>
      <c r="D7401" s="3">
        <v>-6.1726999999995799E-3</v>
      </c>
      <c r="E7401" s="3">
        <v>-0.132975469109752</v>
      </c>
      <c r="F7401" s="3">
        <v>-0.132975469109752</v>
      </c>
      <c r="G7401" s="3">
        <v>4.6358113000000003</v>
      </c>
      <c r="H7401" s="3">
        <v>29.1857078898617</v>
      </c>
      <c r="I7401" s="3">
        <v>4.5926023000000002</v>
      </c>
      <c r="J7401" s="3">
        <v>4.6419839999999999</v>
      </c>
      <c r="K7401" s="3">
        <v>4.5432186000000003</v>
      </c>
      <c r="L7401" s="3">
        <v>29.1857078898617</v>
      </c>
    </row>
    <row r="7402" spans="1:12" ht="15" customHeight="1" x14ac:dyDescent="0.2">
      <c r="A7402" s="2">
        <v>35307</v>
      </c>
      <c r="B7402" s="3">
        <v>4.6419839999999999</v>
      </c>
      <c r="C7402" s="1">
        <v>292105.7</v>
      </c>
      <c r="D7402" s="3">
        <v>4.9381699999999598E-2</v>
      </c>
      <c r="E7402" s="3">
        <v>1.0752444207938301</v>
      </c>
      <c r="F7402" s="3">
        <v>1.0752444207938301</v>
      </c>
      <c r="G7402" s="3">
        <v>4.6419839999999999</v>
      </c>
      <c r="H7402" s="3">
        <v>29.3577219274244</v>
      </c>
      <c r="I7402" s="3">
        <v>4.5432189999999997</v>
      </c>
      <c r="J7402" s="3">
        <v>4.6419839999999999</v>
      </c>
      <c r="K7402" s="3">
        <v>4.5432186000000003</v>
      </c>
      <c r="L7402" s="3">
        <v>29.3577219274244</v>
      </c>
    </row>
    <row r="7403" spans="1:12" ht="15" customHeight="1" x14ac:dyDescent="0.2">
      <c r="A7403" s="2">
        <v>35306</v>
      </c>
      <c r="B7403" s="3">
        <v>4.5926023000000002</v>
      </c>
      <c r="C7403" s="1">
        <v>234899.57</v>
      </c>
      <c r="D7403" s="3">
        <v>4.9383699999999899E-2</v>
      </c>
      <c r="E7403" s="3">
        <v>1.08697609223558</v>
      </c>
      <c r="F7403" s="3">
        <v>1.08697609223558</v>
      </c>
      <c r="G7403" s="3">
        <v>4.5926023000000002</v>
      </c>
      <c r="H7403" s="3">
        <v>27.981606840232502</v>
      </c>
      <c r="I7403" s="3">
        <v>4.5432189999999997</v>
      </c>
      <c r="J7403" s="3">
        <v>4.5926023000000002</v>
      </c>
      <c r="K7403" s="3">
        <v>4.5185275000000003</v>
      </c>
      <c r="L7403" s="3">
        <v>27.981606840232502</v>
      </c>
    </row>
    <row r="7404" spans="1:12" ht="15" customHeight="1" x14ac:dyDescent="0.2">
      <c r="A7404" s="2">
        <v>35305</v>
      </c>
      <c r="B7404" s="3">
        <v>4.5432186000000003</v>
      </c>
      <c r="C7404" s="1">
        <v>89606.09</v>
      </c>
      <c r="D7404" s="3"/>
      <c r="E7404" s="3"/>
      <c r="F7404" s="3"/>
      <c r="G7404" s="3">
        <v>4.5432186000000003</v>
      </c>
      <c r="H7404" s="3">
        <v>26.605436019232801</v>
      </c>
      <c r="I7404" s="3">
        <v>4.5926023000000002</v>
      </c>
      <c r="J7404" s="3">
        <v>4.5926023000000002</v>
      </c>
      <c r="K7404" s="3">
        <v>4.5432186000000003</v>
      </c>
      <c r="L7404" s="3">
        <v>26.605436019232801</v>
      </c>
    </row>
    <row r="7405" spans="1:12" ht="15" customHeight="1" x14ac:dyDescent="0.2">
      <c r="A7405" s="2">
        <v>35304</v>
      </c>
      <c r="B7405" s="3">
        <v>4.5432186000000003</v>
      </c>
      <c r="C7405" s="1">
        <v>198449.63</v>
      </c>
      <c r="D7405" s="3"/>
      <c r="E7405" s="3"/>
      <c r="F7405" s="3"/>
      <c r="G7405" s="3">
        <v>4.5432186000000003</v>
      </c>
      <c r="H7405" s="3">
        <v>26.605436019232801</v>
      </c>
      <c r="I7405" s="3">
        <v>4.5926023000000002</v>
      </c>
      <c r="J7405" s="3">
        <v>4.5926023000000002</v>
      </c>
      <c r="K7405" s="3">
        <v>4.4444512999999999</v>
      </c>
      <c r="L7405" s="3">
        <v>26.605436019232801</v>
      </c>
    </row>
    <row r="7406" spans="1:12" ht="15" customHeight="1" x14ac:dyDescent="0.2">
      <c r="A7406" s="2">
        <v>35303</v>
      </c>
      <c r="B7406" s="3">
        <v>4.5432186000000003</v>
      </c>
      <c r="C7406" s="1">
        <v>184780.88</v>
      </c>
      <c r="D7406" s="3"/>
      <c r="E7406" s="3"/>
      <c r="F7406" s="3"/>
      <c r="G7406" s="3">
        <v>4.5432186000000003</v>
      </c>
      <c r="H7406" s="3">
        <v>26.605436019232801</v>
      </c>
      <c r="I7406" s="3">
        <v>4.5432189999999997</v>
      </c>
      <c r="J7406" s="3">
        <v>4.5926023000000002</v>
      </c>
      <c r="K7406" s="3">
        <v>4.4444512999999999</v>
      </c>
      <c r="L7406" s="3">
        <v>26.605436019232801</v>
      </c>
    </row>
    <row r="7407" spans="1:12" ht="15" customHeight="1" x14ac:dyDescent="0.2">
      <c r="A7407" s="2">
        <v>35300</v>
      </c>
      <c r="B7407" s="3">
        <v>4.5432186000000003</v>
      </c>
      <c r="C7407" s="1">
        <v>373611.8</v>
      </c>
      <c r="D7407" s="3"/>
      <c r="E7407" s="3"/>
      <c r="F7407" s="3"/>
      <c r="G7407" s="3">
        <v>4.5432186000000003</v>
      </c>
      <c r="H7407" s="3">
        <v>26.605436019232801</v>
      </c>
      <c r="I7407" s="3">
        <v>4.5432189999999997</v>
      </c>
      <c r="J7407" s="3">
        <v>4.6913676000000004</v>
      </c>
      <c r="K7407" s="3">
        <v>4.5185275000000003</v>
      </c>
      <c r="L7407" s="3">
        <v>26.605436019232801</v>
      </c>
    </row>
    <row r="7408" spans="1:12" ht="15" customHeight="1" x14ac:dyDescent="0.2">
      <c r="A7408" s="2">
        <v>35299</v>
      </c>
      <c r="B7408" s="3">
        <v>4.5432186000000003</v>
      </c>
      <c r="C7408" s="1">
        <v>51637.404999999999</v>
      </c>
      <c r="D7408" s="3">
        <v>7.4074600000000296E-2</v>
      </c>
      <c r="E7408" s="3">
        <v>1.65746729127547</v>
      </c>
      <c r="F7408" s="3">
        <v>1.65746729127547</v>
      </c>
      <c r="G7408" s="3">
        <v>4.5432186000000003</v>
      </c>
      <c r="H7408" s="3">
        <v>26.605436019232801</v>
      </c>
      <c r="I7408" s="3">
        <v>4.4938364000000002</v>
      </c>
      <c r="J7408" s="3">
        <v>4.5432186000000003</v>
      </c>
      <c r="K7408" s="3">
        <v>4.4444512999999999</v>
      </c>
      <c r="L7408" s="3">
        <v>26.605436019232801</v>
      </c>
    </row>
    <row r="7409" spans="1:12" ht="15" customHeight="1" x14ac:dyDescent="0.2">
      <c r="A7409" s="2">
        <v>35298</v>
      </c>
      <c r="B7409" s="3">
        <v>4.469144</v>
      </c>
      <c r="C7409" s="1">
        <v>177693.42</v>
      </c>
      <c r="D7409" s="3">
        <v>-0.17283999999999899</v>
      </c>
      <c r="E7409" s="3">
        <v>-3.72340792212984</v>
      </c>
      <c r="F7409" s="3">
        <v>-3.72340792212984</v>
      </c>
      <c r="G7409" s="3">
        <v>4.469144</v>
      </c>
      <c r="H7409" s="3">
        <v>24.541206261292</v>
      </c>
      <c r="I7409" s="3">
        <v>4.4938364000000002</v>
      </c>
      <c r="J7409" s="3">
        <v>4.5432186000000003</v>
      </c>
      <c r="K7409" s="3">
        <v>4.3456874000000001</v>
      </c>
      <c r="L7409" s="3">
        <v>24.541206261292</v>
      </c>
    </row>
    <row r="7410" spans="1:12" ht="15" customHeight="1" x14ac:dyDescent="0.2">
      <c r="A7410" s="2">
        <v>35297</v>
      </c>
      <c r="B7410" s="3">
        <v>4.6419839999999999</v>
      </c>
      <c r="C7410" s="1">
        <v>24299.952000000001</v>
      </c>
      <c r="D7410" s="3"/>
      <c r="E7410" s="3"/>
      <c r="F7410" s="3"/>
      <c r="G7410" s="3">
        <v>4.6419839999999999</v>
      </c>
      <c r="H7410" s="3">
        <v>29.3577219274244</v>
      </c>
      <c r="I7410" s="3">
        <v>4.641985</v>
      </c>
      <c r="J7410" s="3">
        <v>4.6419839999999999</v>
      </c>
      <c r="K7410" s="3">
        <v>4.5432186000000003</v>
      </c>
      <c r="L7410" s="3">
        <v>29.3577219274244</v>
      </c>
    </row>
    <row r="7411" spans="1:12" ht="15" customHeight="1" x14ac:dyDescent="0.2">
      <c r="A7411" s="2">
        <v>35296</v>
      </c>
      <c r="B7411" s="3">
        <v>4.6419839999999999</v>
      </c>
      <c r="C7411" s="1">
        <v>118968.53</v>
      </c>
      <c r="D7411" s="3">
        <v>9.8765399999999504E-2</v>
      </c>
      <c r="E7411" s="3">
        <v>2.17390816281655</v>
      </c>
      <c r="F7411" s="3">
        <v>2.17390816281655</v>
      </c>
      <c r="G7411" s="3">
        <v>4.6419839999999999</v>
      </c>
      <c r="H7411" s="3">
        <v>29.3577219274244</v>
      </c>
      <c r="I7411" s="3">
        <v>4.4444537000000004</v>
      </c>
      <c r="J7411" s="3">
        <v>4.6419839999999999</v>
      </c>
      <c r="K7411" s="3">
        <v>4.4444512999999999</v>
      </c>
      <c r="L7411" s="3">
        <v>29.3577219274244</v>
      </c>
    </row>
    <row r="7412" spans="1:12" ht="15" customHeight="1" x14ac:dyDescent="0.2">
      <c r="A7412" s="2">
        <v>35293</v>
      </c>
      <c r="B7412" s="3">
        <v>4.5432186000000003</v>
      </c>
      <c r="C7412" s="1">
        <v>491567.8</v>
      </c>
      <c r="D7412" s="3">
        <v>0.19753119999999999</v>
      </c>
      <c r="E7412" s="3">
        <v>4.5454534994854896</v>
      </c>
      <c r="F7412" s="3">
        <v>4.5454534994854896</v>
      </c>
      <c r="G7412" s="3">
        <v>4.5432186000000003</v>
      </c>
      <c r="H7412" s="3">
        <v>26.605436019232801</v>
      </c>
      <c r="I7412" s="3">
        <v>4.2469229999999998</v>
      </c>
      <c r="J7412" s="3">
        <v>4.5926023000000002</v>
      </c>
      <c r="K7412" s="3">
        <v>4.2469215</v>
      </c>
      <c r="L7412" s="3">
        <v>26.605436019232801</v>
      </c>
    </row>
    <row r="7413" spans="1:12" ht="15" customHeight="1" x14ac:dyDescent="0.2">
      <c r="A7413" s="2">
        <v>35292</v>
      </c>
      <c r="B7413" s="3">
        <v>4.3456874000000001</v>
      </c>
      <c r="C7413" s="1">
        <v>93656.07</v>
      </c>
      <c r="D7413" s="3">
        <v>9.8765900000000004E-2</v>
      </c>
      <c r="E7413" s="3">
        <v>2.3255880759745602</v>
      </c>
      <c r="F7413" s="3">
        <v>2.3255880759745602</v>
      </c>
      <c r="G7413" s="3">
        <v>4.3456874000000001</v>
      </c>
      <c r="H7413" s="3">
        <v>21.100853056088098</v>
      </c>
      <c r="I7413" s="3">
        <v>4.19754</v>
      </c>
      <c r="J7413" s="3">
        <v>4.3456874000000001</v>
      </c>
      <c r="K7413" s="3">
        <v>4.19754</v>
      </c>
      <c r="L7413" s="3">
        <v>21.100853056088098</v>
      </c>
    </row>
    <row r="7414" spans="1:12" ht="15" customHeight="1" x14ac:dyDescent="0.2">
      <c r="A7414" s="2">
        <v>35291</v>
      </c>
      <c r="B7414" s="3">
        <v>4.2469215</v>
      </c>
      <c r="C7414" s="1">
        <v>43031.165999999997</v>
      </c>
      <c r="D7414" s="3"/>
      <c r="E7414" s="3"/>
      <c r="F7414" s="3"/>
      <c r="G7414" s="3">
        <v>4.2469215</v>
      </c>
      <c r="H7414" s="3">
        <v>18.3485532144445</v>
      </c>
      <c r="I7414" s="3">
        <v>4.345688</v>
      </c>
      <c r="J7414" s="3">
        <v>4.3456874000000001</v>
      </c>
      <c r="K7414" s="3">
        <v>4.19754</v>
      </c>
      <c r="L7414" s="3">
        <v>18.3485532144445</v>
      </c>
    </row>
    <row r="7415" spans="1:12" ht="15" customHeight="1" x14ac:dyDescent="0.2">
      <c r="A7415" s="2">
        <v>35290</v>
      </c>
      <c r="B7415" s="3">
        <v>4.2469215</v>
      </c>
      <c r="C7415" s="1">
        <v>194399.61</v>
      </c>
      <c r="D7415" s="3">
        <v>-0.1481481</v>
      </c>
      <c r="E7415" s="3">
        <v>-3.3707793842445701</v>
      </c>
      <c r="F7415" s="3">
        <v>-3.3707793842445701</v>
      </c>
      <c r="G7415" s="3">
        <v>4.2469215</v>
      </c>
      <c r="H7415" s="3">
        <v>18.3485532144445</v>
      </c>
      <c r="I7415" s="3">
        <v>4.345688</v>
      </c>
      <c r="J7415" s="3">
        <v>4.3456874000000001</v>
      </c>
      <c r="K7415" s="3">
        <v>4.19754</v>
      </c>
      <c r="L7415" s="3">
        <v>18.3485532144445</v>
      </c>
    </row>
    <row r="7416" spans="1:12" ht="15" customHeight="1" x14ac:dyDescent="0.2">
      <c r="A7416" s="2">
        <v>35289</v>
      </c>
      <c r="B7416" s="3">
        <v>4.3950696000000002</v>
      </c>
      <c r="C7416" s="1">
        <v>131624.74</v>
      </c>
      <c r="D7416" s="3">
        <v>3.7036600000000398E-2</v>
      </c>
      <c r="E7416" s="3">
        <v>0.84984670836592002</v>
      </c>
      <c r="F7416" s="3">
        <v>0.84984670836592002</v>
      </c>
      <c r="G7416" s="3">
        <v>4.3950696000000002</v>
      </c>
      <c r="H7416" s="3">
        <v>22.4769820767319</v>
      </c>
      <c r="I7416" s="3">
        <v>4.4444537000000004</v>
      </c>
      <c r="J7416" s="3">
        <v>4.4444512999999999</v>
      </c>
      <c r="K7416" s="3">
        <v>4.2963040000000001</v>
      </c>
      <c r="L7416" s="3">
        <v>22.4769820767319</v>
      </c>
    </row>
    <row r="7417" spans="1:12" ht="15" customHeight="1" x14ac:dyDescent="0.2">
      <c r="A7417" s="2">
        <v>35286</v>
      </c>
      <c r="B7417" s="3">
        <v>4.3580329999999998</v>
      </c>
      <c r="C7417" s="1">
        <v>226799.55</v>
      </c>
      <c r="D7417" s="3">
        <v>-0.14814869999999999</v>
      </c>
      <c r="E7417" s="3">
        <v>-3.2876770148882302</v>
      </c>
      <c r="F7417" s="3">
        <v>-3.2876770148882302</v>
      </c>
      <c r="G7417" s="3">
        <v>4.3580329999999998</v>
      </c>
      <c r="H7417" s="3">
        <v>21.4448867045942</v>
      </c>
      <c r="I7417" s="3">
        <v>4.4444537000000004</v>
      </c>
      <c r="J7417" s="3">
        <v>4.5185275000000003</v>
      </c>
      <c r="K7417" s="3">
        <v>4.3580329999999998</v>
      </c>
      <c r="L7417" s="3">
        <v>21.4448867045942</v>
      </c>
    </row>
    <row r="7418" spans="1:12" ht="15" customHeight="1" x14ac:dyDescent="0.2">
      <c r="A7418" s="2">
        <v>35285</v>
      </c>
      <c r="B7418" s="3">
        <v>4.5061817</v>
      </c>
      <c r="C7418" s="1">
        <v>159468.43999999901</v>
      </c>
      <c r="D7418" s="3">
        <v>-1.23458000000002E-2</v>
      </c>
      <c r="E7418" s="3">
        <v>-0.27322617821846601</v>
      </c>
      <c r="F7418" s="3">
        <v>-0.27322617821846601</v>
      </c>
      <c r="G7418" s="3">
        <v>4.5061817</v>
      </c>
      <c r="H7418" s="3">
        <v>25.573332287023899</v>
      </c>
      <c r="I7418" s="3">
        <v>4.4444537000000004</v>
      </c>
      <c r="J7418" s="3">
        <v>4.5432186000000003</v>
      </c>
      <c r="K7418" s="3">
        <v>4.4444512999999999</v>
      </c>
      <c r="L7418" s="3">
        <v>25.573332287023899</v>
      </c>
    </row>
    <row r="7419" spans="1:12" ht="15" customHeight="1" x14ac:dyDescent="0.2">
      <c r="A7419" s="2">
        <v>35284</v>
      </c>
      <c r="B7419" s="3">
        <v>4.5185275000000003</v>
      </c>
      <c r="C7419" s="1">
        <v>295143.19999999902</v>
      </c>
      <c r="D7419" s="3"/>
      <c r="E7419" s="3"/>
      <c r="F7419" s="3"/>
      <c r="G7419" s="3">
        <v>4.5185275000000003</v>
      </c>
      <c r="H7419" s="3">
        <v>25.9173715089109</v>
      </c>
      <c r="I7419" s="3">
        <v>4.5432189999999997</v>
      </c>
      <c r="J7419" s="3">
        <v>4.5926023000000002</v>
      </c>
      <c r="K7419" s="3">
        <v>4.469144</v>
      </c>
      <c r="L7419" s="3">
        <v>25.9173715089109</v>
      </c>
    </row>
    <row r="7420" spans="1:12" ht="15" customHeight="1" x14ac:dyDescent="0.2">
      <c r="A7420" s="2">
        <v>35283</v>
      </c>
      <c r="B7420" s="3">
        <v>4.5185275000000003</v>
      </c>
      <c r="C7420" s="1">
        <v>197437.09</v>
      </c>
      <c r="D7420" s="3">
        <v>-2.4691100000000001E-2</v>
      </c>
      <c r="E7420" s="3">
        <v>-0.54347153799731895</v>
      </c>
      <c r="F7420" s="3">
        <v>-0.54347153799731895</v>
      </c>
      <c r="G7420" s="3">
        <v>4.5185275000000003</v>
      </c>
      <c r="H7420" s="3">
        <v>25.9173715089109</v>
      </c>
      <c r="I7420" s="3">
        <v>4.4938364000000002</v>
      </c>
      <c r="J7420" s="3">
        <v>4.5926023000000002</v>
      </c>
      <c r="K7420" s="3">
        <v>4.4938354</v>
      </c>
      <c r="L7420" s="3">
        <v>25.9173715089109</v>
      </c>
    </row>
    <row r="7421" spans="1:12" ht="15" customHeight="1" x14ac:dyDescent="0.2">
      <c r="A7421" s="2">
        <v>35282</v>
      </c>
      <c r="B7421" s="3">
        <v>4.5432186000000003</v>
      </c>
      <c r="C7421" s="1">
        <v>153899.69</v>
      </c>
      <c r="D7421" s="3">
        <v>-9.8765399999999504E-2</v>
      </c>
      <c r="E7421" s="3">
        <v>-2.1276548992844302</v>
      </c>
      <c r="F7421" s="3">
        <v>-2.1276548992844302</v>
      </c>
      <c r="G7421" s="3">
        <v>4.5432186000000003</v>
      </c>
      <c r="H7421" s="3">
        <v>26.605436019232801</v>
      </c>
      <c r="I7421" s="3">
        <v>4.641985</v>
      </c>
      <c r="J7421" s="3">
        <v>4.6419839999999999</v>
      </c>
      <c r="K7421" s="3">
        <v>4.4938354</v>
      </c>
      <c r="L7421" s="3">
        <v>26.605436019232801</v>
      </c>
    </row>
    <row r="7422" spans="1:12" ht="15" customHeight="1" x14ac:dyDescent="0.2">
      <c r="A7422" s="2">
        <v>35279</v>
      </c>
      <c r="B7422" s="3">
        <v>4.6419839999999999</v>
      </c>
      <c r="C7422" s="1">
        <v>734567.4</v>
      </c>
      <c r="D7422" s="3">
        <v>0.34567999999999899</v>
      </c>
      <c r="E7422" s="3">
        <v>8.0459855727155194</v>
      </c>
      <c r="F7422" s="3">
        <v>8.0459855727155194</v>
      </c>
      <c r="G7422" s="3">
        <v>4.6419839999999999</v>
      </c>
      <c r="H7422" s="3">
        <v>29.3577219274244</v>
      </c>
      <c r="I7422" s="3">
        <v>4.345688</v>
      </c>
      <c r="J7422" s="3">
        <v>4.6419839999999999</v>
      </c>
      <c r="K7422" s="3">
        <v>4.3456874000000001</v>
      </c>
      <c r="L7422" s="3">
        <v>29.3577219274244</v>
      </c>
    </row>
    <row r="7423" spans="1:12" ht="15" customHeight="1" x14ac:dyDescent="0.2">
      <c r="A7423" s="2">
        <v>35278</v>
      </c>
      <c r="B7423" s="3">
        <v>4.2963040000000001</v>
      </c>
      <c r="C7423" s="1">
        <v>819111</v>
      </c>
      <c r="D7423" s="3">
        <v>-4.9383399999999897E-2</v>
      </c>
      <c r="E7423" s="3">
        <v>-1.1363771816629</v>
      </c>
      <c r="F7423" s="3">
        <v>-1.1363771816629</v>
      </c>
      <c r="G7423" s="3">
        <v>4.2963040000000001</v>
      </c>
      <c r="H7423" s="3">
        <v>19.724690595159501</v>
      </c>
      <c r="I7423" s="3">
        <v>4.0987730000000004</v>
      </c>
      <c r="J7423" s="3">
        <v>4.3456874000000001</v>
      </c>
      <c r="K7423" s="3">
        <v>4.0000076</v>
      </c>
      <c r="L7423" s="3">
        <v>19.724690595159501</v>
      </c>
    </row>
    <row r="7424" spans="1:12" ht="15" customHeight="1" x14ac:dyDescent="0.2">
      <c r="A7424" s="2">
        <v>35277</v>
      </c>
      <c r="B7424" s="3">
        <v>4.3456874000000001</v>
      </c>
      <c r="C7424" s="1">
        <v>905679.44</v>
      </c>
      <c r="D7424" s="3">
        <v>0.197531399999999</v>
      </c>
      <c r="E7424" s="3">
        <v>4.7619086649586002</v>
      </c>
      <c r="F7424" s="3">
        <v>4.7619086649586002</v>
      </c>
      <c r="G7424" s="3">
        <v>4.3456874000000001</v>
      </c>
      <c r="H7424" s="3">
        <v>21.100853056088098</v>
      </c>
      <c r="I7424" s="3">
        <v>4.2469229999999998</v>
      </c>
      <c r="J7424" s="3">
        <v>4.4444512999999999</v>
      </c>
      <c r="K7424" s="3">
        <v>4.0987730000000004</v>
      </c>
      <c r="L7424" s="3">
        <v>21.100853056088098</v>
      </c>
    </row>
    <row r="7425" spans="1:12" ht="15" customHeight="1" x14ac:dyDescent="0.2">
      <c r="A7425" s="2">
        <v>35276</v>
      </c>
      <c r="B7425" s="3">
        <v>4.1481560000000002</v>
      </c>
      <c r="C7425" s="1">
        <v>688498.65999999898</v>
      </c>
      <c r="D7425" s="3">
        <v>-0.54321160000000002</v>
      </c>
      <c r="E7425" s="3">
        <v>-11.5789604719954</v>
      </c>
      <c r="F7425" s="3">
        <v>-11.5789604719954</v>
      </c>
      <c r="G7425" s="3">
        <v>4.1481560000000002</v>
      </c>
      <c r="H7425" s="3">
        <v>15.596264519562499</v>
      </c>
      <c r="I7425" s="3">
        <v>4.5926023000000002</v>
      </c>
      <c r="J7425" s="3">
        <v>4.6419839999999999</v>
      </c>
      <c r="K7425" s="3">
        <v>4.0740829999999999</v>
      </c>
      <c r="L7425" s="3">
        <v>15.596264519562499</v>
      </c>
    </row>
    <row r="7426" spans="1:12" ht="15" customHeight="1" x14ac:dyDescent="0.2">
      <c r="A7426" s="2">
        <v>35275</v>
      </c>
      <c r="B7426" s="3">
        <v>4.6913676000000004</v>
      </c>
      <c r="C7426" s="1">
        <v>245530.78</v>
      </c>
      <c r="D7426" s="3">
        <v>-0.24691339999999901</v>
      </c>
      <c r="E7426" s="3">
        <v>-4.9999868375250198</v>
      </c>
      <c r="F7426" s="3">
        <v>-4.9999868375250198</v>
      </c>
      <c r="G7426" s="3">
        <v>4.6913676000000004</v>
      </c>
      <c r="H7426" s="3">
        <v>30.733889961733698</v>
      </c>
      <c r="I7426" s="3">
        <v>4.8395159999999997</v>
      </c>
      <c r="J7426" s="3">
        <v>4.8888984000000004</v>
      </c>
      <c r="K7426" s="3">
        <v>4.6913676000000004</v>
      </c>
      <c r="L7426" s="3">
        <v>30.733889961733698</v>
      </c>
    </row>
    <row r="7427" spans="1:12" ht="15" customHeight="1" x14ac:dyDescent="0.2">
      <c r="A7427" s="2">
        <v>35272</v>
      </c>
      <c r="B7427" s="3">
        <v>4.9382809999999999</v>
      </c>
      <c r="C7427" s="1">
        <v>89099.839999999997</v>
      </c>
      <c r="D7427" s="3">
        <v>0.123457399999999</v>
      </c>
      <c r="E7427" s="3">
        <v>2.5641105522536498</v>
      </c>
      <c r="F7427" s="3">
        <v>2.5641105522536498</v>
      </c>
      <c r="G7427" s="3">
        <v>4.9382809999999999</v>
      </c>
      <c r="H7427" s="3">
        <v>37.614601945522303</v>
      </c>
      <c r="I7427" s="3">
        <v>4.8395159999999997</v>
      </c>
      <c r="J7427" s="3">
        <v>4.9382809999999999</v>
      </c>
      <c r="K7427" s="3">
        <v>4.8395159999999997</v>
      </c>
      <c r="L7427" s="3">
        <v>37.614601945522303</v>
      </c>
    </row>
    <row r="7428" spans="1:12" ht="15" customHeight="1" x14ac:dyDescent="0.2">
      <c r="A7428" s="2">
        <v>35271</v>
      </c>
      <c r="B7428" s="3">
        <v>4.8148236000000004</v>
      </c>
      <c r="C7428" s="1">
        <v>355386.84</v>
      </c>
      <c r="D7428" s="3">
        <v>0.27160499999999999</v>
      </c>
      <c r="E7428" s="3">
        <v>5.97825074936961</v>
      </c>
      <c r="F7428" s="3">
        <v>5.97825074936961</v>
      </c>
      <c r="G7428" s="3">
        <v>4.8148236000000004</v>
      </c>
      <c r="H7428" s="3">
        <v>34.174226446795302</v>
      </c>
      <c r="I7428" s="3">
        <v>4.641985</v>
      </c>
      <c r="J7428" s="3">
        <v>4.8395159999999997</v>
      </c>
      <c r="K7428" s="3">
        <v>4.5432186000000003</v>
      </c>
      <c r="L7428" s="3">
        <v>34.174226446795302</v>
      </c>
    </row>
    <row r="7429" spans="1:12" ht="15" customHeight="1" x14ac:dyDescent="0.2">
      <c r="A7429" s="2">
        <v>35270</v>
      </c>
      <c r="B7429" s="3">
        <v>4.5432186000000003</v>
      </c>
      <c r="C7429" s="1">
        <v>403480.5</v>
      </c>
      <c r="D7429" s="3">
        <v>-2.4691100000000001E-2</v>
      </c>
      <c r="E7429" s="3">
        <v>-0.54053389015111797</v>
      </c>
      <c r="F7429" s="3">
        <v>-0.54053389015111797</v>
      </c>
      <c r="G7429" s="3">
        <v>4.5432186000000003</v>
      </c>
      <c r="H7429" s="3">
        <v>26.605436019232801</v>
      </c>
      <c r="I7429" s="3">
        <v>4.345688</v>
      </c>
      <c r="J7429" s="3">
        <v>4.6419839999999999</v>
      </c>
      <c r="K7429" s="3">
        <v>4.2469215</v>
      </c>
      <c r="L7429" s="3">
        <v>26.605436019232801</v>
      </c>
    </row>
    <row r="7430" spans="1:12" ht="15" customHeight="1" x14ac:dyDescent="0.2">
      <c r="A7430" s="2">
        <v>35269</v>
      </c>
      <c r="B7430" s="3">
        <v>4.5679097000000004</v>
      </c>
      <c r="C7430" s="1">
        <v>265780.73</v>
      </c>
      <c r="D7430" s="3">
        <v>-0.19753129999999899</v>
      </c>
      <c r="E7430" s="3">
        <v>-4.1450791227926098</v>
      </c>
      <c r="F7430" s="3">
        <v>-4.1450791227926098</v>
      </c>
      <c r="G7430" s="3">
        <v>4.5679097000000004</v>
      </c>
      <c r="H7430" s="3">
        <v>27.293500529554699</v>
      </c>
      <c r="I7430" s="3">
        <v>4.8395159999999997</v>
      </c>
      <c r="J7430" s="3">
        <v>4.9382809999999999</v>
      </c>
      <c r="K7430" s="3">
        <v>4.5432186000000003</v>
      </c>
      <c r="L7430" s="3">
        <v>27.293500529554699</v>
      </c>
    </row>
    <row r="7431" spans="1:12" ht="15" customHeight="1" x14ac:dyDescent="0.2">
      <c r="A7431" s="2">
        <v>35268</v>
      </c>
      <c r="B7431" s="3">
        <v>4.765441</v>
      </c>
      <c r="C7431" s="1">
        <v>295143.19999999902</v>
      </c>
      <c r="D7431" s="3">
        <v>-7.4074999999999599E-2</v>
      </c>
      <c r="E7431" s="3">
        <v>-1.5306282694385001</v>
      </c>
      <c r="F7431" s="3">
        <v>-1.5306282694385001</v>
      </c>
      <c r="G7431" s="3">
        <v>4.765441</v>
      </c>
      <c r="H7431" s="3">
        <v>32.7980862793898</v>
      </c>
      <c r="I7431" s="3">
        <v>4.790133</v>
      </c>
      <c r="J7431" s="3">
        <v>4.8395159999999997</v>
      </c>
      <c r="K7431" s="3">
        <v>4.7407500000000002</v>
      </c>
      <c r="L7431" s="3">
        <v>32.7980862793898</v>
      </c>
    </row>
    <row r="7432" spans="1:12" ht="15" customHeight="1" x14ac:dyDescent="0.2">
      <c r="A7432" s="2">
        <v>35265</v>
      </c>
      <c r="B7432" s="3">
        <v>4.8395159999999997</v>
      </c>
      <c r="C7432" s="1">
        <v>180730.91</v>
      </c>
      <c r="D7432" s="3"/>
      <c r="E7432" s="3"/>
      <c r="F7432" s="3"/>
      <c r="G7432" s="3">
        <v>4.8395159999999997</v>
      </c>
      <c r="H7432" s="3">
        <v>34.862327184092202</v>
      </c>
      <c r="I7432" s="3">
        <v>4.7407503000000002</v>
      </c>
      <c r="J7432" s="3">
        <v>4.8395159999999997</v>
      </c>
      <c r="K7432" s="3">
        <v>4.6913676000000004</v>
      </c>
      <c r="L7432" s="3">
        <v>34.862327184092202</v>
      </c>
    </row>
    <row r="7433" spans="1:12" ht="15" customHeight="1" x14ac:dyDescent="0.2">
      <c r="A7433" s="2">
        <v>35264</v>
      </c>
      <c r="B7433" s="3">
        <v>4.8395159999999997</v>
      </c>
      <c r="C7433" s="1">
        <v>468280.36</v>
      </c>
      <c r="D7433" s="3">
        <v>0.44444639999999902</v>
      </c>
      <c r="E7433" s="3">
        <v>10.1123859335469</v>
      </c>
      <c r="F7433" s="3">
        <v>10.1123859335469</v>
      </c>
      <c r="G7433" s="3">
        <v>4.8395159999999997</v>
      </c>
      <c r="H7433" s="3">
        <v>34.862327184092202</v>
      </c>
      <c r="I7433" s="3">
        <v>4.3950709999999997</v>
      </c>
      <c r="J7433" s="3">
        <v>4.8395159999999997</v>
      </c>
      <c r="K7433" s="3">
        <v>4.3950696000000002</v>
      </c>
      <c r="L7433" s="3">
        <v>34.862327184092202</v>
      </c>
    </row>
    <row r="7434" spans="1:12" ht="15" customHeight="1" x14ac:dyDescent="0.2">
      <c r="A7434" s="2">
        <v>35263</v>
      </c>
      <c r="B7434" s="3">
        <v>4.3950696000000002</v>
      </c>
      <c r="C7434" s="1">
        <v>942635.74</v>
      </c>
      <c r="D7434" s="3">
        <v>7.4073300000000203E-2</v>
      </c>
      <c r="E7434" s="3">
        <v>1.7142643700019</v>
      </c>
      <c r="F7434" s="3">
        <v>1.7142643700019</v>
      </c>
      <c r="G7434" s="3">
        <v>4.3950696000000002</v>
      </c>
      <c r="H7434" s="3">
        <v>22.4769820767319</v>
      </c>
      <c r="I7434" s="3">
        <v>4.4444537000000004</v>
      </c>
      <c r="J7434" s="3">
        <v>4.5926023000000002</v>
      </c>
      <c r="K7434" s="3">
        <v>4.3456874000000001</v>
      </c>
      <c r="L7434" s="3">
        <v>22.4769820767319</v>
      </c>
    </row>
    <row r="7435" spans="1:12" ht="15" customHeight="1" x14ac:dyDescent="0.2">
      <c r="A7435" s="2">
        <v>35262</v>
      </c>
      <c r="B7435" s="3">
        <v>4.3209963</v>
      </c>
      <c r="C7435" s="1">
        <v>1706059.2</v>
      </c>
      <c r="D7435" s="3">
        <v>-0.51851969999999903</v>
      </c>
      <c r="E7435" s="3">
        <v>-10.7142883709858</v>
      </c>
      <c r="F7435" s="3">
        <v>-10.7142883709858</v>
      </c>
      <c r="G7435" s="3">
        <v>4.3209963</v>
      </c>
      <c r="H7435" s="3">
        <v>20.412788545766102</v>
      </c>
      <c r="I7435" s="3">
        <v>4.8395159999999997</v>
      </c>
      <c r="J7435" s="3">
        <v>4.8888984000000004</v>
      </c>
      <c r="K7435" s="3">
        <v>4.2963040000000001</v>
      </c>
      <c r="L7435" s="3">
        <v>20.412788545766102</v>
      </c>
    </row>
    <row r="7436" spans="1:12" ht="15" customHeight="1" x14ac:dyDescent="0.2">
      <c r="A7436" s="2">
        <v>35261</v>
      </c>
      <c r="B7436" s="3">
        <v>4.8395159999999997</v>
      </c>
      <c r="C7436" s="1">
        <v>394874.18</v>
      </c>
      <c r="D7436" s="3">
        <v>4.9382999999999698E-2</v>
      </c>
      <c r="E7436" s="3">
        <v>1.03093170899428</v>
      </c>
      <c r="F7436" s="3">
        <v>1.03093170899428</v>
      </c>
      <c r="G7436" s="3">
        <v>4.8395159999999997</v>
      </c>
      <c r="H7436" s="3">
        <v>34.862327184092202</v>
      </c>
      <c r="I7436" s="3">
        <v>4.8395159999999997</v>
      </c>
      <c r="J7436" s="3">
        <v>4.8395159999999997</v>
      </c>
      <c r="K7436" s="3">
        <v>4.7407500000000002</v>
      </c>
      <c r="L7436" s="3">
        <v>34.862327184092202</v>
      </c>
    </row>
    <row r="7437" spans="1:12" ht="15" customHeight="1" x14ac:dyDescent="0.2">
      <c r="A7437" s="2">
        <v>35258</v>
      </c>
      <c r="B7437" s="3">
        <v>4.790133</v>
      </c>
      <c r="C7437" s="1">
        <v>257680.76</v>
      </c>
      <c r="D7437" s="3">
        <v>-0.197530699999999</v>
      </c>
      <c r="E7437" s="3">
        <v>-3.96038530023585</v>
      </c>
      <c r="F7437" s="3">
        <v>-3.96038530023585</v>
      </c>
      <c r="G7437" s="3">
        <v>4.790133</v>
      </c>
      <c r="H7437" s="3">
        <v>33.486175869925297</v>
      </c>
      <c r="I7437" s="3">
        <v>4.9382809999999999</v>
      </c>
      <c r="J7437" s="3">
        <v>5.0370464000000004</v>
      </c>
      <c r="K7437" s="3">
        <v>4.790133</v>
      </c>
      <c r="L7437" s="3">
        <v>33.486175869925297</v>
      </c>
    </row>
    <row r="7438" spans="1:12" ht="15" customHeight="1" x14ac:dyDescent="0.2">
      <c r="A7438" s="2">
        <v>35257</v>
      </c>
      <c r="B7438" s="3">
        <v>4.9876636999999997</v>
      </c>
      <c r="C7438" s="1">
        <v>267805.73</v>
      </c>
      <c r="D7438" s="3">
        <v>-9.8764899999999906E-2</v>
      </c>
      <c r="E7438" s="3">
        <v>-1.94173373435341</v>
      </c>
      <c r="F7438" s="3">
        <v>-1.94173373435341</v>
      </c>
      <c r="G7438" s="3">
        <v>4.9876636999999997</v>
      </c>
      <c r="H7438" s="3">
        <v>38.9907448996181</v>
      </c>
      <c r="I7438" s="3">
        <v>5.0370473999999996</v>
      </c>
      <c r="J7438" s="3">
        <v>5.1358113000000003</v>
      </c>
      <c r="K7438" s="3">
        <v>4.8888984000000004</v>
      </c>
      <c r="L7438" s="3">
        <v>38.9907448996181</v>
      </c>
    </row>
    <row r="7439" spans="1:12" ht="15" customHeight="1" x14ac:dyDescent="0.2">
      <c r="A7439" s="2">
        <v>35256</v>
      </c>
      <c r="B7439" s="3">
        <v>5.0864285999999996</v>
      </c>
      <c r="C7439" s="1">
        <v>123524.765</v>
      </c>
      <c r="D7439" s="3"/>
      <c r="E7439" s="3"/>
      <c r="F7439" s="3"/>
      <c r="G7439" s="3">
        <v>5.0864285999999996</v>
      </c>
      <c r="H7439" s="3">
        <v>41.7430168743577</v>
      </c>
      <c r="I7439" s="3">
        <v>5.1851963999999997</v>
      </c>
      <c r="J7439" s="3">
        <v>5.1851950000000002</v>
      </c>
      <c r="K7439" s="3">
        <v>5.0864285999999996</v>
      </c>
      <c r="L7439" s="3">
        <v>41.7430168743577</v>
      </c>
    </row>
    <row r="7440" spans="1:12" ht="15" customHeight="1" x14ac:dyDescent="0.2">
      <c r="A7440" s="2">
        <v>35255</v>
      </c>
      <c r="B7440" s="3">
        <v>5.0864285999999996</v>
      </c>
      <c r="C7440" s="1">
        <v>143774.73000000001</v>
      </c>
      <c r="D7440" s="3">
        <v>-7.4073400000000497E-2</v>
      </c>
      <c r="E7440" s="3">
        <v>-1.4353913630883299</v>
      </c>
      <c r="F7440" s="3">
        <v>-1.4353913630883299</v>
      </c>
      <c r="G7440" s="3">
        <v>5.0864285999999996</v>
      </c>
      <c r="H7440" s="3">
        <v>41.7430168743577</v>
      </c>
      <c r="I7440" s="3">
        <v>5.08643</v>
      </c>
      <c r="J7440" s="3">
        <v>5.1851950000000002</v>
      </c>
      <c r="K7440" s="3">
        <v>5.0864285999999996</v>
      </c>
      <c r="L7440" s="3">
        <v>41.7430168743577</v>
      </c>
    </row>
    <row r="7441" spans="1:12" ht="15" customHeight="1" x14ac:dyDescent="0.2">
      <c r="A7441" s="2">
        <v>35254</v>
      </c>
      <c r="B7441" s="3">
        <v>5.1605020000000001</v>
      </c>
      <c r="C7441" s="1">
        <v>131624.74</v>
      </c>
      <c r="D7441" s="3">
        <v>-7.4075999999999795E-2</v>
      </c>
      <c r="E7441" s="3">
        <v>-1.41512840194567</v>
      </c>
      <c r="F7441" s="3">
        <v>-1.41512840194567</v>
      </c>
      <c r="G7441" s="3">
        <v>5.1605020000000001</v>
      </c>
      <c r="H7441" s="3">
        <v>43.807213192013897</v>
      </c>
      <c r="I7441" s="3">
        <v>5.2345785999999999</v>
      </c>
      <c r="J7441" s="3">
        <v>5.3333430000000002</v>
      </c>
      <c r="K7441" s="3">
        <v>5.1358113000000003</v>
      </c>
      <c r="L7441" s="3">
        <v>43.807213192013897</v>
      </c>
    </row>
    <row r="7442" spans="1:12" ht="15" customHeight="1" x14ac:dyDescent="0.2">
      <c r="A7442" s="2">
        <v>35251</v>
      </c>
      <c r="B7442" s="3">
        <v>5.234578</v>
      </c>
      <c r="C7442" s="1">
        <v>56193.637999999999</v>
      </c>
      <c r="D7442" s="3">
        <v>-0.19753199999999899</v>
      </c>
      <c r="E7442" s="3">
        <v>-3.6363770247656899</v>
      </c>
      <c r="F7442" s="3">
        <v>-3.6363770247656899</v>
      </c>
      <c r="G7442" s="3">
        <v>5.234578</v>
      </c>
      <c r="H7442" s="3">
        <v>45.871481963620198</v>
      </c>
      <c r="I7442" s="3">
        <v>5.2345785999999999</v>
      </c>
      <c r="J7442" s="3">
        <v>5.3333430000000002</v>
      </c>
      <c r="K7442" s="3">
        <v>5.1851950000000002</v>
      </c>
      <c r="L7442" s="3">
        <v>45.871481963620198</v>
      </c>
    </row>
    <row r="7443" spans="1:12" ht="15" customHeight="1" x14ac:dyDescent="0.2">
      <c r="A7443" s="2">
        <v>35249</v>
      </c>
      <c r="B7443" s="3">
        <v>5.4321099999999998</v>
      </c>
      <c r="C7443" s="1">
        <v>101756.065</v>
      </c>
      <c r="D7443" s="3">
        <v>9.8766999999999605E-2</v>
      </c>
      <c r="E7443" s="3">
        <v>1.85187789347132</v>
      </c>
      <c r="F7443" s="3">
        <v>1.85187789347132</v>
      </c>
      <c r="G7443" s="3">
        <v>5.4321099999999998</v>
      </c>
      <c r="H7443" s="3">
        <v>51.376087220287999</v>
      </c>
      <c r="I7443" s="3">
        <v>5.4321099999999998</v>
      </c>
      <c r="J7443" s="3">
        <v>5.4321099999999998</v>
      </c>
      <c r="K7443" s="3">
        <v>5.3333430000000002</v>
      </c>
      <c r="L7443" s="3">
        <v>51.376087220287999</v>
      </c>
    </row>
    <row r="7444" spans="1:12" ht="15" customHeight="1" x14ac:dyDescent="0.2">
      <c r="A7444" s="2">
        <v>35248</v>
      </c>
      <c r="B7444" s="3">
        <v>5.3333430000000002</v>
      </c>
      <c r="C7444" s="1">
        <v>76949.843999999997</v>
      </c>
      <c r="D7444" s="3">
        <v>-9.8766999999999605E-2</v>
      </c>
      <c r="E7444" s="3">
        <v>-1.81820692143568</v>
      </c>
      <c r="F7444" s="3">
        <v>-1.81820692143568</v>
      </c>
      <c r="G7444" s="3">
        <v>5.3333430000000002</v>
      </c>
      <c r="H7444" s="3">
        <v>48.6237567250502</v>
      </c>
      <c r="I7444" s="3">
        <v>5.3827267000000001</v>
      </c>
      <c r="J7444" s="3">
        <v>5.4814916</v>
      </c>
      <c r="K7444" s="3">
        <v>5.3333430000000002</v>
      </c>
      <c r="L7444" s="3">
        <v>48.6237567250502</v>
      </c>
    </row>
    <row r="7445" spans="1:12" ht="15" customHeight="1" x14ac:dyDescent="0.2">
      <c r="A7445" s="2">
        <v>35247</v>
      </c>
      <c r="B7445" s="3">
        <v>5.4321099999999998</v>
      </c>
      <c r="C7445" s="1">
        <v>381205.57</v>
      </c>
      <c r="D7445" s="3"/>
      <c r="E7445" s="3"/>
      <c r="F7445" s="3"/>
      <c r="G7445" s="3">
        <v>5.4321099999999998</v>
      </c>
      <c r="H7445" s="3">
        <v>51.376087220287999</v>
      </c>
      <c r="I7445" s="3">
        <v>5.3333449999999996</v>
      </c>
      <c r="J7445" s="3">
        <v>5.4814916</v>
      </c>
      <c r="K7445" s="3">
        <v>5.2839612999999996</v>
      </c>
      <c r="L7445" s="3">
        <v>51.376087220287999</v>
      </c>
    </row>
    <row r="7446" spans="1:12" ht="15" customHeight="1" x14ac:dyDescent="0.2">
      <c r="A7446" s="2">
        <v>35244</v>
      </c>
      <c r="B7446" s="3">
        <v>5.4321099999999998</v>
      </c>
      <c r="C7446" s="1">
        <v>527005.19999999995</v>
      </c>
      <c r="D7446" s="3">
        <v>-4.9381600000000199E-2</v>
      </c>
      <c r="E7446" s="3">
        <v>-0.90087887756683505</v>
      </c>
      <c r="F7446" s="3">
        <v>-0.90087887756683505</v>
      </c>
      <c r="G7446" s="3">
        <v>5.4321099999999998</v>
      </c>
      <c r="H7446" s="3">
        <v>51.376087220287999</v>
      </c>
      <c r="I7446" s="3">
        <v>5.4814930000000004</v>
      </c>
      <c r="J7446" s="3">
        <v>5.5802584</v>
      </c>
      <c r="K7446" s="3">
        <v>5.3827267000000001</v>
      </c>
      <c r="L7446" s="3">
        <v>51.376087220287999</v>
      </c>
    </row>
    <row r="7447" spans="1:12" ht="15" customHeight="1" x14ac:dyDescent="0.2">
      <c r="A7447" s="2">
        <v>35243</v>
      </c>
      <c r="B7447" s="3">
        <v>5.4814916</v>
      </c>
      <c r="C7447" s="1">
        <v>63281.123999999902</v>
      </c>
      <c r="D7447" s="3"/>
      <c r="E7447" s="3"/>
      <c r="F7447" s="3"/>
      <c r="G7447" s="3">
        <v>5.4814916</v>
      </c>
      <c r="H7447" s="3">
        <v>52.752199520789503</v>
      </c>
      <c r="I7447" s="3">
        <v>5.3827267000000001</v>
      </c>
      <c r="J7447" s="3">
        <v>5.4814916</v>
      </c>
      <c r="K7447" s="3">
        <v>5.2839612999999996</v>
      </c>
      <c r="L7447" s="3">
        <v>52.752199520789503</v>
      </c>
    </row>
    <row r="7448" spans="1:12" ht="15" customHeight="1" x14ac:dyDescent="0.2">
      <c r="A7448" s="2">
        <v>35242</v>
      </c>
      <c r="B7448" s="3">
        <v>5.4814916</v>
      </c>
      <c r="C7448" s="1">
        <v>233887.07</v>
      </c>
      <c r="D7448" s="3">
        <v>-4.9384100000000097E-2</v>
      </c>
      <c r="E7448" s="3">
        <v>-0.89288030826655196</v>
      </c>
      <c r="F7448" s="3">
        <v>-0.89288030826655196</v>
      </c>
      <c r="G7448" s="3">
        <v>5.4814916</v>
      </c>
      <c r="H7448" s="3">
        <v>52.752199520789503</v>
      </c>
      <c r="I7448" s="3">
        <v>5.5308757000000002</v>
      </c>
      <c r="J7448" s="3">
        <v>5.5308757000000002</v>
      </c>
      <c r="K7448" s="3">
        <v>5.3333430000000002</v>
      </c>
      <c r="L7448" s="3">
        <v>52.752199520789503</v>
      </c>
    </row>
    <row r="7449" spans="1:12" ht="15" customHeight="1" x14ac:dyDescent="0.2">
      <c r="A7449" s="2">
        <v>35241</v>
      </c>
      <c r="B7449" s="3">
        <v>5.5308757000000002</v>
      </c>
      <c r="C7449" s="1">
        <v>473342.86</v>
      </c>
      <c r="D7449" s="3">
        <v>0.148149</v>
      </c>
      <c r="E7449" s="3">
        <v>2.7523039577692199</v>
      </c>
      <c r="F7449" s="3">
        <v>2.7523039577692199</v>
      </c>
      <c r="G7449" s="3">
        <v>5.5308757000000002</v>
      </c>
      <c r="H7449" s="3">
        <v>54.128381488550701</v>
      </c>
      <c r="I7449" s="3">
        <v>5.3827267000000001</v>
      </c>
      <c r="J7449" s="3">
        <v>5.5308757000000002</v>
      </c>
      <c r="K7449" s="3">
        <v>5.3827267000000001</v>
      </c>
      <c r="L7449" s="3">
        <v>54.128381488550701</v>
      </c>
    </row>
    <row r="7450" spans="1:12" ht="15" customHeight="1" x14ac:dyDescent="0.2">
      <c r="A7450" s="2">
        <v>35240</v>
      </c>
      <c r="B7450" s="3">
        <v>5.3827267000000001</v>
      </c>
      <c r="C7450" s="1">
        <v>619648.74</v>
      </c>
      <c r="D7450" s="3">
        <v>0.19753169999999901</v>
      </c>
      <c r="E7450" s="3">
        <v>3.8095327176702098</v>
      </c>
      <c r="F7450" s="3">
        <v>3.8095327176702098</v>
      </c>
      <c r="G7450" s="3">
        <v>5.3827267000000001</v>
      </c>
      <c r="H7450" s="3">
        <v>49.999927546049904</v>
      </c>
      <c r="I7450" s="3">
        <v>5.1358128000000001</v>
      </c>
      <c r="J7450" s="3">
        <v>5.4074187</v>
      </c>
      <c r="K7450" s="3">
        <v>5.1358113000000003</v>
      </c>
      <c r="L7450" s="3">
        <v>49.999927546049904</v>
      </c>
    </row>
    <row r="7451" spans="1:12" ht="15" customHeight="1" x14ac:dyDescent="0.2">
      <c r="A7451" s="2">
        <v>35237</v>
      </c>
      <c r="B7451" s="3">
        <v>5.1851950000000002</v>
      </c>
      <c r="C7451" s="1">
        <v>107831.05499999999</v>
      </c>
      <c r="D7451" s="3"/>
      <c r="E7451" s="3"/>
      <c r="F7451" s="3"/>
      <c r="G7451" s="3">
        <v>5.1851950000000002</v>
      </c>
      <c r="H7451" s="3">
        <v>44.495330649453201</v>
      </c>
      <c r="I7451" s="3">
        <v>5.08643</v>
      </c>
      <c r="J7451" s="3">
        <v>5.234578</v>
      </c>
      <c r="K7451" s="3">
        <v>5.0864285999999996</v>
      </c>
      <c r="L7451" s="3">
        <v>44.495330649453201</v>
      </c>
    </row>
    <row r="7452" spans="1:12" ht="15" customHeight="1" x14ac:dyDescent="0.2">
      <c r="A7452" s="2">
        <v>35236</v>
      </c>
      <c r="B7452" s="3">
        <v>5.1851950000000002</v>
      </c>
      <c r="C7452" s="1">
        <v>53156.146999999997</v>
      </c>
      <c r="D7452" s="3">
        <v>4.9383699999999899E-2</v>
      </c>
      <c r="E7452" s="3">
        <v>0.96155596682456701</v>
      </c>
      <c r="F7452" s="3">
        <v>0.96155596682456701</v>
      </c>
      <c r="G7452" s="3">
        <v>5.1851950000000002</v>
      </c>
      <c r="H7452" s="3">
        <v>44.495330649453201</v>
      </c>
      <c r="I7452" s="3">
        <v>5.2345785999999999</v>
      </c>
      <c r="J7452" s="3">
        <v>5.234578</v>
      </c>
      <c r="K7452" s="3">
        <v>5.0864285999999996</v>
      </c>
      <c r="L7452" s="3">
        <v>44.495330649453201</v>
      </c>
    </row>
    <row r="7453" spans="1:12" ht="15" customHeight="1" x14ac:dyDescent="0.2">
      <c r="A7453" s="2">
        <v>35235</v>
      </c>
      <c r="B7453" s="3">
        <v>5.1358113000000003</v>
      </c>
      <c r="C7453" s="1">
        <v>59737.392</v>
      </c>
      <c r="D7453" s="3"/>
      <c r="E7453" s="3"/>
      <c r="F7453" s="3"/>
      <c r="G7453" s="3">
        <v>5.1358113000000003</v>
      </c>
      <c r="H7453" s="3">
        <v>43.119159828453498</v>
      </c>
      <c r="I7453" s="3">
        <v>5.1358128000000001</v>
      </c>
      <c r="J7453" s="3">
        <v>5.234578</v>
      </c>
      <c r="K7453" s="3">
        <v>5.1358113000000003</v>
      </c>
      <c r="L7453" s="3">
        <v>43.119159828453498</v>
      </c>
    </row>
    <row r="7454" spans="1:12" ht="15" customHeight="1" x14ac:dyDescent="0.2">
      <c r="A7454" s="2">
        <v>35234</v>
      </c>
      <c r="B7454" s="3">
        <v>5.1358113000000003</v>
      </c>
      <c r="C7454" s="1">
        <v>121499.76</v>
      </c>
      <c r="D7454" s="3">
        <v>-0.148149999999999</v>
      </c>
      <c r="E7454" s="3">
        <v>-2.8037676960275899</v>
      </c>
      <c r="F7454" s="3">
        <v>-2.8037676960275899</v>
      </c>
      <c r="G7454" s="3">
        <v>5.1358113000000003</v>
      </c>
      <c r="H7454" s="3">
        <v>43.119159828453498</v>
      </c>
      <c r="I7454" s="3">
        <v>5.2345785999999999</v>
      </c>
      <c r="J7454" s="3">
        <v>5.2839612999999996</v>
      </c>
      <c r="K7454" s="3">
        <v>5.1358113000000003</v>
      </c>
      <c r="L7454" s="3">
        <v>43.119159828453498</v>
      </c>
    </row>
    <row r="7455" spans="1:12" ht="15" customHeight="1" x14ac:dyDescent="0.2">
      <c r="A7455" s="2">
        <v>35233</v>
      </c>
      <c r="B7455" s="3">
        <v>5.2839612999999996</v>
      </c>
      <c r="C7455" s="1">
        <v>34931.182999999997</v>
      </c>
      <c r="D7455" s="3">
        <v>4.9383299999999603E-2</v>
      </c>
      <c r="E7455" s="3">
        <v>0.94340556201473103</v>
      </c>
      <c r="F7455" s="3">
        <v>0.94340556201473103</v>
      </c>
      <c r="G7455" s="3">
        <v>5.2839612999999996</v>
      </c>
      <c r="H7455" s="3">
        <v>47.247641637858301</v>
      </c>
      <c r="I7455" s="3">
        <v>5.2839612999999996</v>
      </c>
      <c r="J7455" s="3">
        <v>5.2839612999999996</v>
      </c>
      <c r="K7455" s="3">
        <v>5.234578</v>
      </c>
      <c r="L7455" s="3">
        <v>47.247641637858301</v>
      </c>
    </row>
    <row r="7456" spans="1:12" ht="15" customHeight="1" x14ac:dyDescent="0.2">
      <c r="A7456" s="2">
        <v>35230</v>
      </c>
      <c r="B7456" s="3">
        <v>5.234578</v>
      </c>
      <c r="C7456" s="1">
        <v>27843.692999999999</v>
      </c>
      <c r="D7456" s="3">
        <v>-4.9383299999999603E-2</v>
      </c>
      <c r="E7456" s="3">
        <v>-0.93458860116935005</v>
      </c>
      <c r="F7456" s="3">
        <v>-0.93458860116935005</v>
      </c>
      <c r="G7456" s="3">
        <v>5.234578</v>
      </c>
      <c r="H7456" s="3">
        <v>45.871481963620198</v>
      </c>
      <c r="I7456" s="3">
        <v>5.2839612999999996</v>
      </c>
      <c r="J7456" s="3">
        <v>5.2839612999999996</v>
      </c>
      <c r="K7456" s="3">
        <v>5.234578</v>
      </c>
      <c r="L7456" s="3">
        <v>45.871481963620198</v>
      </c>
    </row>
    <row r="7457" spans="1:12" ht="15" customHeight="1" x14ac:dyDescent="0.2">
      <c r="A7457" s="2">
        <v>35229</v>
      </c>
      <c r="B7457" s="3">
        <v>5.2839612999999996</v>
      </c>
      <c r="C7457" s="1">
        <v>73406.12</v>
      </c>
      <c r="D7457" s="3">
        <v>4.9383299999999603E-2</v>
      </c>
      <c r="E7457" s="3">
        <v>0.94340556201473103</v>
      </c>
      <c r="F7457" s="3">
        <v>0.94340556201473103</v>
      </c>
      <c r="G7457" s="3">
        <v>5.2839612999999996</v>
      </c>
      <c r="H7457" s="3">
        <v>47.247641637858301</v>
      </c>
      <c r="I7457" s="3">
        <v>5.2839612999999996</v>
      </c>
      <c r="J7457" s="3">
        <v>5.2839612999999996</v>
      </c>
      <c r="K7457" s="3">
        <v>5.234578</v>
      </c>
      <c r="L7457" s="3">
        <v>47.247641637858301</v>
      </c>
    </row>
    <row r="7458" spans="1:12" ht="15" customHeight="1" x14ac:dyDescent="0.2">
      <c r="A7458" s="2">
        <v>35228</v>
      </c>
      <c r="B7458" s="3">
        <v>5.234578</v>
      </c>
      <c r="C7458" s="1">
        <v>255149.5</v>
      </c>
      <c r="D7458" s="3">
        <v>-0.19753199999999899</v>
      </c>
      <c r="E7458" s="3">
        <v>-3.6363770247656899</v>
      </c>
      <c r="F7458" s="3">
        <v>-3.6363770247656899</v>
      </c>
      <c r="G7458" s="3">
        <v>5.234578</v>
      </c>
      <c r="H7458" s="3">
        <v>45.871481963620198</v>
      </c>
      <c r="I7458" s="3">
        <v>5.3333449999999996</v>
      </c>
      <c r="J7458" s="3">
        <v>5.4321099999999998</v>
      </c>
      <c r="K7458" s="3">
        <v>5.234578</v>
      </c>
      <c r="L7458" s="3">
        <v>45.871481963620198</v>
      </c>
    </row>
    <row r="7459" spans="1:12" ht="15" customHeight="1" x14ac:dyDescent="0.2">
      <c r="A7459" s="2">
        <v>35227</v>
      </c>
      <c r="B7459" s="3">
        <v>5.4321099999999998</v>
      </c>
      <c r="C7459" s="1">
        <v>239962.04</v>
      </c>
      <c r="D7459" s="3">
        <v>0.14814869999999999</v>
      </c>
      <c r="E7459" s="3">
        <v>2.8037430932735998</v>
      </c>
      <c r="F7459" s="3">
        <v>2.8037430932735998</v>
      </c>
      <c r="G7459" s="3">
        <v>5.4321099999999998</v>
      </c>
      <c r="H7459" s="3">
        <v>51.376087220287999</v>
      </c>
      <c r="I7459" s="3">
        <v>5.3333449999999996</v>
      </c>
      <c r="J7459" s="3">
        <v>5.4814916</v>
      </c>
      <c r="K7459" s="3">
        <v>5.3333430000000002</v>
      </c>
      <c r="L7459" s="3">
        <v>51.376087220287999</v>
      </c>
    </row>
    <row r="7460" spans="1:12" ht="15" customHeight="1" x14ac:dyDescent="0.2">
      <c r="A7460" s="2">
        <v>35226</v>
      </c>
      <c r="B7460" s="3">
        <v>5.2839612999999996</v>
      </c>
      <c r="C7460" s="1">
        <v>173137.18</v>
      </c>
      <c r="D7460" s="3">
        <v>2.4692299999999799E-2</v>
      </c>
      <c r="E7460" s="3">
        <v>0.46950060930521698</v>
      </c>
      <c r="F7460" s="3">
        <v>0.46950060930521698</v>
      </c>
      <c r="G7460" s="3">
        <v>5.2839612999999996</v>
      </c>
      <c r="H7460" s="3">
        <v>47.247641637858301</v>
      </c>
      <c r="I7460" s="3">
        <v>5.2345785999999999</v>
      </c>
      <c r="J7460" s="3">
        <v>5.3333430000000002</v>
      </c>
      <c r="K7460" s="3">
        <v>5.234578</v>
      </c>
      <c r="L7460" s="3">
        <v>47.247641637858301</v>
      </c>
    </row>
    <row r="7461" spans="1:12" ht="15" customHeight="1" x14ac:dyDescent="0.2">
      <c r="A7461" s="2">
        <v>35223</v>
      </c>
      <c r="B7461" s="3">
        <v>5.2592689999999997</v>
      </c>
      <c r="C7461" s="1">
        <v>313368.13</v>
      </c>
      <c r="D7461" s="3">
        <v>0.123457699999999</v>
      </c>
      <c r="E7461" s="3">
        <v>2.40385973682482</v>
      </c>
      <c r="F7461" s="3">
        <v>2.40385973682482</v>
      </c>
      <c r="G7461" s="3">
        <v>5.2592689999999997</v>
      </c>
      <c r="H7461" s="3">
        <v>46.559543687251697</v>
      </c>
      <c r="I7461" s="3">
        <v>5.0370473999999996</v>
      </c>
      <c r="J7461" s="3">
        <v>5.2839612999999996</v>
      </c>
      <c r="K7461" s="3">
        <v>4.9876636999999997</v>
      </c>
      <c r="L7461" s="3">
        <v>46.559543687251697</v>
      </c>
    </row>
    <row r="7462" spans="1:12" ht="15" customHeight="1" x14ac:dyDescent="0.2">
      <c r="A7462" s="2">
        <v>35222</v>
      </c>
      <c r="B7462" s="3">
        <v>5.1358113000000003</v>
      </c>
      <c r="C7462" s="1">
        <v>110868.52</v>
      </c>
      <c r="D7462" s="3">
        <v>-4.9383699999999899E-2</v>
      </c>
      <c r="E7462" s="3">
        <v>-0.95239812581783201</v>
      </c>
      <c r="F7462" s="3">
        <v>-0.95239812581783201</v>
      </c>
      <c r="G7462" s="3">
        <v>5.1358113000000003</v>
      </c>
      <c r="H7462" s="3">
        <v>43.119159828453498</v>
      </c>
      <c r="I7462" s="3">
        <v>5.08643</v>
      </c>
      <c r="J7462" s="3">
        <v>5.1851950000000002</v>
      </c>
      <c r="K7462" s="3">
        <v>5.0864285999999996</v>
      </c>
      <c r="L7462" s="3">
        <v>43.119159828453498</v>
      </c>
    </row>
    <row r="7463" spans="1:12" ht="15" customHeight="1" x14ac:dyDescent="0.2">
      <c r="A7463" s="2">
        <v>35221</v>
      </c>
      <c r="B7463" s="3">
        <v>5.1851950000000002</v>
      </c>
      <c r="C7463" s="1">
        <v>118968.53</v>
      </c>
      <c r="D7463" s="3"/>
      <c r="E7463" s="3"/>
      <c r="F7463" s="3"/>
      <c r="G7463" s="3">
        <v>5.1851950000000002</v>
      </c>
      <c r="H7463" s="3">
        <v>44.495330649453201</v>
      </c>
      <c r="I7463" s="3">
        <v>5.1851963999999997</v>
      </c>
      <c r="J7463" s="3">
        <v>5.1851950000000002</v>
      </c>
      <c r="K7463" s="3">
        <v>5.0864285999999996</v>
      </c>
      <c r="L7463" s="3">
        <v>44.495330649453201</v>
      </c>
    </row>
    <row r="7464" spans="1:12" ht="15" customHeight="1" x14ac:dyDescent="0.2">
      <c r="A7464" s="2">
        <v>35220</v>
      </c>
      <c r="B7464" s="3">
        <v>5.1851950000000002</v>
      </c>
      <c r="C7464" s="1">
        <v>92643.569999999905</v>
      </c>
      <c r="D7464" s="3"/>
      <c r="E7464" s="3"/>
      <c r="F7464" s="3"/>
      <c r="G7464" s="3">
        <v>5.1851950000000002</v>
      </c>
      <c r="H7464" s="3">
        <v>44.495330649453201</v>
      </c>
      <c r="I7464" s="3">
        <v>5.08643</v>
      </c>
      <c r="J7464" s="3">
        <v>5.1851950000000002</v>
      </c>
      <c r="K7464" s="3">
        <v>5.0864285999999996</v>
      </c>
      <c r="L7464" s="3">
        <v>44.495330649453201</v>
      </c>
    </row>
    <row r="7465" spans="1:12" ht="15" customHeight="1" x14ac:dyDescent="0.2">
      <c r="A7465" s="2">
        <v>35219</v>
      </c>
      <c r="B7465" s="3">
        <v>5.1851950000000002</v>
      </c>
      <c r="C7465" s="1">
        <v>299193.18</v>
      </c>
      <c r="D7465" s="3">
        <v>-4.9382999999999698E-2</v>
      </c>
      <c r="E7465" s="3">
        <v>-0.94339983089372004</v>
      </c>
      <c r="F7465" s="3">
        <v>-0.94339983089372004</v>
      </c>
      <c r="G7465" s="3">
        <v>5.1851950000000002</v>
      </c>
      <c r="H7465" s="3">
        <v>44.495330649453201</v>
      </c>
      <c r="I7465" s="3">
        <v>5.1358128000000001</v>
      </c>
      <c r="J7465" s="3">
        <v>5.1851950000000002</v>
      </c>
      <c r="K7465" s="3">
        <v>5.0864285999999996</v>
      </c>
      <c r="L7465" s="3">
        <v>44.495330649453201</v>
      </c>
    </row>
    <row r="7466" spans="1:12" ht="15" customHeight="1" x14ac:dyDescent="0.2">
      <c r="A7466" s="2">
        <v>35216</v>
      </c>
      <c r="B7466" s="3">
        <v>5.234578</v>
      </c>
      <c r="C7466" s="1">
        <v>323493.13</v>
      </c>
      <c r="D7466" s="3">
        <v>-4.9383299999999603E-2</v>
      </c>
      <c r="E7466" s="3">
        <v>-0.93458860116935005</v>
      </c>
      <c r="F7466" s="3">
        <v>-0.93458860116935005</v>
      </c>
      <c r="G7466" s="3">
        <v>5.234578</v>
      </c>
      <c r="H7466" s="3">
        <v>45.871481963620198</v>
      </c>
      <c r="I7466" s="3">
        <v>5.2839612999999996</v>
      </c>
      <c r="J7466" s="3">
        <v>5.2839612999999996</v>
      </c>
      <c r="K7466" s="3">
        <v>5.1358113000000003</v>
      </c>
      <c r="L7466" s="3">
        <v>45.871481963620198</v>
      </c>
    </row>
    <row r="7467" spans="1:12" ht="15" customHeight="1" x14ac:dyDescent="0.2">
      <c r="A7467" s="2">
        <v>35215</v>
      </c>
      <c r="B7467" s="3">
        <v>5.2839612999999996</v>
      </c>
      <c r="C7467" s="1">
        <v>200474.62</v>
      </c>
      <c r="D7467" s="3">
        <v>0.148149999999999</v>
      </c>
      <c r="E7467" s="3">
        <v>2.8846464822412701</v>
      </c>
      <c r="F7467" s="3">
        <v>2.8846464822412701</v>
      </c>
      <c r="G7467" s="3">
        <v>5.2839612999999996</v>
      </c>
      <c r="H7467" s="3">
        <v>47.247641637858301</v>
      </c>
      <c r="I7467" s="3">
        <v>5.1358128000000001</v>
      </c>
      <c r="J7467" s="3">
        <v>5.2839612999999996</v>
      </c>
      <c r="K7467" s="3">
        <v>5.0864285999999996</v>
      </c>
      <c r="L7467" s="3">
        <v>47.247641637858301</v>
      </c>
    </row>
    <row r="7468" spans="1:12" ht="15" customHeight="1" x14ac:dyDescent="0.2">
      <c r="A7468" s="2">
        <v>35214</v>
      </c>
      <c r="B7468" s="3">
        <v>5.1358113000000003</v>
      </c>
      <c r="C7468" s="1">
        <v>244518.28</v>
      </c>
      <c r="D7468" s="3">
        <v>-0.172841099999999</v>
      </c>
      <c r="E7468" s="3">
        <v>-3.2558375831877702</v>
      </c>
      <c r="F7468" s="3">
        <v>-3.2558375831877702</v>
      </c>
      <c r="G7468" s="3">
        <v>5.1358113000000003</v>
      </c>
      <c r="H7468" s="3">
        <v>43.119159828453498</v>
      </c>
      <c r="I7468" s="3">
        <v>5.259271</v>
      </c>
      <c r="J7468" s="3">
        <v>5.2592689999999997</v>
      </c>
      <c r="K7468" s="3">
        <v>5.1358113000000003</v>
      </c>
      <c r="L7468" s="3">
        <v>43.119159828453498</v>
      </c>
    </row>
    <row r="7469" spans="1:12" ht="15" customHeight="1" x14ac:dyDescent="0.2">
      <c r="A7469" s="2">
        <v>35213</v>
      </c>
      <c r="B7469" s="3">
        <v>5.3086523999999997</v>
      </c>
      <c r="C7469" s="1">
        <v>189337.16</v>
      </c>
      <c r="D7469" s="3">
        <v>-0.1234576</v>
      </c>
      <c r="E7469" s="3">
        <v>-2.2727374813838401</v>
      </c>
      <c r="F7469" s="3">
        <v>-2.2727374813838401</v>
      </c>
      <c r="G7469" s="3">
        <v>5.3086523999999997</v>
      </c>
      <c r="H7469" s="3">
        <v>47.935706148180202</v>
      </c>
      <c r="I7469" s="3">
        <v>5.2839612999999996</v>
      </c>
      <c r="J7469" s="3">
        <v>5.3827267000000001</v>
      </c>
      <c r="K7469" s="3">
        <v>5.234578</v>
      </c>
      <c r="L7469" s="3">
        <v>47.935706148180202</v>
      </c>
    </row>
    <row r="7470" spans="1:12" ht="15" customHeight="1" x14ac:dyDescent="0.2">
      <c r="A7470" s="2">
        <v>35209</v>
      </c>
      <c r="B7470" s="3">
        <v>5.4321099999999998</v>
      </c>
      <c r="C7470" s="1">
        <v>140737.23000000001</v>
      </c>
      <c r="D7470" s="3">
        <v>0.19753199999999899</v>
      </c>
      <c r="E7470" s="3">
        <v>3.7735993235748801</v>
      </c>
      <c r="F7470" s="3">
        <v>3.7735993235748801</v>
      </c>
      <c r="G7470" s="3">
        <v>5.4321099999999998</v>
      </c>
      <c r="H7470" s="3">
        <v>51.376087220287999</v>
      </c>
      <c r="I7470" s="3">
        <v>5.2345785999999999</v>
      </c>
      <c r="J7470" s="3">
        <v>5.4321099999999998</v>
      </c>
      <c r="K7470" s="3">
        <v>5.234578</v>
      </c>
      <c r="L7470" s="3">
        <v>51.376087220287999</v>
      </c>
    </row>
    <row r="7471" spans="1:12" ht="15" customHeight="1" x14ac:dyDescent="0.2">
      <c r="A7471" s="2">
        <v>35208</v>
      </c>
      <c r="B7471" s="3">
        <v>5.234578</v>
      </c>
      <c r="C7471" s="1">
        <v>203005.87</v>
      </c>
      <c r="D7471" s="3">
        <v>-0.19753199999999899</v>
      </c>
      <c r="E7471" s="3">
        <v>-3.6363770247656899</v>
      </c>
      <c r="F7471" s="3">
        <v>-3.6363770247656899</v>
      </c>
      <c r="G7471" s="3">
        <v>5.234578</v>
      </c>
      <c r="H7471" s="3">
        <v>45.871481963620198</v>
      </c>
      <c r="I7471" s="3">
        <v>5.3333449999999996</v>
      </c>
      <c r="J7471" s="3">
        <v>5.4321099999999998</v>
      </c>
      <c r="K7471" s="3">
        <v>5.234578</v>
      </c>
      <c r="L7471" s="3">
        <v>45.871481963620198</v>
      </c>
    </row>
    <row r="7472" spans="1:12" ht="15" customHeight="1" x14ac:dyDescent="0.2">
      <c r="A7472" s="2">
        <v>35207</v>
      </c>
      <c r="B7472" s="3">
        <v>5.4321099999999998</v>
      </c>
      <c r="C7472" s="1">
        <v>347793.1</v>
      </c>
      <c r="D7472" s="3">
        <v>-9.87657000000004E-2</v>
      </c>
      <c r="E7472" s="3">
        <v>-1.7857154157342601</v>
      </c>
      <c r="F7472" s="3">
        <v>-1.7857154157342601</v>
      </c>
      <c r="G7472" s="3">
        <v>5.4321099999999998</v>
      </c>
      <c r="H7472" s="3">
        <v>51.376087220287999</v>
      </c>
      <c r="I7472" s="3">
        <v>5.5308757000000002</v>
      </c>
      <c r="J7472" s="3">
        <v>5.5308757000000002</v>
      </c>
      <c r="K7472" s="3">
        <v>5.2839612999999996</v>
      </c>
      <c r="L7472" s="3">
        <v>51.376087220287999</v>
      </c>
    </row>
    <row r="7473" spans="1:12" ht="15" customHeight="1" x14ac:dyDescent="0.2">
      <c r="A7473" s="2">
        <v>35206</v>
      </c>
      <c r="B7473" s="3">
        <v>5.5308757000000002</v>
      </c>
      <c r="C7473" s="1">
        <v>1010979.25</v>
      </c>
      <c r="D7473" s="3">
        <v>0.24691440000000001</v>
      </c>
      <c r="E7473" s="3">
        <v>4.6729032629364697</v>
      </c>
      <c r="F7473" s="3">
        <v>4.6729032629364697</v>
      </c>
      <c r="G7473" s="3">
        <v>5.5308757000000002</v>
      </c>
      <c r="H7473" s="3">
        <v>54.128381488550701</v>
      </c>
      <c r="I7473" s="3">
        <v>5.3827267000000001</v>
      </c>
      <c r="J7473" s="3">
        <v>5.6296406000000001</v>
      </c>
      <c r="K7473" s="3">
        <v>5.2839612999999996</v>
      </c>
      <c r="L7473" s="3">
        <v>54.128381488550701</v>
      </c>
    </row>
    <row r="7474" spans="1:12" ht="15" customHeight="1" x14ac:dyDescent="0.2">
      <c r="A7474" s="2">
        <v>35205</v>
      </c>
      <c r="B7474" s="3">
        <v>5.2839612999999996</v>
      </c>
      <c r="C7474" s="1">
        <v>539155.19999999995</v>
      </c>
      <c r="D7474" s="3">
        <v>0.148149999999999</v>
      </c>
      <c r="E7474" s="3">
        <v>2.8846464822412701</v>
      </c>
      <c r="F7474" s="3">
        <v>2.8846464822412701</v>
      </c>
      <c r="G7474" s="3">
        <v>5.2839612999999996</v>
      </c>
      <c r="H7474" s="3">
        <v>47.247641637858301</v>
      </c>
      <c r="I7474" s="3">
        <v>5.1358128000000001</v>
      </c>
      <c r="J7474" s="3">
        <v>5.3827267000000001</v>
      </c>
      <c r="K7474" s="3">
        <v>5.0370464000000004</v>
      </c>
      <c r="L7474" s="3">
        <v>47.247641637858301</v>
      </c>
    </row>
    <row r="7475" spans="1:12" ht="15" customHeight="1" x14ac:dyDescent="0.2">
      <c r="A7475" s="2">
        <v>35202</v>
      </c>
      <c r="B7475" s="3">
        <v>5.1358113000000003</v>
      </c>
      <c r="C7475" s="1">
        <v>43031.165999999997</v>
      </c>
      <c r="D7475" s="3">
        <v>9.8764899999999906E-2</v>
      </c>
      <c r="E7475" s="3">
        <v>1.9607701052744</v>
      </c>
      <c r="F7475" s="3">
        <v>1.9607701052744</v>
      </c>
      <c r="G7475" s="3">
        <v>5.1358113000000003</v>
      </c>
      <c r="H7475" s="3">
        <v>43.119159828453498</v>
      </c>
      <c r="I7475" s="3">
        <v>5.1358128000000001</v>
      </c>
      <c r="J7475" s="3">
        <v>5.1358113000000003</v>
      </c>
      <c r="K7475" s="3">
        <v>5.0370464000000004</v>
      </c>
      <c r="L7475" s="3">
        <v>43.119159828453498</v>
      </c>
    </row>
    <row r="7476" spans="1:12" ht="15" customHeight="1" x14ac:dyDescent="0.2">
      <c r="A7476" s="2">
        <v>35201</v>
      </c>
      <c r="B7476" s="3">
        <v>5.0370464000000004</v>
      </c>
      <c r="C7476" s="1">
        <v>174149.66999999899</v>
      </c>
      <c r="D7476" s="3">
        <v>-4.9382199999999203E-2</v>
      </c>
      <c r="E7476" s="3">
        <v>-0.97086195213669202</v>
      </c>
      <c r="F7476" s="3">
        <v>-0.97086195213669202</v>
      </c>
      <c r="G7476" s="3">
        <v>5.0370464000000004</v>
      </c>
      <c r="H7476" s="3">
        <v>40.366887853713898</v>
      </c>
      <c r="I7476" s="3">
        <v>5.08643</v>
      </c>
      <c r="J7476" s="3">
        <v>5.1358113000000003</v>
      </c>
      <c r="K7476" s="3">
        <v>5.0370464000000004</v>
      </c>
      <c r="L7476" s="3">
        <v>40.366887853713898</v>
      </c>
    </row>
    <row r="7477" spans="1:12" ht="15" customHeight="1" x14ac:dyDescent="0.2">
      <c r="A7477" s="2">
        <v>35200</v>
      </c>
      <c r="B7477" s="3">
        <v>5.0864285999999996</v>
      </c>
      <c r="C7477" s="1">
        <v>735073.6</v>
      </c>
      <c r="D7477" s="3">
        <v>9.8764899999999906E-2</v>
      </c>
      <c r="E7477" s="3">
        <v>1.9801836278576499</v>
      </c>
      <c r="F7477" s="3">
        <v>1.9801836278576499</v>
      </c>
      <c r="G7477" s="3">
        <v>5.0864285999999996</v>
      </c>
      <c r="H7477" s="3">
        <v>41.7430168743577</v>
      </c>
      <c r="I7477" s="3">
        <v>5.0370473999999996</v>
      </c>
      <c r="J7477" s="3">
        <v>5.1851950000000002</v>
      </c>
      <c r="K7477" s="3">
        <v>4.9876636999999997</v>
      </c>
      <c r="L7477" s="3">
        <v>41.7430168743577</v>
      </c>
    </row>
    <row r="7478" spans="1:12" ht="15" customHeight="1" x14ac:dyDescent="0.2">
      <c r="A7478" s="2">
        <v>35199</v>
      </c>
      <c r="B7478" s="3">
        <v>4.9876636999999997</v>
      </c>
      <c r="C7478" s="1">
        <v>300205.69999999902</v>
      </c>
      <c r="D7478" s="3">
        <v>4.6296099999999202E-2</v>
      </c>
      <c r="E7478" s="3">
        <v>0.93690864043385302</v>
      </c>
      <c r="F7478" s="3">
        <v>0.93690864043385302</v>
      </c>
      <c r="G7478" s="3">
        <v>4.9876636999999997</v>
      </c>
      <c r="H7478" s="3">
        <v>38.9907448996181</v>
      </c>
      <c r="I7478" s="3">
        <v>4.9382809999999999</v>
      </c>
      <c r="J7478" s="3">
        <v>5.0370464000000004</v>
      </c>
      <c r="K7478" s="3">
        <v>4.9382809999999999</v>
      </c>
      <c r="L7478" s="3">
        <v>38.9907448996181</v>
      </c>
    </row>
    <row r="7479" spans="1:12" ht="15" customHeight="1" x14ac:dyDescent="0.2">
      <c r="A7479" s="2">
        <v>35198</v>
      </c>
      <c r="B7479" s="3">
        <v>4.9413676000000004</v>
      </c>
      <c r="C7479" s="1">
        <v>82012.343999999997</v>
      </c>
      <c r="D7479" s="3">
        <v>-0.145060999999999</v>
      </c>
      <c r="E7479" s="3">
        <v>-2.85192246677755</v>
      </c>
      <c r="F7479" s="3">
        <v>-2.85192246677755</v>
      </c>
      <c r="G7479" s="3">
        <v>4.9413676000000004</v>
      </c>
      <c r="H7479" s="3">
        <v>37.700615931029603</v>
      </c>
      <c r="I7479" s="3">
        <v>4.9382809999999999</v>
      </c>
      <c r="J7479" s="3">
        <v>5.0864285999999996</v>
      </c>
      <c r="K7479" s="3">
        <v>4.9382809999999999</v>
      </c>
      <c r="L7479" s="3">
        <v>37.700615931029603</v>
      </c>
    </row>
    <row r="7480" spans="1:12" ht="15" customHeight="1" x14ac:dyDescent="0.2">
      <c r="A7480" s="2">
        <v>35195</v>
      </c>
      <c r="B7480" s="3">
        <v>5.0864285999999996</v>
      </c>
      <c r="C7480" s="1">
        <v>108843.549999999</v>
      </c>
      <c r="D7480" s="3">
        <v>7.4072600000000002E-2</v>
      </c>
      <c r="E7480" s="3">
        <v>1.4778000604905099</v>
      </c>
      <c r="F7480" s="3">
        <v>1.4778000604905099</v>
      </c>
      <c r="G7480" s="3">
        <v>5.0864285999999996</v>
      </c>
      <c r="H7480" s="3">
        <v>41.7430168743577</v>
      </c>
      <c r="I7480" s="3">
        <v>5.08643</v>
      </c>
      <c r="J7480" s="3">
        <v>5.0864285999999996</v>
      </c>
      <c r="K7480" s="3">
        <v>4.9382809999999999</v>
      </c>
      <c r="L7480" s="3">
        <v>41.7430168743577</v>
      </c>
    </row>
    <row r="7481" spans="1:12" ht="15" customHeight="1" x14ac:dyDescent="0.2">
      <c r="A7481" s="2">
        <v>35194</v>
      </c>
      <c r="B7481" s="3">
        <v>5.0123559999999996</v>
      </c>
      <c r="C7481" s="1">
        <v>154405.93999999901</v>
      </c>
      <c r="D7481" s="3">
        <v>1.23464999999995E-2</v>
      </c>
      <c r="E7481" s="3">
        <v>0.24692953083387201</v>
      </c>
      <c r="F7481" s="3">
        <v>0.24692953083387201</v>
      </c>
      <c r="G7481" s="3">
        <v>5.0123559999999996</v>
      </c>
      <c r="H7481" s="3">
        <v>39.678842850224598</v>
      </c>
      <c r="I7481" s="3">
        <v>4.9876646999999998</v>
      </c>
      <c r="J7481" s="3">
        <v>5.1358113000000003</v>
      </c>
      <c r="K7481" s="3">
        <v>4.9876636999999997</v>
      </c>
      <c r="L7481" s="3">
        <v>39.678842850224598</v>
      </c>
    </row>
    <row r="7482" spans="1:12" ht="15" customHeight="1" x14ac:dyDescent="0.2">
      <c r="A7482" s="2">
        <v>35193</v>
      </c>
      <c r="B7482" s="3">
        <v>5.0000095</v>
      </c>
      <c r="C7482" s="1">
        <v>258186.98</v>
      </c>
      <c r="D7482" s="3">
        <v>1.23458000000002E-2</v>
      </c>
      <c r="E7482" s="3">
        <v>0.247526712757317</v>
      </c>
      <c r="F7482" s="3">
        <v>0.247526712757317</v>
      </c>
      <c r="G7482" s="3">
        <v>5.0000095</v>
      </c>
      <c r="H7482" s="3">
        <v>39.334784121505002</v>
      </c>
      <c r="I7482" s="3">
        <v>4.9876646999999998</v>
      </c>
      <c r="J7482" s="3">
        <v>5.0370464000000004</v>
      </c>
      <c r="K7482" s="3">
        <v>4.8888984000000004</v>
      </c>
      <c r="L7482" s="3">
        <v>39.334784121505002</v>
      </c>
    </row>
    <row r="7483" spans="1:12" ht="15" customHeight="1" x14ac:dyDescent="0.2">
      <c r="A7483" s="2">
        <v>35192</v>
      </c>
      <c r="B7483" s="3">
        <v>4.9876636999999997</v>
      </c>
      <c r="C7483" s="1">
        <v>59737.392</v>
      </c>
      <c r="D7483" s="3">
        <v>-4.9382700000000598E-2</v>
      </c>
      <c r="E7483" s="3">
        <v>-0.98039001586327501</v>
      </c>
      <c r="F7483" s="3">
        <v>-0.98039001586327501</v>
      </c>
      <c r="G7483" s="3">
        <v>4.9876636999999997</v>
      </c>
      <c r="H7483" s="3">
        <v>38.9907448996181</v>
      </c>
      <c r="I7483" s="3">
        <v>4.9876646999999998</v>
      </c>
      <c r="J7483" s="3">
        <v>5.0864285999999996</v>
      </c>
      <c r="K7483" s="3">
        <v>4.9876636999999997</v>
      </c>
      <c r="L7483" s="3">
        <v>38.9907448996181</v>
      </c>
    </row>
    <row r="7484" spans="1:12" ht="15" customHeight="1" x14ac:dyDescent="0.2">
      <c r="A7484" s="2">
        <v>35191</v>
      </c>
      <c r="B7484" s="3">
        <v>5.0370464000000004</v>
      </c>
      <c r="C7484" s="1">
        <v>264261.95999999897</v>
      </c>
      <c r="D7484" s="3">
        <v>-0.14814859999999899</v>
      </c>
      <c r="E7484" s="3">
        <v>-2.85714616325905</v>
      </c>
      <c r="F7484" s="3">
        <v>-2.85714616325905</v>
      </c>
      <c r="G7484" s="3">
        <v>5.0370464000000004</v>
      </c>
      <c r="H7484" s="3">
        <v>40.366887853713898</v>
      </c>
      <c r="I7484" s="3">
        <v>5.1851963999999997</v>
      </c>
      <c r="J7484" s="3">
        <v>5.1851950000000002</v>
      </c>
      <c r="K7484" s="3">
        <v>4.9876636999999997</v>
      </c>
      <c r="L7484" s="3">
        <v>40.366887853713898</v>
      </c>
    </row>
    <row r="7485" spans="1:12" ht="15" customHeight="1" x14ac:dyDescent="0.2">
      <c r="A7485" s="2">
        <v>35188</v>
      </c>
      <c r="B7485" s="3">
        <v>5.1851950000000002</v>
      </c>
      <c r="C7485" s="1">
        <v>227305.8</v>
      </c>
      <c r="D7485" s="3">
        <v>0.14814859999999899</v>
      </c>
      <c r="E7485" s="3">
        <v>2.94117997404192</v>
      </c>
      <c r="F7485" s="3">
        <v>2.94117997404192</v>
      </c>
      <c r="G7485" s="3">
        <v>5.1851950000000002</v>
      </c>
      <c r="H7485" s="3">
        <v>44.495330649453201</v>
      </c>
      <c r="I7485" s="3">
        <v>4.9382809999999999</v>
      </c>
      <c r="J7485" s="3">
        <v>5.234578</v>
      </c>
      <c r="K7485" s="3">
        <v>4.9382809999999999</v>
      </c>
      <c r="L7485" s="3">
        <v>44.495330649453201</v>
      </c>
    </row>
    <row r="7486" spans="1:12" ht="15" customHeight="1" x14ac:dyDescent="0.2">
      <c r="A7486" s="2">
        <v>35187</v>
      </c>
      <c r="B7486" s="3">
        <v>5.0370464000000004</v>
      </c>
      <c r="C7486" s="1">
        <v>618130</v>
      </c>
      <c r="D7486" s="3">
        <v>-4.9382199999999203E-2</v>
      </c>
      <c r="E7486" s="3">
        <v>-0.97086195213669202</v>
      </c>
      <c r="F7486" s="3">
        <v>-0.97086195213669202</v>
      </c>
      <c r="G7486" s="3">
        <v>5.0370464000000004</v>
      </c>
      <c r="H7486" s="3">
        <v>40.366887853713898</v>
      </c>
      <c r="I7486" s="3">
        <v>5.0370473999999996</v>
      </c>
      <c r="J7486" s="3">
        <v>5.1358113000000003</v>
      </c>
      <c r="K7486" s="3">
        <v>4.9382809999999999</v>
      </c>
      <c r="L7486" s="3">
        <v>40.366887853713898</v>
      </c>
    </row>
    <row r="7487" spans="1:12" ht="15" customHeight="1" x14ac:dyDescent="0.2">
      <c r="A7487" s="2">
        <v>35186</v>
      </c>
      <c r="B7487" s="3">
        <v>5.0864285999999996</v>
      </c>
      <c r="C7487" s="1">
        <v>5386490</v>
      </c>
      <c r="D7487" s="3">
        <v>-9.8766400000000504E-2</v>
      </c>
      <c r="E7487" s="3">
        <v>-1.9047769659578899</v>
      </c>
      <c r="F7487" s="3">
        <v>-1.9047769659578899</v>
      </c>
      <c r="G7487" s="3">
        <v>5.0864285999999996</v>
      </c>
      <c r="H7487" s="3">
        <v>41.7430168743577</v>
      </c>
      <c r="I7487" s="3">
        <v>4.6913676000000004</v>
      </c>
      <c r="J7487" s="3">
        <v>5.234578</v>
      </c>
      <c r="K7487" s="3">
        <v>4.5926023000000002</v>
      </c>
      <c r="L7487" s="3">
        <v>41.7430168743577</v>
      </c>
    </row>
    <row r="7488" spans="1:12" ht="15" customHeight="1" x14ac:dyDescent="0.2">
      <c r="A7488" s="2">
        <v>35185</v>
      </c>
      <c r="B7488" s="3">
        <v>5.1851950000000002</v>
      </c>
      <c r="C7488" s="1">
        <v>295143.19999999902</v>
      </c>
      <c r="D7488" s="3">
        <v>-0.19753169999999901</v>
      </c>
      <c r="E7488" s="3">
        <v>-3.6697330369754702</v>
      </c>
      <c r="F7488" s="3">
        <v>-3.6697330369754702</v>
      </c>
      <c r="G7488" s="3">
        <v>5.1851950000000002</v>
      </c>
      <c r="H7488" s="3">
        <v>44.495330649453201</v>
      </c>
      <c r="I7488" s="3">
        <v>5.3827267000000001</v>
      </c>
      <c r="J7488" s="3">
        <v>5.3827267000000001</v>
      </c>
      <c r="K7488" s="3">
        <v>5.0864285999999996</v>
      </c>
      <c r="L7488" s="3">
        <v>44.495330649453201</v>
      </c>
    </row>
    <row r="7489" spans="1:12" ht="15" customHeight="1" x14ac:dyDescent="0.2">
      <c r="A7489" s="2">
        <v>35184</v>
      </c>
      <c r="B7489" s="3">
        <v>5.3827267000000001</v>
      </c>
      <c r="C7489" s="1">
        <v>211105.85</v>
      </c>
      <c r="D7489" s="3">
        <v>-9.8764899999999906E-2</v>
      </c>
      <c r="E7489" s="3">
        <v>-1.8017887685899101</v>
      </c>
      <c r="F7489" s="3">
        <v>-1.8017887685899101</v>
      </c>
      <c r="G7489" s="3">
        <v>5.3827267000000001</v>
      </c>
      <c r="H7489" s="3">
        <v>49.999927546049904</v>
      </c>
      <c r="I7489" s="3">
        <v>5.5802589999999999</v>
      </c>
      <c r="J7489" s="3">
        <v>5.5802584</v>
      </c>
      <c r="K7489" s="3">
        <v>5.3580360000000002</v>
      </c>
      <c r="L7489" s="3">
        <v>49.999927546049904</v>
      </c>
    </row>
    <row r="7490" spans="1:12" ht="15" customHeight="1" x14ac:dyDescent="0.2">
      <c r="A7490" s="2">
        <v>35181</v>
      </c>
      <c r="B7490" s="3">
        <v>5.4814916</v>
      </c>
      <c r="C7490" s="1">
        <v>293118.23</v>
      </c>
      <c r="D7490" s="3"/>
      <c r="E7490" s="3"/>
      <c r="F7490" s="3"/>
      <c r="G7490" s="3">
        <v>5.4814916</v>
      </c>
      <c r="H7490" s="3">
        <v>52.752199520789503</v>
      </c>
      <c r="I7490" s="3">
        <v>5.4814930000000004</v>
      </c>
      <c r="J7490" s="3">
        <v>5.6790232999999999</v>
      </c>
      <c r="K7490" s="3">
        <v>5.4814916</v>
      </c>
      <c r="L7490" s="3">
        <v>52.752199520789503</v>
      </c>
    </row>
    <row r="7491" spans="1:12" ht="15" customHeight="1" x14ac:dyDescent="0.2">
      <c r="A7491" s="2">
        <v>35180</v>
      </c>
      <c r="B7491" s="3">
        <v>5.4814916</v>
      </c>
      <c r="C7491" s="1">
        <v>492074.07</v>
      </c>
      <c r="D7491" s="3">
        <v>7.4072899999999997E-2</v>
      </c>
      <c r="E7491" s="3">
        <v>1.36983844065932</v>
      </c>
      <c r="F7491" s="3">
        <v>1.36983844065932</v>
      </c>
      <c r="G7491" s="3">
        <v>5.4814916</v>
      </c>
      <c r="H7491" s="3">
        <v>52.752199520789503</v>
      </c>
      <c r="I7491" s="3">
        <v>5.3333449999999996</v>
      </c>
      <c r="J7491" s="3">
        <v>5.6049490000000004</v>
      </c>
      <c r="K7491" s="3">
        <v>5.3333430000000002</v>
      </c>
      <c r="L7491" s="3">
        <v>52.752199520789503</v>
      </c>
    </row>
    <row r="7492" spans="1:12" ht="15" customHeight="1" x14ac:dyDescent="0.2">
      <c r="A7492" s="2">
        <v>35179</v>
      </c>
      <c r="B7492" s="3">
        <v>5.4074187</v>
      </c>
      <c r="C7492" s="1">
        <v>199968.37</v>
      </c>
      <c r="D7492" s="3">
        <v>2.4691999999999902E-2</v>
      </c>
      <c r="E7492" s="3">
        <v>0.45872661526731301</v>
      </c>
      <c r="F7492" s="3">
        <v>0.45872661526731301</v>
      </c>
      <c r="G7492" s="3">
        <v>5.4074187</v>
      </c>
      <c r="H7492" s="3">
        <v>50.688017136585302</v>
      </c>
      <c r="I7492" s="3">
        <v>5.3827267000000001</v>
      </c>
      <c r="J7492" s="3">
        <v>5.4321099999999998</v>
      </c>
      <c r="K7492" s="3">
        <v>5.3333430000000002</v>
      </c>
      <c r="L7492" s="3">
        <v>50.688017136585302</v>
      </c>
    </row>
    <row r="7493" spans="1:12" ht="15" customHeight="1" x14ac:dyDescent="0.2">
      <c r="A7493" s="2">
        <v>35178</v>
      </c>
      <c r="B7493" s="3">
        <v>5.3827267000000001</v>
      </c>
      <c r="C7493" s="1">
        <v>187818.389999999</v>
      </c>
      <c r="D7493" s="3">
        <v>-2.4691999999999902E-2</v>
      </c>
      <c r="E7493" s="3">
        <v>-0.45663192310223499</v>
      </c>
      <c r="F7493" s="3">
        <v>-0.45663192310223499</v>
      </c>
      <c r="G7493" s="3">
        <v>5.3827267000000001</v>
      </c>
      <c r="H7493" s="3">
        <v>49.999927546049904</v>
      </c>
      <c r="I7493" s="3">
        <v>5.4321099999999998</v>
      </c>
      <c r="J7493" s="3">
        <v>5.4321099999999998</v>
      </c>
      <c r="K7493" s="3">
        <v>5.3333430000000002</v>
      </c>
      <c r="L7493" s="3">
        <v>49.999927546049904</v>
      </c>
    </row>
    <row r="7494" spans="1:12" ht="15" customHeight="1" x14ac:dyDescent="0.2">
      <c r="A7494" s="2">
        <v>35177</v>
      </c>
      <c r="B7494" s="3">
        <v>5.4074187</v>
      </c>
      <c r="C7494" s="1">
        <v>171618.44</v>
      </c>
      <c r="D7494" s="3">
        <v>-7.4072899999999997E-2</v>
      </c>
      <c r="E7494" s="3">
        <v>-1.35132743795503</v>
      </c>
      <c r="F7494" s="3">
        <v>-1.35132743795503</v>
      </c>
      <c r="G7494" s="3">
        <v>5.4074187</v>
      </c>
      <c r="H7494" s="3">
        <v>50.688017136585302</v>
      </c>
      <c r="I7494" s="3">
        <v>5.4814930000000004</v>
      </c>
      <c r="J7494" s="3">
        <v>5.4814916</v>
      </c>
      <c r="K7494" s="3">
        <v>5.3827267000000001</v>
      </c>
      <c r="L7494" s="3">
        <v>50.688017136585302</v>
      </c>
    </row>
    <row r="7495" spans="1:12" ht="15" customHeight="1" x14ac:dyDescent="0.2">
      <c r="A7495" s="2">
        <v>35174</v>
      </c>
      <c r="B7495" s="3">
        <v>5.4814916</v>
      </c>
      <c r="C7495" s="1">
        <v>157443.44</v>
      </c>
      <c r="D7495" s="3">
        <v>7.4072899999999997E-2</v>
      </c>
      <c r="E7495" s="3">
        <v>1.36983844065932</v>
      </c>
      <c r="F7495" s="3">
        <v>1.36983844065932</v>
      </c>
      <c r="G7495" s="3">
        <v>5.4814916</v>
      </c>
      <c r="H7495" s="3">
        <v>52.752199520789503</v>
      </c>
      <c r="I7495" s="3">
        <v>5.4321099999999998</v>
      </c>
      <c r="J7495" s="3">
        <v>5.4814916</v>
      </c>
      <c r="K7495" s="3">
        <v>5.3827267000000001</v>
      </c>
      <c r="L7495" s="3">
        <v>52.752199520789503</v>
      </c>
    </row>
    <row r="7496" spans="1:12" ht="15" customHeight="1" x14ac:dyDescent="0.2">
      <c r="A7496" s="2">
        <v>35173</v>
      </c>
      <c r="B7496" s="3">
        <v>5.4074187</v>
      </c>
      <c r="C7496" s="1">
        <v>127068.5</v>
      </c>
      <c r="D7496" s="3"/>
      <c r="E7496" s="3"/>
      <c r="F7496" s="3"/>
      <c r="G7496" s="3">
        <v>5.4074187</v>
      </c>
      <c r="H7496" s="3">
        <v>50.688017136585302</v>
      </c>
      <c r="I7496" s="3">
        <v>5.3827267000000001</v>
      </c>
      <c r="J7496" s="3">
        <v>5.4321099999999998</v>
      </c>
      <c r="K7496" s="3">
        <v>5.3827267000000001</v>
      </c>
      <c r="L7496" s="3">
        <v>50.688017136585302</v>
      </c>
    </row>
    <row r="7497" spans="1:12" ht="15" customHeight="1" x14ac:dyDescent="0.2">
      <c r="A7497" s="2">
        <v>35172</v>
      </c>
      <c r="B7497" s="3">
        <v>5.4074187</v>
      </c>
      <c r="C7497" s="1">
        <v>62774.875999999997</v>
      </c>
      <c r="D7497" s="3">
        <v>2.4691999999999902E-2</v>
      </c>
      <c r="E7497" s="3">
        <v>0.45872661526731301</v>
      </c>
      <c r="F7497" s="3">
        <v>0.45872661526731301</v>
      </c>
      <c r="G7497" s="3">
        <v>5.4074187</v>
      </c>
      <c r="H7497" s="3">
        <v>50.688017136585302</v>
      </c>
      <c r="I7497" s="3">
        <v>5.3827267000000001</v>
      </c>
      <c r="J7497" s="3">
        <v>5.4321099999999998</v>
      </c>
      <c r="K7497" s="3">
        <v>5.3827267000000001</v>
      </c>
      <c r="L7497" s="3">
        <v>50.688017136585302</v>
      </c>
    </row>
    <row r="7498" spans="1:12" ht="15" customHeight="1" x14ac:dyDescent="0.2">
      <c r="A7498" s="2">
        <v>35171</v>
      </c>
      <c r="B7498" s="3">
        <v>5.3827267000000001</v>
      </c>
      <c r="C7498" s="1">
        <v>371080.54</v>
      </c>
      <c r="D7498" s="3">
        <v>-9.8764899999999906E-2</v>
      </c>
      <c r="E7498" s="3">
        <v>-1.8017887685899101</v>
      </c>
      <c r="F7498" s="3">
        <v>-1.8017887685899101</v>
      </c>
      <c r="G7498" s="3">
        <v>5.3827267000000001</v>
      </c>
      <c r="H7498" s="3">
        <v>49.999927546049904</v>
      </c>
      <c r="I7498" s="3">
        <v>5.4814930000000004</v>
      </c>
      <c r="J7498" s="3">
        <v>5.5802584</v>
      </c>
      <c r="K7498" s="3">
        <v>5.3333430000000002</v>
      </c>
      <c r="L7498" s="3">
        <v>49.999927546049904</v>
      </c>
    </row>
    <row r="7499" spans="1:12" ht="15" customHeight="1" x14ac:dyDescent="0.2">
      <c r="A7499" s="2">
        <v>35170</v>
      </c>
      <c r="B7499" s="3">
        <v>5.4814916</v>
      </c>
      <c r="C7499" s="1">
        <v>853029.6</v>
      </c>
      <c r="D7499" s="3">
        <v>0.14814859999999899</v>
      </c>
      <c r="E7499" s="3">
        <v>2.7777812152715402</v>
      </c>
      <c r="F7499" s="3">
        <v>2.7777812152715402</v>
      </c>
      <c r="G7499" s="3">
        <v>5.4814916</v>
      </c>
      <c r="H7499" s="3">
        <v>52.752199520789503</v>
      </c>
      <c r="I7499" s="3">
        <v>5.3827267000000001</v>
      </c>
      <c r="J7499" s="3">
        <v>5.5802584</v>
      </c>
      <c r="K7499" s="3">
        <v>5.3333430000000002</v>
      </c>
      <c r="L7499" s="3">
        <v>52.752199520789503</v>
      </c>
    </row>
    <row r="7500" spans="1:12" ht="15" customHeight="1" x14ac:dyDescent="0.2">
      <c r="A7500" s="2">
        <v>35167</v>
      </c>
      <c r="B7500" s="3">
        <v>5.3333430000000002</v>
      </c>
      <c r="C7500" s="1">
        <v>152380.94</v>
      </c>
      <c r="D7500" s="3">
        <v>-4.9383699999999899E-2</v>
      </c>
      <c r="E7500" s="3">
        <v>-0.91744765715115995</v>
      </c>
      <c r="F7500" s="3">
        <v>-0.91744765715115995</v>
      </c>
      <c r="G7500" s="3">
        <v>5.3333430000000002</v>
      </c>
      <c r="H7500" s="3">
        <v>48.6237567250502</v>
      </c>
      <c r="I7500" s="3">
        <v>5.3827267000000001</v>
      </c>
      <c r="J7500" s="3">
        <v>5.4814916</v>
      </c>
      <c r="K7500" s="3">
        <v>5.2839612999999996</v>
      </c>
      <c r="L7500" s="3">
        <v>48.6237567250502</v>
      </c>
    </row>
    <row r="7501" spans="1:12" ht="15" customHeight="1" x14ac:dyDescent="0.2">
      <c r="A7501" s="2">
        <v>35166</v>
      </c>
      <c r="B7501" s="3">
        <v>5.3827267000000001</v>
      </c>
      <c r="C7501" s="1">
        <v>415124.18</v>
      </c>
      <c r="D7501" s="3"/>
      <c r="E7501" s="3"/>
      <c r="F7501" s="3"/>
      <c r="G7501" s="3">
        <v>5.3827267000000001</v>
      </c>
      <c r="H7501" s="3">
        <v>49.999927546049904</v>
      </c>
      <c r="I7501" s="3">
        <v>5.4321099999999998</v>
      </c>
      <c r="J7501" s="3">
        <v>5.5308757000000002</v>
      </c>
      <c r="K7501" s="3">
        <v>5.3333430000000002</v>
      </c>
      <c r="L7501" s="3">
        <v>49.999927546049904</v>
      </c>
    </row>
    <row r="7502" spans="1:12" ht="15" customHeight="1" x14ac:dyDescent="0.2">
      <c r="A7502" s="2">
        <v>35165</v>
      </c>
      <c r="B7502" s="3">
        <v>5.3827267000000001</v>
      </c>
      <c r="C7502" s="1">
        <v>573580.19999999995</v>
      </c>
      <c r="D7502" s="3">
        <v>0.19753169999999901</v>
      </c>
      <c r="E7502" s="3">
        <v>3.8095327176702098</v>
      </c>
      <c r="F7502" s="3">
        <v>3.8095327176702098</v>
      </c>
      <c r="G7502" s="3">
        <v>5.3827267000000001</v>
      </c>
      <c r="H7502" s="3">
        <v>49.999927546049904</v>
      </c>
      <c r="I7502" s="3">
        <v>5.1851963999999997</v>
      </c>
      <c r="J7502" s="3">
        <v>5.4814916</v>
      </c>
      <c r="K7502" s="3">
        <v>5.1358113000000003</v>
      </c>
      <c r="L7502" s="3">
        <v>49.999927546049904</v>
      </c>
    </row>
    <row r="7503" spans="1:12" ht="15" customHeight="1" x14ac:dyDescent="0.2">
      <c r="A7503" s="2">
        <v>35164</v>
      </c>
      <c r="B7503" s="3">
        <v>5.1851950000000002</v>
      </c>
      <c r="C7503" s="1">
        <v>145293.49</v>
      </c>
      <c r="D7503" s="3">
        <v>4.9383699999999899E-2</v>
      </c>
      <c r="E7503" s="3">
        <v>0.96155596682456701</v>
      </c>
      <c r="F7503" s="3">
        <v>0.96155596682456701</v>
      </c>
      <c r="G7503" s="3">
        <v>5.1851950000000002</v>
      </c>
      <c r="H7503" s="3">
        <v>44.495330649453201</v>
      </c>
      <c r="I7503" s="3">
        <v>5.0370473999999996</v>
      </c>
      <c r="J7503" s="3">
        <v>5.234578</v>
      </c>
      <c r="K7503" s="3">
        <v>5.0370464000000004</v>
      </c>
      <c r="L7503" s="3">
        <v>44.495330649453201</v>
      </c>
    </row>
    <row r="7504" spans="1:12" ht="15" customHeight="1" x14ac:dyDescent="0.2">
      <c r="A7504" s="2">
        <v>35163</v>
      </c>
      <c r="B7504" s="3">
        <v>5.1358113000000003</v>
      </c>
      <c r="C7504" s="1">
        <v>187312.13</v>
      </c>
      <c r="D7504" s="3">
        <v>4.9382700000000598E-2</v>
      </c>
      <c r="E7504" s="3">
        <v>0.970871782216709</v>
      </c>
      <c r="F7504" s="3">
        <v>0.970871782216709</v>
      </c>
      <c r="G7504" s="3">
        <v>5.1358113000000003</v>
      </c>
      <c r="H7504" s="3">
        <v>43.119159828453498</v>
      </c>
      <c r="I7504" s="3">
        <v>5.0370473999999996</v>
      </c>
      <c r="J7504" s="3">
        <v>5.1358113000000003</v>
      </c>
      <c r="K7504" s="3">
        <v>4.9876636999999997</v>
      </c>
      <c r="L7504" s="3">
        <v>43.119159828453498</v>
      </c>
    </row>
    <row r="7505" spans="1:12" ht="15" customHeight="1" x14ac:dyDescent="0.2">
      <c r="A7505" s="2">
        <v>35159</v>
      </c>
      <c r="B7505" s="3">
        <v>5.0864285999999996</v>
      </c>
      <c r="C7505" s="1">
        <v>319949.37</v>
      </c>
      <c r="D7505" s="3">
        <v>-4.9382700000000598E-2</v>
      </c>
      <c r="E7505" s="3">
        <v>-0.96153649570420696</v>
      </c>
      <c r="F7505" s="3">
        <v>-0.96153649570420696</v>
      </c>
      <c r="G7505" s="3">
        <v>5.0864285999999996</v>
      </c>
      <c r="H7505" s="3">
        <v>41.7430168743577</v>
      </c>
      <c r="I7505" s="3">
        <v>5.1358128000000001</v>
      </c>
      <c r="J7505" s="3">
        <v>5.2839612999999996</v>
      </c>
      <c r="K7505" s="3">
        <v>5.0617380000000001</v>
      </c>
      <c r="L7505" s="3">
        <v>41.7430168743577</v>
      </c>
    </row>
    <row r="7506" spans="1:12" ht="15" customHeight="1" x14ac:dyDescent="0.2">
      <c r="A7506" s="2">
        <v>35158</v>
      </c>
      <c r="B7506" s="3">
        <v>5.1358113000000003</v>
      </c>
      <c r="C7506" s="1">
        <v>475367.9</v>
      </c>
      <c r="D7506" s="3">
        <v>0.1358018</v>
      </c>
      <c r="E7506" s="3">
        <v>2.7160308395414101</v>
      </c>
      <c r="F7506" s="3">
        <v>2.7160308395414101</v>
      </c>
      <c r="G7506" s="3">
        <v>5.1358113000000003</v>
      </c>
      <c r="H7506" s="3">
        <v>43.119159828453498</v>
      </c>
      <c r="I7506" s="3">
        <v>5.0370473999999996</v>
      </c>
      <c r="J7506" s="3">
        <v>5.1358113000000003</v>
      </c>
      <c r="K7506" s="3">
        <v>5.0123559999999996</v>
      </c>
      <c r="L7506" s="3">
        <v>43.119159828453498</v>
      </c>
    </row>
    <row r="7507" spans="1:12" ht="15" customHeight="1" x14ac:dyDescent="0.2">
      <c r="A7507" s="2">
        <v>35157</v>
      </c>
      <c r="B7507" s="3">
        <v>5.0000095</v>
      </c>
      <c r="C7507" s="1">
        <v>1032747.9</v>
      </c>
      <c r="D7507" s="3">
        <v>-0.1358018</v>
      </c>
      <c r="E7507" s="3">
        <v>-2.6442131937363098</v>
      </c>
      <c r="F7507" s="3">
        <v>-2.6442131937363098</v>
      </c>
      <c r="G7507" s="3">
        <v>5.0000095</v>
      </c>
      <c r="H7507" s="3">
        <v>39.334784121505002</v>
      </c>
      <c r="I7507" s="3">
        <v>5.1851963999999997</v>
      </c>
      <c r="J7507" s="3">
        <v>5.1851950000000002</v>
      </c>
      <c r="K7507" s="3">
        <v>4.9382809999999999</v>
      </c>
      <c r="L7507" s="3">
        <v>39.334784121505002</v>
      </c>
    </row>
    <row r="7508" spans="1:12" ht="15" customHeight="1" x14ac:dyDescent="0.2">
      <c r="A7508" s="2">
        <v>35156</v>
      </c>
      <c r="B7508" s="3">
        <v>5.1358113000000003</v>
      </c>
      <c r="C7508" s="1">
        <v>284511.95999999897</v>
      </c>
      <c r="D7508" s="3">
        <v>-0.19753169999999901</v>
      </c>
      <c r="E7508" s="3">
        <v>-3.7037126620207901</v>
      </c>
      <c r="F7508" s="3">
        <v>-3.7037126620207901</v>
      </c>
      <c r="G7508" s="3">
        <v>5.1358113000000003</v>
      </c>
      <c r="H7508" s="3">
        <v>43.119159828453498</v>
      </c>
      <c r="I7508" s="3">
        <v>5.3333449999999996</v>
      </c>
      <c r="J7508" s="3">
        <v>5.3333430000000002</v>
      </c>
      <c r="K7508" s="3">
        <v>5.0864285999999996</v>
      </c>
      <c r="L7508" s="3">
        <v>43.119159828453498</v>
      </c>
    </row>
    <row r="7509" spans="1:12" ht="15" customHeight="1" x14ac:dyDescent="0.2">
      <c r="A7509" s="2">
        <v>35153</v>
      </c>
      <c r="B7509" s="3">
        <v>5.3333430000000002</v>
      </c>
      <c r="C7509" s="1">
        <v>515361.5</v>
      </c>
      <c r="D7509" s="3">
        <v>-0.19753270000000001</v>
      </c>
      <c r="E7509" s="3">
        <v>-3.5714543358839101</v>
      </c>
      <c r="F7509" s="3">
        <v>-3.5714543358839101</v>
      </c>
      <c r="G7509" s="3">
        <v>5.3333430000000002</v>
      </c>
      <c r="H7509" s="3">
        <v>48.6237567250502</v>
      </c>
      <c r="I7509" s="3">
        <v>5.4814930000000004</v>
      </c>
      <c r="J7509" s="3">
        <v>5.5308757000000002</v>
      </c>
      <c r="K7509" s="3">
        <v>5.234578</v>
      </c>
      <c r="L7509" s="3">
        <v>48.6237567250502</v>
      </c>
    </row>
    <row r="7510" spans="1:12" ht="15" customHeight="1" x14ac:dyDescent="0.2">
      <c r="A7510" s="2">
        <v>35152</v>
      </c>
      <c r="B7510" s="3">
        <v>5.5308757000000002</v>
      </c>
      <c r="C7510" s="1">
        <v>310330.63</v>
      </c>
      <c r="D7510" s="3">
        <v>-4.9382699999999703E-2</v>
      </c>
      <c r="E7510" s="3">
        <v>-0.88495364300692403</v>
      </c>
      <c r="F7510" s="3">
        <v>-0.88495364300692403</v>
      </c>
      <c r="G7510" s="3">
        <v>5.5308757000000002</v>
      </c>
      <c r="H7510" s="3">
        <v>54.128381488550701</v>
      </c>
      <c r="I7510" s="3">
        <v>5.4814930000000004</v>
      </c>
      <c r="J7510" s="3">
        <v>5.5308757000000002</v>
      </c>
      <c r="K7510" s="3">
        <v>5.4568009999999996</v>
      </c>
      <c r="L7510" s="3">
        <v>54.128381488550701</v>
      </c>
    </row>
    <row r="7511" spans="1:12" ht="15" customHeight="1" x14ac:dyDescent="0.2">
      <c r="A7511" s="2">
        <v>35151</v>
      </c>
      <c r="B7511" s="3">
        <v>5.5802584</v>
      </c>
      <c r="C7511" s="1">
        <v>238949.57</v>
      </c>
      <c r="D7511" s="3">
        <v>9.8766799999999905E-2</v>
      </c>
      <c r="E7511" s="3">
        <v>1.80182343068808</v>
      </c>
      <c r="F7511" s="3">
        <v>1.80182343068808</v>
      </c>
      <c r="G7511" s="3">
        <v>5.5802584</v>
      </c>
      <c r="H7511" s="3">
        <v>55.504524442646499</v>
      </c>
      <c r="I7511" s="3">
        <v>5.5802589999999999</v>
      </c>
      <c r="J7511" s="3">
        <v>5.5802584</v>
      </c>
      <c r="K7511" s="3">
        <v>5.4814916</v>
      </c>
      <c r="L7511" s="3">
        <v>55.504524442646499</v>
      </c>
    </row>
    <row r="7512" spans="1:12" ht="15" customHeight="1" x14ac:dyDescent="0.2">
      <c r="A7512" s="2">
        <v>35150</v>
      </c>
      <c r="B7512" s="3">
        <v>5.4814916</v>
      </c>
      <c r="C7512" s="1">
        <v>295649.44</v>
      </c>
      <c r="D7512" s="3"/>
      <c r="E7512" s="3"/>
      <c r="F7512" s="3"/>
      <c r="G7512" s="3">
        <v>5.4814916</v>
      </c>
      <c r="H7512" s="3">
        <v>52.752199520789503</v>
      </c>
      <c r="I7512" s="3">
        <v>5.4814930000000004</v>
      </c>
      <c r="J7512" s="3">
        <v>5.5802584</v>
      </c>
      <c r="K7512" s="3">
        <v>5.3827267000000001</v>
      </c>
      <c r="L7512" s="3">
        <v>52.752199520789503</v>
      </c>
    </row>
    <row r="7513" spans="1:12" ht="15" customHeight="1" x14ac:dyDescent="0.2">
      <c r="A7513" s="2">
        <v>35149</v>
      </c>
      <c r="B7513" s="3">
        <v>5.4814916</v>
      </c>
      <c r="C7513" s="1">
        <v>116437.28</v>
      </c>
      <c r="D7513" s="3"/>
      <c r="E7513" s="3"/>
      <c r="F7513" s="3"/>
      <c r="G7513" s="3">
        <v>5.4814916</v>
      </c>
      <c r="H7513" s="3">
        <v>52.752199520789503</v>
      </c>
      <c r="I7513" s="3">
        <v>5.3827267000000001</v>
      </c>
      <c r="J7513" s="3">
        <v>5.4814916</v>
      </c>
      <c r="K7513" s="3">
        <v>5.3827267000000001</v>
      </c>
      <c r="L7513" s="3">
        <v>52.752199520789503</v>
      </c>
    </row>
    <row r="7514" spans="1:12" ht="15" customHeight="1" x14ac:dyDescent="0.2">
      <c r="A7514" s="2">
        <v>35146</v>
      </c>
      <c r="B7514" s="3">
        <v>5.4814916</v>
      </c>
      <c r="C7514" s="1">
        <v>88593.58</v>
      </c>
      <c r="D7514" s="3">
        <v>9.8764899999999906E-2</v>
      </c>
      <c r="E7514" s="3">
        <v>1.83484886944009</v>
      </c>
      <c r="F7514" s="3">
        <v>1.83484886944009</v>
      </c>
      <c r="G7514" s="3">
        <v>5.4814916</v>
      </c>
      <c r="H7514" s="3">
        <v>52.752199520789503</v>
      </c>
      <c r="I7514" s="3">
        <v>5.4814930000000004</v>
      </c>
      <c r="J7514" s="3">
        <v>5.4814916</v>
      </c>
      <c r="K7514" s="3">
        <v>5.3827267000000001</v>
      </c>
      <c r="L7514" s="3">
        <v>52.752199520789503</v>
      </c>
    </row>
    <row r="7515" spans="1:12" ht="15" customHeight="1" x14ac:dyDescent="0.2">
      <c r="A7515" s="2">
        <v>35145</v>
      </c>
      <c r="B7515" s="3">
        <v>5.3827267000000001</v>
      </c>
      <c r="C7515" s="1">
        <v>134662.22999999899</v>
      </c>
      <c r="D7515" s="3"/>
      <c r="E7515" s="3"/>
      <c r="F7515" s="3"/>
      <c r="G7515" s="3">
        <v>5.3827267000000001</v>
      </c>
      <c r="H7515" s="3">
        <v>49.999927546049904</v>
      </c>
      <c r="I7515" s="3">
        <v>5.4814930000000004</v>
      </c>
      <c r="J7515" s="3">
        <v>5.4814916</v>
      </c>
      <c r="K7515" s="3">
        <v>5.3827267000000001</v>
      </c>
      <c r="L7515" s="3">
        <v>49.999927546049904</v>
      </c>
    </row>
    <row r="7516" spans="1:12" ht="15" customHeight="1" x14ac:dyDescent="0.2">
      <c r="A7516" s="2">
        <v>35144</v>
      </c>
      <c r="B7516" s="3">
        <v>5.3827267000000001</v>
      </c>
      <c r="C7516" s="1">
        <v>382724.3</v>
      </c>
      <c r="D7516" s="3">
        <v>-9.8764899999999906E-2</v>
      </c>
      <c r="E7516" s="3">
        <v>-1.8017887685899101</v>
      </c>
      <c r="F7516" s="3">
        <v>-1.8017887685899101</v>
      </c>
      <c r="G7516" s="3">
        <v>5.3827267000000001</v>
      </c>
      <c r="H7516" s="3">
        <v>49.999927546049904</v>
      </c>
      <c r="I7516" s="3">
        <v>5.5308757000000002</v>
      </c>
      <c r="J7516" s="3">
        <v>5.5308757000000002</v>
      </c>
      <c r="K7516" s="3">
        <v>5.3333430000000002</v>
      </c>
      <c r="L7516" s="3">
        <v>49.999927546049904</v>
      </c>
    </row>
    <row r="7517" spans="1:12" ht="15" customHeight="1" x14ac:dyDescent="0.2">
      <c r="A7517" s="2">
        <v>35143</v>
      </c>
      <c r="B7517" s="3">
        <v>5.4814916</v>
      </c>
      <c r="C7517" s="1">
        <v>341718.14</v>
      </c>
      <c r="D7517" s="3">
        <v>-4.9384100000000097E-2</v>
      </c>
      <c r="E7517" s="3">
        <v>-0.89288030826655196</v>
      </c>
      <c r="F7517" s="3">
        <v>-0.89288030826655196</v>
      </c>
      <c r="G7517" s="3">
        <v>5.4814916</v>
      </c>
      <c r="H7517" s="3">
        <v>52.752199520789503</v>
      </c>
      <c r="I7517" s="3">
        <v>5.4321099999999998</v>
      </c>
      <c r="J7517" s="3">
        <v>5.5802584</v>
      </c>
      <c r="K7517" s="3">
        <v>5.3333430000000002</v>
      </c>
      <c r="L7517" s="3">
        <v>52.752199520789503</v>
      </c>
    </row>
    <row r="7518" spans="1:12" ht="15" customHeight="1" x14ac:dyDescent="0.2">
      <c r="A7518" s="2">
        <v>35142</v>
      </c>
      <c r="B7518" s="3">
        <v>5.5308757000000002</v>
      </c>
      <c r="C7518" s="1">
        <v>266286.96000000002</v>
      </c>
      <c r="D7518" s="3">
        <v>9.87657000000004E-2</v>
      </c>
      <c r="E7518" s="3">
        <v>1.8181829896670001</v>
      </c>
      <c r="F7518" s="3">
        <v>1.8181829896670001</v>
      </c>
      <c r="G7518" s="3">
        <v>5.5308757000000002</v>
      </c>
      <c r="H7518" s="3">
        <v>54.128381488550701</v>
      </c>
      <c r="I7518" s="3">
        <v>5.3333449999999996</v>
      </c>
      <c r="J7518" s="3">
        <v>5.5308757000000002</v>
      </c>
      <c r="K7518" s="3">
        <v>5.3333430000000002</v>
      </c>
      <c r="L7518" s="3">
        <v>54.128381488550701</v>
      </c>
    </row>
    <row r="7519" spans="1:12" ht="15" customHeight="1" x14ac:dyDescent="0.2">
      <c r="A7519" s="2">
        <v>35139</v>
      </c>
      <c r="B7519" s="3">
        <v>5.4321099999999998</v>
      </c>
      <c r="C7519" s="1">
        <v>341718.14</v>
      </c>
      <c r="D7519" s="3">
        <v>4.9383299999999603E-2</v>
      </c>
      <c r="E7519" s="3">
        <v>0.91744022597319796</v>
      </c>
      <c r="F7519" s="3">
        <v>0.91744022597319796</v>
      </c>
      <c r="G7519" s="3">
        <v>5.4321099999999998</v>
      </c>
      <c r="H7519" s="3">
        <v>51.376087220287999</v>
      </c>
      <c r="I7519" s="3">
        <v>5.3827267000000001</v>
      </c>
      <c r="J7519" s="3">
        <v>5.4321099999999998</v>
      </c>
      <c r="K7519" s="3">
        <v>5.2839612999999996</v>
      </c>
      <c r="L7519" s="3">
        <v>51.376087220287999</v>
      </c>
    </row>
    <row r="7520" spans="1:12" ht="15" customHeight="1" x14ac:dyDescent="0.2">
      <c r="A7520" s="2">
        <v>35138</v>
      </c>
      <c r="B7520" s="3">
        <v>5.3827267000000001</v>
      </c>
      <c r="C7520" s="1">
        <v>411074.25</v>
      </c>
      <c r="D7520" s="3">
        <v>0.14814869999999999</v>
      </c>
      <c r="E7520" s="3">
        <v>2.83019376156015</v>
      </c>
      <c r="F7520" s="3">
        <v>2.83019376156015</v>
      </c>
      <c r="G7520" s="3">
        <v>5.3827267000000001</v>
      </c>
      <c r="H7520" s="3">
        <v>49.999927546049904</v>
      </c>
      <c r="I7520" s="3">
        <v>5.2345785999999999</v>
      </c>
      <c r="J7520" s="3">
        <v>5.4321099999999998</v>
      </c>
      <c r="K7520" s="3">
        <v>5.234578</v>
      </c>
      <c r="L7520" s="3">
        <v>49.999927546049904</v>
      </c>
    </row>
    <row r="7521" spans="1:12" ht="15" customHeight="1" x14ac:dyDescent="0.2">
      <c r="A7521" s="2">
        <v>35137</v>
      </c>
      <c r="B7521" s="3">
        <v>5.234578</v>
      </c>
      <c r="C7521" s="1">
        <v>655086.24</v>
      </c>
      <c r="D7521" s="3">
        <v>0.14814939999999999</v>
      </c>
      <c r="E7521" s="3">
        <v>2.9126409048580699</v>
      </c>
      <c r="F7521" s="3">
        <v>2.9126409048580699</v>
      </c>
      <c r="G7521" s="3">
        <v>5.234578</v>
      </c>
      <c r="H7521" s="3">
        <v>45.871481963620198</v>
      </c>
      <c r="I7521" s="3">
        <v>5.08643</v>
      </c>
      <c r="J7521" s="3">
        <v>5.3333430000000002</v>
      </c>
      <c r="K7521" s="3">
        <v>4.9876636999999997</v>
      </c>
      <c r="L7521" s="3">
        <v>45.871481963620198</v>
      </c>
    </row>
    <row r="7522" spans="1:12" ht="15" customHeight="1" x14ac:dyDescent="0.2">
      <c r="A7522" s="2">
        <v>35136</v>
      </c>
      <c r="B7522" s="3">
        <v>5.0864285999999996</v>
      </c>
      <c r="C7522" s="1">
        <v>1441291</v>
      </c>
      <c r="D7522" s="3">
        <v>-9.8766400000000504E-2</v>
      </c>
      <c r="E7522" s="3">
        <v>-1.9047769659578899</v>
      </c>
      <c r="F7522" s="3">
        <v>-1.9047769659578899</v>
      </c>
      <c r="G7522" s="3">
        <v>5.0864285999999996</v>
      </c>
      <c r="H7522" s="3">
        <v>41.7430168743577</v>
      </c>
      <c r="I7522" s="3">
        <v>5.08643</v>
      </c>
      <c r="J7522" s="3">
        <v>5.1851950000000002</v>
      </c>
      <c r="K7522" s="3">
        <v>4.9876636999999997</v>
      </c>
      <c r="L7522" s="3">
        <v>41.7430168743577</v>
      </c>
    </row>
    <row r="7523" spans="1:12" ht="15" customHeight="1" x14ac:dyDescent="0.2">
      <c r="A7523" s="2">
        <v>35135</v>
      </c>
      <c r="B7523" s="3">
        <v>5.1851950000000002</v>
      </c>
      <c r="C7523" s="1">
        <v>556873.96</v>
      </c>
      <c r="D7523" s="3">
        <v>0.19753129999999999</v>
      </c>
      <c r="E7523" s="3">
        <v>3.9603973299162201</v>
      </c>
      <c r="F7523" s="3">
        <v>3.9603973299162201</v>
      </c>
      <c r="G7523" s="3">
        <v>5.1851950000000002</v>
      </c>
      <c r="H7523" s="3">
        <v>44.495330649453201</v>
      </c>
      <c r="I7523" s="3">
        <v>5.0370473999999996</v>
      </c>
      <c r="J7523" s="3">
        <v>5.1851950000000002</v>
      </c>
      <c r="K7523" s="3">
        <v>4.9876636999999997</v>
      </c>
      <c r="L7523" s="3">
        <v>44.495330649453201</v>
      </c>
    </row>
    <row r="7524" spans="1:12" ht="15" customHeight="1" x14ac:dyDescent="0.2">
      <c r="A7524" s="2">
        <v>35132</v>
      </c>
      <c r="B7524" s="3">
        <v>4.9876636999999997</v>
      </c>
      <c r="C7524" s="1">
        <v>508274</v>
      </c>
      <c r="D7524" s="3">
        <v>-0.123457</v>
      </c>
      <c r="E7524" s="3">
        <v>-2.4154585118680498</v>
      </c>
      <c r="F7524" s="3">
        <v>-2.4154585118680498</v>
      </c>
      <c r="G7524" s="3">
        <v>4.9876636999999997</v>
      </c>
      <c r="H7524" s="3">
        <v>38.9907448996181</v>
      </c>
      <c r="I7524" s="3">
        <v>5.0370473999999996</v>
      </c>
      <c r="J7524" s="3">
        <v>5.0864285999999996</v>
      </c>
      <c r="K7524" s="3">
        <v>4.9876636999999997</v>
      </c>
      <c r="L7524" s="3">
        <v>38.9907448996181</v>
      </c>
    </row>
    <row r="7525" spans="1:12" ht="15" customHeight="1" x14ac:dyDescent="0.2">
      <c r="A7525" s="2">
        <v>35131</v>
      </c>
      <c r="B7525" s="3">
        <v>5.1111206999999999</v>
      </c>
      <c r="C7525" s="1">
        <v>308305.63</v>
      </c>
      <c r="D7525" s="3">
        <v>-2.4690600000000399E-2</v>
      </c>
      <c r="E7525" s="3">
        <v>-0.480753644511833</v>
      </c>
      <c r="F7525" s="3">
        <v>-0.480753644511833</v>
      </c>
      <c r="G7525" s="3">
        <v>5.1111206999999999</v>
      </c>
      <c r="H7525" s="3">
        <v>42.4311092515835</v>
      </c>
      <c r="I7525" s="3">
        <v>5.0617380000000001</v>
      </c>
      <c r="J7525" s="3">
        <v>5.1358113000000003</v>
      </c>
      <c r="K7525" s="3">
        <v>5.0617380000000001</v>
      </c>
      <c r="L7525" s="3">
        <v>42.4311092515835</v>
      </c>
    </row>
    <row r="7526" spans="1:12" ht="15" customHeight="1" x14ac:dyDescent="0.2">
      <c r="A7526" s="2">
        <v>35130</v>
      </c>
      <c r="B7526" s="3">
        <v>5.1358113000000003</v>
      </c>
      <c r="C7526" s="1">
        <v>204018.37</v>
      </c>
      <c r="D7526" s="3">
        <v>-9.8766699999999596E-2</v>
      </c>
      <c r="E7526" s="3">
        <v>-1.88681303440314</v>
      </c>
      <c r="F7526" s="3">
        <v>-1.88681303440314</v>
      </c>
      <c r="G7526" s="3">
        <v>5.1358113000000003</v>
      </c>
      <c r="H7526" s="3">
        <v>43.119159828453498</v>
      </c>
      <c r="I7526" s="3">
        <v>5.1358128000000001</v>
      </c>
      <c r="J7526" s="3">
        <v>5.234578</v>
      </c>
      <c r="K7526" s="3">
        <v>5.0370464000000004</v>
      </c>
      <c r="L7526" s="3">
        <v>43.119159828453498</v>
      </c>
    </row>
    <row r="7527" spans="1:12" ht="15" customHeight="1" x14ac:dyDescent="0.2">
      <c r="A7527" s="2">
        <v>35129</v>
      </c>
      <c r="B7527" s="3">
        <v>5.234578</v>
      </c>
      <c r="C7527" s="1">
        <v>404999.24</v>
      </c>
      <c r="D7527" s="3">
        <v>0.197531599999999</v>
      </c>
      <c r="E7527" s="3">
        <v>3.9215759457764601</v>
      </c>
      <c r="F7527" s="3">
        <v>3.9215759457764601</v>
      </c>
      <c r="G7527" s="3">
        <v>5.234578</v>
      </c>
      <c r="H7527" s="3">
        <v>45.871481963620198</v>
      </c>
      <c r="I7527" s="3">
        <v>4.9876646999999998</v>
      </c>
      <c r="J7527" s="3">
        <v>5.234578</v>
      </c>
      <c r="K7527" s="3">
        <v>4.9876636999999997</v>
      </c>
      <c r="L7527" s="3">
        <v>45.871481963620198</v>
      </c>
    </row>
    <row r="7528" spans="1:12" ht="15" customHeight="1" x14ac:dyDescent="0.2">
      <c r="A7528" s="2">
        <v>35128</v>
      </c>
      <c r="B7528" s="3">
        <v>5.0370464000000004</v>
      </c>
      <c r="C7528" s="1">
        <v>684955</v>
      </c>
      <c r="D7528" s="3">
        <v>9.8765400000000406E-2</v>
      </c>
      <c r="E7528" s="3">
        <v>1.9999955450084901</v>
      </c>
      <c r="F7528" s="3">
        <v>1.9999955450084901</v>
      </c>
      <c r="G7528" s="3">
        <v>5.0370464000000004</v>
      </c>
      <c r="H7528" s="3">
        <v>40.366887853713898</v>
      </c>
      <c r="I7528" s="3">
        <v>4.9382809999999999</v>
      </c>
      <c r="J7528" s="3">
        <v>5.1111206999999999</v>
      </c>
      <c r="K7528" s="3">
        <v>4.8395159999999997</v>
      </c>
      <c r="L7528" s="3">
        <v>40.366887853713898</v>
      </c>
    </row>
    <row r="7529" spans="1:12" ht="15" customHeight="1" x14ac:dyDescent="0.2">
      <c r="A7529" s="2">
        <v>35125</v>
      </c>
      <c r="B7529" s="3">
        <v>4.9382809999999999</v>
      </c>
      <c r="C7529" s="1">
        <v>40499.923999999999</v>
      </c>
      <c r="D7529" s="3">
        <v>2.4690999999999699E-2</v>
      </c>
      <c r="E7529" s="3">
        <v>0.50250427894877803</v>
      </c>
      <c r="F7529" s="3">
        <v>0.50250427894877803</v>
      </c>
      <c r="G7529" s="3">
        <v>4.9382809999999999</v>
      </c>
      <c r="H7529" s="3">
        <v>37.614601945522303</v>
      </c>
      <c r="I7529" s="3">
        <v>4.9876646999999998</v>
      </c>
      <c r="J7529" s="3">
        <v>4.9876636999999997</v>
      </c>
      <c r="K7529" s="3">
        <v>4.8395159999999997</v>
      </c>
      <c r="L7529" s="3">
        <v>37.614601945522303</v>
      </c>
    </row>
    <row r="7530" spans="1:12" ht="15" customHeight="1" x14ac:dyDescent="0.2">
      <c r="A7530" s="2">
        <v>35124</v>
      </c>
      <c r="B7530" s="3">
        <v>4.9135900000000001</v>
      </c>
      <c r="C7530" s="1">
        <v>287549.46999999997</v>
      </c>
      <c r="D7530" s="3">
        <v>0.123457</v>
      </c>
      <c r="E7530" s="3">
        <v>2.57731883436223</v>
      </c>
      <c r="F7530" s="3">
        <v>2.57731883436223</v>
      </c>
      <c r="G7530" s="3">
        <v>4.9135900000000001</v>
      </c>
      <c r="H7530" s="3">
        <v>36.926540221890697</v>
      </c>
      <c r="I7530" s="3">
        <v>4.8395159999999997</v>
      </c>
      <c r="J7530" s="3">
        <v>4.9382809999999999</v>
      </c>
      <c r="K7530" s="3">
        <v>4.7407500000000002</v>
      </c>
      <c r="L7530" s="3">
        <v>36.926540221890697</v>
      </c>
    </row>
    <row r="7531" spans="1:12" ht="15" customHeight="1" x14ac:dyDescent="0.2">
      <c r="A7531" s="2">
        <v>35123</v>
      </c>
      <c r="B7531" s="3">
        <v>4.790133</v>
      </c>
      <c r="C7531" s="1">
        <v>191868.41</v>
      </c>
      <c r="D7531" s="3">
        <v>9.8765399999999504E-2</v>
      </c>
      <c r="E7531" s="3">
        <v>2.10525817674145</v>
      </c>
      <c r="F7531" s="3">
        <v>2.10525817674145</v>
      </c>
      <c r="G7531" s="3">
        <v>4.790133</v>
      </c>
      <c r="H7531" s="3">
        <v>33.486175869925297</v>
      </c>
      <c r="I7531" s="3">
        <v>4.6913676000000004</v>
      </c>
      <c r="J7531" s="3">
        <v>4.8395159999999997</v>
      </c>
      <c r="K7531" s="3">
        <v>4.6913676000000004</v>
      </c>
      <c r="L7531" s="3">
        <v>33.486175869925297</v>
      </c>
    </row>
    <row r="7532" spans="1:12" ht="15" customHeight="1" x14ac:dyDescent="0.2">
      <c r="A7532" s="2">
        <v>35122</v>
      </c>
      <c r="B7532" s="3">
        <v>4.6913676000000004</v>
      </c>
      <c r="C7532" s="1">
        <v>477392.88</v>
      </c>
      <c r="D7532" s="3">
        <v>-0.14814839999999899</v>
      </c>
      <c r="E7532" s="3">
        <v>-3.0612234777196501</v>
      </c>
      <c r="F7532" s="3">
        <v>-3.0612234777196501</v>
      </c>
      <c r="G7532" s="3">
        <v>4.6913676000000004</v>
      </c>
      <c r="H7532" s="3">
        <v>30.733889961733698</v>
      </c>
      <c r="I7532" s="3">
        <v>4.8395159999999997</v>
      </c>
      <c r="J7532" s="3">
        <v>4.8395159999999997</v>
      </c>
      <c r="K7532" s="3">
        <v>4.6913676000000004</v>
      </c>
      <c r="L7532" s="3">
        <v>30.733889961733698</v>
      </c>
    </row>
    <row r="7533" spans="1:12" ht="15" customHeight="1" x14ac:dyDescent="0.2">
      <c r="A7533" s="2">
        <v>35121</v>
      </c>
      <c r="B7533" s="3">
        <v>4.8395159999999997</v>
      </c>
      <c r="C7533" s="1">
        <v>458661.62</v>
      </c>
      <c r="D7533" s="3">
        <v>-4.9382400000000701E-2</v>
      </c>
      <c r="E7533" s="3">
        <v>-1.01009258036536</v>
      </c>
      <c r="F7533" s="3">
        <v>-1.01009258036536</v>
      </c>
      <c r="G7533" s="3">
        <v>4.8395159999999997</v>
      </c>
      <c r="H7533" s="3">
        <v>34.862327184092202</v>
      </c>
      <c r="I7533" s="3">
        <v>4.8395159999999997</v>
      </c>
      <c r="J7533" s="3">
        <v>4.8888984000000004</v>
      </c>
      <c r="K7533" s="3">
        <v>4.7407500000000002</v>
      </c>
      <c r="L7533" s="3">
        <v>34.862327184092202</v>
      </c>
    </row>
    <row r="7534" spans="1:12" ht="15" customHeight="1" x14ac:dyDescent="0.2">
      <c r="A7534" s="2">
        <v>35118</v>
      </c>
      <c r="B7534" s="3">
        <v>4.8888984000000004</v>
      </c>
      <c r="C7534" s="1">
        <v>2121183.2999999998</v>
      </c>
      <c r="D7534" s="3">
        <v>-0.41975399999999902</v>
      </c>
      <c r="E7534" s="3">
        <v>-7.9069784263893297</v>
      </c>
      <c r="F7534" s="3">
        <v>-7.9069784263893297</v>
      </c>
      <c r="G7534" s="3">
        <v>4.8888984000000004</v>
      </c>
      <c r="H7534" s="3">
        <v>36.2384617781169</v>
      </c>
      <c r="I7534" s="3">
        <v>4.9876646999999998</v>
      </c>
      <c r="J7534" s="3">
        <v>5.1851950000000002</v>
      </c>
      <c r="K7534" s="3">
        <v>4.7407500000000002</v>
      </c>
      <c r="L7534" s="3">
        <v>36.2384617781169</v>
      </c>
    </row>
    <row r="7535" spans="1:12" ht="15" customHeight="1" x14ac:dyDescent="0.2">
      <c r="A7535" s="2">
        <v>35117</v>
      </c>
      <c r="B7535" s="3">
        <v>5.3086523999999997</v>
      </c>
      <c r="C7535" s="1">
        <v>405505.5</v>
      </c>
      <c r="D7535" s="3">
        <v>7.4074399999999693E-2</v>
      </c>
      <c r="E7535" s="3">
        <v>1.41509783596691</v>
      </c>
      <c r="F7535" s="3">
        <v>1.41509783596691</v>
      </c>
      <c r="G7535" s="3">
        <v>5.3086523999999997</v>
      </c>
      <c r="H7535" s="3">
        <v>47.935706148180202</v>
      </c>
      <c r="I7535" s="3">
        <v>5.3333449999999996</v>
      </c>
      <c r="J7535" s="3">
        <v>5.3827267000000001</v>
      </c>
      <c r="K7535" s="3">
        <v>5.234578</v>
      </c>
      <c r="L7535" s="3">
        <v>47.935706148180202</v>
      </c>
    </row>
    <row r="7536" spans="1:12" ht="15" customHeight="1" x14ac:dyDescent="0.2">
      <c r="A7536" s="2">
        <v>35116</v>
      </c>
      <c r="B7536" s="3">
        <v>5.234578</v>
      </c>
      <c r="C7536" s="1">
        <v>427274.2</v>
      </c>
      <c r="D7536" s="3"/>
      <c r="E7536" s="3"/>
      <c r="F7536" s="3"/>
      <c r="G7536" s="3">
        <v>5.234578</v>
      </c>
      <c r="H7536" s="3">
        <v>45.871481963620198</v>
      </c>
      <c r="I7536" s="3">
        <v>5.2345785999999999</v>
      </c>
      <c r="J7536" s="3">
        <v>5.2839612999999996</v>
      </c>
      <c r="K7536" s="3">
        <v>5.1851950000000002</v>
      </c>
      <c r="L7536" s="3">
        <v>45.871481963620198</v>
      </c>
    </row>
    <row r="7537" spans="1:12" ht="15" customHeight="1" x14ac:dyDescent="0.2">
      <c r="A7537" s="2">
        <v>35115</v>
      </c>
      <c r="B7537" s="3">
        <v>5.234578</v>
      </c>
      <c r="C7537" s="1">
        <v>759373.6</v>
      </c>
      <c r="D7537" s="3">
        <v>-4.9383299999999603E-2</v>
      </c>
      <c r="E7537" s="3">
        <v>-0.93458860116935005</v>
      </c>
      <c r="F7537" s="3">
        <v>-0.93458860116935005</v>
      </c>
      <c r="G7537" s="3">
        <v>5.234578</v>
      </c>
      <c r="H7537" s="3">
        <v>45.871481963620198</v>
      </c>
      <c r="I7537" s="3">
        <v>5.1851963999999997</v>
      </c>
      <c r="J7537" s="3">
        <v>5.3827267000000001</v>
      </c>
      <c r="K7537" s="3">
        <v>5.0864285999999996</v>
      </c>
      <c r="L7537" s="3">
        <v>45.871481963620198</v>
      </c>
    </row>
    <row r="7538" spans="1:12" ht="15" customHeight="1" x14ac:dyDescent="0.2">
      <c r="A7538" s="2">
        <v>35111</v>
      </c>
      <c r="B7538" s="3">
        <v>5.2839612999999996</v>
      </c>
      <c r="C7538" s="1">
        <v>874292.2</v>
      </c>
      <c r="D7538" s="3">
        <v>0.148149999999999</v>
      </c>
      <c r="E7538" s="3">
        <v>2.8846464822412701</v>
      </c>
      <c r="F7538" s="3">
        <v>2.8846464822412701</v>
      </c>
      <c r="G7538" s="3">
        <v>5.2839612999999996</v>
      </c>
      <c r="H7538" s="3">
        <v>47.247641637858301</v>
      </c>
      <c r="I7538" s="3">
        <v>5.1358128000000001</v>
      </c>
      <c r="J7538" s="3">
        <v>5.3086523999999997</v>
      </c>
      <c r="K7538" s="3">
        <v>5.0370464000000004</v>
      </c>
      <c r="L7538" s="3">
        <v>47.247641637858301</v>
      </c>
    </row>
    <row r="7539" spans="1:12" ht="15" customHeight="1" x14ac:dyDescent="0.2">
      <c r="A7539" s="2">
        <v>35110</v>
      </c>
      <c r="B7539" s="3">
        <v>5.1358113000000003</v>
      </c>
      <c r="C7539" s="1">
        <v>1003891.7</v>
      </c>
      <c r="D7539" s="3">
        <v>0.29629529999999998</v>
      </c>
      <c r="E7539" s="3">
        <v>6.1224159606043402</v>
      </c>
      <c r="F7539" s="3">
        <v>6.1224159606043402</v>
      </c>
      <c r="G7539" s="3">
        <v>5.1358113000000003</v>
      </c>
      <c r="H7539" s="3">
        <v>43.119159828453498</v>
      </c>
      <c r="I7539" s="3">
        <v>4.8395159999999997</v>
      </c>
      <c r="J7539" s="3">
        <v>5.2098865999999999</v>
      </c>
      <c r="K7539" s="3">
        <v>4.7407500000000002</v>
      </c>
      <c r="L7539" s="3">
        <v>43.119159828453498</v>
      </c>
    </row>
    <row r="7540" spans="1:12" ht="15" customHeight="1" x14ac:dyDescent="0.2">
      <c r="A7540" s="2">
        <v>35109</v>
      </c>
      <c r="B7540" s="3">
        <v>4.8395159999999997</v>
      </c>
      <c r="C7540" s="1">
        <v>270843.23</v>
      </c>
      <c r="D7540" s="3">
        <v>9.8765999999999396E-2</v>
      </c>
      <c r="E7540" s="3">
        <v>2.0833412434741101</v>
      </c>
      <c r="F7540" s="3">
        <v>2.0833412434741101</v>
      </c>
      <c r="G7540" s="3">
        <v>4.8395159999999997</v>
      </c>
      <c r="H7540" s="3">
        <v>34.862327184092202</v>
      </c>
      <c r="I7540" s="3">
        <v>4.790133</v>
      </c>
      <c r="J7540" s="3">
        <v>4.8888984000000004</v>
      </c>
      <c r="K7540" s="3">
        <v>4.7407500000000002</v>
      </c>
      <c r="L7540" s="3">
        <v>34.862327184092202</v>
      </c>
    </row>
    <row r="7541" spans="1:12" ht="15" customHeight="1" x14ac:dyDescent="0.2">
      <c r="A7541" s="2">
        <v>35108</v>
      </c>
      <c r="B7541" s="3">
        <v>4.7407500000000002</v>
      </c>
      <c r="C7541" s="1">
        <v>481949.07</v>
      </c>
      <c r="D7541" s="3">
        <v>4.9382399999999799E-2</v>
      </c>
      <c r="E7541" s="3">
        <v>1.0526226936469401</v>
      </c>
      <c r="F7541" s="3">
        <v>1.0526226936469401</v>
      </c>
      <c r="G7541" s="3">
        <v>4.7407500000000002</v>
      </c>
      <c r="H7541" s="3">
        <v>32.110024555758301</v>
      </c>
      <c r="I7541" s="3">
        <v>4.6913676000000004</v>
      </c>
      <c r="J7541" s="3">
        <v>4.8888984000000004</v>
      </c>
      <c r="K7541" s="3">
        <v>4.6419839999999999</v>
      </c>
      <c r="L7541" s="3">
        <v>32.110024555758301</v>
      </c>
    </row>
    <row r="7542" spans="1:12" ht="15" customHeight="1" x14ac:dyDescent="0.2">
      <c r="A7542" s="2">
        <v>35107</v>
      </c>
      <c r="B7542" s="3">
        <v>4.6913676000000004</v>
      </c>
      <c r="C7542" s="1">
        <v>347286.83</v>
      </c>
      <c r="D7542" s="3">
        <v>4.9383600000000499E-2</v>
      </c>
      <c r="E7542" s="3">
        <v>1.06384683790381</v>
      </c>
      <c r="F7542" s="3">
        <v>1.06384683790381</v>
      </c>
      <c r="G7542" s="3">
        <v>4.6913676000000004</v>
      </c>
      <c r="H7542" s="3">
        <v>30.733889961733698</v>
      </c>
      <c r="I7542" s="3">
        <v>4.5432189999999997</v>
      </c>
      <c r="J7542" s="3">
        <v>4.790133</v>
      </c>
      <c r="K7542" s="3">
        <v>4.5432186000000003</v>
      </c>
      <c r="L7542" s="3">
        <v>30.733889961733698</v>
      </c>
    </row>
    <row r="7543" spans="1:12" ht="15" customHeight="1" x14ac:dyDescent="0.2">
      <c r="A7543" s="2">
        <v>35104</v>
      </c>
      <c r="B7543" s="3">
        <v>4.6419839999999999</v>
      </c>
      <c r="C7543" s="1">
        <v>504730.26</v>
      </c>
      <c r="D7543" s="3">
        <v>4.9381699999999598E-2</v>
      </c>
      <c r="E7543" s="3">
        <v>1.0752444207938301</v>
      </c>
      <c r="F7543" s="3">
        <v>1.0752444207938301</v>
      </c>
      <c r="G7543" s="3">
        <v>4.6419839999999999</v>
      </c>
      <c r="H7543" s="3">
        <v>29.3577219274244</v>
      </c>
      <c r="I7543" s="3">
        <v>4.641985</v>
      </c>
      <c r="J7543" s="3">
        <v>4.6419839999999999</v>
      </c>
      <c r="K7543" s="3">
        <v>4.5432186000000003</v>
      </c>
      <c r="L7543" s="3">
        <v>29.3577219274244</v>
      </c>
    </row>
    <row r="7544" spans="1:12" ht="15" customHeight="1" x14ac:dyDescent="0.2">
      <c r="A7544" s="2">
        <v>35103</v>
      </c>
      <c r="B7544" s="3">
        <v>4.5926023000000002</v>
      </c>
      <c r="C7544" s="1">
        <v>224774.55</v>
      </c>
      <c r="D7544" s="3">
        <v>-4.9381699999999598E-2</v>
      </c>
      <c r="E7544" s="3">
        <v>-1.06380590712935</v>
      </c>
      <c r="F7544" s="3">
        <v>-1.06380590712935</v>
      </c>
      <c r="G7544" s="3">
        <v>4.5926023000000002</v>
      </c>
      <c r="H7544" s="3">
        <v>27.981606840232502</v>
      </c>
      <c r="I7544" s="3">
        <v>4.641985</v>
      </c>
      <c r="J7544" s="3">
        <v>4.6419839999999999</v>
      </c>
      <c r="K7544" s="3">
        <v>4.5432186000000003</v>
      </c>
      <c r="L7544" s="3">
        <v>27.981606840232502</v>
      </c>
    </row>
    <row r="7545" spans="1:12" ht="15" customHeight="1" x14ac:dyDescent="0.2">
      <c r="A7545" s="2">
        <v>35102</v>
      </c>
      <c r="B7545" s="3">
        <v>4.6419839999999999</v>
      </c>
      <c r="C7545" s="1">
        <v>378168.06</v>
      </c>
      <c r="D7545" s="3">
        <v>4.9381699999999598E-2</v>
      </c>
      <c r="E7545" s="3">
        <v>1.0752444207938301</v>
      </c>
      <c r="F7545" s="3">
        <v>1.0752444207938301</v>
      </c>
      <c r="G7545" s="3">
        <v>4.6419839999999999</v>
      </c>
      <c r="H7545" s="3">
        <v>29.3577219274244</v>
      </c>
      <c r="I7545" s="3">
        <v>4.6913676000000004</v>
      </c>
      <c r="J7545" s="3">
        <v>4.6913676000000004</v>
      </c>
      <c r="K7545" s="3">
        <v>4.5432186000000003</v>
      </c>
      <c r="L7545" s="3">
        <v>29.3577219274244</v>
      </c>
    </row>
    <row r="7546" spans="1:12" ht="15" customHeight="1" x14ac:dyDescent="0.2">
      <c r="A7546" s="2">
        <v>35101</v>
      </c>
      <c r="B7546" s="3">
        <v>4.5926023000000002</v>
      </c>
      <c r="C7546" s="1">
        <v>385761.8</v>
      </c>
      <c r="D7546" s="3">
        <v>2.4692599999999801E-2</v>
      </c>
      <c r="E7546" s="3">
        <v>0.54056672792808202</v>
      </c>
      <c r="F7546" s="3">
        <v>0.54056672792808202</v>
      </c>
      <c r="G7546" s="3">
        <v>4.5926023000000002</v>
      </c>
      <c r="H7546" s="3">
        <v>27.981606840232502</v>
      </c>
      <c r="I7546" s="3">
        <v>4.641985</v>
      </c>
      <c r="J7546" s="3">
        <v>4.6913676000000004</v>
      </c>
      <c r="K7546" s="3">
        <v>4.5926023000000002</v>
      </c>
      <c r="L7546" s="3">
        <v>27.981606840232502</v>
      </c>
    </row>
    <row r="7547" spans="1:12" ht="15" customHeight="1" x14ac:dyDescent="0.2">
      <c r="A7547" s="2">
        <v>35100</v>
      </c>
      <c r="B7547" s="3">
        <v>4.5679097000000004</v>
      </c>
      <c r="C7547" s="1">
        <v>304761.87</v>
      </c>
      <c r="D7547" s="3">
        <v>7.4074300000000301E-2</v>
      </c>
      <c r="E7547" s="3">
        <v>1.64835365354059</v>
      </c>
      <c r="F7547" s="3">
        <v>1.64835365354059</v>
      </c>
      <c r="G7547" s="3">
        <v>4.5679097000000004</v>
      </c>
      <c r="H7547" s="3">
        <v>27.293500529554699</v>
      </c>
      <c r="I7547" s="3">
        <v>4.4938364000000002</v>
      </c>
      <c r="J7547" s="3">
        <v>4.6419839999999999</v>
      </c>
      <c r="K7547" s="3">
        <v>4.4938354</v>
      </c>
      <c r="L7547" s="3">
        <v>27.293500529554699</v>
      </c>
    </row>
    <row r="7548" spans="1:12" ht="15" customHeight="1" x14ac:dyDescent="0.2">
      <c r="A7548" s="2">
        <v>35097</v>
      </c>
      <c r="B7548" s="3">
        <v>4.4938354</v>
      </c>
      <c r="C7548" s="1">
        <v>643948.69999999995</v>
      </c>
      <c r="D7548" s="3">
        <v>-2.4692100000000199E-2</v>
      </c>
      <c r="E7548" s="3">
        <v>-0.54646342198869602</v>
      </c>
      <c r="F7548" s="3">
        <v>-0.54646342198869602</v>
      </c>
      <c r="G7548" s="3">
        <v>4.4938354</v>
      </c>
      <c r="H7548" s="3">
        <v>25.2292791316851</v>
      </c>
      <c r="I7548" s="3">
        <v>4.4938364000000002</v>
      </c>
      <c r="J7548" s="3">
        <v>4.6419839999999999</v>
      </c>
      <c r="K7548" s="3">
        <v>4.4938354</v>
      </c>
      <c r="L7548" s="3">
        <v>25.2292791316851</v>
      </c>
    </row>
    <row r="7549" spans="1:12" ht="15" customHeight="1" x14ac:dyDescent="0.2">
      <c r="A7549" s="2">
        <v>35096</v>
      </c>
      <c r="B7549" s="3">
        <v>4.5185275000000003</v>
      </c>
      <c r="C7549" s="1">
        <v>340705.63</v>
      </c>
      <c r="D7549" s="3">
        <v>-2.4691100000000001E-2</v>
      </c>
      <c r="E7549" s="3">
        <v>-0.54347153799731895</v>
      </c>
      <c r="F7549" s="3">
        <v>-0.54347153799731895</v>
      </c>
      <c r="G7549" s="3">
        <v>4.5185275000000003</v>
      </c>
      <c r="H7549" s="3">
        <v>25.9173715089109</v>
      </c>
      <c r="I7549" s="3">
        <v>4.5926023000000002</v>
      </c>
      <c r="J7549" s="3">
        <v>4.6419839999999999</v>
      </c>
      <c r="K7549" s="3">
        <v>4.4938354</v>
      </c>
      <c r="L7549" s="3">
        <v>25.9173715089109</v>
      </c>
    </row>
    <row r="7550" spans="1:12" ht="15" customHeight="1" x14ac:dyDescent="0.2">
      <c r="A7550" s="2">
        <v>35095</v>
      </c>
      <c r="B7550" s="3">
        <v>4.5432186000000003</v>
      </c>
      <c r="C7550" s="1">
        <v>669261.19999999995</v>
      </c>
      <c r="D7550" s="3">
        <v>2.4691100000000001E-2</v>
      </c>
      <c r="E7550" s="3">
        <v>0.54644129088514604</v>
      </c>
      <c r="F7550" s="3">
        <v>0.54644129088514604</v>
      </c>
      <c r="G7550" s="3">
        <v>4.5432186000000003</v>
      </c>
      <c r="H7550" s="3">
        <v>26.605436019232801</v>
      </c>
      <c r="I7550" s="3">
        <v>4.5926023000000002</v>
      </c>
      <c r="J7550" s="3">
        <v>4.790133</v>
      </c>
      <c r="K7550" s="3">
        <v>4.4444512999999999</v>
      </c>
      <c r="L7550" s="3">
        <v>26.605436019232801</v>
      </c>
    </row>
    <row r="7551" spans="1:12" ht="15" customHeight="1" x14ac:dyDescent="0.2">
      <c r="A7551" s="2">
        <v>35094</v>
      </c>
      <c r="B7551" s="3">
        <v>4.5185275000000003</v>
      </c>
      <c r="C7551" s="1">
        <v>154405.93999999901</v>
      </c>
      <c r="D7551" s="3">
        <v>7.40762000000003E-2</v>
      </c>
      <c r="E7551" s="3">
        <v>1.6667119290968599</v>
      </c>
      <c r="F7551" s="3">
        <v>1.6667119290968599</v>
      </c>
      <c r="G7551" s="3">
        <v>4.5185275000000003</v>
      </c>
      <c r="H7551" s="3">
        <v>25.9173715089109</v>
      </c>
      <c r="I7551" s="3">
        <v>4.4444537000000004</v>
      </c>
      <c r="J7551" s="3">
        <v>4.5926023000000002</v>
      </c>
      <c r="K7551" s="3">
        <v>4.3950696000000002</v>
      </c>
      <c r="L7551" s="3">
        <v>25.9173715089109</v>
      </c>
    </row>
    <row r="7552" spans="1:12" ht="15" customHeight="1" x14ac:dyDescent="0.2">
      <c r="A7552" s="2">
        <v>35093</v>
      </c>
      <c r="B7552" s="3">
        <v>4.4444512999999999</v>
      </c>
      <c r="C7552" s="1">
        <v>879354.7</v>
      </c>
      <c r="D7552" s="3">
        <v>0.14814729999999901</v>
      </c>
      <c r="E7552" s="3">
        <v>3.4482499376207998</v>
      </c>
      <c r="F7552" s="3">
        <v>3.4482499376207998</v>
      </c>
      <c r="G7552" s="3">
        <v>4.4444512999999999</v>
      </c>
      <c r="H7552" s="3">
        <v>23.853097163923799</v>
      </c>
      <c r="I7552" s="3">
        <v>4.2963050000000003</v>
      </c>
      <c r="J7552" s="3">
        <v>4.4444512999999999</v>
      </c>
      <c r="K7552" s="3">
        <v>4.19754</v>
      </c>
      <c r="L7552" s="3">
        <v>23.853097163923799</v>
      </c>
    </row>
    <row r="7553" spans="1:12" ht="15" customHeight="1" x14ac:dyDescent="0.2">
      <c r="A7553" s="2">
        <v>35090</v>
      </c>
      <c r="B7553" s="3">
        <v>4.2963040000000001</v>
      </c>
      <c r="C7553" s="1">
        <v>147318.47999999899</v>
      </c>
      <c r="D7553" s="3">
        <v>4.93825000000001E-2</v>
      </c>
      <c r="E7553" s="3">
        <v>1.1627834420768</v>
      </c>
      <c r="F7553" s="3">
        <v>1.1627834420768</v>
      </c>
      <c r="G7553" s="3">
        <v>4.2963040000000001</v>
      </c>
      <c r="H7553" s="3">
        <v>19.724690595159501</v>
      </c>
      <c r="I7553" s="3">
        <v>4.2469229999999998</v>
      </c>
      <c r="J7553" s="3">
        <v>4.2963040000000001</v>
      </c>
      <c r="K7553" s="3">
        <v>4.1481560000000002</v>
      </c>
      <c r="L7553" s="3">
        <v>19.724690595159501</v>
      </c>
    </row>
    <row r="7554" spans="1:12" ht="15" customHeight="1" x14ac:dyDescent="0.2">
      <c r="A7554" s="2">
        <v>35089</v>
      </c>
      <c r="B7554" s="3">
        <v>4.2469215</v>
      </c>
      <c r="C7554" s="1">
        <v>422211.7</v>
      </c>
      <c r="D7554" s="3">
        <v>-0.111111499999999</v>
      </c>
      <c r="E7554" s="3">
        <v>-2.5495791335219198</v>
      </c>
      <c r="F7554" s="3">
        <v>-2.5495791335219198</v>
      </c>
      <c r="G7554" s="3">
        <v>4.2469215</v>
      </c>
      <c r="H7554" s="3">
        <v>18.3485532144445</v>
      </c>
      <c r="I7554" s="3">
        <v>4.3950709999999997</v>
      </c>
      <c r="J7554" s="3">
        <v>4.3950696000000002</v>
      </c>
      <c r="K7554" s="3">
        <v>4.1481560000000002</v>
      </c>
      <c r="L7554" s="3">
        <v>18.3485532144445</v>
      </c>
    </row>
    <row r="7555" spans="1:12" ht="15" customHeight="1" x14ac:dyDescent="0.2">
      <c r="A7555" s="2">
        <v>35088</v>
      </c>
      <c r="B7555" s="3">
        <v>4.3580329999999998</v>
      </c>
      <c r="C7555" s="1">
        <v>843917.1</v>
      </c>
      <c r="D7555" s="3">
        <v>1.23455999999997E-2</v>
      </c>
      <c r="E7555" s="3">
        <v>0.28408854258592497</v>
      </c>
      <c r="F7555" s="3">
        <v>0.28408854258592497</v>
      </c>
      <c r="G7555" s="3">
        <v>4.3580329999999998</v>
      </c>
      <c r="H7555" s="3">
        <v>21.4448867045942</v>
      </c>
      <c r="I7555" s="3">
        <v>4.4197616999999996</v>
      </c>
      <c r="J7555" s="3">
        <v>4.4444512999999999</v>
      </c>
      <c r="K7555" s="3">
        <v>4.3456874000000001</v>
      </c>
      <c r="L7555" s="3">
        <v>21.4448867045942</v>
      </c>
    </row>
    <row r="7556" spans="1:12" ht="15" customHeight="1" x14ac:dyDescent="0.2">
      <c r="A7556" s="2">
        <v>35087</v>
      </c>
      <c r="B7556" s="3">
        <v>4.3456874000000001</v>
      </c>
      <c r="C7556" s="1">
        <v>190349.66</v>
      </c>
      <c r="D7556" s="3">
        <v>7.4073799999999801E-2</v>
      </c>
      <c r="E7556" s="3">
        <v>1.73409411375597</v>
      </c>
      <c r="F7556" s="3">
        <v>1.73409411375597</v>
      </c>
      <c r="G7556" s="3">
        <v>4.3456874000000001</v>
      </c>
      <c r="H7556" s="3">
        <v>21.100853056088098</v>
      </c>
      <c r="I7556" s="3">
        <v>4.2963050000000003</v>
      </c>
      <c r="J7556" s="3">
        <v>4.3456874000000001</v>
      </c>
      <c r="K7556" s="3">
        <v>4.2469215</v>
      </c>
      <c r="L7556" s="3">
        <v>21.100853056088098</v>
      </c>
    </row>
    <row r="7557" spans="1:12" ht="15" customHeight="1" x14ac:dyDescent="0.2">
      <c r="A7557" s="2">
        <v>35086</v>
      </c>
      <c r="B7557" s="3">
        <v>4.2716136000000002</v>
      </c>
      <c r="C7557" s="1">
        <v>362980.56</v>
      </c>
      <c r="D7557" s="3">
        <v>7.40736000000001E-2</v>
      </c>
      <c r="E7557" s="3">
        <v>1.76469074743779</v>
      </c>
      <c r="F7557" s="3">
        <v>1.76469074743779</v>
      </c>
      <c r="G7557" s="3">
        <v>4.2716136000000002</v>
      </c>
      <c r="H7557" s="3">
        <v>19.0366455916703</v>
      </c>
      <c r="I7557" s="3">
        <v>4.19754</v>
      </c>
      <c r="J7557" s="3">
        <v>4.3456874000000001</v>
      </c>
      <c r="K7557" s="3">
        <v>4.1481560000000002</v>
      </c>
      <c r="L7557" s="3">
        <v>19.0366455916703</v>
      </c>
    </row>
    <row r="7558" spans="1:12" ht="15" customHeight="1" x14ac:dyDescent="0.2">
      <c r="A7558" s="2">
        <v>35083</v>
      </c>
      <c r="B7558" s="3">
        <v>4.19754</v>
      </c>
      <c r="C7558" s="1">
        <v>49612.408000000003</v>
      </c>
      <c r="D7558" s="3">
        <v>9.8766999999999605E-2</v>
      </c>
      <c r="E7558" s="3">
        <v>2.4096723580447001</v>
      </c>
      <c r="F7558" s="3">
        <v>2.4096723580447001</v>
      </c>
      <c r="G7558" s="3">
        <v>4.19754</v>
      </c>
      <c r="H7558" s="3">
        <v>16.972443700633399</v>
      </c>
      <c r="I7558" s="3">
        <v>4.19754</v>
      </c>
      <c r="J7558" s="3">
        <v>4.19754</v>
      </c>
      <c r="K7558" s="3">
        <v>4.0987730000000004</v>
      </c>
      <c r="L7558" s="3">
        <v>16.972443700633399</v>
      </c>
    </row>
    <row r="7559" spans="1:12" ht="15" customHeight="1" x14ac:dyDescent="0.2">
      <c r="A7559" s="2">
        <v>35082</v>
      </c>
      <c r="B7559" s="3">
        <v>4.0987730000000004</v>
      </c>
      <c r="C7559" s="1">
        <v>99731.063999999998</v>
      </c>
      <c r="D7559" s="3">
        <v>-4.9382999999999698E-2</v>
      </c>
      <c r="E7559" s="3">
        <v>-1.1904807823042201</v>
      </c>
      <c r="F7559" s="3">
        <v>-1.1904807823042201</v>
      </c>
      <c r="G7559" s="3">
        <v>4.0987730000000004</v>
      </c>
      <c r="H7559" s="3">
        <v>14.220113205395601</v>
      </c>
      <c r="I7559" s="3">
        <v>4.1481560000000002</v>
      </c>
      <c r="J7559" s="3">
        <v>4.19754</v>
      </c>
      <c r="K7559" s="3">
        <v>4.0493902999999998</v>
      </c>
      <c r="L7559" s="3">
        <v>14.220113205395601</v>
      </c>
    </row>
    <row r="7560" spans="1:12" ht="15" customHeight="1" x14ac:dyDescent="0.2">
      <c r="A7560" s="2">
        <v>35081</v>
      </c>
      <c r="B7560" s="3">
        <v>4.1481560000000002</v>
      </c>
      <c r="C7560" s="1">
        <v>145293.49</v>
      </c>
      <c r="D7560" s="3">
        <v>-4.9383999999999803E-2</v>
      </c>
      <c r="E7560" s="3">
        <v>-1.1764986158559401</v>
      </c>
      <c r="F7560" s="3">
        <v>-1.1764986158559401</v>
      </c>
      <c r="G7560" s="3">
        <v>4.1481560000000002</v>
      </c>
      <c r="H7560" s="3">
        <v>15.596264519562499</v>
      </c>
      <c r="I7560" s="3">
        <v>4.19754</v>
      </c>
      <c r="J7560" s="3">
        <v>4.19754</v>
      </c>
      <c r="K7560" s="3">
        <v>4.0000076</v>
      </c>
      <c r="L7560" s="3">
        <v>15.596264519562499</v>
      </c>
    </row>
    <row r="7561" spans="1:12" ht="15" customHeight="1" x14ac:dyDescent="0.2">
      <c r="A7561" s="2">
        <v>35080</v>
      </c>
      <c r="B7561" s="3">
        <v>4.19754</v>
      </c>
      <c r="C7561" s="1">
        <v>234393.31</v>
      </c>
      <c r="D7561" s="3"/>
      <c r="E7561" s="3"/>
      <c r="F7561" s="3"/>
      <c r="G7561" s="3">
        <v>4.19754</v>
      </c>
      <c r="H7561" s="3">
        <v>16.972443700633399</v>
      </c>
      <c r="I7561" s="3">
        <v>4.2469229999999998</v>
      </c>
      <c r="J7561" s="3">
        <v>4.2469215</v>
      </c>
      <c r="K7561" s="3">
        <v>4.1481560000000002</v>
      </c>
      <c r="L7561" s="3">
        <v>16.972443700633399</v>
      </c>
    </row>
    <row r="7562" spans="1:12" ht="15" customHeight="1" x14ac:dyDescent="0.2">
      <c r="A7562" s="2">
        <v>35079</v>
      </c>
      <c r="B7562" s="3">
        <v>4.19754</v>
      </c>
      <c r="C7562" s="1">
        <v>152380.94</v>
      </c>
      <c r="D7562" s="3">
        <v>-9.8764000000000005E-2</v>
      </c>
      <c r="E7562" s="3">
        <v>-2.29881311936958</v>
      </c>
      <c r="F7562" s="3">
        <v>-2.29881311936958</v>
      </c>
      <c r="G7562" s="3">
        <v>4.19754</v>
      </c>
      <c r="H7562" s="3">
        <v>16.972443700633399</v>
      </c>
      <c r="I7562" s="3">
        <v>4.2963050000000003</v>
      </c>
      <c r="J7562" s="3">
        <v>4.2963040000000001</v>
      </c>
      <c r="K7562" s="3">
        <v>4.19754</v>
      </c>
      <c r="L7562" s="3">
        <v>16.972443700633399</v>
      </c>
    </row>
    <row r="7563" spans="1:12" ht="15" customHeight="1" x14ac:dyDescent="0.2">
      <c r="A7563" s="2">
        <v>35076</v>
      </c>
      <c r="B7563" s="3">
        <v>4.2963040000000001</v>
      </c>
      <c r="C7563" s="1">
        <v>470811.6</v>
      </c>
      <c r="D7563" s="3">
        <v>-9.8765600000000106E-2</v>
      </c>
      <c r="E7563" s="3">
        <v>-2.2471908067166901</v>
      </c>
      <c r="F7563" s="3">
        <v>-2.2471908067166901</v>
      </c>
      <c r="G7563" s="3">
        <v>4.2963040000000001</v>
      </c>
      <c r="H7563" s="3">
        <v>19.724690595159501</v>
      </c>
      <c r="I7563" s="3">
        <v>4.3950709999999997</v>
      </c>
      <c r="J7563" s="3">
        <v>4.3950696000000002</v>
      </c>
      <c r="K7563" s="3">
        <v>4.1481560000000002</v>
      </c>
      <c r="L7563" s="3">
        <v>19.724690595159501</v>
      </c>
    </row>
    <row r="7564" spans="1:12" ht="15" customHeight="1" x14ac:dyDescent="0.2">
      <c r="A7564" s="2">
        <v>35075</v>
      </c>
      <c r="B7564" s="3">
        <v>4.3950696000000002</v>
      </c>
      <c r="C7564" s="1">
        <v>1386616.0999999901</v>
      </c>
      <c r="D7564" s="3">
        <v>0.24691360000000001</v>
      </c>
      <c r="E7564" s="3">
        <v>5.9523701615850504</v>
      </c>
      <c r="F7564" s="3">
        <v>5.9523701615850504</v>
      </c>
      <c r="G7564" s="3">
        <v>4.3950696000000002</v>
      </c>
      <c r="H7564" s="3">
        <v>22.4769820767319</v>
      </c>
      <c r="I7564" s="3">
        <v>4.19754</v>
      </c>
      <c r="J7564" s="3">
        <v>4.4444512999999999</v>
      </c>
      <c r="K7564" s="3">
        <v>4.1481560000000002</v>
      </c>
      <c r="L7564" s="3">
        <v>22.4769820767319</v>
      </c>
    </row>
    <row r="7565" spans="1:12" ht="15" customHeight="1" x14ac:dyDescent="0.2">
      <c r="A7565" s="2">
        <v>35074</v>
      </c>
      <c r="B7565" s="3">
        <v>4.1481560000000002</v>
      </c>
      <c r="C7565" s="1">
        <v>128587.25</v>
      </c>
      <c r="D7565" s="3">
        <v>-9.8765499999999798E-2</v>
      </c>
      <c r="E7565" s="3">
        <v>-2.3255786573874699</v>
      </c>
      <c r="F7565" s="3">
        <v>-2.3255786573874699</v>
      </c>
      <c r="G7565" s="3">
        <v>4.1481560000000002</v>
      </c>
      <c r="H7565" s="3">
        <v>15.596264519562499</v>
      </c>
      <c r="I7565" s="3">
        <v>4.1481560000000002</v>
      </c>
      <c r="J7565" s="3">
        <v>4.2469215</v>
      </c>
      <c r="K7565" s="3">
        <v>4.0987730000000004</v>
      </c>
      <c r="L7565" s="3">
        <v>15.596264519562499</v>
      </c>
    </row>
    <row r="7566" spans="1:12" ht="15" customHeight="1" x14ac:dyDescent="0.2">
      <c r="A7566" s="2">
        <v>35073</v>
      </c>
      <c r="B7566" s="3">
        <v>4.2469215</v>
      </c>
      <c r="C7566" s="1">
        <v>90112.33</v>
      </c>
      <c r="D7566" s="3">
        <v>-4.93825000000001E-2</v>
      </c>
      <c r="E7566" s="3">
        <v>-1.14941819759495</v>
      </c>
      <c r="F7566" s="3">
        <v>-1.14941819759495</v>
      </c>
      <c r="G7566" s="3">
        <v>4.2469215</v>
      </c>
      <c r="H7566" s="3">
        <v>18.3485532144445</v>
      </c>
      <c r="I7566" s="3">
        <v>4.1481560000000002</v>
      </c>
      <c r="J7566" s="3">
        <v>4.2963040000000001</v>
      </c>
      <c r="K7566" s="3">
        <v>4.1481560000000002</v>
      </c>
      <c r="L7566" s="3">
        <v>18.3485532144445</v>
      </c>
    </row>
    <row r="7567" spans="1:12" ht="15" customHeight="1" x14ac:dyDescent="0.2">
      <c r="A7567" s="2">
        <v>35072</v>
      </c>
      <c r="B7567" s="3">
        <v>4.2963040000000001</v>
      </c>
      <c r="C7567" s="1">
        <v>31893.687999999998</v>
      </c>
      <c r="D7567" s="3">
        <v>4.93825000000001E-2</v>
      </c>
      <c r="E7567" s="3">
        <v>1.1627834420768</v>
      </c>
      <c r="F7567" s="3">
        <v>1.1627834420768</v>
      </c>
      <c r="G7567" s="3">
        <v>4.2963040000000001</v>
      </c>
      <c r="H7567" s="3">
        <v>19.724690595159501</v>
      </c>
      <c r="I7567" s="3">
        <v>4.2963050000000003</v>
      </c>
      <c r="J7567" s="3">
        <v>4.2963040000000001</v>
      </c>
      <c r="K7567" s="3">
        <v>4.1481560000000002</v>
      </c>
      <c r="L7567" s="3">
        <v>19.724690595159501</v>
      </c>
    </row>
    <row r="7568" spans="1:12" ht="15" customHeight="1" x14ac:dyDescent="0.2">
      <c r="A7568" s="2">
        <v>35069</v>
      </c>
      <c r="B7568" s="3">
        <v>4.2469215</v>
      </c>
      <c r="C7568" s="1">
        <v>218193.36</v>
      </c>
      <c r="D7568" s="3">
        <v>-0.1481481</v>
      </c>
      <c r="E7568" s="3">
        <v>-3.3707793842445701</v>
      </c>
      <c r="F7568" s="3">
        <v>-3.3707793842445701</v>
      </c>
      <c r="G7568" s="3">
        <v>4.2469215</v>
      </c>
      <c r="H7568" s="3">
        <v>18.3485532144445</v>
      </c>
      <c r="I7568" s="3">
        <v>4.3950709999999997</v>
      </c>
      <c r="J7568" s="3">
        <v>4.3950696000000002</v>
      </c>
      <c r="K7568" s="3">
        <v>4.19754</v>
      </c>
      <c r="L7568" s="3">
        <v>18.3485532144445</v>
      </c>
    </row>
    <row r="7569" spans="1:12" ht="15" customHeight="1" x14ac:dyDescent="0.2">
      <c r="A7569" s="2">
        <v>35068</v>
      </c>
      <c r="B7569" s="3">
        <v>4.3950696000000002</v>
      </c>
      <c r="C7569" s="1">
        <v>1854896.5</v>
      </c>
      <c r="D7569" s="3">
        <v>0.1481481</v>
      </c>
      <c r="E7569" s="3">
        <v>3.4883644541110699</v>
      </c>
      <c r="F7569" s="3">
        <v>3.4883644541110699</v>
      </c>
      <c r="G7569" s="3">
        <v>4.3950696000000002</v>
      </c>
      <c r="H7569" s="3">
        <v>22.4769820767319</v>
      </c>
      <c r="I7569" s="3">
        <v>4.3950709999999997</v>
      </c>
      <c r="J7569" s="3">
        <v>4.3950696000000002</v>
      </c>
      <c r="K7569" s="3">
        <v>4.2469215</v>
      </c>
      <c r="L7569" s="3">
        <v>22.4769820767319</v>
      </c>
    </row>
    <row r="7570" spans="1:12" ht="15" customHeight="1" x14ac:dyDescent="0.2">
      <c r="A7570" s="2">
        <v>35067</v>
      </c>
      <c r="B7570" s="3">
        <v>4.2469215</v>
      </c>
      <c r="C7570" s="1">
        <v>370574.27999999898</v>
      </c>
      <c r="D7570" s="3">
        <v>-4.93825000000001E-2</v>
      </c>
      <c r="E7570" s="3">
        <v>-1.14941819759495</v>
      </c>
      <c r="F7570" s="3">
        <v>-1.14941819759495</v>
      </c>
      <c r="G7570" s="3">
        <v>4.2469215</v>
      </c>
      <c r="H7570" s="3">
        <v>18.3485532144445</v>
      </c>
      <c r="I7570" s="3">
        <v>4.19754</v>
      </c>
      <c r="J7570" s="3">
        <v>4.3950696000000002</v>
      </c>
      <c r="K7570" s="3">
        <v>4.19754</v>
      </c>
      <c r="L7570" s="3">
        <v>18.3485532144445</v>
      </c>
    </row>
    <row r="7571" spans="1:12" ht="15" customHeight="1" x14ac:dyDescent="0.2">
      <c r="A7571" s="2">
        <v>35066</v>
      </c>
      <c r="B7571" s="3">
        <v>4.2963040000000001</v>
      </c>
      <c r="C7571" s="1">
        <v>140230.99</v>
      </c>
      <c r="D7571" s="3">
        <v>4.93825000000001E-2</v>
      </c>
      <c r="E7571" s="3">
        <v>1.1627834420768</v>
      </c>
      <c r="F7571" s="3">
        <v>1.1627834420768</v>
      </c>
      <c r="G7571" s="3">
        <v>4.2963040000000001</v>
      </c>
      <c r="H7571" s="3">
        <v>19.724690595159501</v>
      </c>
      <c r="I7571" s="3">
        <v>4.2469229999999998</v>
      </c>
      <c r="J7571" s="3">
        <v>4.2963040000000001</v>
      </c>
      <c r="K7571" s="3">
        <v>4.19754</v>
      </c>
      <c r="L7571" s="3">
        <v>19.724690595159501</v>
      </c>
    </row>
    <row r="7572" spans="1:12" ht="15" customHeight="1" x14ac:dyDescent="0.2">
      <c r="A7572" s="2">
        <v>35062</v>
      </c>
      <c r="B7572" s="3">
        <v>4.2469215</v>
      </c>
      <c r="C7572" s="1">
        <v>275399.48</v>
      </c>
      <c r="D7572" s="3"/>
      <c r="E7572" s="3"/>
      <c r="F7572" s="3"/>
      <c r="G7572" s="3">
        <v>4.2469215</v>
      </c>
      <c r="H7572" s="3">
        <v>18.3485532144445</v>
      </c>
      <c r="I7572" s="3">
        <v>4.345688</v>
      </c>
      <c r="J7572" s="3">
        <v>4.3456874000000001</v>
      </c>
      <c r="K7572" s="3">
        <v>4.19754</v>
      </c>
      <c r="L7572" s="3">
        <v>18.3485532144445</v>
      </c>
    </row>
    <row r="7573" spans="1:12" ht="15" customHeight="1" x14ac:dyDescent="0.2">
      <c r="A7573" s="2">
        <v>35061</v>
      </c>
      <c r="B7573" s="3">
        <v>4.2469215</v>
      </c>
      <c r="C7573" s="1">
        <v>76949.843999999997</v>
      </c>
      <c r="D7573" s="3"/>
      <c r="E7573" s="3"/>
      <c r="F7573" s="3"/>
      <c r="G7573" s="3">
        <v>4.2469215</v>
      </c>
      <c r="H7573" s="3">
        <v>18.3485532144445</v>
      </c>
      <c r="I7573" s="3">
        <v>4.345688</v>
      </c>
      <c r="J7573" s="3">
        <v>4.3456874000000001</v>
      </c>
      <c r="K7573" s="3">
        <v>4.2469215</v>
      </c>
      <c r="L7573" s="3">
        <v>18.3485532144445</v>
      </c>
    </row>
    <row r="7574" spans="1:12" ht="15" customHeight="1" x14ac:dyDescent="0.2">
      <c r="A7574" s="2">
        <v>35060</v>
      </c>
      <c r="B7574" s="3">
        <v>4.2469215</v>
      </c>
      <c r="C7574" s="1">
        <v>299699.43</v>
      </c>
      <c r="D7574" s="3">
        <v>-9.8765900000000004E-2</v>
      </c>
      <c r="E7574" s="3">
        <v>-2.2727336531385101</v>
      </c>
      <c r="F7574" s="3">
        <v>-2.2727336531385101</v>
      </c>
      <c r="G7574" s="3">
        <v>4.2469215</v>
      </c>
      <c r="H7574" s="3">
        <v>18.3485532144445</v>
      </c>
      <c r="I7574" s="3">
        <v>4.2963050000000003</v>
      </c>
      <c r="J7574" s="3">
        <v>4.3209963</v>
      </c>
      <c r="K7574" s="3">
        <v>4.19754</v>
      </c>
      <c r="L7574" s="3">
        <v>18.3485532144445</v>
      </c>
    </row>
    <row r="7575" spans="1:12" ht="15" customHeight="1" x14ac:dyDescent="0.2">
      <c r="A7575" s="2">
        <v>35059</v>
      </c>
      <c r="B7575" s="3">
        <v>4.3456874000000001</v>
      </c>
      <c r="C7575" s="1">
        <v>189337.16</v>
      </c>
      <c r="D7575" s="3">
        <v>4.9383399999999897E-2</v>
      </c>
      <c r="E7575" s="3">
        <v>1.14943914583325</v>
      </c>
      <c r="F7575" s="3">
        <v>1.14943914583325</v>
      </c>
      <c r="G7575" s="3">
        <v>4.3456874000000001</v>
      </c>
      <c r="H7575" s="3">
        <v>21.100853056088098</v>
      </c>
      <c r="I7575" s="3">
        <v>4.345688</v>
      </c>
      <c r="J7575" s="3">
        <v>4.3456874000000001</v>
      </c>
      <c r="K7575" s="3">
        <v>4.19754</v>
      </c>
      <c r="L7575" s="3">
        <v>21.100853056088098</v>
      </c>
    </row>
    <row r="7576" spans="1:12" ht="15" customHeight="1" x14ac:dyDescent="0.2">
      <c r="A7576" s="2">
        <v>35055</v>
      </c>
      <c r="B7576" s="3">
        <v>4.2963040000000001</v>
      </c>
      <c r="C7576" s="1">
        <v>102262.314</v>
      </c>
      <c r="D7576" s="3">
        <v>-4.9383399999999897E-2</v>
      </c>
      <c r="E7576" s="3">
        <v>-1.1363771816629</v>
      </c>
      <c r="F7576" s="3">
        <v>-1.1363771816629</v>
      </c>
      <c r="G7576" s="3">
        <v>4.2963040000000001</v>
      </c>
      <c r="H7576" s="3">
        <v>19.724690595159501</v>
      </c>
      <c r="I7576" s="3">
        <v>4.2963050000000003</v>
      </c>
      <c r="J7576" s="3">
        <v>4.3456874000000001</v>
      </c>
      <c r="K7576" s="3">
        <v>4.19754</v>
      </c>
      <c r="L7576" s="3">
        <v>19.724690595159501</v>
      </c>
    </row>
    <row r="7577" spans="1:12" ht="15" customHeight="1" x14ac:dyDescent="0.2">
      <c r="A7577" s="2">
        <v>35054</v>
      </c>
      <c r="B7577" s="3">
        <v>4.3456874000000001</v>
      </c>
      <c r="C7577" s="1">
        <v>725961.1</v>
      </c>
      <c r="D7577" s="3">
        <v>-0.148147999999999</v>
      </c>
      <c r="E7577" s="3">
        <v>-3.2966939554572798</v>
      </c>
      <c r="F7577" s="3">
        <v>-3.2966939554572798</v>
      </c>
      <c r="G7577" s="3">
        <v>4.3456874000000001</v>
      </c>
      <c r="H7577" s="3">
        <v>21.100853056088098</v>
      </c>
      <c r="I7577" s="3">
        <v>4.4938364000000002</v>
      </c>
      <c r="J7577" s="3">
        <v>4.4938354</v>
      </c>
      <c r="K7577" s="3">
        <v>4.2963040000000001</v>
      </c>
      <c r="L7577" s="3">
        <v>21.100853056088098</v>
      </c>
    </row>
    <row r="7578" spans="1:12" ht="15" customHeight="1" x14ac:dyDescent="0.2">
      <c r="A7578" s="2">
        <v>35053</v>
      </c>
      <c r="B7578" s="3">
        <v>4.4938354</v>
      </c>
      <c r="C7578" s="1">
        <v>589273.9</v>
      </c>
      <c r="D7578" s="3">
        <v>0.29629539999999999</v>
      </c>
      <c r="E7578" s="3">
        <v>7.0587868132286902</v>
      </c>
      <c r="F7578" s="3">
        <v>7.0587868132286902</v>
      </c>
      <c r="G7578" s="3">
        <v>4.4938354</v>
      </c>
      <c r="H7578" s="3">
        <v>25.2292791316851</v>
      </c>
      <c r="I7578" s="3">
        <v>4.1481560000000002</v>
      </c>
      <c r="J7578" s="3">
        <v>4.5432186000000003</v>
      </c>
      <c r="K7578" s="3">
        <v>4.1481560000000002</v>
      </c>
      <c r="L7578" s="3">
        <v>25.2292791316851</v>
      </c>
    </row>
    <row r="7579" spans="1:12" ht="15" customHeight="1" x14ac:dyDescent="0.2">
      <c r="A7579" s="2">
        <v>35052</v>
      </c>
      <c r="B7579" s="3">
        <v>4.19754</v>
      </c>
      <c r="C7579" s="1">
        <v>224268.3</v>
      </c>
      <c r="D7579" s="3">
        <v>0.1481497</v>
      </c>
      <c r="E7579" s="3">
        <v>3.6585680565293899</v>
      </c>
      <c r="F7579" s="3">
        <v>3.6585680565293899</v>
      </c>
      <c r="G7579" s="3">
        <v>4.19754</v>
      </c>
      <c r="H7579" s="3">
        <v>16.972443700633399</v>
      </c>
      <c r="I7579" s="3">
        <v>4.0493912999999999</v>
      </c>
      <c r="J7579" s="3">
        <v>4.19754</v>
      </c>
      <c r="K7579" s="3">
        <v>4.0000076</v>
      </c>
      <c r="L7579" s="3">
        <v>16.972443700633399</v>
      </c>
    </row>
    <row r="7580" spans="1:12" ht="15" customHeight="1" x14ac:dyDescent="0.2">
      <c r="A7580" s="2">
        <v>35051</v>
      </c>
      <c r="B7580" s="3">
        <v>4.0493902999999998</v>
      </c>
      <c r="C7580" s="1">
        <v>531055.19999999995</v>
      </c>
      <c r="D7580" s="3">
        <v>-0.24691370000000001</v>
      </c>
      <c r="E7580" s="3">
        <v>-5.74711891895919</v>
      </c>
      <c r="F7580" s="3">
        <v>-5.74711891895919</v>
      </c>
      <c r="G7580" s="3">
        <v>4.0493902999999998</v>
      </c>
      <c r="H7580" s="3">
        <v>12.843970251299799</v>
      </c>
      <c r="I7580" s="3">
        <v>4.2963050000000003</v>
      </c>
      <c r="J7580" s="3">
        <v>4.2963040000000001</v>
      </c>
      <c r="K7580" s="3">
        <v>3.9506247000000001</v>
      </c>
      <c r="L7580" s="3">
        <v>12.843970251299799</v>
      </c>
    </row>
    <row r="7581" spans="1:12" ht="15" customHeight="1" x14ac:dyDescent="0.2">
      <c r="A7581" s="2">
        <v>35048</v>
      </c>
      <c r="B7581" s="3">
        <v>4.2963040000000001</v>
      </c>
      <c r="C7581" s="1">
        <v>247049.53</v>
      </c>
      <c r="D7581" s="3">
        <v>0.1234567</v>
      </c>
      <c r="E7581" s="3">
        <v>2.9585721960158899</v>
      </c>
      <c r="F7581" s="3">
        <v>2.9585721960158899</v>
      </c>
      <c r="G7581" s="3">
        <v>4.2963040000000001</v>
      </c>
      <c r="H7581" s="3">
        <v>19.724690595159501</v>
      </c>
      <c r="I7581" s="3">
        <v>4.2469229999999998</v>
      </c>
      <c r="J7581" s="3">
        <v>4.3950696000000002</v>
      </c>
      <c r="K7581" s="3">
        <v>4.1481560000000002</v>
      </c>
      <c r="L7581" s="3">
        <v>19.724690595159501</v>
      </c>
    </row>
    <row r="7582" spans="1:12" ht="15" customHeight="1" x14ac:dyDescent="0.2">
      <c r="A7582" s="2">
        <v>35047</v>
      </c>
      <c r="B7582" s="3">
        <v>4.1728472999999999</v>
      </c>
      <c r="C7582" s="1">
        <v>376649.3</v>
      </c>
      <c r="D7582" s="3">
        <v>2.4691299999999701E-2</v>
      </c>
      <c r="E7582" s="3">
        <v>0.595235569732666</v>
      </c>
      <c r="F7582" s="3">
        <v>0.595235569732666</v>
      </c>
      <c r="G7582" s="3">
        <v>4.1728472999999999</v>
      </c>
      <c r="H7582" s="3">
        <v>16.284334603265201</v>
      </c>
      <c r="I7582" s="3">
        <v>4.0987730000000004</v>
      </c>
      <c r="J7582" s="3">
        <v>4.2469215</v>
      </c>
      <c r="K7582" s="3">
        <v>4.0987730000000004</v>
      </c>
      <c r="L7582" s="3">
        <v>16.284334603265201</v>
      </c>
    </row>
    <row r="7583" spans="1:12" ht="15" customHeight="1" x14ac:dyDescent="0.2">
      <c r="A7583" s="2">
        <v>35046</v>
      </c>
      <c r="B7583" s="3">
        <v>4.1481560000000002</v>
      </c>
      <c r="C7583" s="1">
        <v>109856.06</v>
      </c>
      <c r="D7583" s="3"/>
      <c r="E7583" s="3"/>
      <c r="F7583" s="3"/>
      <c r="G7583" s="3">
        <v>4.1481560000000002</v>
      </c>
      <c r="H7583" s="3">
        <v>15.596264519562499</v>
      </c>
      <c r="I7583" s="3">
        <v>4.2469229999999998</v>
      </c>
      <c r="J7583" s="3">
        <v>4.2469215</v>
      </c>
      <c r="K7583" s="3">
        <v>4.0987730000000004</v>
      </c>
      <c r="L7583" s="3">
        <v>15.596264519562499</v>
      </c>
    </row>
    <row r="7584" spans="1:12" ht="15" customHeight="1" x14ac:dyDescent="0.2">
      <c r="A7584" s="2">
        <v>35045</v>
      </c>
      <c r="B7584" s="3">
        <v>4.1481560000000002</v>
      </c>
      <c r="C7584" s="1">
        <v>87074.84</v>
      </c>
      <c r="D7584" s="3">
        <v>-9.8765499999999798E-2</v>
      </c>
      <c r="E7584" s="3">
        <v>-2.3255786573874699</v>
      </c>
      <c r="F7584" s="3">
        <v>-2.3255786573874699</v>
      </c>
      <c r="G7584" s="3">
        <v>4.1481560000000002</v>
      </c>
      <c r="H7584" s="3">
        <v>15.596264519562499</v>
      </c>
      <c r="I7584" s="3">
        <v>4.2963050000000003</v>
      </c>
      <c r="J7584" s="3">
        <v>4.2963040000000001</v>
      </c>
      <c r="K7584" s="3">
        <v>4.1481560000000002</v>
      </c>
      <c r="L7584" s="3">
        <v>15.596264519562499</v>
      </c>
    </row>
    <row r="7585" spans="1:12" ht="15" customHeight="1" x14ac:dyDescent="0.2">
      <c r="A7585" s="2">
        <v>35044</v>
      </c>
      <c r="B7585" s="3">
        <v>4.2469215</v>
      </c>
      <c r="C7585" s="1">
        <v>238443.31</v>
      </c>
      <c r="D7585" s="3">
        <v>-9.8765900000000004E-2</v>
      </c>
      <c r="E7585" s="3">
        <v>-2.2727336531385101</v>
      </c>
      <c r="F7585" s="3">
        <v>-2.2727336531385101</v>
      </c>
      <c r="G7585" s="3">
        <v>4.2469215</v>
      </c>
      <c r="H7585" s="3">
        <v>18.3485532144445</v>
      </c>
      <c r="I7585" s="3">
        <v>4.2963050000000003</v>
      </c>
      <c r="J7585" s="3">
        <v>4.3950696000000002</v>
      </c>
      <c r="K7585" s="3">
        <v>4.1481560000000002</v>
      </c>
      <c r="L7585" s="3">
        <v>18.3485532144445</v>
      </c>
    </row>
    <row r="7586" spans="1:12" ht="15" customHeight="1" x14ac:dyDescent="0.2">
      <c r="A7586" s="2">
        <v>35041</v>
      </c>
      <c r="B7586" s="3">
        <v>4.3456874000000001</v>
      </c>
      <c r="C7586" s="1">
        <v>238443.31</v>
      </c>
      <c r="D7586" s="3">
        <v>-9.8763899999999794E-2</v>
      </c>
      <c r="E7586" s="3">
        <v>-2.2221843222806701</v>
      </c>
      <c r="F7586" s="3">
        <v>-2.2221843222806701</v>
      </c>
      <c r="G7586" s="3">
        <v>4.3456874000000001</v>
      </c>
      <c r="H7586" s="3">
        <v>21.100853056088098</v>
      </c>
      <c r="I7586" s="3">
        <v>4.345688</v>
      </c>
      <c r="J7586" s="3">
        <v>4.4444512999999999</v>
      </c>
      <c r="K7586" s="3">
        <v>4.2963040000000001</v>
      </c>
      <c r="L7586" s="3">
        <v>21.100853056088098</v>
      </c>
    </row>
    <row r="7587" spans="1:12" ht="15" customHeight="1" x14ac:dyDescent="0.2">
      <c r="A7587" s="2">
        <v>35040</v>
      </c>
      <c r="B7587" s="3">
        <v>4.4444512999999999</v>
      </c>
      <c r="C7587" s="1">
        <v>200474.62</v>
      </c>
      <c r="D7587" s="3">
        <v>-0.1234584</v>
      </c>
      <c r="E7587" s="3">
        <v>-2.7027329371244</v>
      </c>
      <c r="F7587" s="3">
        <v>-2.7027329371244</v>
      </c>
      <c r="G7587" s="3">
        <v>4.4444512999999999</v>
      </c>
      <c r="H7587" s="3">
        <v>23.853097163923799</v>
      </c>
      <c r="I7587" s="3">
        <v>4.641985</v>
      </c>
      <c r="J7587" s="3">
        <v>4.6419839999999999</v>
      </c>
      <c r="K7587" s="3">
        <v>4.3456874000000001</v>
      </c>
      <c r="L7587" s="3">
        <v>23.853097163923799</v>
      </c>
    </row>
    <row r="7588" spans="1:12" ht="15" customHeight="1" x14ac:dyDescent="0.2">
      <c r="A7588" s="2">
        <v>35039</v>
      </c>
      <c r="B7588" s="3">
        <v>4.5679097000000004</v>
      </c>
      <c r="C7588" s="1">
        <v>415630.43</v>
      </c>
      <c r="D7588" s="3">
        <v>-7.4074299999999399E-2</v>
      </c>
      <c r="E7588" s="3">
        <v>-1.5957465600915299</v>
      </c>
      <c r="F7588" s="3">
        <v>-1.5957465600915299</v>
      </c>
      <c r="G7588" s="3">
        <v>4.5679097000000004</v>
      </c>
      <c r="H7588" s="3">
        <v>27.293500529554699</v>
      </c>
      <c r="I7588" s="3">
        <v>4.5432189999999997</v>
      </c>
      <c r="J7588" s="3">
        <v>4.6419839999999999</v>
      </c>
      <c r="K7588" s="3">
        <v>4.4938354</v>
      </c>
      <c r="L7588" s="3">
        <v>27.293500529554699</v>
      </c>
    </row>
    <row r="7589" spans="1:12" ht="15" customHeight="1" x14ac:dyDescent="0.2">
      <c r="A7589" s="2">
        <v>35038</v>
      </c>
      <c r="B7589" s="3">
        <v>4.6419839999999999</v>
      </c>
      <c r="C7589" s="1">
        <v>609017.5</v>
      </c>
      <c r="D7589" s="3">
        <v>0.123456499999999</v>
      </c>
      <c r="E7589" s="3">
        <v>2.7322285855292301</v>
      </c>
      <c r="F7589" s="3">
        <v>2.7322285855292301</v>
      </c>
      <c r="G7589" s="3">
        <v>4.6419839999999999</v>
      </c>
      <c r="H7589" s="3">
        <v>29.3577219274244</v>
      </c>
      <c r="I7589" s="3">
        <v>4.4938364000000002</v>
      </c>
      <c r="J7589" s="3">
        <v>4.6419839999999999</v>
      </c>
      <c r="K7589" s="3">
        <v>4.4444512999999999</v>
      </c>
      <c r="L7589" s="3">
        <v>29.3577219274244</v>
      </c>
    </row>
    <row r="7590" spans="1:12" ht="15" customHeight="1" x14ac:dyDescent="0.2">
      <c r="A7590" s="2">
        <v>35037</v>
      </c>
      <c r="B7590" s="3">
        <v>4.5185275000000003</v>
      </c>
      <c r="C7590" s="1">
        <v>228824.57</v>
      </c>
      <c r="D7590" s="3">
        <v>-2.4691100000000001E-2</v>
      </c>
      <c r="E7590" s="3">
        <v>-0.54347153799731895</v>
      </c>
      <c r="F7590" s="3">
        <v>-0.54347153799731895</v>
      </c>
      <c r="G7590" s="3">
        <v>4.5185275000000003</v>
      </c>
      <c r="H7590" s="3">
        <v>25.9173715089109</v>
      </c>
      <c r="I7590" s="3">
        <v>4.5432189999999997</v>
      </c>
      <c r="J7590" s="3">
        <v>4.6419839999999999</v>
      </c>
      <c r="K7590" s="3">
        <v>4.4444512999999999</v>
      </c>
      <c r="L7590" s="3">
        <v>25.9173715089109</v>
      </c>
    </row>
    <row r="7591" spans="1:12" ht="15" customHeight="1" x14ac:dyDescent="0.2">
      <c r="A7591" s="2">
        <v>35034</v>
      </c>
      <c r="B7591" s="3">
        <v>4.5432186000000003</v>
      </c>
      <c r="C7591" s="1">
        <v>86568.59</v>
      </c>
      <c r="D7591" s="3">
        <v>9.8767300000000405E-2</v>
      </c>
      <c r="E7591" s="3">
        <v>2.2222608221627</v>
      </c>
      <c r="F7591" s="3">
        <v>2.2222608221627</v>
      </c>
      <c r="G7591" s="3">
        <v>4.5432186000000003</v>
      </c>
      <c r="H7591" s="3">
        <v>26.605436019232801</v>
      </c>
      <c r="I7591" s="3">
        <v>4.5432189999999997</v>
      </c>
      <c r="J7591" s="3">
        <v>4.5432186000000003</v>
      </c>
      <c r="K7591" s="3">
        <v>4.3950696000000002</v>
      </c>
      <c r="L7591" s="3">
        <v>26.605436019232801</v>
      </c>
    </row>
    <row r="7592" spans="1:12" ht="15" customHeight="1" x14ac:dyDescent="0.2">
      <c r="A7592" s="2">
        <v>35033</v>
      </c>
      <c r="B7592" s="3">
        <v>4.4444512999999999</v>
      </c>
      <c r="C7592" s="1">
        <v>81506.096000000005</v>
      </c>
      <c r="D7592" s="3">
        <v>-9.8767300000000405E-2</v>
      </c>
      <c r="E7592" s="3">
        <v>-2.1739499833884302</v>
      </c>
      <c r="F7592" s="3">
        <v>-2.1739499833884302</v>
      </c>
      <c r="G7592" s="3">
        <v>4.4444512999999999</v>
      </c>
      <c r="H7592" s="3">
        <v>23.853097163923799</v>
      </c>
      <c r="I7592" s="3">
        <v>4.3950709999999997</v>
      </c>
      <c r="J7592" s="3">
        <v>4.5432186000000003</v>
      </c>
      <c r="K7592" s="3">
        <v>4.3950696000000002</v>
      </c>
      <c r="L7592" s="3">
        <v>23.853097163923799</v>
      </c>
    </row>
    <row r="7593" spans="1:12" ht="15" customHeight="1" x14ac:dyDescent="0.2">
      <c r="A7593" s="2">
        <v>35032</v>
      </c>
      <c r="B7593" s="3">
        <v>4.5432186000000003</v>
      </c>
      <c r="C7593" s="1">
        <v>141243.48000000001</v>
      </c>
      <c r="D7593" s="3">
        <v>9.8767300000000405E-2</v>
      </c>
      <c r="E7593" s="3">
        <v>2.2222608221627</v>
      </c>
      <c r="F7593" s="3">
        <v>2.2222608221627</v>
      </c>
      <c r="G7593" s="3">
        <v>4.5432186000000003</v>
      </c>
      <c r="H7593" s="3">
        <v>26.605436019232801</v>
      </c>
      <c r="I7593" s="3">
        <v>4.4938364000000002</v>
      </c>
      <c r="J7593" s="3">
        <v>4.5432186000000003</v>
      </c>
      <c r="K7593" s="3">
        <v>4.3950696000000002</v>
      </c>
      <c r="L7593" s="3">
        <v>26.605436019232801</v>
      </c>
    </row>
    <row r="7594" spans="1:12" ht="15" customHeight="1" x14ac:dyDescent="0.2">
      <c r="A7594" s="2">
        <v>35031</v>
      </c>
      <c r="B7594" s="3">
        <v>4.4444512999999999</v>
      </c>
      <c r="C7594" s="1">
        <v>523461.5</v>
      </c>
      <c r="D7594" s="3">
        <v>0.29629529999999898</v>
      </c>
      <c r="E7594" s="3">
        <v>7.1428196046628702</v>
      </c>
      <c r="F7594" s="3">
        <v>7.1428196046628702</v>
      </c>
      <c r="G7594" s="3">
        <v>4.4444512999999999</v>
      </c>
      <c r="H7594" s="3">
        <v>23.853097163923799</v>
      </c>
      <c r="I7594" s="3">
        <v>4.0987730000000004</v>
      </c>
      <c r="J7594" s="3">
        <v>4.4444512999999999</v>
      </c>
      <c r="K7594" s="3">
        <v>4.0987730000000004</v>
      </c>
      <c r="L7594" s="3">
        <v>23.853097163923799</v>
      </c>
    </row>
    <row r="7595" spans="1:12" ht="15" customHeight="1" x14ac:dyDescent="0.2">
      <c r="A7595" s="2">
        <v>35030</v>
      </c>
      <c r="B7595" s="3">
        <v>4.1481560000000002</v>
      </c>
      <c r="C7595" s="1">
        <v>221737.05</v>
      </c>
      <c r="D7595" s="3">
        <v>-7.4073999999999501E-2</v>
      </c>
      <c r="E7595" s="3">
        <v>-1.75438097877187</v>
      </c>
      <c r="F7595" s="3">
        <v>-1.75438097877187</v>
      </c>
      <c r="G7595" s="3">
        <v>4.1481560000000002</v>
      </c>
      <c r="H7595" s="3">
        <v>15.596264519562499</v>
      </c>
      <c r="I7595" s="3">
        <v>4.2469229999999998</v>
      </c>
      <c r="J7595" s="3">
        <v>4.2469215</v>
      </c>
      <c r="K7595" s="3">
        <v>4.0987730000000004</v>
      </c>
      <c r="L7595" s="3">
        <v>15.596264519562499</v>
      </c>
    </row>
    <row r="7596" spans="1:12" ht="15" customHeight="1" x14ac:dyDescent="0.2">
      <c r="A7596" s="2">
        <v>35027</v>
      </c>
      <c r="B7596" s="3">
        <v>4.2222299999999997</v>
      </c>
      <c r="C7596" s="1">
        <v>53156.146999999997</v>
      </c>
      <c r="D7596" s="3">
        <v>2.4689999999999601E-2</v>
      </c>
      <c r="E7596" s="3">
        <v>0.58820166097284199</v>
      </c>
      <c r="F7596" s="3">
        <v>0.58820166097284199</v>
      </c>
      <c r="G7596" s="3">
        <v>4.2222299999999997</v>
      </c>
      <c r="H7596" s="3">
        <v>17.660477557360998</v>
      </c>
      <c r="I7596" s="3">
        <v>4.19754</v>
      </c>
      <c r="J7596" s="3">
        <v>4.2963040000000001</v>
      </c>
      <c r="K7596" s="3">
        <v>4.19754</v>
      </c>
      <c r="L7596" s="3">
        <v>17.660477557360998</v>
      </c>
    </row>
    <row r="7597" spans="1:12" ht="15" customHeight="1" x14ac:dyDescent="0.2">
      <c r="A7597" s="2">
        <v>35025</v>
      </c>
      <c r="B7597" s="3">
        <v>4.19754</v>
      </c>
      <c r="C7597" s="1">
        <v>260718.23</v>
      </c>
      <c r="D7597" s="3">
        <v>-9.8764000000000005E-2</v>
      </c>
      <c r="E7597" s="3">
        <v>-2.29881311936958</v>
      </c>
      <c r="F7597" s="3">
        <v>-2.29881311936958</v>
      </c>
      <c r="G7597" s="3">
        <v>4.19754</v>
      </c>
      <c r="H7597" s="3">
        <v>16.972443700633399</v>
      </c>
      <c r="I7597" s="3">
        <v>4.345688</v>
      </c>
      <c r="J7597" s="3">
        <v>4.3456874000000001</v>
      </c>
      <c r="K7597" s="3">
        <v>4.19754</v>
      </c>
      <c r="L7597" s="3">
        <v>16.972443700633399</v>
      </c>
    </row>
    <row r="7598" spans="1:12" ht="15" customHeight="1" x14ac:dyDescent="0.2">
      <c r="A7598" s="2">
        <v>35024</v>
      </c>
      <c r="B7598" s="3">
        <v>4.2963040000000001</v>
      </c>
      <c r="C7598" s="1">
        <v>236418.32</v>
      </c>
      <c r="D7598" s="3">
        <v>-0.14814729999999901</v>
      </c>
      <c r="E7598" s="3">
        <v>-3.3333091083706901</v>
      </c>
      <c r="F7598" s="3">
        <v>-3.3333091083706901</v>
      </c>
      <c r="G7598" s="3">
        <v>4.2963040000000001</v>
      </c>
      <c r="H7598" s="3">
        <v>19.724690595159501</v>
      </c>
      <c r="I7598" s="3">
        <v>4.4938364000000002</v>
      </c>
      <c r="J7598" s="3">
        <v>4.4938354</v>
      </c>
      <c r="K7598" s="3">
        <v>4.2963040000000001</v>
      </c>
      <c r="L7598" s="3">
        <v>19.724690595159501</v>
      </c>
    </row>
    <row r="7599" spans="1:12" ht="15" customHeight="1" x14ac:dyDescent="0.2">
      <c r="A7599" s="2">
        <v>35023</v>
      </c>
      <c r="B7599" s="3">
        <v>4.4444512999999999</v>
      </c>
      <c r="C7599" s="1">
        <v>480936.55</v>
      </c>
      <c r="D7599" s="3">
        <v>-2.4692700000000099E-2</v>
      </c>
      <c r="E7599" s="3">
        <v>-0.55251520201631199</v>
      </c>
      <c r="F7599" s="3">
        <v>-0.55251520201631199</v>
      </c>
      <c r="G7599" s="3">
        <v>4.4444512999999999</v>
      </c>
      <c r="H7599" s="3">
        <v>23.853097163923799</v>
      </c>
      <c r="I7599" s="3">
        <v>4.469144</v>
      </c>
      <c r="J7599" s="3">
        <v>4.4938354</v>
      </c>
      <c r="K7599" s="3">
        <v>4.3456874000000001</v>
      </c>
      <c r="L7599" s="3">
        <v>23.853097163923799</v>
      </c>
    </row>
    <row r="7600" spans="1:12" ht="15" customHeight="1" x14ac:dyDescent="0.2">
      <c r="A7600" s="2">
        <v>35020</v>
      </c>
      <c r="B7600" s="3">
        <v>4.469144</v>
      </c>
      <c r="C7600" s="1">
        <v>152887.19</v>
      </c>
      <c r="D7600" s="3">
        <v>-2.4691399999999999E-2</v>
      </c>
      <c r="E7600" s="3">
        <v>-0.54945047608997399</v>
      </c>
      <c r="F7600" s="3">
        <v>-0.54945047608997399</v>
      </c>
      <c r="G7600" s="3">
        <v>4.469144</v>
      </c>
      <c r="H7600" s="3">
        <v>24.541206261292</v>
      </c>
      <c r="I7600" s="3">
        <v>4.4938364000000002</v>
      </c>
      <c r="J7600" s="3">
        <v>4.4938354</v>
      </c>
      <c r="K7600" s="3">
        <v>4.3950696000000002</v>
      </c>
      <c r="L7600" s="3">
        <v>24.541206261292</v>
      </c>
    </row>
    <row r="7601" spans="1:12" ht="15" customHeight="1" x14ac:dyDescent="0.2">
      <c r="A7601" s="2">
        <v>35019</v>
      </c>
      <c r="B7601" s="3">
        <v>4.4938354</v>
      </c>
      <c r="C7601" s="1">
        <v>74924.86</v>
      </c>
      <c r="D7601" s="3"/>
      <c r="E7601" s="3"/>
      <c r="F7601" s="3"/>
      <c r="G7601" s="3">
        <v>4.4938354</v>
      </c>
      <c r="H7601" s="3">
        <v>25.2292791316851</v>
      </c>
      <c r="I7601" s="3">
        <v>4.4444537000000004</v>
      </c>
      <c r="J7601" s="3">
        <v>4.4938354</v>
      </c>
      <c r="K7601" s="3">
        <v>4.4444512999999999</v>
      </c>
      <c r="L7601" s="3">
        <v>25.2292791316851</v>
      </c>
    </row>
    <row r="7602" spans="1:12" ht="15" customHeight="1" x14ac:dyDescent="0.2">
      <c r="A7602" s="2">
        <v>35018</v>
      </c>
      <c r="B7602" s="3">
        <v>4.4938354</v>
      </c>
      <c r="C7602" s="1">
        <v>587755.19999999995</v>
      </c>
      <c r="D7602" s="3">
        <v>1.23464000000002E-2</v>
      </c>
      <c r="E7602" s="3">
        <v>0.27549771961952102</v>
      </c>
      <c r="F7602" s="3">
        <v>0.27549771961952102</v>
      </c>
      <c r="G7602" s="3">
        <v>4.4938354</v>
      </c>
      <c r="H7602" s="3">
        <v>25.2292791316851</v>
      </c>
      <c r="I7602" s="3">
        <v>4.5432189999999997</v>
      </c>
      <c r="J7602" s="3">
        <v>4.5432186000000003</v>
      </c>
      <c r="K7602" s="3">
        <v>4.4444512999999999</v>
      </c>
      <c r="L7602" s="3">
        <v>25.2292791316851</v>
      </c>
    </row>
    <row r="7603" spans="1:12" ht="15" customHeight="1" x14ac:dyDescent="0.2">
      <c r="A7603" s="2">
        <v>35017</v>
      </c>
      <c r="B7603" s="3">
        <v>4.4814889999999998</v>
      </c>
      <c r="C7603" s="1">
        <v>501692.75</v>
      </c>
      <c r="D7603" s="3">
        <v>-0.1111133</v>
      </c>
      <c r="E7603" s="3">
        <v>-2.4193973860963398</v>
      </c>
      <c r="F7603" s="3">
        <v>-2.4193973860963398</v>
      </c>
      <c r="G7603" s="3">
        <v>4.4814889999999998</v>
      </c>
      <c r="H7603" s="3">
        <v>24.8852231896558</v>
      </c>
      <c r="I7603" s="3">
        <v>4.5432189999999997</v>
      </c>
      <c r="J7603" s="3">
        <v>4.5432186000000003</v>
      </c>
      <c r="K7603" s="3">
        <v>4.469144</v>
      </c>
      <c r="L7603" s="3">
        <v>24.8852231896558</v>
      </c>
    </row>
    <row r="7604" spans="1:12" ht="15" customHeight="1" x14ac:dyDescent="0.2">
      <c r="A7604" s="2">
        <v>35016</v>
      </c>
      <c r="B7604" s="3">
        <v>4.5926023000000002</v>
      </c>
      <c r="C7604" s="1">
        <v>296155.7</v>
      </c>
      <c r="D7604" s="3">
        <v>4.9383699999999899E-2</v>
      </c>
      <c r="E7604" s="3">
        <v>1.08697609223558</v>
      </c>
      <c r="F7604" s="3">
        <v>1.08697609223558</v>
      </c>
      <c r="G7604" s="3">
        <v>4.5926023000000002</v>
      </c>
      <c r="H7604" s="3">
        <v>27.981606840232502</v>
      </c>
      <c r="I7604" s="3">
        <v>4.5432189999999997</v>
      </c>
      <c r="J7604" s="3">
        <v>4.7407500000000002</v>
      </c>
      <c r="K7604" s="3">
        <v>4.4938354</v>
      </c>
      <c r="L7604" s="3">
        <v>27.981606840232502</v>
      </c>
    </row>
    <row r="7605" spans="1:12" ht="15" customHeight="1" x14ac:dyDescent="0.2">
      <c r="A7605" s="2">
        <v>35013</v>
      </c>
      <c r="B7605" s="3">
        <v>4.5432186000000003</v>
      </c>
      <c r="C7605" s="1">
        <v>435374.19999999902</v>
      </c>
      <c r="D7605" s="3">
        <v>-9.8765399999999504E-2</v>
      </c>
      <c r="E7605" s="3">
        <v>-2.1276548992844302</v>
      </c>
      <c r="F7605" s="3">
        <v>-2.1276548992844302</v>
      </c>
      <c r="G7605" s="3">
        <v>4.5432186000000003</v>
      </c>
      <c r="H7605" s="3">
        <v>26.605436019232801</v>
      </c>
      <c r="I7605" s="3">
        <v>4.5185275000000003</v>
      </c>
      <c r="J7605" s="3">
        <v>4.6913676000000004</v>
      </c>
      <c r="K7605" s="3">
        <v>4.4938354</v>
      </c>
      <c r="L7605" s="3">
        <v>26.605436019232801</v>
      </c>
    </row>
    <row r="7606" spans="1:12" ht="15" customHeight="1" x14ac:dyDescent="0.2">
      <c r="A7606" s="2">
        <v>35012</v>
      </c>
      <c r="B7606" s="3">
        <v>4.6419839999999999</v>
      </c>
      <c r="C7606" s="1">
        <v>979085.63</v>
      </c>
      <c r="D7606" s="3">
        <v>0.44444399999999901</v>
      </c>
      <c r="E7606" s="3">
        <v>10.5882016609728</v>
      </c>
      <c r="F7606" s="3">
        <v>10.5882016609728</v>
      </c>
      <c r="G7606" s="3">
        <v>4.6419839999999999</v>
      </c>
      <c r="H7606" s="3">
        <v>29.3577219274244</v>
      </c>
      <c r="I7606" s="3">
        <v>4.1481560000000002</v>
      </c>
      <c r="J7606" s="3">
        <v>4.6419839999999999</v>
      </c>
      <c r="K7606" s="3">
        <v>4.1481560000000002</v>
      </c>
      <c r="L7606" s="3">
        <v>29.3577219274244</v>
      </c>
    </row>
    <row r="7607" spans="1:12" ht="15" customHeight="1" x14ac:dyDescent="0.2">
      <c r="A7607" s="2">
        <v>35011</v>
      </c>
      <c r="B7607" s="3">
        <v>4.19754</v>
      </c>
      <c r="C7607" s="1">
        <v>481949.07</v>
      </c>
      <c r="D7607" s="3">
        <v>0.24691529999999901</v>
      </c>
      <c r="E7607" s="3">
        <v>6.2500317987684397</v>
      </c>
      <c r="F7607" s="3">
        <v>6.2500317987684397</v>
      </c>
      <c r="G7607" s="3">
        <v>4.19754</v>
      </c>
      <c r="H7607" s="3">
        <v>16.972443700633399</v>
      </c>
      <c r="I7607" s="3">
        <v>3.9506252000000002</v>
      </c>
      <c r="J7607" s="3">
        <v>4.2469215</v>
      </c>
      <c r="K7607" s="3">
        <v>3.9506247000000001</v>
      </c>
      <c r="L7607" s="3">
        <v>16.972443700633399</v>
      </c>
    </row>
    <row r="7608" spans="1:12" ht="15" customHeight="1" x14ac:dyDescent="0.2">
      <c r="A7608" s="2">
        <v>35010</v>
      </c>
      <c r="B7608" s="3">
        <v>3.9506247000000001</v>
      </c>
      <c r="C7608" s="1">
        <v>653567.5</v>
      </c>
      <c r="D7608" s="3"/>
      <c r="E7608" s="3"/>
      <c r="F7608" s="3"/>
      <c r="G7608" s="3">
        <v>3.9506247000000001</v>
      </c>
      <c r="H7608" s="3">
        <v>10.0916787697274</v>
      </c>
      <c r="I7608" s="3">
        <v>4.0000086000000001</v>
      </c>
      <c r="J7608" s="3">
        <v>4.0000076</v>
      </c>
      <c r="K7608" s="3">
        <v>3.8518590000000001</v>
      </c>
      <c r="L7608" s="3">
        <v>10.0916787697274</v>
      </c>
    </row>
    <row r="7609" spans="1:12" ht="15" customHeight="1" x14ac:dyDescent="0.2">
      <c r="A7609" s="2">
        <v>35009</v>
      </c>
      <c r="B7609" s="3">
        <v>3.9506247000000001</v>
      </c>
      <c r="C7609" s="1">
        <v>493592.8</v>
      </c>
      <c r="D7609" s="3">
        <v>-4.9382899999999799E-2</v>
      </c>
      <c r="E7609" s="3">
        <v>-1.2345701543167</v>
      </c>
      <c r="F7609" s="3">
        <v>-1.2345701543167</v>
      </c>
      <c r="G7609" s="3">
        <v>3.9506247000000001</v>
      </c>
      <c r="H7609" s="3">
        <v>10.0916787697274</v>
      </c>
      <c r="I7609" s="3">
        <v>4.0987730000000004</v>
      </c>
      <c r="J7609" s="3">
        <v>4.0987730000000004</v>
      </c>
      <c r="K7609" s="3">
        <v>3.9012422999999998</v>
      </c>
      <c r="L7609" s="3">
        <v>10.0916787697274</v>
      </c>
    </row>
    <row r="7610" spans="1:12" ht="15" customHeight="1" x14ac:dyDescent="0.2">
      <c r="A7610" s="2">
        <v>35006</v>
      </c>
      <c r="B7610" s="3">
        <v>4.0000076</v>
      </c>
      <c r="C7610" s="1">
        <v>1142604.1000000001</v>
      </c>
      <c r="D7610" s="3">
        <v>-4.9382699999999703E-2</v>
      </c>
      <c r="E7610" s="3">
        <v>-1.2195095148027499</v>
      </c>
      <c r="F7610" s="3">
        <v>-1.2195095148027499</v>
      </c>
      <c r="G7610" s="3">
        <v>4.0000076</v>
      </c>
      <c r="H7610" s="3">
        <v>11.467827297204</v>
      </c>
      <c r="I7610" s="3">
        <v>4.1481560000000002</v>
      </c>
      <c r="J7610" s="3">
        <v>4.1481560000000002</v>
      </c>
      <c r="K7610" s="3">
        <v>4.0000076</v>
      </c>
      <c r="L7610" s="3">
        <v>11.467827297204</v>
      </c>
    </row>
    <row r="7611" spans="1:12" ht="15" customHeight="1" x14ac:dyDescent="0.2">
      <c r="A7611" s="2">
        <v>35005</v>
      </c>
      <c r="B7611" s="3">
        <v>4.0493902999999998</v>
      </c>
      <c r="C7611" s="1">
        <v>299699.43</v>
      </c>
      <c r="D7611" s="3">
        <v>-2.4692700000000099E-2</v>
      </c>
      <c r="E7611" s="3">
        <v>-0.60609221756160403</v>
      </c>
      <c r="F7611" s="3">
        <v>-0.60609221756160403</v>
      </c>
      <c r="G7611" s="3">
        <v>4.0493902999999998</v>
      </c>
      <c r="H7611" s="3">
        <v>12.843970251299799</v>
      </c>
      <c r="I7611" s="3">
        <v>4.1481560000000002</v>
      </c>
      <c r="J7611" s="3">
        <v>4.1481560000000002</v>
      </c>
      <c r="K7611" s="3">
        <v>4.0493902999999998</v>
      </c>
      <c r="L7611" s="3">
        <v>12.843970251299799</v>
      </c>
    </row>
    <row r="7612" spans="1:12" ht="15" customHeight="1" x14ac:dyDescent="0.2">
      <c r="A7612" s="2">
        <v>35004</v>
      </c>
      <c r="B7612" s="3">
        <v>4.0740829999999999</v>
      </c>
      <c r="C7612" s="1">
        <v>318430.63</v>
      </c>
      <c r="D7612" s="3">
        <v>-0.222221</v>
      </c>
      <c r="E7612" s="3">
        <v>-5.1723760702222199</v>
      </c>
      <c r="F7612" s="3">
        <v>-5.1723760702222199</v>
      </c>
      <c r="G7612" s="3">
        <v>4.0740829999999999</v>
      </c>
      <c r="H7612" s="3">
        <v>13.532079348667899</v>
      </c>
      <c r="I7612" s="3">
        <v>4.1481560000000002</v>
      </c>
      <c r="J7612" s="3">
        <v>4.2469215</v>
      </c>
      <c r="K7612" s="3">
        <v>4.0740829999999999</v>
      </c>
      <c r="L7612" s="3">
        <v>13.532079348667899</v>
      </c>
    </row>
    <row r="7613" spans="1:12" ht="15" customHeight="1" x14ac:dyDescent="0.2">
      <c r="A7613" s="2">
        <v>35003</v>
      </c>
      <c r="B7613" s="3">
        <v>4.2963040000000001</v>
      </c>
      <c r="C7613" s="1">
        <v>1697959.2</v>
      </c>
      <c r="D7613" s="3">
        <v>7.4074000000000403E-2</v>
      </c>
      <c r="E7613" s="3">
        <v>1.75438097877189</v>
      </c>
      <c r="F7613" s="3">
        <v>1.75438097877189</v>
      </c>
      <c r="G7613" s="3">
        <v>4.2963040000000001</v>
      </c>
      <c r="H7613" s="3">
        <v>19.724690595159501</v>
      </c>
      <c r="I7613" s="3">
        <v>4.2963050000000003</v>
      </c>
      <c r="J7613" s="3">
        <v>4.3456874000000001</v>
      </c>
      <c r="K7613" s="3">
        <v>4.1481560000000002</v>
      </c>
      <c r="L7613" s="3">
        <v>19.724690595159501</v>
      </c>
    </row>
    <row r="7614" spans="1:12" ht="15" customHeight="1" x14ac:dyDescent="0.2">
      <c r="A7614" s="2">
        <v>35002</v>
      </c>
      <c r="B7614" s="3">
        <v>4.2222299999999997</v>
      </c>
      <c r="C7614" s="1">
        <v>1643284.5</v>
      </c>
      <c r="D7614" s="3">
        <v>0.39506199999999903</v>
      </c>
      <c r="E7614" s="3">
        <v>10.3225674963837</v>
      </c>
      <c r="F7614" s="3">
        <v>10.3225674963837</v>
      </c>
      <c r="G7614" s="3">
        <v>4.2222299999999997</v>
      </c>
      <c r="H7614" s="3">
        <v>17.660477557360998</v>
      </c>
      <c r="I7614" s="3">
        <v>4.0000086000000001</v>
      </c>
      <c r="J7614" s="3">
        <v>4.3950696000000002</v>
      </c>
      <c r="K7614" s="3">
        <v>3.9506247000000001</v>
      </c>
      <c r="L7614" s="3">
        <v>17.660477557360998</v>
      </c>
    </row>
    <row r="7615" spans="1:12" ht="15" customHeight="1" x14ac:dyDescent="0.2">
      <c r="A7615" s="2">
        <v>34999</v>
      </c>
      <c r="B7615" s="3">
        <v>3.8271679999999999</v>
      </c>
      <c r="C7615" s="1">
        <v>5840595.7000000002</v>
      </c>
      <c r="D7615" s="3">
        <v>-0.54321050000000004</v>
      </c>
      <c r="E7615" s="3">
        <v>-12.4293696758759</v>
      </c>
      <c r="F7615" s="3">
        <v>-12.4293696758759</v>
      </c>
      <c r="G7615" s="3">
        <v>3.8271679999999999</v>
      </c>
      <c r="H7615" s="3">
        <v>6.6513227778331601</v>
      </c>
      <c r="I7615" s="3">
        <v>3.7037113000000002</v>
      </c>
      <c r="J7615" s="3">
        <v>4.0493902999999998</v>
      </c>
      <c r="K7615" s="3">
        <v>3.7037113000000002</v>
      </c>
      <c r="L7615" s="3">
        <v>6.6513227778331601</v>
      </c>
    </row>
    <row r="7616" spans="1:12" ht="15" customHeight="1" x14ac:dyDescent="0.2">
      <c r="A7616" s="2">
        <v>34998</v>
      </c>
      <c r="B7616" s="3">
        <v>4.3703785000000002</v>
      </c>
      <c r="C7616" s="1">
        <v>1672140.5</v>
      </c>
      <c r="D7616" s="3">
        <v>-0.271605499999999</v>
      </c>
      <c r="E7616" s="3">
        <v>-5.8510649756655697</v>
      </c>
      <c r="F7616" s="3">
        <v>-5.8510649756655697</v>
      </c>
      <c r="G7616" s="3">
        <v>4.3703785000000002</v>
      </c>
      <c r="H7616" s="3">
        <v>21.788917566409999</v>
      </c>
      <c r="I7616" s="3">
        <v>4.6666765000000003</v>
      </c>
      <c r="J7616" s="3">
        <v>4.6666759999999998</v>
      </c>
      <c r="K7616" s="3">
        <v>4.2963040000000001</v>
      </c>
      <c r="L7616" s="3">
        <v>21.788917566409999</v>
      </c>
    </row>
    <row r="7617" spans="1:12" ht="15" customHeight="1" x14ac:dyDescent="0.2">
      <c r="A7617" s="2">
        <v>34997</v>
      </c>
      <c r="B7617" s="3">
        <v>4.6419839999999999</v>
      </c>
      <c r="C7617" s="1">
        <v>247555.79</v>
      </c>
      <c r="D7617" s="3"/>
      <c r="E7617" s="3"/>
      <c r="F7617" s="3"/>
      <c r="G7617" s="3">
        <v>4.6419839999999999</v>
      </c>
      <c r="H7617" s="3">
        <v>29.3577219274244</v>
      </c>
      <c r="I7617" s="3">
        <v>4.7407503000000002</v>
      </c>
      <c r="J7617" s="3">
        <v>4.7407500000000002</v>
      </c>
      <c r="K7617" s="3">
        <v>4.5926023000000002</v>
      </c>
      <c r="L7617" s="3">
        <v>29.3577219274244</v>
      </c>
    </row>
    <row r="7618" spans="1:12" ht="15" customHeight="1" x14ac:dyDescent="0.2">
      <c r="A7618" s="2">
        <v>34996</v>
      </c>
      <c r="B7618" s="3">
        <v>4.6419839999999999</v>
      </c>
      <c r="C7618" s="1">
        <v>245530.78</v>
      </c>
      <c r="D7618" s="3">
        <v>4.9381699999999598E-2</v>
      </c>
      <c r="E7618" s="3">
        <v>1.0752444207938301</v>
      </c>
      <c r="F7618" s="3">
        <v>1.0752444207938301</v>
      </c>
      <c r="G7618" s="3">
        <v>4.6419839999999999</v>
      </c>
      <c r="H7618" s="3">
        <v>29.3577219274244</v>
      </c>
      <c r="I7618" s="3">
        <v>4.5432189999999997</v>
      </c>
      <c r="J7618" s="3">
        <v>4.7407500000000002</v>
      </c>
      <c r="K7618" s="3">
        <v>4.4938354</v>
      </c>
      <c r="L7618" s="3">
        <v>29.3577219274244</v>
      </c>
    </row>
    <row r="7619" spans="1:12" ht="15" customHeight="1" x14ac:dyDescent="0.2">
      <c r="A7619" s="2">
        <v>34995</v>
      </c>
      <c r="B7619" s="3">
        <v>4.5926023000000002</v>
      </c>
      <c r="C7619" s="1">
        <v>2525170</v>
      </c>
      <c r="D7619" s="3">
        <v>-2.4690099999999899E-2</v>
      </c>
      <c r="E7619" s="3">
        <v>-0.53473113377008297</v>
      </c>
      <c r="F7619" s="3">
        <v>-0.53473113377008297</v>
      </c>
      <c r="G7619" s="3">
        <v>4.5926023000000002</v>
      </c>
      <c r="H7619" s="3">
        <v>27.981606840232502</v>
      </c>
      <c r="I7619" s="3">
        <v>4.4938364000000002</v>
      </c>
      <c r="J7619" s="3">
        <v>4.5926023000000002</v>
      </c>
      <c r="K7619" s="3">
        <v>4.2469215</v>
      </c>
      <c r="L7619" s="3">
        <v>27.981606840232502</v>
      </c>
    </row>
    <row r="7620" spans="1:12" ht="15" customHeight="1" x14ac:dyDescent="0.2">
      <c r="A7620" s="2">
        <v>34992</v>
      </c>
      <c r="B7620" s="3">
        <v>4.6172924000000002</v>
      </c>
      <c r="C7620" s="1">
        <v>4296029</v>
      </c>
      <c r="D7620" s="3">
        <v>-0.19753119999999999</v>
      </c>
      <c r="E7620" s="3">
        <v>-4.1025635913224301</v>
      </c>
      <c r="F7620" s="3">
        <v>-4.1025635913224301</v>
      </c>
      <c r="G7620" s="3">
        <v>4.6172924000000002</v>
      </c>
      <c r="H7620" s="3">
        <v>28.6696434836505</v>
      </c>
      <c r="I7620" s="3">
        <v>4.8642073000000003</v>
      </c>
      <c r="J7620" s="3">
        <v>4.8642073000000003</v>
      </c>
      <c r="K7620" s="3">
        <v>4.4938354</v>
      </c>
      <c r="L7620" s="3">
        <v>28.6696434836505</v>
      </c>
    </row>
    <row r="7621" spans="1:12" ht="15" customHeight="1" x14ac:dyDescent="0.2">
      <c r="A7621" s="2">
        <v>34991</v>
      </c>
      <c r="B7621" s="3">
        <v>4.8148236000000004</v>
      </c>
      <c r="C7621" s="1">
        <v>663692.5</v>
      </c>
      <c r="D7621" s="3">
        <v>-0.111111399999999</v>
      </c>
      <c r="E7621" s="3">
        <v>-2.2556408072781999</v>
      </c>
      <c r="F7621" s="3">
        <v>-2.2556408072781999</v>
      </c>
      <c r="G7621" s="3">
        <v>4.8148236000000004</v>
      </c>
      <c r="H7621" s="3">
        <v>34.174226446795302</v>
      </c>
      <c r="I7621" s="3">
        <v>4.8888999999999996</v>
      </c>
      <c r="J7621" s="3">
        <v>4.9382809999999999</v>
      </c>
      <c r="K7621" s="3">
        <v>4.6913676000000004</v>
      </c>
      <c r="L7621" s="3">
        <v>34.174226446795302</v>
      </c>
    </row>
    <row r="7622" spans="1:12" ht="15" customHeight="1" x14ac:dyDescent="0.2">
      <c r="A7622" s="2">
        <v>34990</v>
      </c>
      <c r="B7622" s="3">
        <v>4.925935</v>
      </c>
      <c r="C7622" s="1">
        <v>976554.4</v>
      </c>
      <c r="D7622" s="3">
        <v>-1.23459999999999E-2</v>
      </c>
      <c r="E7622" s="3">
        <v>-0.25000602436353597</v>
      </c>
      <c r="F7622" s="3">
        <v>-0.25000602436353597</v>
      </c>
      <c r="G7622" s="3">
        <v>4.925935</v>
      </c>
      <c r="H7622" s="3">
        <v>37.270557150254596</v>
      </c>
      <c r="I7622" s="3">
        <v>4.9876646999999998</v>
      </c>
      <c r="J7622" s="3">
        <v>4.9876636999999997</v>
      </c>
      <c r="K7622" s="3">
        <v>4.8888984000000004</v>
      </c>
      <c r="L7622" s="3">
        <v>37.270557150254596</v>
      </c>
    </row>
    <row r="7623" spans="1:12" ht="15" customHeight="1" x14ac:dyDescent="0.2">
      <c r="A7623" s="2">
        <v>34989</v>
      </c>
      <c r="B7623" s="3">
        <v>4.9382809999999999</v>
      </c>
      <c r="C7623" s="1">
        <v>1115772.8</v>
      </c>
      <c r="D7623" s="3">
        <v>7.4073699999999507E-2</v>
      </c>
      <c r="E7623" s="3">
        <v>1.52283189082009</v>
      </c>
      <c r="F7623" s="3">
        <v>1.52283189082009</v>
      </c>
      <c r="G7623" s="3">
        <v>4.9382809999999999</v>
      </c>
      <c r="H7623" s="3">
        <v>37.614601945522303</v>
      </c>
      <c r="I7623" s="3">
        <v>4.9382809999999999</v>
      </c>
      <c r="J7623" s="3">
        <v>4.9876636999999997</v>
      </c>
      <c r="K7623" s="3">
        <v>4.8395159999999997</v>
      </c>
      <c r="L7623" s="3">
        <v>37.614601945522303</v>
      </c>
    </row>
    <row r="7624" spans="1:12" ht="15" customHeight="1" x14ac:dyDescent="0.2">
      <c r="A7624" s="2">
        <v>34988</v>
      </c>
      <c r="B7624" s="3">
        <v>4.8642073000000003</v>
      </c>
      <c r="C7624" s="1">
        <v>752286.1</v>
      </c>
      <c r="D7624" s="3">
        <v>-0.148148699999999</v>
      </c>
      <c r="E7624" s="3">
        <v>-2.9556699484234401</v>
      </c>
      <c r="F7624" s="3">
        <v>-2.9556699484234401</v>
      </c>
      <c r="G7624" s="3">
        <v>4.8642073000000003</v>
      </c>
      <c r="H7624" s="3">
        <v>35.550397267794899</v>
      </c>
      <c r="I7624" s="3">
        <v>4.9876646999999998</v>
      </c>
      <c r="J7624" s="3">
        <v>5.0370464000000004</v>
      </c>
      <c r="K7624" s="3">
        <v>4.8395159999999997</v>
      </c>
      <c r="L7624" s="3">
        <v>35.550397267794899</v>
      </c>
    </row>
    <row r="7625" spans="1:12" ht="15" customHeight="1" x14ac:dyDescent="0.2">
      <c r="A7625" s="2">
        <v>34985</v>
      </c>
      <c r="B7625" s="3">
        <v>5.0123559999999996</v>
      </c>
      <c r="C7625" s="1">
        <v>253630.75</v>
      </c>
      <c r="D7625" s="3">
        <v>-7.4072600000000002E-2</v>
      </c>
      <c r="E7625" s="3">
        <v>-1.4562791660930701</v>
      </c>
      <c r="F7625" s="3">
        <v>-1.4562791660930701</v>
      </c>
      <c r="G7625" s="3">
        <v>5.0123559999999996</v>
      </c>
      <c r="H7625" s="3">
        <v>39.678842850224598</v>
      </c>
      <c r="I7625" s="3">
        <v>4.9876646999999998</v>
      </c>
      <c r="J7625" s="3">
        <v>5.0864285999999996</v>
      </c>
      <c r="K7625" s="3">
        <v>4.9876636999999997</v>
      </c>
      <c r="L7625" s="3">
        <v>39.678842850224598</v>
      </c>
    </row>
    <row r="7626" spans="1:12" ht="15" customHeight="1" x14ac:dyDescent="0.2">
      <c r="A7626" s="2">
        <v>34984</v>
      </c>
      <c r="B7626" s="3">
        <v>5.0864285999999996</v>
      </c>
      <c r="C7626" s="1">
        <v>155924.68</v>
      </c>
      <c r="D7626" s="3"/>
      <c r="E7626" s="3"/>
      <c r="F7626" s="3"/>
      <c r="G7626" s="3">
        <v>5.0864285999999996</v>
      </c>
      <c r="H7626" s="3">
        <v>41.7430168743577</v>
      </c>
      <c r="I7626" s="3">
        <v>5.08643</v>
      </c>
      <c r="J7626" s="3">
        <v>5.0864285999999996</v>
      </c>
      <c r="K7626" s="3">
        <v>4.9876636999999997</v>
      </c>
      <c r="L7626" s="3">
        <v>41.7430168743577</v>
      </c>
    </row>
    <row r="7627" spans="1:12" ht="15" customHeight="1" x14ac:dyDescent="0.2">
      <c r="A7627" s="2">
        <v>34983</v>
      </c>
      <c r="B7627" s="3">
        <v>5.0864285999999996</v>
      </c>
      <c r="C7627" s="1">
        <v>261224.49999999901</v>
      </c>
      <c r="D7627" s="3">
        <v>-4.9382700000000598E-2</v>
      </c>
      <c r="E7627" s="3">
        <v>-0.96153649570420696</v>
      </c>
      <c r="F7627" s="3">
        <v>-0.96153649570420696</v>
      </c>
      <c r="G7627" s="3">
        <v>5.0864285999999996</v>
      </c>
      <c r="H7627" s="3">
        <v>41.7430168743577</v>
      </c>
      <c r="I7627" s="3">
        <v>5.1851963999999997</v>
      </c>
      <c r="J7627" s="3">
        <v>5.1851950000000002</v>
      </c>
      <c r="K7627" s="3">
        <v>5.0123559999999996</v>
      </c>
      <c r="L7627" s="3">
        <v>41.7430168743577</v>
      </c>
    </row>
    <row r="7628" spans="1:12" ht="15" customHeight="1" x14ac:dyDescent="0.2">
      <c r="A7628" s="2">
        <v>34982</v>
      </c>
      <c r="B7628" s="3">
        <v>5.1358113000000003</v>
      </c>
      <c r="C7628" s="1">
        <v>88593.58</v>
      </c>
      <c r="D7628" s="3">
        <v>-4.9383699999999899E-2</v>
      </c>
      <c r="E7628" s="3">
        <v>-0.95239812581783201</v>
      </c>
      <c r="F7628" s="3">
        <v>-0.95239812581783201</v>
      </c>
      <c r="G7628" s="3">
        <v>5.1358113000000003</v>
      </c>
      <c r="H7628" s="3">
        <v>43.119159828453498</v>
      </c>
      <c r="I7628" s="3">
        <v>5.1851963999999997</v>
      </c>
      <c r="J7628" s="3">
        <v>5.1851950000000002</v>
      </c>
      <c r="K7628" s="3">
        <v>5.0370464000000004</v>
      </c>
      <c r="L7628" s="3">
        <v>43.119159828453498</v>
      </c>
    </row>
    <row r="7629" spans="1:12" ht="15" customHeight="1" x14ac:dyDescent="0.2">
      <c r="A7629" s="2">
        <v>34981</v>
      </c>
      <c r="B7629" s="3">
        <v>5.1851950000000002</v>
      </c>
      <c r="C7629" s="1">
        <v>136180.98000000001</v>
      </c>
      <c r="D7629" s="3"/>
      <c r="E7629" s="3"/>
      <c r="F7629" s="3"/>
      <c r="G7629" s="3">
        <v>5.1851950000000002</v>
      </c>
      <c r="H7629" s="3">
        <v>44.495330649453201</v>
      </c>
      <c r="I7629" s="3">
        <v>5.1851963999999997</v>
      </c>
      <c r="J7629" s="3">
        <v>5.1851950000000002</v>
      </c>
      <c r="K7629" s="3">
        <v>5.0864285999999996</v>
      </c>
      <c r="L7629" s="3">
        <v>44.495330649453201</v>
      </c>
    </row>
    <row r="7630" spans="1:12" ht="15" customHeight="1" x14ac:dyDescent="0.2">
      <c r="A7630" s="2">
        <v>34978</v>
      </c>
      <c r="B7630" s="3">
        <v>5.1851950000000002</v>
      </c>
      <c r="C7630" s="1">
        <v>153899.69</v>
      </c>
      <c r="D7630" s="3">
        <v>4.9383699999999899E-2</v>
      </c>
      <c r="E7630" s="3">
        <v>0.96155596682456701</v>
      </c>
      <c r="F7630" s="3">
        <v>0.96155596682456701</v>
      </c>
      <c r="G7630" s="3">
        <v>5.1851950000000002</v>
      </c>
      <c r="H7630" s="3">
        <v>44.495330649453201</v>
      </c>
      <c r="I7630" s="3">
        <v>5.2345785999999999</v>
      </c>
      <c r="J7630" s="3">
        <v>5.234578</v>
      </c>
      <c r="K7630" s="3">
        <v>5.0864285999999996</v>
      </c>
      <c r="L7630" s="3">
        <v>44.495330649453201</v>
      </c>
    </row>
    <row r="7631" spans="1:12" ht="15" customHeight="1" x14ac:dyDescent="0.2">
      <c r="A7631" s="2">
        <v>34977</v>
      </c>
      <c r="B7631" s="3">
        <v>5.1358113000000003</v>
      </c>
      <c r="C7631" s="1">
        <v>342730.62</v>
      </c>
      <c r="D7631" s="3">
        <v>-9.8766699999999596E-2</v>
      </c>
      <c r="E7631" s="3">
        <v>-1.88681303440314</v>
      </c>
      <c r="F7631" s="3">
        <v>-1.88681303440314</v>
      </c>
      <c r="G7631" s="3">
        <v>5.1358113000000003</v>
      </c>
      <c r="H7631" s="3">
        <v>43.119159828453498</v>
      </c>
      <c r="I7631" s="3">
        <v>5.2345785999999999</v>
      </c>
      <c r="J7631" s="3">
        <v>5.234578</v>
      </c>
      <c r="K7631" s="3">
        <v>5.0864285999999996</v>
      </c>
      <c r="L7631" s="3">
        <v>43.119159828453498</v>
      </c>
    </row>
    <row r="7632" spans="1:12" ht="15" customHeight="1" x14ac:dyDescent="0.2">
      <c r="A7632" s="2">
        <v>34976</v>
      </c>
      <c r="B7632" s="3">
        <v>5.234578</v>
      </c>
      <c r="C7632" s="1">
        <v>42524.92</v>
      </c>
      <c r="D7632" s="3">
        <v>9.8766699999999596E-2</v>
      </c>
      <c r="E7632" s="3">
        <v>1.9230983038648499</v>
      </c>
      <c r="F7632" s="3">
        <v>1.9230983038648499</v>
      </c>
      <c r="G7632" s="3">
        <v>5.234578</v>
      </c>
      <c r="H7632" s="3">
        <v>45.871481963620198</v>
      </c>
      <c r="I7632" s="3">
        <v>5.2345785999999999</v>
      </c>
      <c r="J7632" s="3">
        <v>5.234578</v>
      </c>
      <c r="K7632" s="3">
        <v>5.1358113000000003</v>
      </c>
      <c r="L7632" s="3">
        <v>45.871481963620198</v>
      </c>
    </row>
    <row r="7633" spans="1:12" ht="15" customHeight="1" x14ac:dyDescent="0.2">
      <c r="A7633" s="2">
        <v>34975</v>
      </c>
      <c r="B7633" s="3">
        <v>5.1358113000000003</v>
      </c>
      <c r="C7633" s="1">
        <v>612055</v>
      </c>
      <c r="D7633" s="3">
        <v>-0.148149999999999</v>
      </c>
      <c r="E7633" s="3">
        <v>-2.8037676960275899</v>
      </c>
      <c r="F7633" s="3">
        <v>-2.8037676960275899</v>
      </c>
      <c r="G7633" s="3">
        <v>5.1358113000000003</v>
      </c>
      <c r="H7633" s="3">
        <v>43.119159828453498</v>
      </c>
      <c r="I7633" s="3">
        <v>5.2345785999999999</v>
      </c>
      <c r="J7633" s="3">
        <v>5.3333430000000002</v>
      </c>
      <c r="K7633" s="3">
        <v>5.1358113000000003</v>
      </c>
      <c r="L7633" s="3">
        <v>43.119159828453498</v>
      </c>
    </row>
    <row r="7634" spans="1:12" ht="15" customHeight="1" x14ac:dyDescent="0.2">
      <c r="A7634" s="2">
        <v>34974</v>
      </c>
      <c r="B7634" s="3">
        <v>5.2839612999999996</v>
      </c>
      <c r="C7634" s="1">
        <v>92137.33</v>
      </c>
      <c r="D7634" s="3"/>
      <c r="E7634" s="3"/>
      <c r="F7634" s="3"/>
      <c r="G7634" s="3">
        <v>5.2839612999999996</v>
      </c>
      <c r="H7634" s="3">
        <v>47.247641637858301</v>
      </c>
      <c r="I7634" s="3">
        <v>5.3333449999999996</v>
      </c>
      <c r="J7634" s="3">
        <v>5.3333430000000002</v>
      </c>
      <c r="K7634" s="3">
        <v>5.234578</v>
      </c>
      <c r="L7634" s="3">
        <v>47.247641637858301</v>
      </c>
    </row>
    <row r="7635" spans="1:12" ht="15" customHeight="1" x14ac:dyDescent="0.2">
      <c r="A7635" s="2">
        <v>34971</v>
      </c>
      <c r="B7635" s="3">
        <v>5.2839612999999996</v>
      </c>
      <c r="C7635" s="1">
        <v>286030.73</v>
      </c>
      <c r="D7635" s="3">
        <v>-4.93817000000005E-2</v>
      </c>
      <c r="E7635" s="3">
        <v>-0.92590519679683903</v>
      </c>
      <c r="F7635" s="3">
        <v>-0.92590519679683903</v>
      </c>
      <c r="G7635" s="3">
        <v>5.2839612999999996</v>
      </c>
      <c r="H7635" s="3">
        <v>47.247641637858301</v>
      </c>
      <c r="I7635" s="3">
        <v>5.259271</v>
      </c>
      <c r="J7635" s="3">
        <v>5.3333430000000002</v>
      </c>
      <c r="K7635" s="3">
        <v>5.234578</v>
      </c>
      <c r="L7635" s="3">
        <v>47.247641637858301</v>
      </c>
    </row>
    <row r="7636" spans="1:12" ht="15" customHeight="1" x14ac:dyDescent="0.2">
      <c r="A7636" s="2">
        <v>34970</v>
      </c>
      <c r="B7636" s="3">
        <v>5.3333430000000002</v>
      </c>
      <c r="C7636" s="1">
        <v>307293.12</v>
      </c>
      <c r="D7636" s="3">
        <v>0.19753169999999901</v>
      </c>
      <c r="E7636" s="3">
        <v>3.8461635068250901</v>
      </c>
      <c r="F7636" s="3">
        <v>3.8461635068250901</v>
      </c>
      <c r="G7636" s="3">
        <v>5.3333430000000002</v>
      </c>
      <c r="H7636" s="3">
        <v>48.6237567250502</v>
      </c>
      <c r="I7636" s="3">
        <v>5.2345785999999999</v>
      </c>
      <c r="J7636" s="3">
        <v>5.3333430000000002</v>
      </c>
      <c r="K7636" s="3">
        <v>5.1358113000000003</v>
      </c>
      <c r="L7636" s="3">
        <v>48.6237567250502</v>
      </c>
    </row>
    <row r="7637" spans="1:12" ht="15" customHeight="1" x14ac:dyDescent="0.2">
      <c r="A7637" s="2">
        <v>34969</v>
      </c>
      <c r="B7637" s="3">
        <v>5.1358113000000003</v>
      </c>
      <c r="C7637" s="1">
        <v>168580.93</v>
      </c>
      <c r="D7637" s="3">
        <v>-9.8766699999999596E-2</v>
      </c>
      <c r="E7637" s="3">
        <v>-1.88681303440314</v>
      </c>
      <c r="F7637" s="3">
        <v>-1.88681303440314</v>
      </c>
      <c r="G7637" s="3">
        <v>5.1358113000000003</v>
      </c>
      <c r="H7637" s="3">
        <v>43.119159828453498</v>
      </c>
      <c r="I7637" s="3">
        <v>5.2098884999999999</v>
      </c>
      <c r="J7637" s="3">
        <v>5.234578</v>
      </c>
      <c r="K7637" s="3">
        <v>5.1358113000000003</v>
      </c>
      <c r="L7637" s="3">
        <v>43.119159828453498</v>
      </c>
    </row>
    <row r="7638" spans="1:12" ht="15" customHeight="1" x14ac:dyDescent="0.2">
      <c r="A7638" s="2">
        <v>34968</v>
      </c>
      <c r="B7638" s="3">
        <v>5.234578</v>
      </c>
      <c r="C7638" s="1">
        <v>219712.11</v>
      </c>
      <c r="D7638" s="3">
        <v>4.9382999999999698E-2</v>
      </c>
      <c r="E7638" s="3">
        <v>0.95238462584337202</v>
      </c>
      <c r="F7638" s="3">
        <v>0.95238462584337202</v>
      </c>
      <c r="G7638" s="3">
        <v>5.234578</v>
      </c>
      <c r="H7638" s="3">
        <v>45.871481963620198</v>
      </c>
      <c r="I7638" s="3">
        <v>5.1851963999999997</v>
      </c>
      <c r="J7638" s="3">
        <v>5.2839612999999996</v>
      </c>
      <c r="K7638" s="3">
        <v>5.1358113000000003</v>
      </c>
      <c r="L7638" s="3">
        <v>45.871481963620198</v>
      </c>
    </row>
    <row r="7639" spans="1:12" ht="15" customHeight="1" x14ac:dyDescent="0.2">
      <c r="A7639" s="2">
        <v>34967</v>
      </c>
      <c r="B7639" s="3">
        <v>5.1851950000000002</v>
      </c>
      <c r="C7639" s="1">
        <v>489036.56</v>
      </c>
      <c r="D7639" s="3">
        <v>-9.8766299999999405E-2</v>
      </c>
      <c r="E7639" s="3">
        <v>-1.86917152478007</v>
      </c>
      <c r="F7639" s="3">
        <v>-1.86917152478007</v>
      </c>
      <c r="G7639" s="3">
        <v>5.1851950000000002</v>
      </c>
      <c r="H7639" s="3">
        <v>44.495330649453201</v>
      </c>
      <c r="I7639" s="3">
        <v>5.3827267000000001</v>
      </c>
      <c r="J7639" s="3">
        <v>5.3827267000000001</v>
      </c>
      <c r="K7639" s="3">
        <v>5.0864285999999996</v>
      </c>
      <c r="L7639" s="3">
        <v>44.495330649453201</v>
      </c>
    </row>
    <row r="7640" spans="1:12" ht="15" customHeight="1" x14ac:dyDescent="0.2">
      <c r="A7640" s="2">
        <v>34964</v>
      </c>
      <c r="B7640" s="3">
        <v>5.2839612999999996</v>
      </c>
      <c r="C7640" s="1">
        <v>171618.44</v>
      </c>
      <c r="D7640" s="3">
        <v>-0.19753029999999999</v>
      </c>
      <c r="E7640" s="3">
        <v>-3.6035866587846299</v>
      </c>
      <c r="F7640" s="3">
        <v>-3.6035866587846299</v>
      </c>
      <c r="G7640" s="3">
        <v>5.2839612999999996</v>
      </c>
      <c r="H7640" s="3">
        <v>47.247641637858301</v>
      </c>
      <c r="I7640" s="3">
        <v>5.4814930000000004</v>
      </c>
      <c r="J7640" s="3">
        <v>5.4814916</v>
      </c>
      <c r="K7640" s="3">
        <v>5.2839612999999996</v>
      </c>
      <c r="L7640" s="3">
        <v>47.247641637858301</v>
      </c>
    </row>
    <row r="7641" spans="1:12" ht="15" customHeight="1" x14ac:dyDescent="0.2">
      <c r="A7641" s="2">
        <v>34963</v>
      </c>
      <c r="B7641" s="3">
        <v>5.4814916</v>
      </c>
      <c r="C7641" s="1">
        <v>843917.1</v>
      </c>
      <c r="D7641" s="3">
        <v>-9.8766799999999905E-2</v>
      </c>
      <c r="E7641" s="3">
        <v>-1.76993237445778</v>
      </c>
      <c r="F7641" s="3">
        <v>-1.76993237445778</v>
      </c>
      <c r="G7641" s="3">
        <v>5.4814916</v>
      </c>
      <c r="H7641" s="3">
        <v>52.752199520789503</v>
      </c>
      <c r="I7641" s="3">
        <v>5.6296415</v>
      </c>
      <c r="J7641" s="3">
        <v>5.6296406000000001</v>
      </c>
      <c r="K7641" s="3">
        <v>5.3333430000000002</v>
      </c>
      <c r="L7641" s="3">
        <v>52.752199520789503</v>
      </c>
    </row>
    <row r="7642" spans="1:12" ht="15" customHeight="1" x14ac:dyDescent="0.2">
      <c r="A7642" s="2">
        <v>34962</v>
      </c>
      <c r="B7642" s="3">
        <v>5.5802584</v>
      </c>
      <c r="C7642" s="1">
        <v>816579.799999999</v>
      </c>
      <c r="D7642" s="3">
        <v>4.9382699999999703E-2</v>
      </c>
      <c r="E7642" s="3">
        <v>0.89285499581919203</v>
      </c>
      <c r="F7642" s="3">
        <v>0.89285499581919203</v>
      </c>
      <c r="G7642" s="3">
        <v>5.5802584</v>
      </c>
      <c r="H7642" s="3">
        <v>55.504524442646499</v>
      </c>
      <c r="I7642" s="3">
        <v>5.6296415</v>
      </c>
      <c r="J7642" s="3">
        <v>5.6790232999999999</v>
      </c>
      <c r="K7642" s="3">
        <v>5.4814916</v>
      </c>
      <c r="L7642" s="3">
        <v>55.504524442646499</v>
      </c>
    </row>
    <row r="7643" spans="1:12" ht="15" customHeight="1" x14ac:dyDescent="0.2">
      <c r="A7643" s="2">
        <v>34961</v>
      </c>
      <c r="B7643" s="3">
        <v>5.5308757000000002</v>
      </c>
      <c r="C7643" s="1">
        <v>3486537.6</v>
      </c>
      <c r="D7643" s="3">
        <v>0.39506439999999898</v>
      </c>
      <c r="E7643" s="3">
        <v>7.69234648477057</v>
      </c>
      <c r="F7643" s="3">
        <v>7.69234648477057</v>
      </c>
      <c r="G7643" s="3">
        <v>5.5308757000000002</v>
      </c>
      <c r="H7643" s="3">
        <v>54.128381488550701</v>
      </c>
      <c r="I7643" s="3">
        <v>5.1605033999999996</v>
      </c>
      <c r="J7643" s="3">
        <v>5.6790232999999999</v>
      </c>
      <c r="K7643" s="3">
        <v>5.1358113000000003</v>
      </c>
      <c r="L7643" s="3">
        <v>54.128381488550701</v>
      </c>
    </row>
    <row r="7644" spans="1:12" ht="15" customHeight="1" x14ac:dyDescent="0.2">
      <c r="A7644" s="2">
        <v>34960</v>
      </c>
      <c r="B7644" s="3">
        <v>5.1358113000000003</v>
      </c>
      <c r="C7644" s="1">
        <v>895554.44</v>
      </c>
      <c r="D7644" s="3">
        <v>2.4690600000000399E-2</v>
      </c>
      <c r="E7644" s="3">
        <v>0.48307605022908001</v>
      </c>
      <c r="F7644" s="3">
        <v>0.48307605022908001</v>
      </c>
      <c r="G7644" s="3">
        <v>5.1358113000000003</v>
      </c>
      <c r="H7644" s="3">
        <v>43.119159828453498</v>
      </c>
      <c r="I7644" s="3">
        <v>5.08643</v>
      </c>
      <c r="J7644" s="3">
        <v>5.234578</v>
      </c>
      <c r="K7644" s="3">
        <v>5.0370464000000004</v>
      </c>
      <c r="L7644" s="3">
        <v>43.119159828453498</v>
      </c>
    </row>
    <row r="7645" spans="1:12" ht="15" customHeight="1" x14ac:dyDescent="0.2">
      <c r="A7645" s="2">
        <v>34957</v>
      </c>
      <c r="B7645" s="3">
        <v>5.1111206999999999</v>
      </c>
      <c r="C7645" s="1">
        <v>835817.14</v>
      </c>
      <c r="D7645" s="3">
        <v>-2.4690600000000399E-2</v>
      </c>
      <c r="E7645" s="3">
        <v>-0.480753644511833</v>
      </c>
      <c r="F7645" s="3">
        <v>-0.480753644511833</v>
      </c>
      <c r="G7645" s="3">
        <v>5.1111206999999999</v>
      </c>
      <c r="H7645" s="3">
        <v>42.4311092515835</v>
      </c>
      <c r="I7645" s="3">
        <v>5.1358128000000001</v>
      </c>
      <c r="J7645" s="3">
        <v>5.1605020000000001</v>
      </c>
      <c r="K7645" s="3">
        <v>5.0864285999999996</v>
      </c>
      <c r="L7645" s="3">
        <v>42.4311092515835</v>
      </c>
    </row>
    <row r="7646" spans="1:12" ht="15" customHeight="1" x14ac:dyDescent="0.2">
      <c r="A7646" s="2">
        <v>34956</v>
      </c>
      <c r="B7646" s="3">
        <v>5.1358113000000003</v>
      </c>
      <c r="C7646" s="1">
        <v>2477582.5</v>
      </c>
      <c r="D7646" s="3">
        <v>0.1234553</v>
      </c>
      <c r="E7646" s="3">
        <v>2.4630193864921099</v>
      </c>
      <c r="F7646" s="3">
        <v>2.4630193864921099</v>
      </c>
      <c r="G7646" s="3">
        <v>5.1358113000000003</v>
      </c>
      <c r="H7646" s="3">
        <v>43.119159828453498</v>
      </c>
      <c r="I7646" s="3">
        <v>5.08643</v>
      </c>
      <c r="J7646" s="3">
        <v>5.1358113000000003</v>
      </c>
      <c r="K7646" s="3">
        <v>4.9876636999999997</v>
      </c>
      <c r="L7646" s="3">
        <v>43.119159828453498</v>
      </c>
    </row>
    <row r="7647" spans="1:12" ht="15" customHeight="1" x14ac:dyDescent="0.2">
      <c r="A7647" s="2">
        <v>34955</v>
      </c>
      <c r="B7647" s="3">
        <v>5.0123559999999996</v>
      </c>
      <c r="C7647" s="1">
        <v>997816.799999999</v>
      </c>
      <c r="D7647" s="3">
        <v>-0.17283899999999999</v>
      </c>
      <c r="E7647" s="3">
        <v>-3.3333172619351901</v>
      </c>
      <c r="F7647" s="3">
        <v>-3.3333172619351901</v>
      </c>
      <c r="G7647" s="3">
        <v>5.0123559999999996</v>
      </c>
      <c r="H7647" s="3">
        <v>39.678842850224598</v>
      </c>
      <c r="I7647" s="3">
        <v>5.1851963999999997</v>
      </c>
      <c r="J7647" s="3">
        <v>5.2098865999999999</v>
      </c>
      <c r="K7647" s="3">
        <v>4.9876636999999997</v>
      </c>
      <c r="L7647" s="3">
        <v>39.678842850224598</v>
      </c>
    </row>
    <row r="7648" spans="1:12" ht="15" customHeight="1" x14ac:dyDescent="0.2">
      <c r="A7648" s="2">
        <v>34954</v>
      </c>
      <c r="B7648" s="3">
        <v>5.1851950000000002</v>
      </c>
      <c r="C7648" s="1">
        <v>1192216.5999999901</v>
      </c>
      <c r="D7648" s="3">
        <v>-0.148147999999999</v>
      </c>
      <c r="E7648" s="3">
        <v>-2.7777699652919301</v>
      </c>
      <c r="F7648" s="3">
        <v>-2.7777699652919301</v>
      </c>
      <c r="G7648" s="3">
        <v>5.1851950000000002</v>
      </c>
      <c r="H7648" s="3">
        <v>44.495330649453201</v>
      </c>
      <c r="I7648" s="3">
        <v>5.3333449999999996</v>
      </c>
      <c r="J7648" s="3">
        <v>5.3333430000000002</v>
      </c>
      <c r="K7648" s="3">
        <v>5.1605020000000001</v>
      </c>
      <c r="L7648" s="3">
        <v>44.495330649453201</v>
      </c>
    </row>
    <row r="7649" spans="1:12" ht="15" customHeight="1" x14ac:dyDescent="0.2">
      <c r="A7649" s="2">
        <v>34953</v>
      </c>
      <c r="B7649" s="3">
        <v>5.3333430000000002</v>
      </c>
      <c r="C7649" s="1">
        <v>956304.5</v>
      </c>
      <c r="D7649" s="3">
        <v>-0.19753270000000001</v>
      </c>
      <c r="E7649" s="3">
        <v>-3.5714543358839101</v>
      </c>
      <c r="F7649" s="3">
        <v>-3.5714543358839101</v>
      </c>
      <c r="G7649" s="3">
        <v>5.3333430000000002</v>
      </c>
      <c r="H7649" s="3">
        <v>48.6237567250502</v>
      </c>
      <c r="I7649" s="3">
        <v>5.4321099999999998</v>
      </c>
      <c r="J7649" s="3">
        <v>5.4814916</v>
      </c>
      <c r="K7649" s="3">
        <v>5.3333430000000002</v>
      </c>
      <c r="L7649" s="3">
        <v>48.6237567250502</v>
      </c>
    </row>
    <row r="7650" spans="1:12" ht="15" customHeight="1" x14ac:dyDescent="0.2">
      <c r="A7650" s="2">
        <v>34950</v>
      </c>
      <c r="B7650" s="3">
        <v>5.5308757000000002</v>
      </c>
      <c r="C7650" s="1">
        <v>2620345</v>
      </c>
      <c r="D7650" s="3">
        <v>-0.197530699999999</v>
      </c>
      <c r="E7650" s="3">
        <v>-3.44826617050074</v>
      </c>
      <c r="F7650" s="3">
        <v>-3.44826617050074</v>
      </c>
      <c r="G7650" s="3">
        <v>5.5308757000000002</v>
      </c>
      <c r="H7650" s="3">
        <v>54.128381488550701</v>
      </c>
      <c r="I7650" s="3">
        <v>5.7284063999999999</v>
      </c>
      <c r="J7650" s="3">
        <v>5.7777890000000003</v>
      </c>
      <c r="K7650" s="3">
        <v>5.3333430000000002</v>
      </c>
      <c r="L7650" s="3">
        <v>54.128381488550701</v>
      </c>
    </row>
    <row r="7651" spans="1:12" ht="15" customHeight="1" x14ac:dyDescent="0.2">
      <c r="A7651" s="2">
        <v>34949</v>
      </c>
      <c r="B7651" s="3">
        <v>5.7284063999999999</v>
      </c>
      <c r="C7651" s="1">
        <v>1161335.3</v>
      </c>
      <c r="D7651" s="3">
        <v>-6.1728000000000401E-2</v>
      </c>
      <c r="E7651" s="3">
        <v>-1.0660892431097999</v>
      </c>
      <c r="F7651" s="3">
        <v>-1.0660892431097999</v>
      </c>
      <c r="G7651" s="3">
        <v>5.7284063999999999</v>
      </c>
      <c r="H7651" s="3">
        <v>59.632950518243497</v>
      </c>
      <c r="I7651" s="3">
        <v>5.7777900000000004</v>
      </c>
      <c r="J7651" s="3">
        <v>5.8765539999999996</v>
      </c>
      <c r="K7651" s="3">
        <v>5.6790232999999999</v>
      </c>
      <c r="L7651" s="3">
        <v>59.632950518243497</v>
      </c>
    </row>
    <row r="7652" spans="1:12" ht="15" customHeight="1" x14ac:dyDescent="0.2">
      <c r="A7652" s="2">
        <v>34948</v>
      </c>
      <c r="B7652" s="3">
        <v>5.7901344000000003</v>
      </c>
      <c r="C7652" s="1">
        <v>1055022.8</v>
      </c>
      <c r="D7652" s="3">
        <v>3.7037399999999998E-2</v>
      </c>
      <c r="E7652" s="3">
        <v>0.64378194909628905</v>
      </c>
      <c r="F7652" s="3">
        <v>0.64378194909628905</v>
      </c>
      <c r="G7652" s="3">
        <v>5.7901344000000003</v>
      </c>
      <c r="H7652" s="3">
        <v>61.353118760774301</v>
      </c>
      <c r="I7652" s="3">
        <v>5.7777900000000004</v>
      </c>
      <c r="J7652" s="3">
        <v>5.9259367000000003</v>
      </c>
      <c r="K7652" s="3">
        <v>5.7037144</v>
      </c>
      <c r="L7652" s="3">
        <v>61.353118760774301</v>
      </c>
    </row>
    <row r="7653" spans="1:12" ht="15" customHeight="1" x14ac:dyDescent="0.2">
      <c r="A7653" s="2">
        <v>34947</v>
      </c>
      <c r="B7653" s="3">
        <v>5.7530970000000003</v>
      </c>
      <c r="C7653" s="1">
        <v>779623.39999999898</v>
      </c>
      <c r="D7653" s="3">
        <v>2.4690600000000399E-2</v>
      </c>
      <c r="E7653" s="3">
        <v>0.43102039687687999</v>
      </c>
      <c r="F7653" s="3">
        <v>0.43102039687687999</v>
      </c>
      <c r="G7653" s="3">
        <v>5.7530970000000003</v>
      </c>
      <c r="H7653" s="3">
        <v>60.321001095113502</v>
      </c>
      <c r="I7653" s="3">
        <v>5.6790250000000002</v>
      </c>
      <c r="J7653" s="3">
        <v>5.7777890000000003</v>
      </c>
      <c r="K7653" s="3">
        <v>5.6790232999999999</v>
      </c>
      <c r="L7653" s="3">
        <v>60.321001095113502</v>
      </c>
    </row>
    <row r="7654" spans="1:12" ht="15" customHeight="1" x14ac:dyDescent="0.2">
      <c r="A7654" s="2">
        <v>34943</v>
      </c>
      <c r="B7654" s="3">
        <v>5.7284063999999999</v>
      </c>
      <c r="C7654" s="1">
        <v>214649.60000000001</v>
      </c>
      <c r="D7654" s="3">
        <v>7.4075399999999902E-2</v>
      </c>
      <c r="E7654" s="3">
        <v>1.3100647981167</v>
      </c>
      <c r="F7654" s="3">
        <v>1.3100647981167</v>
      </c>
      <c r="G7654" s="3">
        <v>5.7284063999999999</v>
      </c>
      <c r="H7654" s="3">
        <v>59.632950518243497</v>
      </c>
      <c r="I7654" s="3">
        <v>5.7284063999999999</v>
      </c>
      <c r="J7654" s="3">
        <v>5.7777890000000003</v>
      </c>
      <c r="K7654" s="3">
        <v>5.654331</v>
      </c>
      <c r="L7654" s="3">
        <v>59.632950518243497</v>
      </c>
    </row>
    <row r="7655" spans="1:12" ht="15" customHeight="1" x14ac:dyDescent="0.2">
      <c r="A7655" s="2">
        <v>34942</v>
      </c>
      <c r="B7655" s="3">
        <v>5.654331</v>
      </c>
      <c r="C7655" s="1">
        <v>163012.19</v>
      </c>
      <c r="D7655" s="3">
        <v>-7.4075399999999902E-2</v>
      </c>
      <c r="E7655" s="3">
        <v>-1.2931240353338</v>
      </c>
      <c r="F7655" s="3">
        <v>-1.2931240353338</v>
      </c>
      <c r="G7655" s="3">
        <v>5.654331</v>
      </c>
      <c r="H7655" s="3">
        <v>57.568698466779601</v>
      </c>
      <c r="I7655" s="3">
        <v>5.7777900000000004</v>
      </c>
      <c r="J7655" s="3">
        <v>5.7777890000000003</v>
      </c>
      <c r="K7655" s="3">
        <v>5.6296406000000001</v>
      </c>
      <c r="L7655" s="3">
        <v>57.568698466779601</v>
      </c>
    </row>
    <row r="7656" spans="1:12" ht="15" customHeight="1" x14ac:dyDescent="0.2">
      <c r="A7656" s="2">
        <v>34941</v>
      </c>
      <c r="B7656" s="3">
        <v>5.7284063999999999</v>
      </c>
      <c r="C7656" s="1">
        <v>514349</v>
      </c>
      <c r="D7656" s="3">
        <v>9.8765799999999696E-2</v>
      </c>
      <c r="E7656" s="3">
        <v>1.7543890812496901</v>
      </c>
      <c r="F7656" s="3">
        <v>1.7543890812496901</v>
      </c>
      <c r="G7656" s="3">
        <v>5.7284063999999999</v>
      </c>
      <c r="H7656" s="3">
        <v>59.632950518243497</v>
      </c>
      <c r="I7656" s="3">
        <v>5.6296415</v>
      </c>
      <c r="J7656" s="3">
        <v>5.7777890000000003</v>
      </c>
      <c r="K7656" s="3">
        <v>5.5802584</v>
      </c>
      <c r="L7656" s="3">
        <v>59.632950518243497</v>
      </c>
    </row>
    <row r="7657" spans="1:12" ht="15" customHeight="1" x14ac:dyDescent="0.2">
      <c r="A7657" s="2">
        <v>34940</v>
      </c>
      <c r="B7657" s="3">
        <v>5.6296406000000001</v>
      </c>
      <c r="C7657" s="1">
        <v>701661.2</v>
      </c>
      <c r="D7657" s="3">
        <v>-4.9382699999999703E-2</v>
      </c>
      <c r="E7657" s="3">
        <v>-0.86956325747069496</v>
      </c>
      <c r="F7657" s="3">
        <v>-0.86956325747069496</v>
      </c>
      <c r="G7657" s="3">
        <v>5.6296406000000001</v>
      </c>
      <c r="H7657" s="3">
        <v>56.8806534632904</v>
      </c>
      <c r="I7657" s="3">
        <v>5.6296415</v>
      </c>
      <c r="J7657" s="3">
        <v>5.6790232999999999</v>
      </c>
      <c r="K7657" s="3">
        <v>5.5802584</v>
      </c>
      <c r="L7657" s="3">
        <v>56.8806534632904</v>
      </c>
    </row>
    <row r="7658" spans="1:12" ht="15" customHeight="1" x14ac:dyDescent="0.2">
      <c r="A7658" s="2">
        <v>34939</v>
      </c>
      <c r="B7658" s="3">
        <v>5.6790232999999999</v>
      </c>
      <c r="C7658" s="1">
        <v>490049.06999999902</v>
      </c>
      <c r="D7658" s="3">
        <v>7.4074299999999399E-2</v>
      </c>
      <c r="E7658" s="3">
        <v>1.3215874042743201</v>
      </c>
      <c r="F7658" s="3">
        <v>1.3215874042743201</v>
      </c>
      <c r="G7658" s="3">
        <v>5.6790232999999999</v>
      </c>
      <c r="H7658" s="3">
        <v>58.256796417386198</v>
      </c>
      <c r="I7658" s="3">
        <v>5.6790250000000002</v>
      </c>
      <c r="J7658" s="3">
        <v>5.6790232999999999</v>
      </c>
      <c r="K7658" s="3">
        <v>5.5555662999999997</v>
      </c>
      <c r="L7658" s="3">
        <v>58.256796417386198</v>
      </c>
    </row>
    <row r="7659" spans="1:12" ht="15" customHeight="1" x14ac:dyDescent="0.2">
      <c r="A7659" s="2">
        <v>34936</v>
      </c>
      <c r="B7659" s="3">
        <v>5.6049490000000004</v>
      </c>
      <c r="C7659" s="1">
        <v>149849.72</v>
      </c>
      <c r="D7659" s="3">
        <v>-4.9381999999999503E-2</v>
      </c>
      <c r="E7659" s="3">
        <v>-0.87334823518466698</v>
      </c>
      <c r="F7659" s="3">
        <v>-0.87334823518466698</v>
      </c>
      <c r="G7659" s="3">
        <v>5.6049490000000004</v>
      </c>
      <c r="H7659" s="3">
        <v>56.192575019516497</v>
      </c>
      <c r="I7659" s="3">
        <v>5.5802589999999999</v>
      </c>
      <c r="J7659" s="3">
        <v>5.6790232999999999</v>
      </c>
      <c r="K7659" s="3">
        <v>5.5802584</v>
      </c>
      <c r="L7659" s="3">
        <v>56.192575019516497</v>
      </c>
    </row>
    <row r="7660" spans="1:12" ht="15" customHeight="1" x14ac:dyDescent="0.2">
      <c r="A7660" s="2">
        <v>34935</v>
      </c>
      <c r="B7660" s="3">
        <v>5.654331</v>
      </c>
      <c r="C7660" s="1">
        <v>902135.7</v>
      </c>
      <c r="D7660" s="3">
        <v>4.9381999999999503E-2</v>
      </c>
      <c r="E7660" s="3">
        <v>0.88104280699074999</v>
      </c>
      <c r="F7660" s="3">
        <v>0.88104280699074999</v>
      </c>
      <c r="G7660" s="3">
        <v>5.654331</v>
      </c>
      <c r="H7660" s="3">
        <v>57.568698466779601</v>
      </c>
      <c r="I7660" s="3">
        <v>5.6296415</v>
      </c>
      <c r="J7660" s="3">
        <v>5.7777890000000003</v>
      </c>
      <c r="K7660" s="3">
        <v>5.4814916</v>
      </c>
      <c r="L7660" s="3">
        <v>57.568698466779601</v>
      </c>
    </row>
    <row r="7661" spans="1:12" ht="15" customHeight="1" x14ac:dyDescent="0.2">
      <c r="A7661" s="2">
        <v>34934</v>
      </c>
      <c r="B7661" s="3">
        <v>5.6049490000000004</v>
      </c>
      <c r="C7661" s="1">
        <v>265780.73</v>
      </c>
      <c r="D7661" s="3">
        <v>0.24691299999999999</v>
      </c>
      <c r="E7661" s="3">
        <v>4.6082743751628401</v>
      </c>
      <c r="F7661" s="3">
        <v>4.6082743751628401</v>
      </c>
      <c r="G7661" s="3">
        <v>5.6049490000000004</v>
      </c>
      <c r="H7661" s="3">
        <v>56.192575019516497</v>
      </c>
      <c r="I7661" s="3">
        <v>5.3827267000000001</v>
      </c>
      <c r="J7661" s="3">
        <v>5.6296406000000001</v>
      </c>
      <c r="K7661" s="3">
        <v>5.3333430000000002</v>
      </c>
      <c r="L7661" s="3">
        <v>56.192575019516497</v>
      </c>
    </row>
    <row r="7662" spans="1:12" ht="15" customHeight="1" x14ac:dyDescent="0.2">
      <c r="A7662" s="2">
        <v>34933</v>
      </c>
      <c r="B7662" s="3">
        <v>5.3580360000000002</v>
      </c>
      <c r="C7662" s="1">
        <v>704698.67</v>
      </c>
      <c r="D7662" s="3">
        <v>-0.22222239999999899</v>
      </c>
      <c r="E7662" s="3">
        <v>-3.9822958736104299</v>
      </c>
      <c r="F7662" s="3">
        <v>-3.9822958736104299</v>
      </c>
      <c r="G7662" s="3">
        <v>5.3580360000000002</v>
      </c>
      <c r="H7662" s="3">
        <v>49.311874182489497</v>
      </c>
      <c r="I7662" s="3">
        <v>5.4814930000000004</v>
      </c>
      <c r="J7662" s="3">
        <v>5.5802584</v>
      </c>
      <c r="K7662" s="3">
        <v>5.3333430000000002</v>
      </c>
      <c r="L7662" s="3">
        <v>49.311874182489497</v>
      </c>
    </row>
    <row r="7663" spans="1:12" ht="15" customHeight="1" x14ac:dyDescent="0.2">
      <c r="A7663" s="2">
        <v>34932</v>
      </c>
      <c r="B7663" s="3">
        <v>5.5802584</v>
      </c>
      <c r="C7663" s="1">
        <v>133649.73000000001</v>
      </c>
      <c r="D7663" s="3">
        <v>4.9382699999999703E-2</v>
      </c>
      <c r="E7663" s="3">
        <v>0.89285499581919203</v>
      </c>
      <c r="F7663" s="3">
        <v>0.89285499581919203</v>
      </c>
      <c r="G7663" s="3">
        <v>5.5802584</v>
      </c>
      <c r="H7663" s="3">
        <v>55.504524442646499</v>
      </c>
      <c r="I7663" s="3">
        <v>5.5308757000000002</v>
      </c>
      <c r="J7663" s="3">
        <v>5.5802584</v>
      </c>
      <c r="K7663" s="3">
        <v>5.4321099999999998</v>
      </c>
      <c r="L7663" s="3">
        <v>55.504524442646499</v>
      </c>
    </row>
    <row r="7664" spans="1:12" ht="15" customHeight="1" x14ac:dyDescent="0.2">
      <c r="A7664" s="2">
        <v>34929</v>
      </c>
      <c r="B7664" s="3">
        <v>5.5308757000000002</v>
      </c>
      <c r="C7664" s="1">
        <v>763423.64999999898</v>
      </c>
      <c r="D7664" s="3">
        <v>4.9384100000000097E-2</v>
      </c>
      <c r="E7664" s="3">
        <v>0.90092448559075899</v>
      </c>
      <c r="F7664" s="3">
        <v>0.90092448559075899</v>
      </c>
      <c r="G7664" s="3">
        <v>5.5308757000000002</v>
      </c>
      <c r="H7664" s="3">
        <v>54.128381488550701</v>
      </c>
      <c r="I7664" s="3">
        <v>5.5308757000000002</v>
      </c>
      <c r="J7664" s="3">
        <v>5.5555662999999997</v>
      </c>
      <c r="K7664" s="3">
        <v>5.4321099999999998</v>
      </c>
      <c r="L7664" s="3">
        <v>54.128381488550701</v>
      </c>
    </row>
    <row r="7665" spans="1:12" ht="15" customHeight="1" x14ac:dyDescent="0.2">
      <c r="A7665" s="2">
        <v>34928</v>
      </c>
      <c r="B7665" s="3">
        <v>5.4814916</v>
      </c>
      <c r="C7665" s="1">
        <v>599398.86</v>
      </c>
      <c r="D7665" s="3">
        <v>0.160493899999999</v>
      </c>
      <c r="E7665" s="3">
        <v>3.01623697375399</v>
      </c>
      <c r="F7665" s="3">
        <v>3.01623697375399</v>
      </c>
      <c r="G7665" s="3">
        <v>5.4814916</v>
      </c>
      <c r="H7665" s="3">
        <v>52.752199520789503</v>
      </c>
      <c r="I7665" s="3">
        <v>5.3333449999999996</v>
      </c>
      <c r="J7665" s="3">
        <v>5.4814916</v>
      </c>
      <c r="K7665" s="3">
        <v>5.2839612999999996</v>
      </c>
      <c r="L7665" s="3">
        <v>52.752199520789503</v>
      </c>
    </row>
    <row r="7666" spans="1:12" ht="15" customHeight="1" x14ac:dyDescent="0.2">
      <c r="A7666" s="2">
        <v>34927</v>
      </c>
      <c r="B7666" s="3">
        <v>5.3209977000000004</v>
      </c>
      <c r="C7666" s="1">
        <v>433855.47</v>
      </c>
      <c r="D7666" s="3">
        <v>6.1728700000000601E-2</v>
      </c>
      <c r="E7666" s="3">
        <v>1.17371254446199</v>
      </c>
      <c r="F7666" s="3">
        <v>1.17371254446199</v>
      </c>
      <c r="G7666" s="3">
        <v>5.3209977000000004</v>
      </c>
      <c r="H7666" s="3">
        <v>48.279731436615201</v>
      </c>
      <c r="I7666" s="3">
        <v>5.2098884999999999</v>
      </c>
      <c r="J7666" s="3">
        <v>5.3827267000000001</v>
      </c>
      <c r="K7666" s="3">
        <v>5.2098865999999999</v>
      </c>
      <c r="L7666" s="3">
        <v>48.279731436615201</v>
      </c>
    </row>
    <row r="7667" spans="1:12" ht="15" customHeight="1" x14ac:dyDescent="0.2">
      <c r="A7667" s="2">
        <v>34926</v>
      </c>
      <c r="B7667" s="3">
        <v>5.2592689999999997</v>
      </c>
      <c r="C7667" s="1">
        <v>632305</v>
      </c>
      <c r="D7667" s="3">
        <v>-4.9383399999999897E-2</v>
      </c>
      <c r="E7667" s="3">
        <v>-0.93024361512160603</v>
      </c>
      <c r="F7667" s="3">
        <v>-0.93024361512160603</v>
      </c>
      <c r="G7667" s="3">
        <v>5.2592689999999997</v>
      </c>
      <c r="H7667" s="3">
        <v>46.559543687251697</v>
      </c>
      <c r="I7667" s="3">
        <v>5.3827267000000001</v>
      </c>
      <c r="J7667" s="3">
        <v>5.3827267000000001</v>
      </c>
      <c r="K7667" s="3">
        <v>5.1728490000000003</v>
      </c>
      <c r="L7667" s="3">
        <v>46.559543687251697</v>
      </c>
    </row>
    <row r="7668" spans="1:12" ht="15" customHeight="1" x14ac:dyDescent="0.2">
      <c r="A7668" s="2">
        <v>34925</v>
      </c>
      <c r="B7668" s="3">
        <v>5.3086523999999997</v>
      </c>
      <c r="C7668" s="1">
        <v>466761.63</v>
      </c>
      <c r="D7668" s="3">
        <v>0.2222238</v>
      </c>
      <c r="E7668" s="3">
        <v>4.3689554592391202</v>
      </c>
      <c r="F7668" s="3">
        <v>4.3689554592391202</v>
      </c>
      <c r="G7668" s="3">
        <v>5.3086523999999997</v>
      </c>
      <c r="H7668" s="3">
        <v>47.935706148180202</v>
      </c>
      <c r="I7668" s="3">
        <v>5.08643</v>
      </c>
      <c r="J7668" s="3">
        <v>5.4321099999999998</v>
      </c>
      <c r="K7668" s="3">
        <v>4.9876636999999997</v>
      </c>
      <c r="L7668" s="3">
        <v>47.935706148180202</v>
      </c>
    </row>
    <row r="7669" spans="1:12" ht="15" customHeight="1" x14ac:dyDescent="0.2">
      <c r="A7669" s="2">
        <v>34922</v>
      </c>
      <c r="B7669" s="3">
        <v>5.0864285999999996</v>
      </c>
      <c r="C7669" s="1">
        <v>264768.21999999997</v>
      </c>
      <c r="D7669" s="3">
        <v>9.8764899999999906E-2</v>
      </c>
      <c r="E7669" s="3">
        <v>1.9801836278576499</v>
      </c>
      <c r="F7669" s="3">
        <v>1.9801836278576499</v>
      </c>
      <c r="G7669" s="3">
        <v>5.0864285999999996</v>
      </c>
      <c r="H7669" s="3">
        <v>41.7430168743577</v>
      </c>
      <c r="I7669" s="3">
        <v>4.9876646999999998</v>
      </c>
      <c r="J7669" s="3">
        <v>5.0864285999999996</v>
      </c>
      <c r="K7669" s="3">
        <v>4.8888984000000004</v>
      </c>
      <c r="L7669" s="3">
        <v>41.7430168743577</v>
      </c>
    </row>
    <row r="7670" spans="1:12" ht="15" customHeight="1" x14ac:dyDescent="0.2">
      <c r="A7670" s="2">
        <v>34921</v>
      </c>
      <c r="B7670" s="3">
        <v>4.9876636999999997</v>
      </c>
      <c r="C7670" s="1">
        <v>195918.37</v>
      </c>
      <c r="D7670" s="3"/>
      <c r="E7670" s="3"/>
      <c r="F7670" s="3"/>
      <c r="G7670" s="3">
        <v>4.9876636999999997</v>
      </c>
      <c r="H7670" s="3">
        <v>38.9907448996181</v>
      </c>
      <c r="I7670" s="3">
        <v>4.9876646999999998</v>
      </c>
      <c r="J7670" s="3">
        <v>4.9876636999999997</v>
      </c>
      <c r="K7670" s="3">
        <v>4.8888984000000004</v>
      </c>
      <c r="L7670" s="3">
        <v>38.9907448996181</v>
      </c>
    </row>
    <row r="7671" spans="1:12" ht="15" customHeight="1" x14ac:dyDescent="0.2">
      <c r="A7671" s="2">
        <v>34920</v>
      </c>
      <c r="B7671" s="3">
        <v>4.9876636999999997</v>
      </c>
      <c r="C7671" s="1">
        <v>294636.95999999897</v>
      </c>
      <c r="D7671" s="3">
        <v>5.2468699999999403E-2</v>
      </c>
      <c r="E7671" s="3">
        <v>1.06315353294041</v>
      </c>
      <c r="F7671" s="3">
        <v>1.06315353294041</v>
      </c>
      <c r="G7671" s="3">
        <v>4.9876636999999997</v>
      </c>
      <c r="H7671" s="3">
        <v>38.9907448996181</v>
      </c>
      <c r="I7671" s="3">
        <v>4.8888999999999996</v>
      </c>
      <c r="J7671" s="3">
        <v>4.9876636999999997</v>
      </c>
      <c r="K7671" s="3">
        <v>4.8888984000000004</v>
      </c>
      <c r="L7671" s="3">
        <v>38.9907448996181</v>
      </c>
    </row>
    <row r="7672" spans="1:12" ht="15" customHeight="1" x14ac:dyDescent="0.2">
      <c r="A7672" s="2">
        <v>34919</v>
      </c>
      <c r="B7672" s="3">
        <v>4.9351950000000002</v>
      </c>
      <c r="C7672" s="1">
        <v>221230.8</v>
      </c>
      <c r="D7672" s="3">
        <v>-5.2468699999999403E-2</v>
      </c>
      <c r="E7672" s="3">
        <v>-1.0519694822247001</v>
      </c>
      <c r="F7672" s="3">
        <v>-1.0519694822247001</v>
      </c>
      <c r="G7672" s="3">
        <v>4.9351950000000002</v>
      </c>
      <c r="H7672" s="3">
        <v>37.528604680157301</v>
      </c>
      <c r="I7672" s="3">
        <v>4.9876646999999998</v>
      </c>
      <c r="J7672" s="3">
        <v>4.9876636999999997</v>
      </c>
      <c r="K7672" s="3">
        <v>4.8395159999999997</v>
      </c>
      <c r="L7672" s="3">
        <v>37.528604680157301</v>
      </c>
    </row>
    <row r="7673" spans="1:12" ht="15" customHeight="1" x14ac:dyDescent="0.2">
      <c r="A7673" s="2">
        <v>34918</v>
      </c>
      <c r="B7673" s="3">
        <v>4.9876636999999997</v>
      </c>
      <c r="C7673" s="1">
        <v>361461.82</v>
      </c>
      <c r="D7673" s="3"/>
      <c r="E7673" s="3"/>
      <c r="F7673" s="3"/>
      <c r="G7673" s="3">
        <v>4.9876636999999997</v>
      </c>
      <c r="H7673" s="3">
        <v>38.9907448996181</v>
      </c>
      <c r="I7673" s="3">
        <v>4.8888999999999996</v>
      </c>
      <c r="J7673" s="3">
        <v>4.9876636999999997</v>
      </c>
      <c r="K7673" s="3">
        <v>4.8888984000000004</v>
      </c>
      <c r="L7673" s="3">
        <v>38.9907448996181</v>
      </c>
    </row>
    <row r="7674" spans="1:12" ht="15" customHeight="1" x14ac:dyDescent="0.2">
      <c r="A7674" s="2">
        <v>34915</v>
      </c>
      <c r="B7674" s="3">
        <v>4.9876636999999997</v>
      </c>
      <c r="C7674" s="1">
        <v>252112</v>
      </c>
      <c r="D7674" s="3">
        <v>0.172840099999999</v>
      </c>
      <c r="E7674" s="3">
        <v>3.5897493731649801</v>
      </c>
      <c r="F7674" s="3">
        <v>3.5897493731649801</v>
      </c>
      <c r="G7674" s="3">
        <v>4.9876636999999997</v>
      </c>
      <c r="H7674" s="3">
        <v>38.9907448996181</v>
      </c>
      <c r="I7674" s="3">
        <v>4.8395159999999997</v>
      </c>
      <c r="J7674" s="3">
        <v>4.9876636999999997</v>
      </c>
      <c r="K7674" s="3">
        <v>4.790133</v>
      </c>
      <c r="L7674" s="3">
        <v>38.9907448996181</v>
      </c>
    </row>
    <row r="7675" spans="1:12" ht="15" customHeight="1" x14ac:dyDescent="0.2">
      <c r="A7675" s="2">
        <v>34914</v>
      </c>
      <c r="B7675" s="3">
        <v>4.8148236000000004</v>
      </c>
      <c r="C7675" s="1">
        <v>754311.04</v>
      </c>
      <c r="D7675" s="3">
        <v>-7.4074799999999996E-2</v>
      </c>
      <c r="E7675" s="3">
        <v>-1.51516341595481</v>
      </c>
      <c r="F7675" s="3">
        <v>-1.51516341595481</v>
      </c>
      <c r="G7675" s="3">
        <v>4.8148236000000004</v>
      </c>
      <c r="H7675" s="3">
        <v>34.174226446795302</v>
      </c>
      <c r="I7675" s="3">
        <v>4.790133</v>
      </c>
      <c r="J7675" s="3">
        <v>4.9382809999999999</v>
      </c>
      <c r="K7675" s="3">
        <v>4.6419839999999999</v>
      </c>
      <c r="L7675" s="3">
        <v>34.174226446795302</v>
      </c>
    </row>
    <row r="7676" spans="1:12" ht="15" customHeight="1" x14ac:dyDescent="0.2">
      <c r="A7676" s="2">
        <v>34913</v>
      </c>
      <c r="B7676" s="3">
        <v>4.8888984000000004</v>
      </c>
      <c r="C7676" s="1">
        <v>615092.5</v>
      </c>
      <c r="D7676" s="3">
        <v>-0.19753019999999899</v>
      </c>
      <c r="E7676" s="3">
        <v>-3.8834753327708</v>
      </c>
      <c r="F7676" s="3">
        <v>-3.8834753327708</v>
      </c>
      <c r="G7676" s="3">
        <v>4.8888984000000004</v>
      </c>
      <c r="H7676" s="3">
        <v>36.2384617781169</v>
      </c>
      <c r="I7676" s="3">
        <v>5.0370473999999996</v>
      </c>
      <c r="J7676" s="3">
        <v>5.1358113000000003</v>
      </c>
      <c r="K7676" s="3">
        <v>4.8888984000000004</v>
      </c>
      <c r="L7676" s="3">
        <v>36.2384617781169</v>
      </c>
    </row>
    <row r="7677" spans="1:12" ht="15" customHeight="1" x14ac:dyDescent="0.2">
      <c r="A7677" s="2">
        <v>34912</v>
      </c>
      <c r="B7677" s="3">
        <v>5.0864285999999996</v>
      </c>
      <c r="C7677" s="1">
        <v>1618478.3</v>
      </c>
      <c r="D7677" s="3">
        <v>-0.19753270000000001</v>
      </c>
      <c r="E7677" s="3">
        <v>-3.7383449420797099</v>
      </c>
      <c r="F7677" s="3">
        <v>-3.7383449420797099</v>
      </c>
      <c r="G7677" s="3">
        <v>5.0864285999999996</v>
      </c>
      <c r="H7677" s="3">
        <v>41.7430168743577</v>
      </c>
      <c r="I7677" s="3">
        <v>5.1851963999999997</v>
      </c>
      <c r="J7677" s="3">
        <v>5.2839612999999996</v>
      </c>
      <c r="K7677" s="3">
        <v>4.8395159999999997</v>
      </c>
      <c r="L7677" s="3">
        <v>41.7430168743577</v>
      </c>
    </row>
    <row r="7678" spans="1:12" ht="15" customHeight="1" x14ac:dyDescent="0.2">
      <c r="A7678" s="2">
        <v>34911</v>
      </c>
      <c r="B7678" s="3">
        <v>5.2839612999999996</v>
      </c>
      <c r="C7678" s="1">
        <v>1300047.5</v>
      </c>
      <c r="D7678" s="3">
        <v>0.19753270000000001</v>
      </c>
      <c r="E7678" s="3">
        <v>3.88352448317077</v>
      </c>
      <c r="F7678" s="3">
        <v>3.88352448317077</v>
      </c>
      <c r="G7678" s="3">
        <v>5.2839612999999996</v>
      </c>
      <c r="H7678" s="3">
        <v>47.247641637858301</v>
      </c>
      <c r="I7678" s="3">
        <v>5.08643</v>
      </c>
      <c r="J7678" s="3">
        <v>5.3333430000000002</v>
      </c>
      <c r="K7678" s="3">
        <v>5.0864285999999996</v>
      </c>
      <c r="L7678" s="3">
        <v>47.247641637858301</v>
      </c>
    </row>
    <row r="7679" spans="1:12" ht="15" customHeight="1" x14ac:dyDescent="0.2">
      <c r="A7679" s="2">
        <v>34908</v>
      </c>
      <c r="B7679" s="3">
        <v>5.0864285999999996</v>
      </c>
      <c r="C7679" s="1">
        <v>403480.5</v>
      </c>
      <c r="D7679" s="3">
        <v>-0.29629810000000001</v>
      </c>
      <c r="E7679" s="3">
        <v>-5.50460977333291</v>
      </c>
      <c r="F7679" s="3">
        <v>-5.50460977333291</v>
      </c>
      <c r="G7679" s="3">
        <v>5.0864285999999996</v>
      </c>
      <c r="H7679" s="3">
        <v>41.7430168743577</v>
      </c>
      <c r="I7679" s="3">
        <v>5.3333449999999996</v>
      </c>
      <c r="J7679" s="3">
        <v>5.3333430000000002</v>
      </c>
      <c r="K7679" s="3">
        <v>5.0864285999999996</v>
      </c>
      <c r="L7679" s="3">
        <v>41.7430168743577</v>
      </c>
    </row>
    <row r="7680" spans="1:12" ht="15" customHeight="1" x14ac:dyDescent="0.2">
      <c r="A7680" s="2">
        <v>34907</v>
      </c>
      <c r="B7680" s="3">
        <v>5.3827267000000001</v>
      </c>
      <c r="C7680" s="1">
        <v>504730.26</v>
      </c>
      <c r="D7680" s="3">
        <v>-9.8764899999999906E-2</v>
      </c>
      <c r="E7680" s="3">
        <v>-1.8017887685899101</v>
      </c>
      <c r="F7680" s="3">
        <v>-1.8017887685899101</v>
      </c>
      <c r="G7680" s="3">
        <v>5.3827267000000001</v>
      </c>
      <c r="H7680" s="3">
        <v>49.999927546049904</v>
      </c>
      <c r="I7680" s="3">
        <v>5.4321099999999998</v>
      </c>
      <c r="J7680" s="3">
        <v>5.5802584</v>
      </c>
      <c r="K7680" s="3">
        <v>5.234578</v>
      </c>
      <c r="L7680" s="3">
        <v>49.999927546049904</v>
      </c>
    </row>
    <row r="7681" spans="1:12" ht="15" customHeight="1" x14ac:dyDescent="0.2">
      <c r="A7681" s="2">
        <v>34906</v>
      </c>
      <c r="B7681" s="3">
        <v>5.4814916</v>
      </c>
      <c r="C7681" s="1">
        <v>134662.22999999899</v>
      </c>
      <c r="D7681" s="3">
        <v>-0.148149</v>
      </c>
      <c r="E7681" s="3">
        <v>-2.6315889508115302</v>
      </c>
      <c r="F7681" s="3">
        <v>-2.6315889508115302</v>
      </c>
      <c r="G7681" s="3">
        <v>5.4814916</v>
      </c>
      <c r="H7681" s="3">
        <v>52.752199520789503</v>
      </c>
      <c r="I7681" s="3">
        <v>5.5802589999999999</v>
      </c>
      <c r="J7681" s="3">
        <v>5.7284063999999999</v>
      </c>
      <c r="K7681" s="3">
        <v>5.4321099999999998</v>
      </c>
      <c r="L7681" s="3">
        <v>52.752199520789503</v>
      </c>
    </row>
    <row r="7682" spans="1:12" ht="15" customHeight="1" x14ac:dyDescent="0.2">
      <c r="A7682" s="2">
        <v>34905</v>
      </c>
      <c r="B7682" s="3">
        <v>5.6296406000000001</v>
      </c>
      <c r="C7682" s="1">
        <v>365511.8</v>
      </c>
      <c r="D7682" s="3">
        <v>-4.9382699999999703E-2</v>
      </c>
      <c r="E7682" s="3">
        <v>-0.86956325747069496</v>
      </c>
      <c r="F7682" s="3">
        <v>-0.86956325747069496</v>
      </c>
      <c r="G7682" s="3">
        <v>5.6296406000000001</v>
      </c>
      <c r="H7682" s="3">
        <v>56.8806534632904</v>
      </c>
      <c r="I7682" s="3">
        <v>5.7777900000000004</v>
      </c>
      <c r="J7682" s="3">
        <v>5.7777890000000003</v>
      </c>
      <c r="K7682" s="3">
        <v>5.5802584</v>
      </c>
      <c r="L7682" s="3">
        <v>56.8806534632904</v>
      </c>
    </row>
    <row r="7683" spans="1:12" ht="15" customHeight="1" x14ac:dyDescent="0.2">
      <c r="A7683" s="2">
        <v>34904</v>
      </c>
      <c r="B7683" s="3">
        <v>5.6790232999999999</v>
      </c>
      <c r="C7683" s="1">
        <v>316911.87</v>
      </c>
      <c r="D7683" s="3">
        <v>-2.4691100000000001E-2</v>
      </c>
      <c r="E7683" s="3">
        <v>-0.432895097272056</v>
      </c>
      <c r="F7683" s="3">
        <v>-0.432895097272056</v>
      </c>
      <c r="G7683" s="3">
        <v>5.6790232999999999</v>
      </c>
      <c r="H7683" s="3">
        <v>58.256796417386198</v>
      </c>
      <c r="I7683" s="3">
        <v>5.6790250000000002</v>
      </c>
      <c r="J7683" s="3">
        <v>5.7777890000000003</v>
      </c>
      <c r="K7683" s="3">
        <v>5.6790232999999999</v>
      </c>
      <c r="L7683" s="3">
        <v>58.256796417386198</v>
      </c>
    </row>
    <row r="7684" spans="1:12" ht="15" customHeight="1" x14ac:dyDescent="0.2">
      <c r="A7684" s="2">
        <v>34901</v>
      </c>
      <c r="B7684" s="3">
        <v>5.7037144</v>
      </c>
      <c r="C7684" s="1">
        <v>383736.82</v>
      </c>
      <c r="D7684" s="3">
        <v>-2.4691999999999902E-2</v>
      </c>
      <c r="E7684" s="3">
        <v>-0.43104483648366199</v>
      </c>
      <c r="F7684" s="3">
        <v>-0.43104483648366199</v>
      </c>
      <c r="G7684" s="3">
        <v>5.7037144</v>
      </c>
      <c r="H7684" s="3">
        <v>58.944860927708099</v>
      </c>
      <c r="I7684" s="3">
        <v>5.7777900000000004</v>
      </c>
      <c r="J7684" s="3">
        <v>5.8271712999999998</v>
      </c>
      <c r="K7684" s="3">
        <v>5.6790232999999999</v>
      </c>
      <c r="L7684" s="3">
        <v>58.944860927708099</v>
      </c>
    </row>
    <row r="7685" spans="1:12" ht="15" customHeight="1" x14ac:dyDescent="0.2">
      <c r="A7685" s="2">
        <v>34900</v>
      </c>
      <c r="B7685" s="3">
        <v>5.7284063999999999</v>
      </c>
      <c r="C7685" s="1">
        <v>532067.69999999995</v>
      </c>
      <c r="D7685" s="3">
        <v>2.4691999999999902E-2</v>
      </c>
      <c r="E7685" s="3">
        <v>0.432910876463243</v>
      </c>
      <c r="F7685" s="3">
        <v>0.432910876463243</v>
      </c>
      <c r="G7685" s="3">
        <v>5.7284063999999999</v>
      </c>
      <c r="H7685" s="3">
        <v>59.632950518243497</v>
      </c>
      <c r="I7685" s="3">
        <v>5.7777900000000004</v>
      </c>
      <c r="J7685" s="3">
        <v>5.7777890000000003</v>
      </c>
      <c r="K7685" s="3">
        <v>5.6790232999999999</v>
      </c>
      <c r="L7685" s="3">
        <v>59.632950518243497</v>
      </c>
    </row>
    <row r="7686" spans="1:12" ht="15" customHeight="1" x14ac:dyDescent="0.2">
      <c r="A7686" s="2">
        <v>34899</v>
      </c>
      <c r="B7686" s="3">
        <v>5.7037144</v>
      </c>
      <c r="C7686" s="1">
        <v>520930.24</v>
      </c>
      <c r="D7686" s="3">
        <v>-0.123456899999999</v>
      </c>
      <c r="E7686" s="3">
        <v>-2.1186420244759199</v>
      </c>
      <c r="F7686" s="3">
        <v>-2.1186420244759199</v>
      </c>
      <c r="G7686" s="3">
        <v>5.7037144</v>
      </c>
      <c r="H7686" s="3">
        <v>58.944860927708099</v>
      </c>
      <c r="I7686" s="3">
        <v>5.7777900000000004</v>
      </c>
      <c r="J7686" s="3">
        <v>5.7777890000000003</v>
      </c>
      <c r="K7686" s="3">
        <v>5.6790232999999999</v>
      </c>
      <c r="L7686" s="3">
        <v>58.944860927708099</v>
      </c>
    </row>
    <row r="7687" spans="1:12" ht="15" customHeight="1" x14ac:dyDescent="0.2">
      <c r="A7687" s="2">
        <v>34898</v>
      </c>
      <c r="B7687" s="3">
        <v>5.8271712999999998</v>
      </c>
      <c r="C7687" s="1">
        <v>416136.7</v>
      </c>
      <c r="D7687" s="3"/>
      <c r="E7687" s="3"/>
      <c r="F7687" s="3"/>
      <c r="G7687" s="3">
        <v>5.8271712999999998</v>
      </c>
      <c r="H7687" s="3">
        <v>62.385222492983203</v>
      </c>
      <c r="I7687" s="3">
        <v>5.6790250000000002</v>
      </c>
      <c r="J7687" s="3">
        <v>5.8271712999999998</v>
      </c>
      <c r="K7687" s="3">
        <v>5.6790232999999999</v>
      </c>
      <c r="L7687" s="3">
        <v>62.385222492983203</v>
      </c>
    </row>
    <row r="7688" spans="1:12" ht="15" customHeight="1" x14ac:dyDescent="0.2">
      <c r="A7688" s="2">
        <v>34897</v>
      </c>
      <c r="B7688" s="3">
        <v>5.8271712999999998</v>
      </c>
      <c r="C7688" s="1">
        <v>136687.24</v>
      </c>
      <c r="D7688" s="3">
        <v>2.4691299999999701E-2</v>
      </c>
      <c r="E7688" s="3">
        <v>0.42553011815637998</v>
      </c>
      <c r="F7688" s="3">
        <v>0.42553011815637998</v>
      </c>
      <c r="G7688" s="3">
        <v>5.8271712999999998</v>
      </c>
      <c r="H7688" s="3">
        <v>62.385222492983203</v>
      </c>
      <c r="I7688" s="3">
        <v>5.7777900000000004</v>
      </c>
      <c r="J7688" s="3">
        <v>5.8765539999999996</v>
      </c>
      <c r="K7688" s="3">
        <v>5.6790232999999999</v>
      </c>
      <c r="L7688" s="3">
        <v>62.385222492983203</v>
      </c>
    </row>
    <row r="7689" spans="1:12" ht="15" customHeight="1" x14ac:dyDescent="0.2">
      <c r="A7689" s="2">
        <v>34894</v>
      </c>
      <c r="B7689" s="3">
        <v>5.8024800000000001</v>
      </c>
      <c r="C7689" s="1">
        <v>375636.77999999898</v>
      </c>
      <c r="D7689" s="3"/>
      <c r="E7689" s="3"/>
      <c r="F7689" s="3"/>
      <c r="G7689" s="3">
        <v>5.8024800000000001</v>
      </c>
      <c r="H7689" s="3">
        <v>61.697152409280498</v>
      </c>
      <c r="I7689" s="3">
        <v>5.8271723</v>
      </c>
      <c r="J7689" s="3">
        <v>5.8765539999999996</v>
      </c>
      <c r="K7689" s="3">
        <v>5.6790232999999999</v>
      </c>
      <c r="L7689" s="3">
        <v>61.697152409280498</v>
      </c>
    </row>
    <row r="7690" spans="1:12" ht="15" customHeight="1" x14ac:dyDescent="0.2">
      <c r="A7690" s="2">
        <v>34893</v>
      </c>
      <c r="B7690" s="3">
        <v>5.8024800000000001</v>
      </c>
      <c r="C7690" s="1">
        <v>727986.14999999898</v>
      </c>
      <c r="D7690" s="3">
        <v>0.22222159999999999</v>
      </c>
      <c r="E7690" s="3">
        <v>3.9822815373567502</v>
      </c>
      <c r="F7690" s="3">
        <v>3.9822815373567502</v>
      </c>
      <c r="G7690" s="3">
        <v>5.8024800000000001</v>
      </c>
      <c r="H7690" s="3">
        <v>61.697152409280498</v>
      </c>
      <c r="I7690" s="3">
        <v>5.6790250000000002</v>
      </c>
      <c r="J7690" s="3">
        <v>5.9753194000000001</v>
      </c>
      <c r="K7690" s="3">
        <v>5.5802584</v>
      </c>
      <c r="L7690" s="3">
        <v>61.697152409280498</v>
      </c>
    </row>
    <row r="7691" spans="1:12" ht="15" customHeight="1" x14ac:dyDescent="0.2">
      <c r="A7691" s="2">
        <v>34892</v>
      </c>
      <c r="B7691" s="3">
        <v>5.5802584</v>
      </c>
      <c r="C7691" s="1">
        <v>242999.53</v>
      </c>
      <c r="D7691" s="3">
        <v>-4.9382200000000098E-2</v>
      </c>
      <c r="E7691" s="3">
        <v>-0.87718210643855599</v>
      </c>
      <c r="F7691" s="3">
        <v>-0.87718210643855599</v>
      </c>
      <c r="G7691" s="3">
        <v>5.5802584</v>
      </c>
      <c r="H7691" s="3">
        <v>55.504524442646499</v>
      </c>
      <c r="I7691" s="3">
        <v>5.5308757000000002</v>
      </c>
      <c r="J7691" s="3">
        <v>5.7037144</v>
      </c>
      <c r="K7691" s="3">
        <v>5.4814916</v>
      </c>
      <c r="L7691" s="3">
        <v>55.504524442646499</v>
      </c>
    </row>
    <row r="7692" spans="1:12" ht="15" customHeight="1" x14ac:dyDescent="0.2">
      <c r="A7692" s="2">
        <v>34891</v>
      </c>
      <c r="B7692" s="3">
        <v>5.6296406000000001</v>
      </c>
      <c r="C7692" s="1">
        <v>286536.96000000002</v>
      </c>
      <c r="D7692" s="3"/>
      <c r="E7692" s="3"/>
      <c r="F7692" s="3"/>
      <c r="G7692" s="3">
        <v>5.6296406000000001</v>
      </c>
      <c r="H7692" s="3">
        <v>56.8806534632904</v>
      </c>
      <c r="I7692" s="3">
        <v>5.5308757000000002</v>
      </c>
      <c r="J7692" s="3">
        <v>5.6296406000000001</v>
      </c>
      <c r="K7692" s="3">
        <v>5.5308757000000002</v>
      </c>
      <c r="L7692" s="3">
        <v>56.8806534632904</v>
      </c>
    </row>
    <row r="7693" spans="1:12" ht="15" customHeight="1" x14ac:dyDescent="0.2">
      <c r="A7693" s="2">
        <v>34890</v>
      </c>
      <c r="B7693" s="3">
        <v>5.6296406000000001</v>
      </c>
      <c r="C7693" s="1">
        <v>520423.95</v>
      </c>
      <c r="D7693" s="3">
        <v>2.4691599999999699E-2</v>
      </c>
      <c r="E7693" s="3">
        <v>0.44053210832069001</v>
      </c>
      <c r="F7693" s="3">
        <v>0.44053210832069001</v>
      </c>
      <c r="G7693" s="3">
        <v>5.6296406000000001</v>
      </c>
      <c r="H7693" s="3">
        <v>56.8806534632904</v>
      </c>
      <c r="I7693" s="3">
        <v>5.6296415</v>
      </c>
      <c r="J7693" s="3">
        <v>5.6296406000000001</v>
      </c>
      <c r="K7693" s="3">
        <v>5.506183</v>
      </c>
      <c r="L7693" s="3">
        <v>56.8806534632904</v>
      </c>
    </row>
    <row r="7694" spans="1:12" ht="15" customHeight="1" x14ac:dyDescent="0.2">
      <c r="A7694" s="2">
        <v>34887</v>
      </c>
      <c r="B7694" s="3">
        <v>5.6049490000000004</v>
      </c>
      <c r="C7694" s="1">
        <v>658123.799999999</v>
      </c>
      <c r="D7694" s="3"/>
      <c r="E7694" s="3"/>
      <c r="F7694" s="3"/>
      <c r="G7694" s="3">
        <v>5.6049490000000004</v>
      </c>
      <c r="H7694" s="3">
        <v>56.192575019516497</v>
      </c>
      <c r="I7694" s="3">
        <v>5.6790250000000002</v>
      </c>
      <c r="J7694" s="3">
        <v>5.6790232999999999</v>
      </c>
      <c r="K7694" s="3">
        <v>5.5308757000000002</v>
      </c>
      <c r="L7694" s="3">
        <v>56.192575019516497</v>
      </c>
    </row>
    <row r="7695" spans="1:12" ht="15" customHeight="1" x14ac:dyDescent="0.2">
      <c r="A7695" s="2">
        <v>34886</v>
      </c>
      <c r="B7695" s="3">
        <v>5.6049490000000004</v>
      </c>
      <c r="C7695" s="1">
        <v>1406866.0999999901</v>
      </c>
      <c r="D7695" s="3">
        <v>2.4690600000000399E-2</v>
      </c>
      <c r="E7695" s="3">
        <v>0.44246338126565599</v>
      </c>
      <c r="F7695" s="3">
        <v>0.44246338126565599</v>
      </c>
      <c r="G7695" s="3">
        <v>5.6049490000000004</v>
      </c>
      <c r="H7695" s="3">
        <v>56.192575019516497</v>
      </c>
      <c r="I7695" s="3">
        <v>5.5802589999999999</v>
      </c>
      <c r="J7695" s="3">
        <v>5.6790232999999999</v>
      </c>
      <c r="K7695" s="3">
        <v>5.4814916</v>
      </c>
      <c r="L7695" s="3">
        <v>56.192575019516497</v>
      </c>
    </row>
    <row r="7696" spans="1:12" ht="15" customHeight="1" x14ac:dyDescent="0.2">
      <c r="A7696" s="2">
        <v>34885</v>
      </c>
      <c r="B7696" s="3">
        <v>5.5802584</v>
      </c>
      <c r="C7696" s="1">
        <v>1848315.3</v>
      </c>
      <c r="D7696" s="3">
        <v>0.39506339999999901</v>
      </c>
      <c r="E7696" s="3">
        <v>7.6190654353404099</v>
      </c>
      <c r="F7696" s="3">
        <v>7.6190654353404099</v>
      </c>
      <c r="G7696" s="3">
        <v>5.5802584</v>
      </c>
      <c r="H7696" s="3">
        <v>55.504524442646499</v>
      </c>
      <c r="I7696" s="3">
        <v>5.1851963999999997</v>
      </c>
      <c r="J7696" s="3">
        <v>5.8271712999999998</v>
      </c>
      <c r="K7696" s="3">
        <v>5.0864285999999996</v>
      </c>
      <c r="L7696" s="3">
        <v>55.504524442646499</v>
      </c>
    </row>
    <row r="7697" spans="1:12" ht="15" customHeight="1" x14ac:dyDescent="0.2">
      <c r="A7697" s="2">
        <v>34883</v>
      </c>
      <c r="B7697" s="3">
        <v>5.1851950000000002</v>
      </c>
      <c r="C7697" s="1">
        <v>66318.62</v>
      </c>
      <c r="D7697" s="3">
        <v>9.8766400000000504E-2</v>
      </c>
      <c r="E7697" s="3">
        <v>1.94176322459338</v>
      </c>
      <c r="F7697" s="3">
        <v>1.94176322459338</v>
      </c>
      <c r="G7697" s="3">
        <v>5.1851950000000002</v>
      </c>
      <c r="H7697" s="3">
        <v>44.495330649453201</v>
      </c>
      <c r="I7697" s="3">
        <v>5.08643</v>
      </c>
      <c r="J7697" s="3">
        <v>5.1851950000000002</v>
      </c>
      <c r="K7697" s="3">
        <v>5.0864285999999996</v>
      </c>
      <c r="L7697" s="3">
        <v>44.495330649453201</v>
      </c>
    </row>
    <row r="7698" spans="1:12" ht="15" customHeight="1" x14ac:dyDescent="0.2">
      <c r="A7698" s="2">
        <v>34880</v>
      </c>
      <c r="B7698" s="3">
        <v>5.0864285999999996</v>
      </c>
      <c r="C7698" s="1">
        <v>558392.69999999995</v>
      </c>
      <c r="D7698" s="3">
        <v>4.9382199999999203E-2</v>
      </c>
      <c r="E7698" s="3">
        <v>0.980380089411103</v>
      </c>
      <c r="F7698" s="3">
        <v>0.980380089411103</v>
      </c>
      <c r="G7698" s="3">
        <v>5.0864285999999996</v>
      </c>
      <c r="H7698" s="3">
        <v>41.7430168743577</v>
      </c>
      <c r="I7698" s="3">
        <v>5.1358128000000001</v>
      </c>
      <c r="J7698" s="3">
        <v>5.234578</v>
      </c>
      <c r="K7698" s="3">
        <v>5.0864285999999996</v>
      </c>
      <c r="L7698" s="3">
        <v>41.7430168743577</v>
      </c>
    </row>
    <row r="7699" spans="1:12" ht="15" customHeight="1" x14ac:dyDescent="0.2">
      <c r="A7699" s="2">
        <v>34879</v>
      </c>
      <c r="B7699" s="3">
        <v>5.0370464000000004</v>
      </c>
      <c r="C7699" s="1">
        <v>307293.12</v>
      </c>
      <c r="D7699" s="3">
        <v>9.8765400000000406E-2</v>
      </c>
      <c r="E7699" s="3">
        <v>1.9999955450084901</v>
      </c>
      <c r="F7699" s="3">
        <v>1.9999955450084901</v>
      </c>
      <c r="G7699" s="3">
        <v>5.0370464000000004</v>
      </c>
      <c r="H7699" s="3">
        <v>40.366887853713898</v>
      </c>
      <c r="I7699" s="3">
        <v>4.8888999999999996</v>
      </c>
      <c r="J7699" s="3">
        <v>5.1358113000000003</v>
      </c>
      <c r="K7699" s="3">
        <v>4.8888984000000004</v>
      </c>
      <c r="L7699" s="3">
        <v>40.366887853713898</v>
      </c>
    </row>
    <row r="7700" spans="1:12" ht="15" customHeight="1" x14ac:dyDescent="0.2">
      <c r="A7700" s="2">
        <v>34878</v>
      </c>
      <c r="B7700" s="3">
        <v>4.9382809999999999</v>
      </c>
      <c r="C7700" s="1">
        <v>284005.7</v>
      </c>
      <c r="D7700" s="3"/>
      <c r="E7700" s="3"/>
      <c r="F7700" s="3"/>
      <c r="G7700" s="3">
        <v>4.9382809999999999</v>
      </c>
      <c r="H7700" s="3">
        <v>37.614601945522303</v>
      </c>
      <c r="I7700" s="3">
        <v>4.9135904000000004</v>
      </c>
      <c r="J7700" s="3">
        <v>4.9382809999999999</v>
      </c>
      <c r="K7700" s="3">
        <v>4.8888984000000004</v>
      </c>
      <c r="L7700" s="3">
        <v>37.614601945522303</v>
      </c>
    </row>
    <row r="7701" spans="1:12" ht="15" customHeight="1" x14ac:dyDescent="0.2">
      <c r="A7701" s="2">
        <v>34877</v>
      </c>
      <c r="B7701" s="3">
        <v>4.9382809999999999</v>
      </c>
      <c r="C7701" s="1">
        <v>76443.596000000005</v>
      </c>
      <c r="D7701" s="3"/>
      <c r="E7701" s="3"/>
      <c r="F7701" s="3"/>
      <c r="G7701" s="3">
        <v>4.9382809999999999</v>
      </c>
      <c r="H7701" s="3">
        <v>37.614601945522303</v>
      </c>
      <c r="I7701" s="3">
        <v>4.9876646999999998</v>
      </c>
      <c r="J7701" s="3">
        <v>4.9876636999999997</v>
      </c>
      <c r="K7701" s="3">
        <v>4.8888984000000004</v>
      </c>
      <c r="L7701" s="3">
        <v>37.614601945522303</v>
      </c>
    </row>
    <row r="7702" spans="1:12" ht="15" customHeight="1" x14ac:dyDescent="0.2">
      <c r="A7702" s="2">
        <v>34876</v>
      </c>
      <c r="B7702" s="3">
        <v>4.9382809999999999</v>
      </c>
      <c r="C7702" s="1">
        <v>101756.065</v>
      </c>
      <c r="D7702" s="3">
        <v>-9.8765400000000406E-2</v>
      </c>
      <c r="E7702" s="3">
        <v>-1.96078003172653</v>
      </c>
      <c r="F7702" s="3">
        <v>-1.96078003172653</v>
      </c>
      <c r="G7702" s="3">
        <v>4.9382809999999999</v>
      </c>
      <c r="H7702" s="3">
        <v>37.614601945522303</v>
      </c>
      <c r="I7702" s="3">
        <v>5.0370473999999996</v>
      </c>
      <c r="J7702" s="3">
        <v>5.0370464000000004</v>
      </c>
      <c r="K7702" s="3">
        <v>4.8888984000000004</v>
      </c>
      <c r="L7702" s="3">
        <v>37.614601945522303</v>
      </c>
    </row>
    <row r="7703" spans="1:12" ht="15" customHeight="1" x14ac:dyDescent="0.2">
      <c r="A7703" s="2">
        <v>34873</v>
      </c>
      <c r="B7703" s="3">
        <v>5.0370464000000004</v>
      </c>
      <c r="C7703" s="1">
        <v>101249.81</v>
      </c>
      <c r="D7703" s="3"/>
      <c r="E7703" s="3"/>
      <c r="F7703" s="3"/>
      <c r="G7703" s="3">
        <v>5.0370464000000004</v>
      </c>
      <c r="H7703" s="3">
        <v>40.366887853713898</v>
      </c>
      <c r="I7703" s="3">
        <v>4.9382809999999999</v>
      </c>
      <c r="J7703" s="3">
        <v>5.0370464000000004</v>
      </c>
      <c r="K7703" s="3">
        <v>4.9382809999999999</v>
      </c>
      <c r="L7703" s="3">
        <v>40.366887853713898</v>
      </c>
    </row>
    <row r="7704" spans="1:12" ht="15" customHeight="1" x14ac:dyDescent="0.2">
      <c r="A7704" s="2">
        <v>34872</v>
      </c>
      <c r="B7704" s="3">
        <v>5.0370464000000004</v>
      </c>
      <c r="C7704" s="1">
        <v>526498.96</v>
      </c>
      <c r="D7704" s="3">
        <v>4.9382700000000598E-2</v>
      </c>
      <c r="E7704" s="3">
        <v>0.99009682629564999</v>
      </c>
      <c r="F7704" s="3">
        <v>0.99009682629564999</v>
      </c>
      <c r="G7704" s="3">
        <v>5.0370464000000004</v>
      </c>
      <c r="H7704" s="3">
        <v>40.366887853713898</v>
      </c>
      <c r="I7704" s="3">
        <v>4.9876646999999998</v>
      </c>
      <c r="J7704" s="3">
        <v>5.0370464000000004</v>
      </c>
      <c r="K7704" s="3">
        <v>4.8888984000000004</v>
      </c>
      <c r="L7704" s="3">
        <v>40.366887853713898</v>
      </c>
    </row>
    <row r="7705" spans="1:12" ht="15" customHeight="1" x14ac:dyDescent="0.2">
      <c r="A7705" s="2">
        <v>34871</v>
      </c>
      <c r="B7705" s="3">
        <v>4.9876636999999997</v>
      </c>
      <c r="C7705" s="1">
        <v>157949.69</v>
      </c>
      <c r="D7705" s="3">
        <v>2.4691100000000001E-2</v>
      </c>
      <c r="E7705" s="3">
        <v>0.497506272752756</v>
      </c>
      <c r="F7705" s="3">
        <v>0.497506272752756</v>
      </c>
      <c r="G7705" s="3">
        <v>4.9876636999999997</v>
      </c>
      <c r="H7705" s="3">
        <v>38.9907448996181</v>
      </c>
      <c r="I7705" s="3">
        <v>4.9382809999999999</v>
      </c>
      <c r="J7705" s="3">
        <v>5.0370464000000004</v>
      </c>
      <c r="K7705" s="3">
        <v>4.8888984000000004</v>
      </c>
      <c r="L7705" s="3">
        <v>38.9907448996181</v>
      </c>
    </row>
    <row r="7706" spans="1:12" ht="15" customHeight="1" x14ac:dyDescent="0.2">
      <c r="A7706" s="2">
        <v>34870</v>
      </c>
      <c r="B7706" s="3">
        <v>4.9629725999999996</v>
      </c>
      <c r="C7706" s="1">
        <v>902641.97</v>
      </c>
      <c r="D7706" s="3">
        <v>-0.24691399999999999</v>
      </c>
      <c r="E7706" s="3">
        <v>-4.7393354012734203</v>
      </c>
      <c r="F7706" s="3">
        <v>-4.7393354012734203</v>
      </c>
      <c r="G7706" s="3">
        <v>4.9629725999999996</v>
      </c>
      <c r="H7706" s="3">
        <v>38.3026803892961</v>
      </c>
      <c r="I7706" s="3">
        <v>5.2839612999999996</v>
      </c>
      <c r="J7706" s="3">
        <v>5.2839612999999996</v>
      </c>
      <c r="K7706" s="3">
        <v>4.9382809999999999</v>
      </c>
      <c r="L7706" s="3">
        <v>38.3026803892961</v>
      </c>
    </row>
    <row r="7707" spans="1:12" ht="15" customHeight="1" x14ac:dyDescent="0.2">
      <c r="A7707" s="2">
        <v>34869</v>
      </c>
      <c r="B7707" s="3">
        <v>5.2098865999999999</v>
      </c>
      <c r="C7707" s="1">
        <v>1231197.5</v>
      </c>
      <c r="D7707" s="3">
        <v>0.172840199999999</v>
      </c>
      <c r="E7707" s="3">
        <v>3.4313799451996099</v>
      </c>
      <c r="F7707" s="3">
        <v>3.4313799451996099</v>
      </c>
      <c r="G7707" s="3">
        <v>5.2098865999999999</v>
      </c>
      <c r="H7707" s="3">
        <v>45.183409093227098</v>
      </c>
      <c r="I7707" s="3">
        <v>5.0370473999999996</v>
      </c>
      <c r="J7707" s="3">
        <v>5.2839612999999996</v>
      </c>
      <c r="K7707" s="3">
        <v>5.0370464000000004</v>
      </c>
      <c r="L7707" s="3">
        <v>45.183409093227098</v>
      </c>
    </row>
    <row r="7708" spans="1:12" ht="15" customHeight="1" x14ac:dyDescent="0.2">
      <c r="A7708" s="2">
        <v>34866</v>
      </c>
      <c r="B7708" s="3">
        <v>5.0370464000000004</v>
      </c>
      <c r="C7708" s="1">
        <v>150355.97</v>
      </c>
      <c r="D7708" s="3">
        <v>9.8765400000000406E-2</v>
      </c>
      <c r="E7708" s="3">
        <v>1.9999955450084901</v>
      </c>
      <c r="F7708" s="3">
        <v>1.9999955450084901</v>
      </c>
      <c r="G7708" s="3">
        <v>5.0370464000000004</v>
      </c>
      <c r="H7708" s="3">
        <v>40.366887853713898</v>
      </c>
      <c r="I7708" s="3">
        <v>4.9876646999999998</v>
      </c>
      <c r="J7708" s="3">
        <v>5.0370464000000004</v>
      </c>
      <c r="K7708" s="3">
        <v>4.8888984000000004</v>
      </c>
      <c r="L7708" s="3">
        <v>40.366887853713898</v>
      </c>
    </row>
    <row r="7709" spans="1:12" ht="15" customHeight="1" x14ac:dyDescent="0.2">
      <c r="A7709" s="2">
        <v>34865</v>
      </c>
      <c r="B7709" s="3">
        <v>4.9382809999999999</v>
      </c>
      <c r="C7709" s="1">
        <v>228824.57</v>
      </c>
      <c r="D7709" s="3">
        <v>-9.8765400000000406E-2</v>
      </c>
      <c r="E7709" s="3">
        <v>-1.96078003172653</v>
      </c>
      <c r="F7709" s="3">
        <v>-1.96078003172653</v>
      </c>
      <c r="G7709" s="3">
        <v>4.9382809999999999</v>
      </c>
      <c r="H7709" s="3">
        <v>37.614601945522303</v>
      </c>
      <c r="I7709" s="3">
        <v>5.08643</v>
      </c>
      <c r="J7709" s="3">
        <v>5.0864285999999996</v>
      </c>
      <c r="K7709" s="3">
        <v>4.9382809999999999</v>
      </c>
      <c r="L7709" s="3">
        <v>37.614601945522303</v>
      </c>
    </row>
    <row r="7710" spans="1:12" ht="15" customHeight="1" x14ac:dyDescent="0.2">
      <c r="A7710" s="2">
        <v>34864</v>
      </c>
      <c r="B7710" s="3">
        <v>5.0370464000000004</v>
      </c>
      <c r="C7710" s="1">
        <v>292105.7</v>
      </c>
      <c r="D7710" s="3">
        <v>-4.9382199999999203E-2</v>
      </c>
      <c r="E7710" s="3">
        <v>-0.97086195213669202</v>
      </c>
      <c r="F7710" s="3">
        <v>-0.97086195213669202</v>
      </c>
      <c r="G7710" s="3">
        <v>5.0370464000000004</v>
      </c>
      <c r="H7710" s="3">
        <v>40.366887853713898</v>
      </c>
      <c r="I7710" s="3">
        <v>4.9876646999999998</v>
      </c>
      <c r="J7710" s="3">
        <v>5.0864285999999996</v>
      </c>
      <c r="K7710" s="3">
        <v>4.9876636999999997</v>
      </c>
      <c r="L7710" s="3">
        <v>40.366887853713898</v>
      </c>
    </row>
    <row r="7711" spans="1:12" ht="15" customHeight="1" x14ac:dyDescent="0.2">
      <c r="A7711" s="2">
        <v>34863</v>
      </c>
      <c r="B7711" s="3">
        <v>5.0864285999999996</v>
      </c>
      <c r="C7711" s="1">
        <v>537130.19999999995</v>
      </c>
      <c r="D7711" s="3">
        <v>9.8764899999999906E-2</v>
      </c>
      <c r="E7711" s="3">
        <v>1.9801836278576499</v>
      </c>
      <c r="F7711" s="3">
        <v>1.9801836278576499</v>
      </c>
      <c r="G7711" s="3">
        <v>5.0864285999999996</v>
      </c>
      <c r="H7711" s="3">
        <v>41.7430168743577</v>
      </c>
      <c r="I7711" s="3">
        <v>4.9876646999999998</v>
      </c>
      <c r="J7711" s="3">
        <v>5.1358113000000003</v>
      </c>
      <c r="K7711" s="3">
        <v>4.8888984000000004</v>
      </c>
      <c r="L7711" s="3">
        <v>41.7430168743577</v>
      </c>
    </row>
    <row r="7712" spans="1:12" ht="15" customHeight="1" x14ac:dyDescent="0.2">
      <c r="A7712" s="2">
        <v>34862</v>
      </c>
      <c r="B7712" s="3">
        <v>4.9876636999999997</v>
      </c>
      <c r="C7712" s="1">
        <v>259705.75</v>
      </c>
      <c r="D7712" s="3">
        <v>9.8765299999999195E-2</v>
      </c>
      <c r="E7712" s="3">
        <v>2.0201953879835002</v>
      </c>
      <c r="F7712" s="3">
        <v>2.0201953879835002</v>
      </c>
      <c r="G7712" s="3">
        <v>4.9876636999999997</v>
      </c>
      <c r="H7712" s="3">
        <v>38.9907448996181</v>
      </c>
      <c r="I7712" s="3">
        <v>5.0370473999999996</v>
      </c>
      <c r="J7712" s="3">
        <v>5.0370464000000004</v>
      </c>
      <c r="K7712" s="3">
        <v>4.8395159999999997</v>
      </c>
      <c r="L7712" s="3">
        <v>38.9907448996181</v>
      </c>
    </row>
    <row r="7713" spans="1:12" ht="15" customHeight="1" x14ac:dyDescent="0.2">
      <c r="A7713" s="2">
        <v>34859</v>
      </c>
      <c r="B7713" s="3">
        <v>4.8888984000000004</v>
      </c>
      <c r="C7713" s="1">
        <v>80493.59</v>
      </c>
      <c r="D7713" s="3">
        <v>-9.8765299999999195E-2</v>
      </c>
      <c r="E7713" s="3">
        <v>-1.98019164764455</v>
      </c>
      <c r="F7713" s="3">
        <v>-1.98019164764455</v>
      </c>
      <c r="G7713" s="3">
        <v>4.8888984000000004</v>
      </c>
      <c r="H7713" s="3">
        <v>36.2384617781169</v>
      </c>
      <c r="I7713" s="3">
        <v>5.0370473999999996</v>
      </c>
      <c r="J7713" s="3">
        <v>5.0370464000000004</v>
      </c>
      <c r="K7713" s="3">
        <v>4.8888984000000004</v>
      </c>
      <c r="L7713" s="3">
        <v>36.2384617781169</v>
      </c>
    </row>
    <row r="7714" spans="1:12" ht="15" customHeight="1" x14ac:dyDescent="0.2">
      <c r="A7714" s="2">
        <v>34858</v>
      </c>
      <c r="B7714" s="3">
        <v>4.9876636999999997</v>
      </c>
      <c r="C7714" s="1">
        <v>458661.62</v>
      </c>
      <c r="D7714" s="3">
        <v>2.4691100000000001E-2</v>
      </c>
      <c r="E7714" s="3">
        <v>0.497506272752756</v>
      </c>
      <c r="F7714" s="3">
        <v>0.497506272752756</v>
      </c>
      <c r="G7714" s="3">
        <v>4.9876636999999997</v>
      </c>
      <c r="H7714" s="3">
        <v>38.9907448996181</v>
      </c>
      <c r="I7714" s="3">
        <v>5.0370473999999996</v>
      </c>
      <c r="J7714" s="3">
        <v>5.0370464000000004</v>
      </c>
      <c r="K7714" s="3">
        <v>4.8888984000000004</v>
      </c>
      <c r="L7714" s="3">
        <v>38.9907448996181</v>
      </c>
    </row>
    <row r="7715" spans="1:12" ht="15" customHeight="1" x14ac:dyDescent="0.2">
      <c r="A7715" s="2">
        <v>34857</v>
      </c>
      <c r="B7715" s="3">
        <v>4.9629725999999996</v>
      </c>
      <c r="C7715" s="1">
        <v>144280.99</v>
      </c>
      <c r="D7715" s="3">
        <v>-4.9383399999999897E-2</v>
      </c>
      <c r="E7715" s="3">
        <v>-0.98523329149007299</v>
      </c>
      <c r="F7715" s="3">
        <v>-0.98523329149007299</v>
      </c>
      <c r="G7715" s="3">
        <v>4.9629725999999996</v>
      </c>
      <c r="H7715" s="3">
        <v>38.3026803892961</v>
      </c>
      <c r="I7715" s="3">
        <v>4.9876646999999998</v>
      </c>
      <c r="J7715" s="3">
        <v>5.0864285999999996</v>
      </c>
      <c r="K7715" s="3">
        <v>4.8888984000000004</v>
      </c>
      <c r="L7715" s="3">
        <v>38.3026803892961</v>
      </c>
    </row>
    <row r="7716" spans="1:12" ht="15" customHeight="1" x14ac:dyDescent="0.2">
      <c r="A7716" s="2">
        <v>34856</v>
      </c>
      <c r="B7716" s="3">
        <v>5.0123559999999996</v>
      </c>
      <c r="C7716" s="1">
        <v>284005.7</v>
      </c>
      <c r="D7716" s="3">
        <v>-2.4690400000000699E-2</v>
      </c>
      <c r="E7716" s="3">
        <v>-0.490176147672583</v>
      </c>
      <c r="F7716" s="3">
        <v>-0.490176147672583</v>
      </c>
      <c r="G7716" s="3">
        <v>5.0123559999999996</v>
      </c>
      <c r="H7716" s="3">
        <v>39.678842850224598</v>
      </c>
      <c r="I7716" s="3">
        <v>5.0617380000000001</v>
      </c>
      <c r="J7716" s="3">
        <v>5.0864285999999996</v>
      </c>
      <c r="K7716" s="3">
        <v>4.9876636999999997</v>
      </c>
      <c r="L7716" s="3">
        <v>39.678842850224598</v>
      </c>
    </row>
    <row r="7717" spans="1:12" ht="15" customHeight="1" x14ac:dyDescent="0.2">
      <c r="A7717" s="2">
        <v>34855</v>
      </c>
      <c r="B7717" s="3">
        <v>5.0370464000000004</v>
      </c>
      <c r="C7717" s="1">
        <v>669767.5</v>
      </c>
      <c r="D7717" s="3">
        <v>0.19753039999999999</v>
      </c>
      <c r="E7717" s="3">
        <v>4.0816147730475496</v>
      </c>
      <c r="F7717" s="3">
        <v>4.0816147730475496</v>
      </c>
      <c r="G7717" s="3">
        <v>5.0370464000000004</v>
      </c>
      <c r="H7717" s="3">
        <v>40.366887853713898</v>
      </c>
      <c r="I7717" s="3">
        <v>4.8395159999999997</v>
      </c>
      <c r="J7717" s="3">
        <v>5.1851950000000002</v>
      </c>
      <c r="K7717" s="3">
        <v>4.8395159999999997</v>
      </c>
      <c r="L7717" s="3">
        <v>40.366887853713898</v>
      </c>
    </row>
    <row r="7718" spans="1:12" ht="15" customHeight="1" x14ac:dyDescent="0.2">
      <c r="A7718" s="2">
        <v>34852</v>
      </c>
      <c r="B7718" s="3">
        <v>4.8395159999999997</v>
      </c>
      <c r="C7718" s="1">
        <v>115424.78</v>
      </c>
      <c r="D7718" s="3">
        <v>-9.87650000000002E-2</v>
      </c>
      <c r="E7718" s="3">
        <v>-1.9999874450238799</v>
      </c>
      <c r="F7718" s="3">
        <v>-1.9999874450238799</v>
      </c>
      <c r="G7718" s="3">
        <v>4.8395159999999997</v>
      </c>
      <c r="H7718" s="3">
        <v>34.862327184092202</v>
      </c>
      <c r="I7718" s="3">
        <v>4.8395159999999997</v>
      </c>
      <c r="J7718" s="3">
        <v>4.9382809999999999</v>
      </c>
      <c r="K7718" s="3">
        <v>4.8395159999999997</v>
      </c>
      <c r="L7718" s="3">
        <v>34.862327184092202</v>
      </c>
    </row>
    <row r="7719" spans="1:12" ht="15" customHeight="1" x14ac:dyDescent="0.2">
      <c r="A7719" s="2">
        <v>34851</v>
      </c>
      <c r="B7719" s="3">
        <v>4.9382809999999999</v>
      </c>
      <c r="C7719" s="1">
        <v>265780.73</v>
      </c>
      <c r="D7719" s="3">
        <v>2.4690999999999699E-2</v>
      </c>
      <c r="E7719" s="3">
        <v>0.50250427894877803</v>
      </c>
      <c r="F7719" s="3">
        <v>0.50250427894877803</v>
      </c>
      <c r="G7719" s="3">
        <v>4.9382809999999999</v>
      </c>
      <c r="H7719" s="3">
        <v>37.614601945522303</v>
      </c>
      <c r="I7719" s="3">
        <v>4.9382809999999999</v>
      </c>
      <c r="J7719" s="3">
        <v>4.9876636999999997</v>
      </c>
      <c r="K7719" s="3">
        <v>4.8395159999999997</v>
      </c>
      <c r="L7719" s="3">
        <v>37.614601945522303</v>
      </c>
    </row>
    <row r="7720" spans="1:12" ht="15" customHeight="1" x14ac:dyDescent="0.2">
      <c r="A7720" s="2">
        <v>34850</v>
      </c>
      <c r="B7720" s="3">
        <v>4.9135900000000001</v>
      </c>
      <c r="C7720" s="1">
        <v>388799.22</v>
      </c>
      <c r="D7720" s="3">
        <v>9.8766399999999699E-2</v>
      </c>
      <c r="E7720" s="3">
        <v>2.0512984110154999</v>
      </c>
      <c r="F7720" s="3">
        <v>2.0512984110154999</v>
      </c>
      <c r="G7720" s="3">
        <v>4.9135900000000001</v>
      </c>
      <c r="H7720" s="3">
        <v>36.926540221890697</v>
      </c>
      <c r="I7720" s="3">
        <v>4.9382809999999999</v>
      </c>
      <c r="J7720" s="3">
        <v>4.9876636999999997</v>
      </c>
      <c r="K7720" s="3">
        <v>4.8395159999999997</v>
      </c>
      <c r="L7720" s="3">
        <v>36.926540221890697</v>
      </c>
    </row>
    <row r="7721" spans="1:12" ht="15" customHeight="1" x14ac:dyDescent="0.2">
      <c r="A7721" s="2">
        <v>34849</v>
      </c>
      <c r="B7721" s="3">
        <v>4.8148236000000004</v>
      </c>
      <c r="C7721" s="1">
        <v>352855.6</v>
      </c>
      <c r="D7721" s="3">
        <v>-0.197532399999999</v>
      </c>
      <c r="E7721" s="3">
        <v>-3.9409092251228501</v>
      </c>
      <c r="F7721" s="3">
        <v>-3.9409092251228501</v>
      </c>
      <c r="G7721" s="3">
        <v>4.8148236000000004</v>
      </c>
      <c r="H7721" s="3">
        <v>34.174226446795302</v>
      </c>
      <c r="I7721" s="3">
        <v>5.0370473999999996</v>
      </c>
      <c r="J7721" s="3">
        <v>5.0370464000000004</v>
      </c>
      <c r="K7721" s="3">
        <v>4.790133</v>
      </c>
      <c r="L7721" s="3">
        <v>34.174226446795302</v>
      </c>
    </row>
    <row r="7722" spans="1:12" ht="15" customHeight="1" x14ac:dyDescent="0.2">
      <c r="A7722" s="2">
        <v>34845</v>
      </c>
      <c r="B7722" s="3">
        <v>5.0123559999999996</v>
      </c>
      <c r="C7722" s="1">
        <v>237937.06</v>
      </c>
      <c r="D7722" s="3">
        <v>2.4692299999999799E-2</v>
      </c>
      <c r="E7722" s="3">
        <v>0.495067460141696</v>
      </c>
      <c r="F7722" s="3">
        <v>0.495067460141696</v>
      </c>
      <c r="G7722" s="3">
        <v>5.0123559999999996</v>
      </c>
      <c r="H7722" s="3">
        <v>39.678842850224598</v>
      </c>
      <c r="I7722" s="3">
        <v>4.9876646999999998</v>
      </c>
      <c r="J7722" s="3">
        <v>5.0864285999999996</v>
      </c>
      <c r="K7722" s="3">
        <v>4.9876636999999997</v>
      </c>
      <c r="L7722" s="3">
        <v>39.678842850224598</v>
      </c>
    </row>
    <row r="7723" spans="1:12" ht="15" customHeight="1" x14ac:dyDescent="0.2">
      <c r="A7723" s="2">
        <v>34844</v>
      </c>
      <c r="B7723" s="3">
        <v>4.9876636999999997</v>
      </c>
      <c r="C7723" s="1">
        <v>376143.04</v>
      </c>
      <c r="D7723" s="3">
        <v>-9.8764899999999906E-2</v>
      </c>
      <c r="E7723" s="3">
        <v>-1.94173373435341</v>
      </c>
      <c r="F7723" s="3">
        <v>-1.94173373435341</v>
      </c>
      <c r="G7723" s="3">
        <v>4.9876636999999997</v>
      </c>
      <c r="H7723" s="3">
        <v>38.9907448996181</v>
      </c>
      <c r="I7723" s="3">
        <v>5.1358128000000001</v>
      </c>
      <c r="J7723" s="3">
        <v>5.1358113000000003</v>
      </c>
      <c r="K7723" s="3">
        <v>4.9876636999999997</v>
      </c>
      <c r="L7723" s="3">
        <v>38.9907448996181</v>
      </c>
    </row>
    <row r="7724" spans="1:12" ht="15" customHeight="1" x14ac:dyDescent="0.2">
      <c r="A7724" s="2">
        <v>34843</v>
      </c>
      <c r="B7724" s="3">
        <v>5.0864285999999996</v>
      </c>
      <c r="C7724" s="1">
        <v>1484322.1</v>
      </c>
      <c r="D7724" s="3">
        <v>0.14814759999999899</v>
      </c>
      <c r="E7724" s="3">
        <v>2.99998319253196</v>
      </c>
      <c r="F7724" s="3">
        <v>2.99998319253196</v>
      </c>
      <c r="G7724" s="3">
        <v>5.0864285999999996</v>
      </c>
      <c r="H7724" s="3">
        <v>41.7430168743577</v>
      </c>
      <c r="I7724" s="3">
        <v>4.9876646999999998</v>
      </c>
      <c r="J7724" s="3">
        <v>5.1851950000000002</v>
      </c>
      <c r="K7724" s="3">
        <v>4.8888984000000004</v>
      </c>
      <c r="L7724" s="3">
        <v>41.7430168743577</v>
      </c>
    </row>
    <row r="7725" spans="1:12" ht="15" customHeight="1" x14ac:dyDescent="0.2">
      <c r="A7725" s="2">
        <v>34842</v>
      </c>
      <c r="B7725" s="3">
        <v>4.9382809999999999</v>
      </c>
      <c r="C7725" s="1">
        <v>394874.18</v>
      </c>
      <c r="D7725" s="3">
        <v>4.9382599999999499E-2</v>
      </c>
      <c r="E7725" s="3">
        <v>1.0100966712664501</v>
      </c>
      <c r="F7725" s="3">
        <v>1.0100966712664501</v>
      </c>
      <c r="G7725" s="3">
        <v>4.9382809999999999</v>
      </c>
      <c r="H7725" s="3">
        <v>37.614601945522303</v>
      </c>
      <c r="I7725" s="3">
        <v>5.0370473999999996</v>
      </c>
      <c r="J7725" s="3">
        <v>5.0370464000000004</v>
      </c>
      <c r="K7725" s="3">
        <v>4.8395159999999997</v>
      </c>
      <c r="L7725" s="3">
        <v>37.614601945522303</v>
      </c>
    </row>
    <row r="7726" spans="1:12" ht="15" customHeight="1" x14ac:dyDescent="0.2">
      <c r="A7726" s="2">
        <v>34841</v>
      </c>
      <c r="B7726" s="3">
        <v>4.8888984000000004</v>
      </c>
      <c r="C7726" s="1">
        <v>1155260.3999999999</v>
      </c>
      <c r="D7726" s="3">
        <v>0.14814840000000001</v>
      </c>
      <c r="E7726" s="3">
        <v>3.12499920898592</v>
      </c>
      <c r="F7726" s="3">
        <v>3.12499920898592</v>
      </c>
      <c r="G7726" s="3">
        <v>4.8888984000000004</v>
      </c>
      <c r="H7726" s="3">
        <v>36.2384617781169</v>
      </c>
      <c r="I7726" s="3">
        <v>4.7407503000000002</v>
      </c>
      <c r="J7726" s="3">
        <v>4.9876636999999997</v>
      </c>
      <c r="K7726" s="3">
        <v>4.6913676000000004</v>
      </c>
      <c r="L7726" s="3">
        <v>36.2384617781169</v>
      </c>
    </row>
    <row r="7727" spans="1:12" ht="15" customHeight="1" x14ac:dyDescent="0.2">
      <c r="A7727" s="2">
        <v>34838</v>
      </c>
      <c r="B7727" s="3">
        <v>4.7407500000000002</v>
      </c>
      <c r="C7727" s="1">
        <v>996804.26</v>
      </c>
      <c r="D7727" s="3"/>
      <c r="E7727" s="3"/>
      <c r="F7727" s="3"/>
      <c r="G7727" s="3">
        <v>4.7407500000000002</v>
      </c>
      <c r="H7727" s="3">
        <v>32.110024555758301</v>
      </c>
      <c r="I7727" s="3">
        <v>4.6913676000000004</v>
      </c>
      <c r="J7727" s="3">
        <v>4.8395159999999997</v>
      </c>
      <c r="K7727" s="3">
        <v>4.6913676000000004</v>
      </c>
      <c r="L7727" s="3">
        <v>32.110024555758301</v>
      </c>
    </row>
    <row r="7728" spans="1:12" ht="15" customHeight="1" x14ac:dyDescent="0.2">
      <c r="A7728" s="2">
        <v>34837</v>
      </c>
      <c r="B7728" s="3">
        <v>4.7407500000000002</v>
      </c>
      <c r="C7728" s="1">
        <v>1159816.7</v>
      </c>
      <c r="D7728" s="3">
        <v>-0.27160599999999901</v>
      </c>
      <c r="E7728" s="3">
        <v>-5.4187292363112096</v>
      </c>
      <c r="F7728" s="3">
        <v>-5.4187292363112096</v>
      </c>
      <c r="G7728" s="3">
        <v>4.7407500000000002</v>
      </c>
      <c r="H7728" s="3">
        <v>32.110024555758301</v>
      </c>
      <c r="I7728" s="3">
        <v>5.08643</v>
      </c>
      <c r="J7728" s="3">
        <v>5.0864285999999996</v>
      </c>
      <c r="K7728" s="3">
        <v>4.7407500000000002</v>
      </c>
      <c r="L7728" s="3">
        <v>32.110024555758301</v>
      </c>
    </row>
    <row r="7729" spans="1:12" ht="15" customHeight="1" x14ac:dyDescent="0.2">
      <c r="A7729" s="2">
        <v>34836</v>
      </c>
      <c r="B7729" s="3">
        <v>5.0123559999999996</v>
      </c>
      <c r="C7729" s="1">
        <v>1257522.5</v>
      </c>
      <c r="D7729" s="3">
        <v>0.123457599999999</v>
      </c>
      <c r="E7729" s="3">
        <v>2.5252641781223901</v>
      </c>
      <c r="F7729" s="3">
        <v>2.5252641781223901</v>
      </c>
      <c r="G7729" s="3">
        <v>5.0123559999999996</v>
      </c>
      <c r="H7729" s="3">
        <v>39.678842850224598</v>
      </c>
      <c r="I7729" s="3">
        <v>5.0370473999999996</v>
      </c>
      <c r="J7729" s="3">
        <v>5.0864285999999996</v>
      </c>
      <c r="K7729" s="3">
        <v>4.790133</v>
      </c>
      <c r="L7729" s="3">
        <v>39.678842850224598</v>
      </c>
    </row>
    <row r="7730" spans="1:12" ht="15" customHeight="1" x14ac:dyDescent="0.2">
      <c r="A7730" s="2">
        <v>34835</v>
      </c>
      <c r="B7730" s="3">
        <v>4.8888984000000004</v>
      </c>
      <c r="C7730" s="1">
        <v>1543047.2</v>
      </c>
      <c r="D7730" s="3">
        <v>0.19753080000000001</v>
      </c>
      <c r="E7730" s="3">
        <v>4.2105163534829204</v>
      </c>
      <c r="F7730" s="3">
        <v>4.2105163534829204</v>
      </c>
      <c r="G7730" s="3">
        <v>4.8888984000000004</v>
      </c>
      <c r="H7730" s="3">
        <v>36.2384617781169</v>
      </c>
      <c r="I7730" s="3">
        <v>4.6913676000000004</v>
      </c>
      <c r="J7730" s="3">
        <v>4.8888984000000004</v>
      </c>
      <c r="K7730" s="3">
        <v>4.5926023000000002</v>
      </c>
      <c r="L7730" s="3">
        <v>36.2384617781169</v>
      </c>
    </row>
    <row r="7731" spans="1:12" ht="15" customHeight="1" x14ac:dyDescent="0.2">
      <c r="A7731" s="2">
        <v>34834</v>
      </c>
      <c r="B7731" s="3">
        <v>4.6913676000000004</v>
      </c>
      <c r="C7731" s="1">
        <v>933017</v>
      </c>
      <c r="D7731" s="3">
        <v>0.1728401</v>
      </c>
      <c r="E7731" s="3">
        <v>3.8251421508445</v>
      </c>
      <c r="F7731" s="3">
        <v>3.8251421508445</v>
      </c>
      <c r="G7731" s="3">
        <v>4.6913676000000004</v>
      </c>
      <c r="H7731" s="3">
        <v>30.733889961733698</v>
      </c>
      <c r="I7731" s="3">
        <v>4.5432189999999997</v>
      </c>
      <c r="J7731" s="3">
        <v>4.7160596999999997</v>
      </c>
      <c r="K7731" s="3">
        <v>4.4938354</v>
      </c>
      <c r="L7731" s="3">
        <v>30.733889961733698</v>
      </c>
    </row>
    <row r="7732" spans="1:12" ht="15" customHeight="1" x14ac:dyDescent="0.2">
      <c r="A7732" s="2">
        <v>34831</v>
      </c>
      <c r="B7732" s="3">
        <v>4.5185275000000003</v>
      </c>
      <c r="C7732" s="1">
        <v>886441.96</v>
      </c>
      <c r="D7732" s="3">
        <v>2.4692100000000199E-2</v>
      </c>
      <c r="E7732" s="3">
        <v>0.54946605298449303</v>
      </c>
      <c r="F7732" s="3">
        <v>0.54946605298449303</v>
      </c>
      <c r="G7732" s="3">
        <v>4.5185275000000003</v>
      </c>
      <c r="H7732" s="3">
        <v>25.9173715089109</v>
      </c>
      <c r="I7732" s="3">
        <v>4.5432189999999997</v>
      </c>
      <c r="J7732" s="3">
        <v>4.5432186000000003</v>
      </c>
      <c r="K7732" s="3">
        <v>4.4197616999999996</v>
      </c>
      <c r="L7732" s="3">
        <v>25.9173715089109</v>
      </c>
    </row>
    <row r="7733" spans="1:12" ht="15" customHeight="1" x14ac:dyDescent="0.2">
      <c r="A7733" s="2">
        <v>34830</v>
      </c>
      <c r="B7733" s="3">
        <v>4.4938354</v>
      </c>
      <c r="C7733" s="1">
        <v>1415472.4</v>
      </c>
      <c r="D7733" s="3">
        <v>0.34567939999999903</v>
      </c>
      <c r="E7733" s="3">
        <v>8.3333269047740597</v>
      </c>
      <c r="F7733" s="3">
        <v>8.3333269047740597</v>
      </c>
      <c r="G7733" s="3">
        <v>4.4938354</v>
      </c>
      <c r="H7733" s="3">
        <v>25.2292791316851</v>
      </c>
      <c r="I7733" s="3">
        <v>4.1481560000000002</v>
      </c>
      <c r="J7733" s="3">
        <v>4.5432186000000003</v>
      </c>
      <c r="K7733" s="3">
        <v>4.0987730000000004</v>
      </c>
      <c r="L7733" s="3">
        <v>25.2292791316851</v>
      </c>
    </row>
    <row r="7734" spans="1:12" ht="15" customHeight="1" x14ac:dyDescent="0.2">
      <c r="A7734" s="2">
        <v>34829</v>
      </c>
      <c r="B7734" s="3">
        <v>4.1481560000000002</v>
      </c>
      <c r="C7734" s="1">
        <v>372093.02</v>
      </c>
      <c r="D7734" s="3">
        <v>9.87657000000004E-2</v>
      </c>
      <c r="E7734" s="3">
        <v>2.4390264381282298</v>
      </c>
      <c r="F7734" s="3">
        <v>2.4390264381282298</v>
      </c>
      <c r="G7734" s="3">
        <v>4.1481560000000002</v>
      </c>
      <c r="H7734" s="3">
        <v>15.596264519562499</v>
      </c>
      <c r="I7734" s="3">
        <v>4.0000086000000001</v>
      </c>
      <c r="J7734" s="3">
        <v>4.19754</v>
      </c>
      <c r="K7734" s="3">
        <v>4.0000076</v>
      </c>
      <c r="L7734" s="3">
        <v>15.596264519562499</v>
      </c>
    </row>
    <row r="7735" spans="1:12" ht="15" customHeight="1" x14ac:dyDescent="0.2">
      <c r="A7735" s="2">
        <v>34828</v>
      </c>
      <c r="B7735" s="3">
        <v>4.0493902999999998</v>
      </c>
      <c r="C7735" s="1">
        <v>633823.69999999995</v>
      </c>
      <c r="D7735" s="3">
        <v>-4.9382700000000598E-2</v>
      </c>
      <c r="E7735" s="3">
        <v>-1.20481666098611</v>
      </c>
      <c r="F7735" s="3">
        <v>-1.20481666098611</v>
      </c>
      <c r="G7735" s="3">
        <v>4.0493902999999998</v>
      </c>
      <c r="H7735" s="3">
        <v>12.843970251299799</v>
      </c>
      <c r="I7735" s="3">
        <v>4.0987730000000004</v>
      </c>
      <c r="J7735" s="3">
        <v>4.0987730000000004</v>
      </c>
      <c r="K7735" s="3">
        <v>4.0000076</v>
      </c>
      <c r="L7735" s="3">
        <v>12.843970251299799</v>
      </c>
    </row>
    <row r="7736" spans="1:12" ht="15" customHeight="1" x14ac:dyDescent="0.2">
      <c r="A7736" s="2">
        <v>34827</v>
      </c>
      <c r="B7736" s="3">
        <v>4.0987730000000004</v>
      </c>
      <c r="C7736" s="1">
        <v>633823.69999999995</v>
      </c>
      <c r="D7736" s="3"/>
      <c r="E7736" s="3"/>
      <c r="F7736" s="3"/>
      <c r="G7736" s="3">
        <v>4.0987730000000004</v>
      </c>
      <c r="H7736" s="3">
        <v>14.220113205395601</v>
      </c>
      <c r="I7736" s="3">
        <v>4.0987730000000004</v>
      </c>
      <c r="J7736" s="3">
        <v>4.1481560000000002</v>
      </c>
      <c r="K7736" s="3">
        <v>4.0000076</v>
      </c>
      <c r="L7736" s="3">
        <v>14.220113205395601</v>
      </c>
    </row>
    <row r="7737" spans="1:12" ht="15" customHeight="1" x14ac:dyDescent="0.2">
      <c r="A7737" s="2">
        <v>34824</v>
      </c>
      <c r="B7737" s="3">
        <v>4.0987730000000004</v>
      </c>
      <c r="C7737" s="1">
        <v>246543.27</v>
      </c>
      <c r="D7737" s="3">
        <v>7.4075000000000502E-2</v>
      </c>
      <c r="E7737" s="3">
        <v>1.84051076627365</v>
      </c>
      <c r="F7737" s="3">
        <v>1.84051076627365</v>
      </c>
      <c r="G7737" s="3">
        <v>4.0987730000000004</v>
      </c>
      <c r="H7737" s="3">
        <v>14.220113205395601</v>
      </c>
      <c r="I7737" s="3">
        <v>3.9012424999999999</v>
      </c>
      <c r="J7737" s="3">
        <v>4.0987730000000004</v>
      </c>
      <c r="K7737" s="3">
        <v>3.8518590000000001</v>
      </c>
      <c r="L7737" s="3">
        <v>14.220113205395601</v>
      </c>
    </row>
    <row r="7738" spans="1:12" ht="15" customHeight="1" x14ac:dyDescent="0.2">
      <c r="A7738" s="2">
        <v>34823</v>
      </c>
      <c r="B7738" s="3">
        <v>4.0246979999999999</v>
      </c>
      <c r="C7738" s="1">
        <v>519917.69999999902</v>
      </c>
      <c r="D7738" s="3">
        <v>-2.4692299999999799E-2</v>
      </c>
      <c r="E7738" s="3">
        <v>-0.609778217723289</v>
      </c>
      <c r="F7738" s="3">
        <v>-0.609778217723289</v>
      </c>
      <c r="G7738" s="3">
        <v>4.0246979999999999</v>
      </c>
      <c r="H7738" s="3">
        <v>12.155872300693201</v>
      </c>
      <c r="I7738" s="3">
        <v>4.0987730000000004</v>
      </c>
      <c r="J7738" s="3">
        <v>4.0987730000000004</v>
      </c>
      <c r="K7738" s="3">
        <v>3.9506247000000001</v>
      </c>
      <c r="L7738" s="3">
        <v>12.155872300693201</v>
      </c>
    </row>
    <row r="7739" spans="1:12" ht="15" customHeight="1" x14ac:dyDescent="0.2">
      <c r="A7739" s="2">
        <v>34822</v>
      </c>
      <c r="B7739" s="3">
        <v>4.0493902999999998</v>
      </c>
      <c r="C7739" s="1">
        <v>1056035.3999999999</v>
      </c>
      <c r="D7739" s="3">
        <v>0.17283959999999901</v>
      </c>
      <c r="E7739" s="3">
        <v>4.4585925317576596</v>
      </c>
      <c r="F7739" s="3">
        <v>4.4585925317576596</v>
      </c>
      <c r="G7739" s="3">
        <v>4.0493902999999998</v>
      </c>
      <c r="H7739" s="3">
        <v>12.843970251299799</v>
      </c>
      <c r="I7739" s="3">
        <v>3.8518599999999998</v>
      </c>
      <c r="J7739" s="3">
        <v>4.1481560000000002</v>
      </c>
      <c r="K7739" s="3">
        <v>3.7530937</v>
      </c>
      <c r="L7739" s="3">
        <v>12.843970251299799</v>
      </c>
    </row>
    <row r="7740" spans="1:12" ht="15" customHeight="1" x14ac:dyDescent="0.2">
      <c r="A7740" s="2">
        <v>34821</v>
      </c>
      <c r="B7740" s="3">
        <v>3.8765507000000001</v>
      </c>
      <c r="C7740" s="1">
        <v>168580.93</v>
      </c>
      <c r="D7740" s="3">
        <v>-2.4691599999999699E-2</v>
      </c>
      <c r="E7740" s="3">
        <v>-0.63291634052055001</v>
      </c>
      <c r="F7740" s="3">
        <v>-0.63291634052055001</v>
      </c>
      <c r="G7740" s="3">
        <v>3.8765507000000001</v>
      </c>
      <c r="H7740" s="3">
        <v>8.0274657319289595</v>
      </c>
      <c r="I7740" s="3">
        <v>3.8518599999999998</v>
      </c>
      <c r="J7740" s="3">
        <v>3.9506247000000001</v>
      </c>
      <c r="K7740" s="3">
        <v>3.8518590000000001</v>
      </c>
      <c r="L7740" s="3">
        <v>8.0274657319289595</v>
      </c>
    </row>
    <row r="7741" spans="1:12" ht="15" customHeight="1" x14ac:dyDescent="0.2">
      <c r="A7741" s="2">
        <v>34820</v>
      </c>
      <c r="B7741" s="3">
        <v>3.9012422999999998</v>
      </c>
      <c r="C7741" s="1">
        <v>195412.11</v>
      </c>
      <c r="D7741" s="3"/>
      <c r="E7741" s="3"/>
      <c r="F7741" s="3"/>
      <c r="G7741" s="3">
        <v>3.9012422999999998</v>
      </c>
      <c r="H7741" s="3">
        <v>8.7155441757028207</v>
      </c>
      <c r="I7741" s="3">
        <v>3.9506252000000002</v>
      </c>
      <c r="J7741" s="3">
        <v>3.9506247000000001</v>
      </c>
      <c r="K7741" s="3">
        <v>3.8518590000000001</v>
      </c>
      <c r="L7741" s="3">
        <v>8.7155441757028207</v>
      </c>
    </row>
    <row r="7742" spans="1:12" ht="15" customHeight="1" x14ac:dyDescent="0.2">
      <c r="A7742" s="2">
        <v>34817</v>
      </c>
      <c r="B7742" s="3">
        <v>3.9012422999999998</v>
      </c>
      <c r="C7742" s="1">
        <v>88593.58</v>
      </c>
      <c r="D7742" s="3">
        <v>-9.8765300000000097E-2</v>
      </c>
      <c r="E7742" s="3">
        <v>-2.4691278086571602</v>
      </c>
      <c r="F7742" s="3">
        <v>-2.4691278086571602</v>
      </c>
      <c r="G7742" s="3">
        <v>3.9012422999999998</v>
      </c>
      <c r="H7742" s="3">
        <v>8.7155441757028207</v>
      </c>
      <c r="I7742" s="3">
        <v>4.0000086000000001</v>
      </c>
      <c r="J7742" s="3">
        <v>4.0000076</v>
      </c>
      <c r="K7742" s="3">
        <v>3.9012422999999998</v>
      </c>
      <c r="L7742" s="3">
        <v>8.7155441757028207</v>
      </c>
    </row>
    <row r="7743" spans="1:12" ht="15" customHeight="1" x14ac:dyDescent="0.2">
      <c r="A7743" s="2">
        <v>34816</v>
      </c>
      <c r="B7743" s="3">
        <v>4.0000076</v>
      </c>
      <c r="C7743" s="1">
        <v>54674.9039999999</v>
      </c>
      <c r="D7743" s="3">
        <v>4.9382899999999799E-2</v>
      </c>
      <c r="E7743" s="3">
        <v>1.25000230976128</v>
      </c>
      <c r="F7743" s="3">
        <v>1.25000230976128</v>
      </c>
      <c r="G7743" s="3">
        <v>4.0000076</v>
      </c>
      <c r="H7743" s="3">
        <v>11.467827297204</v>
      </c>
      <c r="I7743" s="3">
        <v>4.0000086000000001</v>
      </c>
      <c r="J7743" s="3">
        <v>4.0000076</v>
      </c>
      <c r="K7743" s="3">
        <v>3.9012422999999998</v>
      </c>
      <c r="L7743" s="3">
        <v>11.467827297204</v>
      </c>
    </row>
    <row r="7744" spans="1:12" ht="15" customHeight="1" x14ac:dyDescent="0.2">
      <c r="A7744" s="2">
        <v>34815</v>
      </c>
      <c r="B7744" s="3">
        <v>3.9506247000000001</v>
      </c>
      <c r="C7744" s="1">
        <v>271349.46000000002</v>
      </c>
      <c r="D7744" s="3">
        <v>9.8765699999999901E-2</v>
      </c>
      <c r="E7744" s="3">
        <v>2.5641047608440499</v>
      </c>
      <c r="F7744" s="3">
        <v>2.5641047608440499</v>
      </c>
      <c r="G7744" s="3">
        <v>3.9506247000000001</v>
      </c>
      <c r="H7744" s="3">
        <v>10.0916787697274</v>
      </c>
      <c r="I7744" s="3">
        <v>3.9506252000000002</v>
      </c>
      <c r="J7744" s="3">
        <v>4.0000076</v>
      </c>
      <c r="K7744" s="3">
        <v>3.8518590000000001</v>
      </c>
      <c r="L7744" s="3">
        <v>10.0916787697274</v>
      </c>
    </row>
    <row r="7745" spans="1:12" ht="15" customHeight="1" x14ac:dyDescent="0.2">
      <c r="A7745" s="2">
        <v>34814</v>
      </c>
      <c r="B7745" s="3">
        <v>3.8518590000000001</v>
      </c>
      <c r="C7745" s="1">
        <v>277930.73</v>
      </c>
      <c r="D7745" s="3">
        <v>-0.14814859999999899</v>
      </c>
      <c r="E7745" s="3">
        <v>-3.7037079629548701</v>
      </c>
      <c r="F7745" s="3">
        <v>-3.7037079629548701</v>
      </c>
      <c r="G7745" s="3">
        <v>3.8518590000000001</v>
      </c>
      <c r="H7745" s="3">
        <v>7.3393845014647097</v>
      </c>
      <c r="I7745" s="3">
        <v>4.0000086000000001</v>
      </c>
      <c r="J7745" s="3">
        <v>4.0000076</v>
      </c>
      <c r="K7745" s="3">
        <v>3.8024764000000002</v>
      </c>
      <c r="L7745" s="3">
        <v>7.3393845014647097</v>
      </c>
    </row>
    <row r="7746" spans="1:12" ht="15" customHeight="1" x14ac:dyDescent="0.2">
      <c r="A7746" s="2">
        <v>34813</v>
      </c>
      <c r="B7746" s="3">
        <v>4.0000076</v>
      </c>
      <c r="C7746" s="1">
        <v>338174.38</v>
      </c>
      <c r="D7746" s="3">
        <v>0.14814859999999899</v>
      </c>
      <c r="E7746" s="3">
        <v>3.8461584393405701</v>
      </c>
      <c r="F7746" s="3">
        <v>3.8461584393405701</v>
      </c>
      <c r="G7746" s="3">
        <v>4.0000076</v>
      </c>
      <c r="H7746" s="3">
        <v>11.467827297204</v>
      </c>
      <c r="I7746" s="3">
        <v>3.9012424999999999</v>
      </c>
      <c r="J7746" s="3">
        <v>4.0493902999999998</v>
      </c>
      <c r="K7746" s="3">
        <v>3.8024764000000002</v>
      </c>
      <c r="L7746" s="3">
        <v>11.467827297204</v>
      </c>
    </row>
    <row r="7747" spans="1:12" ht="15" customHeight="1" x14ac:dyDescent="0.2">
      <c r="A7747" s="2">
        <v>34810</v>
      </c>
      <c r="B7747" s="3">
        <v>3.8518590000000001</v>
      </c>
      <c r="C7747" s="1">
        <v>415124.18</v>
      </c>
      <c r="D7747" s="3">
        <v>0.24691360000000001</v>
      </c>
      <c r="E7747" s="3">
        <v>6.8493020726472</v>
      </c>
      <c r="F7747" s="3">
        <v>6.8493020726472</v>
      </c>
      <c r="G7747" s="3">
        <v>3.8518590000000001</v>
      </c>
      <c r="H7747" s="3">
        <v>7.3393845014647097</v>
      </c>
      <c r="I7747" s="3">
        <v>3.654328</v>
      </c>
      <c r="J7747" s="3">
        <v>3.8518590000000001</v>
      </c>
      <c r="K7747" s="3">
        <v>3.6049454000000001</v>
      </c>
      <c r="L7747" s="3">
        <v>7.3393845014647097</v>
      </c>
    </row>
    <row r="7748" spans="1:12" ht="15" customHeight="1" x14ac:dyDescent="0.2">
      <c r="A7748" s="2">
        <v>34809</v>
      </c>
      <c r="B7748" s="3">
        <v>3.6049454000000001</v>
      </c>
      <c r="C7748" s="1">
        <v>296155.7</v>
      </c>
      <c r="D7748" s="3"/>
      <c r="E7748" s="3"/>
      <c r="F7748" s="3"/>
      <c r="G7748" s="3">
        <v>3.6049454000000001</v>
      </c>
      <c r="H7748" s="3">
        <v>0.458666944295338</v>
      </c>
      <c r="I7748" s="3">
        <v>3.6049457</v>
      </c>
      <c r="J7748" s="3">
        <v>3.6790191999999999</v>
      </c>
      <c r="K7748" s="3">
        <v>3.5555625000000002</v>
      </c>
      <c r="L7748" s="3">
        <v>0.458666944295338</v>
      </c>
    </row>
    <row r="7749" spans="1:12" ht="15" customHeight="1" x14ac:dyDescent="0.2">
      <c r="A7749" s="2">
        <v>34808</v>
      </c>
      <c r="B7749" s="3">
        <v>3.6049454000000001</v>
      </c>
      <c r="C7749" s="1">
        <v>471317.87</v>
      </c>
      <c r="D7749" s="3">
        <v>-0.14814829999999901</v>
      </c>
      <c r="E7749" s="3">
        <v>-3.9473648099966101</v>
      </c>
      <c r="F7749" s="3">
        <v>-3.9473648099966101</v>
      </c>
      <c r="G7749" s="3">
        <v>3.6049454000000001</v>
      </c>
      <c r="H7749" s="3">
        <v>0.458666944295338</v>
      </c>
      <c r="I7749" s="3">
        <v>3.7530939999999999</v>
      </c>
      <c r="J7749" s="3">
        <v>3.7530937</v>
      </c>
      <c r="K7749" s="3">
        <v>3.5061795999999998</v>
      </c>
      <c r="L7749" s="3">
        <v>0.458666944295338</v>
      </c>
    </row>
    <row r="7750" spans="1:12" ht="15" customHeight="1" x14ac:dyDescent="0.2">
      <c r="A7750" s="2">
        <v>34807</v>
      </c>
      <c r="B7750" s="3">
        <v>3.7530937</v>
      </c>
      <c r="C7750" s="1">
        <v>427274.2</v>
      </c>
      <c r="D7750" s="3">
        <v>9.8765799999999696E-2</v>
      </c>
      <c r="E7750" s="3">
        <v>2.7027076579526401</v>
      </c>
      <c r="F7750" s="3">
        <v>2.7027076579526401</v>
      </c>
      <c r="G7750" s="3">
        <v>3.7530937</v>
      </c>
      <c r="H7750" s="3">
        <v>4.5871013799635003</v>
      </c>
      <c r="I7750" s="3">
        <v>3.6296374999999999</v>
      </c>
      <c r="J7750" s="3">
        <v>3.7530937</v>
      </c>
      <c r="K7750" s="3">
        <v>3.6296365000000002</v>
      </c>
      <c r="L7750" s="3">
        <v>4.5871013799635003</v>
      </c>
    </row>
    <row r="7751" spans="1:12" ht="15" customHeight="1" x14ac:dyDescent="0.2">
      <c r="A7751" s="2">
        <v>34806</v>
      </c>
      <c r="B7751" s="3">
        <v>3.6543279000000002</v>
      </c>
      <c r="C7751" s="1">
        <v>1191204</v>
      </c>
      <c r="D7751" s="3">
        <v>-0.123456899999999</v>
      </c>
      <c r="E7751" s="3">
        <v>-3.2679706901250598</v>
      </c>
      <c r="F7751" s="3">
        <v>-3.2679706901250598</v>
      </c>
      <c r="G7751" s="3">
        <v>3.6543279000000002</v>
      </c>
      <c r="H7751" s="3">
        <v>1.8348043250103601</v>
      </c>
      <c r="I7751" s="3">
        <v>3.8024770000000001</v>
      </c>
      <c r="J7751" s="3">
        <v>3.8024764000000002</v>
      </c>
      <c r="K7751" s="3">
        <v>3.6049454000000001</v>
      </c>
      <c r="L7751" s="3">
        <v>1.8348043250103601</v>
      </c>
    </row>
    <row r="7752" spans="1:12" ht="15" customHeight="1" x14ac:dyDescent="0.2">
      <c r="A7752" s="2">
        <v>34802</v>
      </c>
      <c r="B7752" s="3">
        <v>3.7777848000000001</v>
      </c>
      <c r="C7752" s="1">
        <v>1050972.8999999999</v>
      </c>
      <c r="D7752" s="3">
        <v>-2.4691600000000102E-2</v>
      </c>
      <c r="E7752" s="3">
        <v>-0.64935577246449905</v>
      </c>
      <c r="F7752" s="3">
        <v>-0.64935577246449905</v>
      </c>
      <c r="G7752" s="3">
        <v>3.7777848000000001</v>
      </c>
      <c r="H7752" s="3">
        <v>5.2751658902854297</v>
      </c>
      <c r="I7752" s="3">
        <v>3.8024770000000001</v>
      </c>
      <c r="J7752" s="3">
        <v>3.8024764000000002</v>
      </c>
      <c r="K7752" s="3">
        <v>3.7037113000000002</v>
      </c>
      <c r="L7752" s="3">
        <v>5.2751658902854297</v>
      </c>
    </row>
    <row r="7753" spans="1:12" ht="15" customHeight="1" x14ac:dyDescent="0.2">
      <c r="A7753" s="2">
        <v>34801</v>
      </c>
      <c r="B7753" s="3">
        <v>3.8024764000000002</v>
      </c>
      <c r="C7753" s="1">
        <v>463724.12</v>
      </c>
      <c r="D7753" s="3">
        <v>-9.8765899999999601E-2</v>
      </c>
      <c r="E7753" s="3">
        <v>-2.5316525456519101</v>
      </c>
      <c r="F7753" s="3">
        <v>-2.5316525456519101</v>
      </c>
      <c r="G7753" s="3">
        <v>3.8024764000000002</v>
      </c>
      <c r="H7753" s="3">
        <v>5.9632443340592998</v>
      </c>
      <c r="I7753" s="3">
        <v>3.8518599999999998</v>
      </c>
      <c r="J7753" s="3">
        <v>3.9506247000000001</v>
      </c>
      <c r="K7753" s="3">
        <v>3.7037113000000002</v>
      </c>
      <c r="L7753" s="3">
        <v>5.9632443340592998</v>
      </c>
    </row>
    <row r="7754" spans="1:12" ht="15" customHeight="1" x14ac:dyDescent="0.2">
      <c r="A7754" s="2">
        <v>34800</v>
      </c>
      <c r="B7754" s="3">
        <v>3.9012422999999998</v>
      </c>
      <c r="C7754" s="1">
        <v>182249.65</v>
      </c>
      <c r="D7754" s="3">
        <v>-4.9382400000000201E-2</v>
      </c>
      <c r="E7754" s="3">
        <v>-1.2499896535350501</v>
      </c>
      <c r="F7754" s="3">
        <v>-1.2499896535350501</v>
      </c>
      <c r="G7754" s="3">
        <v>3.9012422999999998</v>
      </c>
      <c r="H7754" s="3">
        <v>8.7155441757028207</v>
      </c>
      <c r="I7754" s="3">
        <v>3.9012424999999999</v>
      </c>
      <c r="J7754" s="3">
        <v>3.9753159999999998</v>
      </c>
      <c r="K7754" s="3">
        <v>3.8765507000000001</v>
      </c>
      <c r="L7754" s="3">
        <v>8.7155441757028207</v>
      </c>
    </row>
    <row r="7755" spans="1:12" ht="15" customHeight="1" x14ac:dyDescent="0.2">
      <c r="A7755" s="2">
        <v>34799</v>
      </c>
      <c r="B7755" s="3">
        <v>3.9506247000000001</v>
      </c>
      <c r="C7755" s="1">
        <v>777598.45</v>
      </c>
      <c r="D7755" s="3"/>
      <c r="E7755" s="3"/>
      <c r="F7755" s="3"/>
      <c r="G7755" s="3">
        <v>3.9506247000000001</v>
      </c>
      <c r="H7755" s="3">
        <v>10.0916787697274</v>
      </c>
      <c r="I7755" s="3">
        <v>3.9506252000000002</v>
      </c>
      <c r="J7755" s="3">
        <v>3.9753159999999998</v>
      </c>
      <c r="K7755" s="3">
        <v>3.9012422999999998</v>
      </c>
      <c r="L7755" s="3">
        <v>10.0916787697274</v>
      </c>
    </row>
    <row r="7756" spans="1:12" ht="15" customHeight="1" x14ac:dyDescent="0.2">
      <c r="A7756" s="2">
        <v>34796</v>
      </c>
      <c r="B7756" s="3">
        <v>3.9506247000000001</v>
      </c>
      <c r="C7756" s="1">
        <v>352349.33</v>
      </c>
      <c r="D7756" s="3"/>
      <c r="E7756" s="3"/>
      <c r="F7756" s="3"/>
      <c r="G7756" s="3">
        <v>3.9506247000000001</v>
      </c>
      <c r="H7756" s="3">
        <v>10.0916787697274</v>
      </c>
      <c r="I7756" s="3">
        <v>3.9753167999999999</v>
      </c>
      <c r="J7756" s="3">
        <v>3.9753159999999998</v>
      </c>
      <c r="K7756" s="3">
        <v>3.9012422999999998</v>
      </c>
      <c r="L7756" s="3">
        <v>10.0916787697274</v>
      </c>
    </row>
    <row r="7757" spans="1:12" ht="15" customHeight="1" x14ac:dyDescent="0.2">
      <c r="A7757" s="2">
        <v>34795</v>
      </c>
      <c r="B7757" s="3">
        <v>3.9506247000000001</v>
      </c>
      <c r="C7757" s="1">
        <v>490555.3</v>
      </c>
      <c r="D7757" s="3">
        <v>-4.9382899999999799E-2</v>
      </c>
      <c r="E7757" s="3">
        <v>-1.2345701543167</v>
      </c>
      <c r="F7757" s="3">
        <v>-1.2345701543167</v>
      </c>
      <c r="G7757" s="3">
        <v>3.9506247000000001</v>
      </c>
      <c r="H7757" s="3">
        <v>10.0916787697274</v>
      </c>
      <c r="I7757" s="3">
        <v>4.0000086000000001</v>
      </c>
      <c r="J7757" s="3">
        <v>4.0000076</v>
      </c>
      <c r="K7757" s="3">
        <v>3.9012422999999998</v>
      </c>
      <c r="L7757" s="3">
        <v>10.0916787697274</v>
      </c>
    </row>
    <row r="7758" spans="1:12" ht="15" customHeight="1" x14ac:dyDescent="0.2">
      <c r="A7758" s="2">
        <v>34794</v>
      </c>
      <c r="B7758" s="3">
        <v>4.0000076</v>
      </c>
      <c r="C7758" s="1">
        <v>641417.5</v>
      </c>
      <c r="D7758" s="3">
        <v>9.8765300000000097E-2</v>
      </c>
      <c r="E7758" s="3">
        <v>2.5316371659355799</v>
      </c>
      <c r="F7758" s="3">
        <v>2.5316371659355799</v>
      </c>
      <c r="G7758" s="3">
        <v>4.0000076</v>
      </c>
      <c r="H7758" s="3">
        <v>11.467827297204</v>
      </c>
      <c r="I7758" s="3">
        <v>3.9012424999999999</v>
      </c>
      <c r="J7758" s="3">
        <v>4.0493902999999998</v>
      </c>
      <c r="K7758" s="3">
        <v>3.8024764000000002</v>
      </c>
      <c r="L7758" s="3">
        <v>11.467827297204</v>
      </c>
    </row>
    <row r="7759" spans="1:12" ht="15" customHeight="1" x14ac:dyDescent="0.2">
      <c r="A7759" s="2">
        <v>34793</v>
      </c>
      <c r="B7759" s="3">
        <v>3.9012422999999998</v>
      </c>
      <c r="C7759" s="1">
        <v>861129.7</v>
      </c>
      <c r="D7759" s="3">
        <v>0.24691439999999901</v>
      </c>
      <c r="E7759" s="3">
        <v>6.7567664084002796</v>
      </c>
      <c r="F7759" s="3">
        <v>6.7567664084002796</v>
      </c>
      <c r="G7759" s="3">
        <v>3.9012422999999998</v>
      </c>
      <c r="H7759" s="3">
        <v>8.7155441757028207</v>
      </c>
      <c r="I7759" s="3">
        <v>3.7530939999999999</v>
      </c>
      <c r="J7759" s="3">
        <v>3.9506247000000001</v>
      </c>
      <c r="K7759" s="3">
        <v>3.7530937</v>
      </c>
      <c r="L7759" s="3">
        <v>8.7155441757028207</v>
      </c>
    </row>
    <row r="7760" spans="1:12" ht="15" customHeight="1" x14ac:dyDescent="0.2">
      <c r="A7760" s="2">
        <v>34792</v>
      </c>
      <c r="B7760" s="3">
        <v>3.6543279000000002</v>
      </c>
      <c r="C7760" s="1">
        <v>313368.13</v>
      </c>
      <c r="D7760" s="3">
        <v>-9.8765799999999696E-2</v>
      </c>
      <c r="E7760" s="3">
        <v>-2.63158364524711</v>
      </c>
      <c r="F7760" s="3">
        <v>-2.63158364524711</v>
      </c>
      <c r="G7760" s="3">
        <v>3.6543279000000002</v>
      </c>
      <c r="H7760" s="3">
        <v>1.8348043250103601</v>
      </c>
      <c r="I7760" s="3">
        <v>3.654328</v>
      </c>
      <c r="J7760" s="3">
        <v>3.7530937</v>
      </c>
      <c r="K7760" s="3">
        <v>3.5555625000000002</v>
      </c>
      <c r="L7760" s="3">
        <v>1.8348043250103601</v>
      </c>
    </row>
    <row r="7761" spans="1:12" ht="15" customHeight="1" x14ac:dyDescent="0.2">
      <c r="A7761" s="2">
        <v>34789</v>
      </c>
      <c r="B7761" s="3">
        <v>3.7530937</v>
      </c>
      <c r="C7761" s="1">
        <v>226293.3</v>
      </c>
      <c r="D7761" s="3">
        <v>4.9382399999999799E-2</v>
      </c>
      <c r="E7761" s="3">
        <v>1.3333220653564299</v>
      </c>
      <c r="F7761" s="3">
        <v>1.3333220653564299</v>
      </c>
      <c r="G7761" s="3">
        <v>3.7530937</v>
      </c>
      <c r="H7761" s="3">
        <v>4.5871013799635003</v>
      </c>
      <c r="I7761" s="3">
        <v>3.8024770000000001</v>
      </c>
      <c r="J7761" s="3">
        <v>3.8024764000000002</v>
      </c>
      <c r="K7761" s="3">
        <v>3.6049454000000001</v>
      </c>
      <c r="L7761" s="3">
        <v>4.5871013799635003</v>
      </c>
    </row>
    <row r="7762" spans="1:12" ht="15" customHeight="1" x14ac:dyDescent="0.2">
      <c r="A7762" s="2">
        <v>34788</v>
      </c>
      <c r="B7762" s="3">
        <v>3.7037113000000002</v>
      </c>
      <c r="C7762" s="1">
        <v>447017.85</v>
      </c>
      <c r="D7762" s="3">
        <v>0.24691469999999999</v>
      </c>
      <c r="E7762" s="3">
        <v>7.1428761530256004</v>
      </c>
      <c r="F7762" s="3">
        <v>7.1428761530256004</v>
      </c>
      <c r="G7762" s="3">
        <v>3.7037113000000002</v>
      </c>
      <c r="H7762" s="3">
        <v>3.21096678593887</v>
      </c>
      <c r="I7762" s="3">
        <v>3.5061805000000001</v>
      </c>
      <c r="J7762" s="3">
        <v>3.8518590000000001</v>
      </c>
      <c r="K7762" s="3">
        <v>3.4074132000000001</v>
      </c>
      <c r="L7762" s="3">
        <v>3.21096678593887</v>
      </c>
    </row>
    <row r="7763" spans="1:12" ht="15" customHeight="1" x14ac:dyDescent="0.2">
      <c r="A7763" s="2">
        <v>34787</v>
      </c>
      <c r="B7763" s="3">
        <v>3.4567966000000001</v>
      </c>
      <c r="C7763" s="1">
        <v>323493.13</v>
      </c>
      <c r="D7763" s="3">
        <v>2.4691600000000102E-2</v>
      </c>
      <c r="E7763" s="3">
        <v>0.71943020391276302</v>
      </c>
      <c r="F7763" s="3">
        <v>0.71943020391276302</v>
      </c>
      <c r="G7763" s="3">
        <v>3.4567966000000001</v>
      </c>
      <c r="H7763" s="3">
        <v>-3.6697814248247602</v>
      </c>
      <c r="I7763" s="3">
        <v>3.4567974000000001</v>
      </c>
      <c r="J7763" s="3">
        <v>3.5061795999999998</v>
      </c>
      <c r="K7763" s="3">
        <v>3.3580312999999999</v>
      </c>
      <c r="L7763" s="3">
        <v>-3.6697814248247602</v>
      </c>
    </row>
    <row r="7764" spans="1:12" ht="15" customHeight="1" x14ac:dyDescent="0.2">
      <c r="A7764" s="2">
        <v>34786</v>
      </c>
      <c r="B7764" s="3">
        <v>3.432105</v>
      </c>
      <c r="C7764" s="1">
        <v>189337.16</v>
      </c>
      <c r="D7764" s="3">
        <v>7.4073700000000006E-2</v>
      </c>
      <c r="E7764" s="3">
        <v>2.2058668720568599</v>
      </c>
      <c r="F7764" s="3">
        <v>2.2058668720568599</v>
      </c>
      <c r="G7764" s="3">
        <v>3.432105</v>
      </c>
      <c r="H7764" s="3">
        <v>-4.3578598685986298</v>
      </c>
      <c r="I7764" s="3">
        <v>3.4074141999999998</v>
      </c>
      <c r="J7764" s="3">
        <v>3.4567966000000001</v>
      </c>
      <c r="K7764" s="3">
        <v>3.3086479999999998</v>
      </c>
      <c r="L7764" s="3">
        <v>-4.3578598685986298</v>
      </c>
    </row>
    <row r="7765" spans="1:12" ht="15" customHeight="1" x14ac:dyDescent="0.2">
      <c r="A7765" s="2">
        <v>34785</v>
      </c>
      <c r="B7765" s="3">
        <v>3.3580312999999999</v>
      </c>
      <c r="C7765" s="1">
        <v>592311.4</v>
      </c>
      <c r="D7765" s="3">
        <v>4.9383300000000102E-2</v>
      </c>
      <c r="E7765" s="3">
        <v>1.49255224490487</v>
      </c>
      <c r="F7765" s="3">
        <v>1.49255224490487</v>
      </c>
      <c r="G7765" s="3">
        <v>3.3580312999999999</v>
      </c>
      <c r="H7765" s="3">
        <v>-6.42206454632597</v>
      </c>
      <c r="I7765" s="3">
        <v>3.3086487999999998</v>
      </c>
      <c r="J7765" s="3">
        <v>3.4567966000000001</v>
      </c>
      <c r="K7765" s="3">
        <v>3.3086479999999998</v>
      </c>
      <c r="L7765" s="3">
        <v>-6.42206454632597</v>
      </c>
    </row>
    <row r="7766" spans="1:12" ht="15" customHeight="1" x14ac:dyDescent="0.2">
      <c r="A7766" s="2">
        <v>34782</v>
      </c>
      <c r="B7766" s="3">
        <v>3.3086479999999998</v>
      </c>
      <c r="C7766" s="1">
        <v>100743.56</v>
      </c>
      <c r="D7766" s="3">
        <v>-4.9383300000000102E-2</v>
      </c>
      <c r="E7766" s="3">
        <v>-1.4706027308322001</v>
      </c>
      <c r="F7766" s="3">
        <v>-1.4706027308322001</v>
      </c>
      <c r="G7766" s="3">
        <v>3.3086479999999998</v>
      </c>
      <c r="H7766" s="3">
        <v>-7.7982242205640997</v>
      </c>
      <c r="I7766" s="3">
        <v>3.4567974000000001</v>
      </c>
      <c r="J7766" s="3">
        <v>3.4567966000000001</v>
      </c>
      <c r="K7766" s="3">
        <v>3.3086479999999998</v>
      </c>
      <c r="L7766" s="3">
        <v>-7.7982242205640997</v>
      </c>
    </row>
    <row r="7767" spans="1:12" ht="15" customHeight="1" x14ac:dyDescent="0.2">
      <c r="A7767" s="2">
        <v>34781</v>
      </c>
      <c r="B7767" s="3">
        <v>3.3580312999999999</v>
      </c>
      <c r="C7767" s="1">
        <v>226293.3</v>
      </c>
      <c r="D7767" s="3">
        <v>-4.9381900000000201E-2</v>
      </c>
      <c r="E7767" s="3">
        <v>-1.44924894932026</v>
      </c>
      <c r="F7767" s="3">
        <v>-1.44924894932026</v>
      </c>
      <c r="G7767" s="3">
        <v>3.3580312999999999</v>
      </c>
      <c r="H7767" s="3">
        <v>-6.42206454632597</v>
      </c>
      <c r="I7767" s="3">
        <v>3.5061805000000001</v>
      </c>
      <c r="J7767" s="3">
        <v>3.5061795999999998</v>
      </c>
      <c r="K7767" s="3">
        <v>3.3580312999999999</v>
      </c>
      <c r="L7767" s="3">
        <v>-6.42206454632597</v>
      </c>
    </row>
    <row r="7768" spans="1:12" ht="15" customHeight="1" x14ac:dyDescent="0.2">
      <c r="A7768" s="2">
        <v>34780</v>
      </c>
      <c r="B7768" s="3">
        <v>3.4074132000000001</v>
      </c>
      <c r="C7768" s="1">
        <v>591805.1</v>
      </c>
      <c r="D7768" s="3">
        <v>-4.9383399999999897E-2</v>
      </c>
      <c r="E7768" s="3">
        <v>-1.4285885377230401</v>
      </c>
      <c r="F7768" s="3">
        <v>-1.4285885377230401</v>
      </c>
      <c r="G7768" s="3">
        <v>3.4074132000000001</v>
      </c>
      <c r="H7768" s="3">
        <v>-5.0459438857532701</v>
      </c>
      <c r="I7768" s="3">
        <v>3.4074141999999998</v>
      </c>
      <c r="J7768" s="3">
        <v>3.5061795999999998</v>
      </c>
      <c r="K7768" s="3">
        <v>3.3580312999999999</v>
      </c>
      <c r="L7768" s="3">
        <v>-5.0459438857532701</v>
      </c>
    </row>
    <row r="7769" spans="1:12" ht="15" customHeight="1" x14ac:dyDescent="0.2">
      <c r="A7769" s="2">
        <v>34779</v>
      </c>
      <c r="B7769" s="3">
        <v>3.4567966000000001</v>
      </c>
      <c r="C7769" s="1">
        <v>804936</v>
      </c>
      <c r="D7769" s="3">
        <v>2.4691600000000102E-2</v>
      </c>
      <c r="E7769" s="3">
        <v>0.71943020391276302</v>
      </c>
      <c r="F7769" s="3">
        <v>0.71943020391276302</v>
      </c>
      <c r="G7769" s="3">
        <v>3.4567966000000001</v>
      </c>
      <c r="H7769" s="3">
        <v>-3.6697814248247602</v>
      </c>
      <c r="I7769" s="3">
        <v>3.4074141999999998</v>
      </c>
      <c r="J7769" s="3">
        <v>3.5555625000000002</v>
      </c>
      <c r="K7769" s="3">
        <v>3.3580312999999999</v>
      </c>
      <c r="L7769" s="3">
        <v>-3.6697814248247602</v>
      </c>
    </row>
    <row r="7770" spans="1:12" ht="15" customHeight="1" x14ac:dyDescent="0.2">
      <c r="A7770" s="2">
        <v>34778</v>
      </c>
      <c r="B7770" s="3">
        <v>3.432105</v>
      </c>
      <c r="C7770" s="1">
        <v>84037.346000000005</v>
      </c>
      <c r="D7770" s="3">
        <v>-7.4074599999999796E-2</v>
      </c>
      <c r="E7770" s="3">
        <v>-2.1126869827204402</v>
      </c>
      <c r="F7770" s="3">
        <v>-2.1126869827204402</v>
      </c>
      <c r="G7770" s="3">
        <v>3.432105</v>
      </c>
      <c r="H7770" s="3">
        <v>-4.3578598685986298</v>
      </c>
      <c r="I7770" s="3">
        <v>3.5061805000000001</v>
      </c>
      <c r="J7770" s="3">
        <v>3.5555625000000002</v>
      </c>
      <c r="K7770" s="3">
        <v>3.4074132000000001</v>
      </c>
      <c r="L7770" s="3">
        <v>-4.3578598685986298</v>
      </c>
    </row>
    <row r="7771" spans="1:12" ht="15" customHeight="1" x14ac:dyDescent="0.2">
      <c r="A7771" s="2">
        <v>34775</v>
      </c>
      <c r="B7771" s="3">
        <v>3.5061795999999998</v>
      </c>
      <c r="C7771" s="1">
        <v>306786.87</v>
      </c>
      <c r="D7771" s="3"/>
      <c r="E7771" s="3"/>
      <c r="F7771" s="3"/>
      <c r="G7771" s="3">
        <v>3.5061795999999998</v>
      </c>
      <c r="H7771" s="3">
        <v>-2.2936301106578099</v>
      </c>
      <c r="I7771" s="3">
        <v>3.6049457</v>
      </c>
      <c r="J7771" s="3">
        <v>3.7037113000000002</v>
      </c>
      <c r="K7771" s="3">
        <v>3.5061795999999998</v>
      </c>
      <c r="L7771" s="3">
        <v>-2.2936301106578099</v>
      </c>
    </row>
    <row r="7772" spans="1:12" ht="15" customHeight="1" x14ac:dyDescent="0.2">
      <c r="A7772" s="2">
        <v>34774</v>
      </c>
      <c r="B7772" s="3">
        <v>3.5061795999999998</v>
      </c>
      <c r="C7772" s="1">
        <v>945167</v>
      </c>
      <c r="D7772" s="3">
        <v>-9.8765800000000195E-2</v>
      </c>
      <c r="E7772" s="3">
        <v>-2.73973081534051</v>
      </c>
      <c r="F7772" s="3">
        <v>-2.73973081534051</v>
      </c>
      <c r="G7772" s="3">
        <v>3.5061795999999998</v>
      </c>
      <c r="H7772" s="3">
        <v>-2.2936301106578099</v>
      </c>
      <c r="I7772" s="3">
        <v>3.5555629999999998</v>
      </c>
      <c r="J7772" s="3">
        <v>3.6049454000000001</v>
      </c>
      <c r="K7772" s="3">
        <v>3.3580312999999999</v>
      </c>
      <c r="L7772" s="3">
        <v>-2.2936301106578099</v>
      </c>
    </row>
    <row r="7773" spans="1:12" ht="15" customHeight="1" x14ac:dyDescent="0.2">
      <c r="A7773" s="2">
        <v>34773</v>
      </c>
      <c r="B7773" s="3">
        <v>3.6049454000000001</v>
      </c>
      <c r="C7773" s="1">
        <v>86062.33</v>
      </c>
      <c r="D7773" s="3">
        <v>-1.23452999999997E-2</v>
      </c>
      <c r="E7773" s="3">
        <v>-0.341285813716873</v>
      </c>
      <c r="F7773" s="3">
        <v>-0.341285813716873</v>
      </c>
      <c r="G7773" s="3">
        <v>3.6049454000000001</v>
      </c>
      <c r="H7773" s="3">
        <v>0.458666944295338</v>
      </c>
      <c r="I7773" s="3">
        <v>3.5555629999999998</v>
      </c>
      <c r="J7773" s="3">
        <v>3.6543279000000002</v>
      </c>
      <c r="K7773" s="3">
        <v>3.5555625000000002</v>
      </c>
      <c r="L7773" s="3">
        <v>0.458666944295338</v>
      </c>
    </row>
    <row r="7774" spans="1:12" ht="15" customHeight="1" x14ac:dyDescent="0.2">
      <c r="A7774" s="2">
        <v>34772</v>
      </c>
      <c r="B7774" s="3">
        <v>3.6172906999999999</v>
      </c>
      <c r="C7774" s="1">
        <v>219712.11</v>
      </c>
      <c r="D7774" s="3">
        <v>-3.7037200000000298E-2</v>
      </c>
      <c r="E7774" s="3">
        <v>-1.01351605585258</v>
      </c>
      <c r="F7774" s="3">
        <v>-1.01351605585258</v>
      </c>
      <c r="G7774" s="3">
        <v>3.6172906999999999</v>
      </c>
      <c r="H7774" s="3">
        <v>0.80269223273032697</v>
      </c>
      <c r="I7774" s="3">
        <v>3.5555629999999998</v>
      </c>
      <c r="J7774" s="3">
        <v>3.7037113000000002</v>
      </c>
      <c r="K7774" s="3">
        <v>3.5555625000000002</v>
      </c>
      <c r="L7774" s="3">
        <v>0.80269223273032697</v>
      </c>
    </row>
    <row r="7775" spans="1:12" ht="15" customHeight="1" x14ac:dyDescent="0.2">
      <c r="A7775" s="2">
        <v>34771</v>
      </c>
      <c r="B7775" s="3">
        <v>3.6543279000000002</v>
      </c>
      <c r="C7775" s="1">
        <v>235405.8</v>
      </c>
      <c r="D7775" s="3">
        <v>-2.4691299999999701E-2</v>
      </c>
      <c r="E7775" s="3">
        <v>-0.67113811202724705</v>
      </c>
      <c r="F7775" s="3">
        <v>-0.67113811202724705</v>
      </c>
      <c r="G7775" s="3">
        <v>3.6543279000000002</v>
      </c>
      <c r="H7775" s="3">
        <v>1.8348043250103601</v>
      </c>
      <c r="I7775" s="3">
        <v>3.7037113000000002</v>
      </c>
      <c r="J7775" s="3">
        <v>3.7530937</v>
      </c>
      <c r="K7775" s="3">
        <v>3.5555625000000002</v>
      </c>
      <c r="L7775" s="3">
        <v>1.8348043250103601</v>
      </c>
    </row>
    <row r="7776" spans="1:12" ht="15" customHeight="1" x14ac:dyDescent="0.2">
      <c r="A7776" s="2">
        <v>34768</v>
      </c>
      <c r="B7776" s="3">
        <v>3.6790191999999999</v>
      </c>
      <c r="C7776" s="1">
        <v>297168.18</v>
      </c>
      <c r="D7776" s="3"/>
      <c r="E7776" s="3"/>
      <c r="F7776" s="3"/>
      <c r="G7776" s="3">
        <v>3.6790191999999999</v>
      </c>
      <c r="H7776" s="3">
        <v>2.5228744087130499</v>
      </c>
      <c r="I7776" s="3">
        <v>3.654328</v>
      </c>
      <c r="J7776" s="3">
        <v>3.7284017</v>
      </c>
      <c r="K7776" s="3">
        <v>3.6543279000000002</v>
      </c>
      <c r="L7776" s="3">
        <v>2.5228744087130499</v>
      </c>
    </row>
    <row r="7777" spans="1:12" ht="15" customHeight="1" x14ac:dyDescent="0.2">
      <c r="A7777" s="2">
        <v>34767</v>
      </c>
      <c r="B7777" s="3">
        <v>3.6790191999999999</v>
      </c>
      <c r="C7777" s="1">
        <v>166049.68</v>
      </c>
      <c r="D7777" s="3">
        <v>-2.4692100000000199E-2</v>
      </c>
      <c r="E7777" s="3">
        <v>-0.66668533262839103</v>
      </c>
      <c r="F7777" s="3">
        <v>-0.66668533262839103</v>
      </c>
      <c r="G7777" s="3">
        <v>3.6790191999999999</v>
      </c>
      <c r="H7777" s="3">
        <v>2.5228744087130499</v>
      </c>
      <c r="I7777" s="3">
        <v>3.654328</v>
      </c>
      <c r="J7777" s="3">
        <v>3.7284017</v>
      </c>
      <c r="K7777" s="3">
        <v>3.6543279000000002</v>
      </c>
      <c r="L7777" s="3">
        <v>2.5228744087130499</v>
      </c>
    </row>
    <row r="7778" spans="1:12" ht="15" customHeight="1" x14ac:dyDescent="0.2">
      <c r="A7778" s="2">
        <v>34766</v>
      </c>
      <c r="B7778" s="3">
        <v>3.7037113000000002</v>
      </c>
      <c r="C7778" s="1">
        <v>367536.8</v>
      </c>
      <c r="D7778" s="3">
        <v>-4.9382399999999799E-2</v>
      </c>
      <c r="E7778" s="3">
        <v>-1.3157785002809701</v>
      </c>
      <c r="F7778" s="3">
        <v>-1.3157785002809701</v>
      </c>
      <c r="G7778" s="3">
        <v>3.7037113000000002</v>
      </c>
      <c r="H7778" s="3">
        <v>3.21096678593887</v>
      </c>
      <c r="I7778" s="3">
        <v>3.7037113000000002</v>
      </c>
      <c r="J7778" s="3">
        <v>3.8024764000000002</v>
      </c>
      <c r="K7778" s="3">
        <v>3.6543279000000002</v>
      </c>
      <c r="L7778" s="3">
        <v>3.21096678593887</v>
      </c>
    </row>
    <row r="7779" spans="1:12" ht="15" customHeight="1" x14ac:dyDescent="0.2">
      <c r="A7779" s="2">
        <v>34765</v>
      </c>
      <c r="B7779" s="3">
        <v>3.7530937</v>
      </c>
      <c r="C7779" s="1">
        <v>389811.69999999902</v>
      </c>
      <c r="D7779" s="3">
        <v>-1.2345799999999799E-2</v>
      </c>
      <c r="E7779" s="3">
        <v>-0.32787142111829698</v>
      </c>
      <c r="F7779" s="3">
        <v>-0.32787142111829698</v>
      </c>
      <c r="G7779" s="3">
        <v>3.7530937</v>
      </c>
      <c r="H7779" s="3">
        <v>4.5871013799635003</v>
      </c>
      <c r="I7779" s="3">
        <v>3.8024770000000001</v>
      </c>
      <c r="J7779" s="3">
        <v>3.8518590000000001</v>
      </c>
      <c r="K7779" s="3">
        <v>3.6049454000000001</v>
      </c>
      <c r="L7779" s="3">
        <v>4.5871013799635003</v>
      </c>
    </row>
    <row r="7780" spans="1:12" ht="15" customHeight="1" x14ac:dyDescent="0.2">
      <c r="A7780" s="2">
        <v>34764</v>
      </c>
      <c r="B7780" s="3">
        <v>3.7654394999999998</v>
      </c>
      <c r="C7780" s="1">
        <v>674323.7</v>
      </c>
      <c r="D7780" s="3">
        <v>6.1728199999999601E-2</v>
      </c>
      <c r="E7780" s="3">
        <v>1.66665798168446</v>
      </c>
      <c r="F7780" s="3">
        <v>1.66665798168446</v>
      </c>
      <c r="G7780" s="3">
        <v>3.7654394999999998</v>
      </c>
      <c r="H7780" s="3">
        <v>4.93114060185043</v>
      </c>
      <c r="I7780" s="3">
        <v>3.8024770000000001</v>
      </c>
      <c r="J7780" s="3">
        <v>3.8024764000000002</v>
      </c>
      <c r="K7780" s="3">
        <v>3.6481547000000001</v>
      </c>
      <c r="L7780" s="3">
        <v>4.93114060185043</v>
      </c>
    </row>
    <row r="7781" spans="1:12" ht="15" customHeight="1" x14ac:dyDescent="0.2">
      <c r="A7781" s="2">
        <v>34761</v>
      </c>
      <c r="B7781" s="3">
        <v>3.7037113000000002</v>
      </c>
      <c r="C7781" s="1">
        <v>438917.97</v>
      </c>
      <c r="D7781" s="3">
        <v>4.9383399999999897E-2</v>
      </c>
      <c r="E7781" s="3">
        <v>1.35136751138287</v>
      </c>
      <c r="F7781" s="3">
        <v>1.35136751138287</v>
      </c>
      <c r="G7781" s="3">
        <v>3.7037113000000002</v>
      </c>
      <c r="H7781" s="3">
        <v>3.21096678593887</v>
      </c>
      <c r="I7781" s="3">
        <v>3.8024770000000001</v>
      </c>
      <c r="J7781" s="3">
        <v>3.8024764000000002</v>
      </c>
      <c r="K7781" s="3">
        <v>3.6543279000000002</v>
      </c>
      <c r="L7781" s="3">
        <v>3.21096678593887</v>
      </c>
    </row>
    <row r="7782" spans="1:12" ht="15" customHeight="1" x14ac:dyDescent="0.2">
      <c r="A7782" s="2">
        <v>34760</v>
      </c>
      <c r="B7782" s="3">
        <v>3.6543279000000002</v>
      </c>
      <c r="C7782" s="1">
        <v>832273.4</v>
      </c>
      <c r="D7782" s="3"/>
      <c r="E7782" s="3"/>
      <c r="F7782" s="3"/>
      <c r="G7782" s="3">
        <v>3.6543279000000002</v>
      </c>
      <c r="H7782" s="3">
        <v>1.8348043250103601</v>
      </c>
      <c r="I7782" s="3">
        <v>3.7037113000000002</v>
      </c>
      <c r="J7782" s="3">
        <v>3.8024764000000002</v>
      </c>
      <c r="K7782" s="3">
        <v>3.5061795999999998</v>
      </c>
      <c r="L7782" s="3">
        <v>1.8348043250103601</v>
      </c>
    </row>
    <row r="7783" spans="1:12" ht="15" customHeight="1" x14ac:dyDescent="0.2">
      <c r="A7783" s="2">
        <v>34759</v>
      </c>
      <c r="B7783" s="3">
        <v>3.6543279000000002</v>
      </c>
      <c r="C7783" s="1">
        <v>1079829.0999999901</v>
      </c>
      <c r="D7783" s="3">
        <v>0.19753129999999999</v>
      </c>
      <c r="E7783" s="3">
        <v>5.7142876153025703</v>
      </c>
      <c r="F7783" s="3">
        <v>5.7142876153025703</v>
      </c>
      <c r="G7783" s="3">
        <v>3.6543279000000002</v>
      </c>
      <c r="H7783" s="3">
        <v>1.8348043250103601</v>
      </c>
      <c r="I7783" s="3">
        <v>3.4567974000000001</v>
      </c>
      <c r="J7783" s="3">
        <v>3.7530937</v>
      </c>
      <c r="K7783" s="3">
        <v>3.4074132000000001</v>
      </c>
      <c r="L7783" s="3">
        <v>1.8348043250103601</v>
      </c>
    </row>
    <row r="7784" spans="1:12" ht="15" customHeight="1" x14ac:dyDescent="0.2">
      <c r="A7784" s="2">
        <v>34758</v>
      </c>
      <c r="B7784" s="3">
        <v>3.4567966000000001</v>
      </c>
      <c r="C7784" s="1">
        <v>411074.25</v>
      </c>
      <c r="D7784" s="3">
        <v>2.4691600000000102E-2</v>
      </c>
      <c r="E7784" s="3">
        <v>0.71943020391276302</v>
      </c>
      <c r="F7784" s="3">
        <v>0.71943020391276302</v>
      </c>
      <c r="G7784" s="3">
        <v>3.4567966000000001</v>
      </c>
      <c r="H7784" s="3">
        <v>-3.6697814248247602</v>
      </c>
      <c r="I7784" s="3">
        <v>3.4567974000000001</v>
      </c>
      <c r="J7784" s="3">
        <v>3.4567966000000001</v>
      </c>
      <c r="K7784" s="3">
        <v>3.3580312999999999</v>
      </c>
      <c r="L7784" s="3">
        <v>-3.6697814248247602</v>
      </c>
    </row>
    <row r="7785" spans="1:12" ht="15" customHeight="1" x14ac:dyDescent="0.2">
      <c r="A7785" s="2">
        <v>34757</v>
      </c>
      <c r="B7785" s="3">
        <v>3.432105</v>
      </c>
      <c r="C7785" s="1">
        <v>122512.27</v>
      </c>
      <c r="D7785" s="3">
        <v>7.4073700000000006E-2</v>
      </c>
      <c r="E7785" s="3">
        <v>2.2058668720568599</v>
      </c>
      <c r="F7785" s="3">
        <v>2.2058668720568599</v>
      </c>
      <c r="G7785" s="3">
        <v>3.432105</v>
      </c>
      <c r="H7785" s="3">
        <v>-4.3578598685986298</v>
      </c>
      <c r="I7785" s="3">
        <v>3.3580312999999999</v>
      </c>
      <c r="J7785" s="3">
        <v>3.4567966000000001</v>
      </c>
      <c r="K7785" s="3">
        <v>3.3580312999999999</v>
      </c>
      <c r="L7785" s="3">
        <v>-4.3578598685986298</v>
      </c>
    </row>
    <row r="7786" spans="1:12" ht="15" customHeight="1" x14ac:dyDescent="0.2">
      <c r="A7786" s="2">
        <v>34754</v>
      </c>
      <c r="B7786" s="3">
        <v>3.3580312999999999</v>
      </c>
      <c r="C7786" s="1">
        <v>133649.73000000001</v>
      </c>
      <c r="D7786" s="3">
        <v>-9.8765300000000097E-2</v>
      </c>
      <c r="E7786" s="3">
        <v>-2.8571336826702498</v>
      </c>
      <c r="F7786" s="3">
        <v>-2.8571336826702498</v>
      </c>
      <c r="G7786" s="3">
        <v>3.3580312999999999</v>
      </c>
      <c r="H7786" s="3">
        <v>-6.42206454632597</v>
      </c>
      <c r="I7786" s="3">
        <v>3.4074141999999998</v>
      </c>
      <c r="J7786" s="3">
        <v>3.4567966000000001</v>
      </c>
      <c r="K7786" s="3">
        <v>3.3580312999999999</v>
      </c>
      <c r="L7786" s="3">
        <v>-6.42206454632597</v>
      </c>
    </row>
    <row r="7787" spans="1:12" ht="15" customHeight="1" x14ac:dyDescent="0.2">
      <c r="A7787" s="2">
        <v>34753</v>
      </c>
      <c r="B7787" s="3">
        <v>3.4567966000000001</v>
      </c>
      <c r="C7787" s="1">
        <v>230849.56</v>
      </c>
      <c r="D7787" s="3"/>
      <c r="E7787" s="3"/>
      <c r="F7787" s="3"/>
      <c r="G7787" s="3">
        <v>3.4567966000000001</v>
      </c>
      <c r="H7787" s="3">
        <v>-3.6697814248247602</v>
      </c>
      <c r="I7787" s="3">
        <v>3.3580312999999999</v>
      </c>
      <c r="J7787" s="3">
        <v>3.5061795999999998</v>
      </c>
      <c r="K7787" s="3">
        <v>3.3580312999999999</v>
      </c>
      <c r="L7787" s="3">
        <v>-3.6697814248247602</v>
      </c>
    </row>
    <row r="7788" spans="1:12" ht="15" customHeight="1" x14ac:dyDescent="0.2">
      <c r="A7788" s="2">
        <v>34752</v>
      </c>
      <c r="B7788" s="3">
        <v>3.4567966000000001</v>
      </c>
      <c r="C7788" s="1">
        <v>46068.665000000001</v>
      </c>
      <c r="D7788" s="3"/>
      <c r="E7788" s="3"/>
      <c r="F7788" s="3"/>
      <c r="G7788" s="3">
        <v>3.4567966000000001</v>
      </c>
      <c r="H7788" s="3">
        <v>-3.6697814248247602</v>
      </c>
      <c r="I7788" s="3">
        <v>3.5061805000000001</v>
      </c>
      <c r="J7788" s="3">
        <v>3.5061795999999998</v>
      </c>
      <c r="K7788" s="3">
        <v>3.4074132000000001</v>
      </c>
      <c r="L7788" s="3">
        <v>-3.6697814248247602</v>
      </c>
    </row>
    <row r="7789" spans="1:12" ht="15" customHeight="1" x14ac:dyDescent="0.2">
      <c r="A7789" s="2">
        <v>34751</v>
      </c>
      <c r="B7789" s="3">
        <v>3.4567966000000001</v>
      </c>
      <c r="C7789" s="1">
        <v>310836.88</v>
      </c>
      <c r="D7789" s="3"/>
      <c r="E7789" s="3"/>
      <c r="F7789" s="3"/>
      <c r="G7789" s="3">
        <v>3.4567966000000001</v>
      </c>
      <c r="H7789" s="3">
        <v>-3.6697814248247602</v>
      </c>
      <c r="I7789" s="3">
        <v>3.4567974000000001</v>
      </c>
      <c r="J7789" s="3">
        <v>3.5061795999999998</v>
      </c>
      <c r="K7789" s="3">
        <v>3.4074132000000001</v>
      </c>
      <c r="L7789" s="3">
        <v>-3.6697814248247602</v>
      </c>
    </row>
    <row r="7790" spans="1:12" ht="15" customHeight="1" x14ac:dyDescent="0.2">
      <c r="A7790" s="2">
        <v>34747</v>
      </c>
      <c r="B7790" s="3">
        <v>3.4567966000000001</v>
      </c>
      <c r="C7790" s="1">
        <v>43537.42</v>
      </c>
      <c r="D7790" s="3">
        <v>-4.9382999999999698E-2</v>
      </c>
      <c r="E7790" s="3">
        <v>-1.4084560870755001</v>
      </c>
      <c r="F7790" s="3">
        <v>-1.4084560870755001</v>
      </c>
      <c r="G7790" s="3">
        <v>3.4567966000000001</v>
      </c>
      <c r="H7790" s="3">
        <v>-3.6697814248247602</v>
      </c>
      <c r="I7790" s="3">
        <v>3.4567974000000001</v>
      </c>
      <c r="J7790" s="3">
        <v>3.5555625000000002</v>
      </c>
      <c r="K7790" s="3">
        <v>3.4074132000000001</v>
      </c>
      <c r="L7790" s="3">
        <v>-3.6697814248247602</v>
      </c>
    </row>
    <row r="7791" spans="1:12" ht="15" customHeight="1" x14ac:dyDescent="0.2">
      <c r="A7791" s="2">
        <v>34746</v>
      </c>
      <c r="B7791" s="3">
        <v>3.5061795999999998</v>
      </c>
      <c r="C7791" s="1">
        <v>228824.57</v>
      </c>
      <c r="D7791" s="3">
        <v>-4.9382900000000299E-2</v>
      </c>
      <c r="E7791" s="3">
        <v>-1.38889134982159</v>
      </c>
      <c r="F7791" s="3">
        <v>-1.38889134982159</v>
      </c>
      <c r="G7791" s="3">
        <v>3.5061795999999998</v>
      </c>
      <c r="H7791" s="3">
        <v>-2.2936301106578099</v>
      </c>
      <c r="I7791" s="3">
        <v>3.6049457</v>
      </c>
      <c r="J7791" s="3">
        <v>3.6049454000000001</v>
      </c>
      <c r="K7791" s="3">
        <v>3.5061795999999998</v>
      </c>
      <c r="L7791" s="3">
        <v>-2.2936301106578099</v>
      </c>
    </row>
    <row r="7792" spans="1:12" ht="15" customHeight="1" x14ac:dyDescent="0.2">
      <c r="A7792" s="2">
        <v>34745</v>
      </c>
      <c r="B7792" s="3">
        <v>3.5555625000000002</v>
      </c>
      <c r="C7792" s="1">
        <v>588767.69999999995</v>
      </c>
      <c r="D7792" s="3">
        <v>1.23459999999999E-2</v>
      </c>
      <c r="E7792" s="3">
        <v>0.34844046362958397</v>
      </c>
      <c r="F7792" s="3">
        <v>0.34844046362958397</v>
      </c>
      <c r="G7792" s="3">
        <v>3.5555625000000002</v>
      </c>
      <c r="H7792" s="3">
        <v>-0.91748158318123096</v>
      </c>
      <c r="I7792" s="3">
        <v>3.6049457</v>
      </c>
      <c r="J7792" s="3">
        <v>3.6049454000000001</v>
      </c>
      <c r="K7792" s="3">
        <v>3.4567966000000001</v>
      </c>
      <c r="L7792" s="3">
        <v>-0.91748158318123096</v>
      </c>
    </row>
    <row r="7793" spans="1:12" ht="15" customHeight="1" x14ac:dyDescent="0.2">
      <c r="A7793" s="2">
        <v>34744</v>
      </c>
      <c r="B7793" s="3">
        <v>3.5432165000000002</v>
      </c>
      <c r="C7793" s="1">
        <v>59231.14</v>
      </c>
      <c r="D7793" s="3">
        <v>-6.1728899999999802E-2</v>
      </c>
      <c r="E7793" s="3">
        <v>-1.7123393879973801</v>
      </c>
      <c r="F7793" s="3">
        <v>-1.7123393879973801</v>
      </c>
      <c r="G7793" s="3">
        <v>3.5432165000000002</v>
      </c>
      <c r="H7793" s="3">
        <v>-1.2615263784489299</v>
      </c>
      <c r="I7793" s="3">
        <v>3.6049457</v>
      </c>
      <c r="J7793" s="3">
        <v>3.6049454000000001</v>
      </c>
      <c r="K7793" s="3">
        <v>3.4567966000000001</v>
      </c>
      <c r="L7793" s="3">
        <v>-1.2615263784489299</v>
      </c>
    </row>
    <row r="7794" spans="1:12" ht="15" customHeight="1" x14ac:dyDescent="0.2">
      <c r="A7794" s="2">
        <v>34743</v>
      </c>
      <c r="B7794" s="3">
        <v>3.6049454000000001</v>
      </c>
      <c r="C7794" s="1">
        <v>212624.59</v>
      </c>
      <c r="D7794" s="3">
        <v>9.8765800000000195E-2</v>
      </c>
      <c r="E7794" s="3">
        <v>2.8169064699366801</v>
      </c>
      <c r="F7794" s="3">
        <v>2.8169064699366801</v>
      </c>
      <c r="G7794" s="3">
        <v>3.6049454000000001</v>
      </c>
      <c r="H7794" s="3">
        <v>0.458666944295338</v>
      </c>
      <c r="I7794" s="3">
        <v>3.4567974000000001</v>
      </c>
      <c r="J7794" s="3">
        <v>3.6049454000000001</v>
      </c>
      <c r="K7794" s="3">
        <v>3.4567966000000001</v>
      </c>
      <c r="L7794" s="3">
        <v>0.458666944295338</v>
      </c>
    </row>
    <row r="7795" spans="1:12" ht="15" customHeight="1" x14ac:dyDescent="0.2">
      <c r="A7795" s="2">
        <v>34740</v>
      </c>
      <c r="B7795" s="3">
        <v>3.5061795999999998</v>
      </c>
      <c r="C7795" s="1">
        <v>519411.5</v>
      </c>
      <c r="D7795" s="3">
        <v>9.8766399999999699E-2</v>
      </c>
      <c r="E7795" s="3">
        <v>2.8985742028586299</v>
      </c>
      <c r="F7795" s="3">
        <v>2.8985742028586299</v>
      </c>
      <c r="G7795" s="3">
        <v>3.5061795999999998</v>
      </c>
      <c r="H7795" s="3">
        <v>-2.2936301106578099</v>
      </c>
      <c r="I7795" s="3">
        <v>3.4074141999999998</v>
      </c>
      <c r="J7795" s="3">
        <v>3.5061795999999998</v>
      </c>
      <c r="K7795" s="3">
        <v>3.4074132000000001</v>
      </c>
      <c r="L7795" s="3">
        <v>-2.2936301106578099</v>
      </c>
    </row>
    <row r="7796" spans="1:12" ht="15" customHeight="1" x14ac:dyDescent="0.2">
      <c r="A7796" s="2">
        <v>34739</v>
      </c>
      <c r="B7796" s="3">
        <v>3.4074132000000001</v>
      </c>
      <c r="C7796" s="1">
        <v>213637.1</v>
      </c>
      <c r="D7796" s="3">
        <v>-9.8766399999999699E-2</v>
      </c>
      <c r="E7796" s="3">
        <v>-2.8169235825797299</v>
      </c>
      <c r="F7796" s="3">
        <v>-2.8169235825797299</v>
      </c>
      <c r="G7796" s="3">
        <v>3.4074132000000001</v>
      </c>
      <c r="H7796" s="3">
        <v>-5.0459438857532701</v>
      </c>
      <c r="I7796" s="3">
        <v>3.4567974000000001</v>
      </c>
      <c r="J7796" s="3">
        <v>3.5061795999999998</v>
      </c>
      <c r="K7796" s="3">
        <v>3.4074132000000001</v>
      </c>
      <c r="L7796" s="3">
        <v>-5.0459438857532701</v>
      </c>
    </row>
    <row r="7797" spans="1:12" ht="15" customHeight="1" x14ac:dyDescent="0.2">
      <c r="A7797" s="2">
        <v>34738</v>
      </c>
      <c r="B7797" s="3">
        <v>3.5061795999999998</v>
      </c>
      <c r="C7797" s="1">
        <v>556367.69999999995</v>
      </c>
      <c r="D7797" s="3">
        <v>9.8766399999999699E-2</v>
      </c>
      <c r="E7797" s="3">
        <v>2.8985742028586299</v>
      </c>
      <c r="F7797" s="3">
        <v>2.8985742028586299</v>
      </c>
      <c r="G7797" s="3">
        <v>3.5061795999999998</v>
      </c>
      <c r="H7797" s="3">
        <v>-2.2936301106578099</v>
      </c>
      <c r="I7797" s="3">
        <v>3.4074141999999998</v>
      </c>
      <c r="J7797" s="3">
        <v>3.5061795999999998</v>
      </c>
      <c r="K7797" s="3">
        <v>3.3580312999999999</v>
      </c>
      <c r="L7797" s="3">
        <v>-2.2936301106578099</v>
      </c>
    </row>
    <row r="7798" spans="1:12" ht="15" customHeight="1" x14ac:dyDescent="0.2">
      <c r="A7798" s="2">
        <v>34737</v>
      </c>
      <c r="B7798" s="3">
        <v>3.4074132000000001</v>
      </c>
      <c r="C7798" s="1">
        <v>490049.06999999902</v>
      </c>
      <c r="D7798" s="3">
        <v>9.8765200000000303E-2</v>
      </c>
      <c r="E7798" s="3">
        <v>2.9850621764539502</v>
      </c>
      <c r="F7798" s="3">
        <v>2.9850621764539502</v>
      </c>
      <c r="G7798" s="3">
        <v>3.4074132000000001</v>
      </c>
      <c r="H7798" s="3">
        <v>-5.0459438857532701</v>
      </c>
      <c r="I7798" s="3">
        <v>3.4074141999999998</v>
      </c>
      <c r="J7798" s="3">
        <v>3.4567966000000001</v>
      </c>
      <c r="K7798" s="3">
        <v>3.3086479999999998</v>
      </c>
      <c r="L7798" s="3">
        <v>-5.0459438857532701</v>
      </c>
    </row>
    <row r="7799" spans="1:12" ht="15" customHeight="1" x14ac:dyDescent="0.2">
      <c r="A7799" s="2">
        <v>34736</v>
      </c>
      <c r="B7799" s="3">
        <v>3.3086479999999998</v>
      </c>
      <c r="C7799" s="1">
        <v>1485840.8</v>
      </c>
      <c r="D7799" s="3">
        <v>0.29629620000000001</v>
      </c>
      <c r="E7799" s="3">
        <v>9.8360423905335193</v>
      </c>
      <c r="F7799" s="3">
        <v>9.8360423905335193</v>
      </c>
      <c r="G7799" s="3">
        <v>3.3086479999999998</v>
      </c>
      <c r="H7799" s="3">
        <v>-7.7982242205640997</v>
      </c>
      <c r="I7799" s="3">
        <v>3.1605007999999999</v>
      </c>
      <c r="J7799" s="3">
        <v>3.3580312999999999</v>
      </c>
      <c r="K7799" s="3">
        <v>3.0123517999999998</v>
      </c>
      <c r="L7799" s="3">
        <v>-7.7982242205640997</v>
      </c>
    </row>
    <row r="7800" spans="1:12" ht="15" customHeight="1" x14ac:dyDescent="0.2">
      <c r="A7800" s="2">
        <v>34733</v>
      </c>
      <c r="B7800" s="3">
        <v>3.0123517999999998</v>
      </c>
      <c r="C7800" s="1">
        <v>223255.8</v>
      </c>
      <c r="D7800" s="3">
        <v>-0.160494</v>
      </c>
      <c r="E7800" s="3">
        <v>-5.0583611721691604</v>
      </c>
      <c r="F7800" s="3">
        <v>-5.0583611721691604</v>
      </c>
      <c r="G7800" s="3">
        <v>3.0123517999999998</v>
      </c>
      <c r="H7800" s="3">
        <v>-16.055081945138799</v>
      </c>
      <c r="I7800" s="3">
        <v>3.209883</v>
      </c>
      <c r="J7800" s="3">
        <v>3.2098827000000001</v>
      </c>
      <c r="K7800" s="3">
        <v>3.0123517999999998</v>
      </c>
      <c r="L7800" s="3">
        <v>-16.055081945138799</v>
      </c>
    </row>
    <row r="7801" spans="1:12" ht="15" customHeight="1" x14ac:dyDescent="0.2">
      <c r="A7801" s="2">
        <v>34732</v>
      </c>
      <c r="B7801" s="3">
        <v>3.1728458000000002</v>
      </c>
      <c r="C7801" s="1">
        <v>290586.98</v>
      </c>
      <c r="D7801" s="3">
        <v>-3.70368999999999E-2</v>
      </c>
      <c r="E7801" s="3">
        <v>-1.15383967146213</v>
      </c>
      <c r="F7801" s="3">
        <v>-1.15383967146213</v>
      </c>
      <c r="G7801" s="3">
        <v>3.1728458000000002</v>
      </c>
      <c r="H7801" s="3">
        <v>-11.5826110742741</v>
      </c>
      <c r="I7801" s="3">
        <v>3.209883</v>
      </c>
      <c r="J7801" s="3">
        <v>3.2098827000000001</v>
      </c>
      <c r="K7801" s="3">
        <v>3.1604998000000002</v>
      </c>
      <c r="L7801" s="3">
        <v>-11.5826110742741</v>
      </c>
    </row>
    <row r="7802" spans="1:12" ht="15" customHeight="1" x14ac:dyDescent="0.2">
      <c r="A7802" s="2">
        <v>34731</v>
      </c>
      <c r="B7802" s="3">
        <v>3.2098827000000001</v>
      </c>
      <c r="C7802" s="1">
        <v>1196772.7</v>
      </c>
      <c r="D7802" s="3">
        <v>9.8766100000000107E-2</v>
      </c>
      <c r="E7802" s="3">
        <v>3.1746190419221301</v>
      </c>
      <c r="F7802" s="3">
        <v>3.1746190419221301</v>
      </c>
      <c r="G7802" s="3">
        <v>3.2098827000000001</v>
      </c>
      <c r="H7802" s="3">
        <v>-10.5505073420653</v>
      </c>
      <c r="I7802" s="3">
        <v>3.209883</v>
      </c>
      <c r="J7802" s="3">
        <v>3.2098827000000001</v>
      </c>
      <c r="K7802" s="3">
        <v>3.1604998000000002</v>
      </c>
      <c r="L7802" s="3">
        <v>-10.5505073420653</v>
      </c>
    </row>
    <row r="7803" spans="1:12" ht="15" customHeight="1" x14ac:dyDescent="0.2">
      <c r="A7803" s="2">
        <v>34730</v>
      </c>
      <c r="B7803" s="3">
        <v>3.1111165999999999</v>
      </c>
      <c r="C7803" s="1">
        <v>59231.14</v>
      </c>
      <c r="D7803" s="3"/>
      <c r="E7803" s="3"/>
      <c r="F7803" s="3"/>
      <c r="G7803" s="3">
        <v>3.1111165999999999</v>
      </c>
      <c r="H7803" s="3">
        <v>-13.302812757089599</v>
      </c>
      <c r="I7803" s="3">
        <v>3.1111176</v>
      </c>
      <c r="J7803" s="3">
        <v>3.1111165999999999</v>
      </c>
      <c r="K7803" s="3">
        <v>3.0123517999999998</v>
      </c>
      <c r="L7803" s="3">
        <v>-13.302812757089599</v>
      </c>
    </row>
    <row r="7804" spans="1:12" ht="15" customHeight="1" x14ac:dyDescent="0.2">
      <c r="A7804" s="2">
        <v>34729</v>
      </c>
      <c r="B7804" s="3">
        <v>3.1111165999999999</v>
      </c>
      <c r="C7804" s="1">
        <v>60243.633000000002</v>
      </c>
      <c r="D7804" s="3">
        <v>-4.9383200000000203E-2</v>
      </c>
      <c r="E7804" s="3">
        <v>-1.5625123595957899</v>
      </c>
      <c r="F7804" s="3">
        <v>-1.5625123595957899</v>
      </c>
      <c r="G7804" s="3">
        <v>3.1111165999999999</v>
      </c>
      <c r="H7804" s="3">
        <v>-13.302812757089599</v>
      </c>
      <c r="I7804" s="3">
        <v>3.1111176</v>
      </c>
      <c r="J7804" s="3">
        <v>3.2098827000000001</v>
      </c>
      <c r="K7804" s="3">
        <v>3.0123517999999998</v>
      </c>
      <c r="L7804" s="3">
        <v>-13.302812757089599</v>
      </c>
    </row>
    <row r="7805" spans="1:12" ht="15" customHeight="1" x14ac:dyDescent="0.2">
      <c r="A7805" s="2">
        <v>34726</v>
      </c>
      <c r="B7805" s="3">
        <v>3.1604998000000002</v>
      </c>
      <c r="C7805" s="1">
        <v>198955.87</v>
      </c>
      <c r="D7805" s="3">
        <v>4.9383200000000203E-2</v>
      </c>
      <c r="E7805" s="3">
        <v>1.58731434238112</v>
      </c>
      <c r="F7805" s="3">
        <v>1.58731434238112</v>
      </c>
      <c r="G7805" s="3">
        <v>3.1604998000000002</v>
      </c>
      <c r="H7805" s="3">
        <v>-11.926655869541801</v>
      </c>
      <c r="I7805" s="3">
        <v>3.209883</v>
      </c>
      <c r="J7805" s="3">
        <v>3.2098827000000001</v>
      </c>
      <c r="K7805" s="3">
        <v>3.1111165999999999</v>
      </c>
      <c r="L7805" s="3">
        <v>-11.926655869541801</v>
      </c>
    </row>
    <row r="7806" spans="1:12" ht="15" customHeight="1" x14ac:dyDescent="0.2">
      <c r="A7806" s="2">
        <v>34725</v>
      </c>
      <c r="B7806" s="3">
        <v>3.1111165999999999</v>
      </c>
      <c r="C7806" s="1">
        <v>11137.48</v>
      </c>
      <c r="D7806" s="3">
        <v>-9.8766100000000107E-2</v>
      </c>
      <c r="E7806" s="3">
        <v>-3.0769379828116499</v>
      </c>
      <c r="F7806" s="3">
        <v>-3.0769379828116499</v>
      </c>
      <c r="G7806" s="3">
        <v>3.1111165999999999</v>
      </c>
      <c r="H7806" s="3">
        <v>-13.302812757089599</v>
      </c>
      <c r="I7806" s="3">
        <v>3.209883</v>
      </c>
      <c r="J7806" s="3">
        <v>3.2098827000000001</v>
      </c>
      <c r="K7806" s="3">
        <v>3.1111165999999999</v>
      </c>
      <c r="L7806" s="3">
        <v>-13.302812757089599</v>
      </c>
    </row>
    <row r="7807" spans="1:12" ht="15" customHeight="1" x14ac:dyDescent="0.2">
      <c r="A7807" s="2">
        <v>34724</v>
      </c>
      <c r="B7807" s="3">
        <v>3.2098827000000001</v>
      </c>
      <c r="C7807" s="1">
        <v>57712.39</v>
      </c>
      <c r="D7807" s="3">
        <v>4.9382899999999799E-2</v>
      </c>
      <c r="E7807" s="3">
        <v>1.5625028674262</v>
      </c>
      <c r="F7807" s="3">
        <v>1.5625028674262</v>
      </c>
      <c r="G7807" s="3">
        <v>3.2098827000000001</v>
      </c>
      <c r="H7807" s="3">
        <v>-10.5505073420653</v>
      </c>
      <c r="I7807" s="3">
        <v>3.1111176</v>
      </c>
      <c r="J7807" s="3">
        <v>3.2098827000000001</v>
      </c>
      <c r="K7807" s="3">
        <v>3.0617344000000002</v>
      </c>
      <c r="L7807" s="3">
        <v>-10.5505073420653</v>
      </c>
    </row>
    <row r="7808" spans="1:12" ht="15" customHeight="1" x14ac:dyDescent="0.2">
      <c r="A7808" s="2">
        <v>34723</v>
      </c>
      <c r="B7808" s="3">
        <v>3.1604998000000002</v>
      </c>
      <c r="C7808" s="1">
        <v>147824.72</v>
      </c>
      <c r="D7808" s="3">
        <v>0.148148</v>
      </c>
      <c r="E7808" s="3">
        <v>4.9180178756013904</v>
      </c>
      <c r="F7808" s="3">
        <v>4.9180178756013904</v>
      </c>
      <c r="G7808" s="3">
        <v>3.1604998000000002</v>
      </c>
      <c r="H7808" s="3">
        <v>-11.926655869541801</v>
      </c>
      <c r="I7808" s="3">
        <v>3.0123517999999998</v>
      </c>
      <c r="J7808" s="3">
        <v>3.2098827000000001</v>
      </c>
      <c r="K7808" s="3">
        <v>3.0123517999999998</v>
      </c>
      <c r="L7808" s="3">
        <v>-11.926655869541801</v>
      </c>
    </row>
    <row r="7809" spans="1:12" ht="15" customHeight="1" x14ac:dyDescent="0.2">
      <c r="A7809" s="2">
        <v>34722</v>
      </c>
      <c r="B7809" s="3">
        <v>3.0123517999999998</v>
      </c>
      <c r="C7809" s="1">
        <v>9112.4829999999893</v>
      </c>
      <c r="D7809" s="3">
        <v>-4.9382600000000297E-2</v>
      </c>
      <c r="E7809" s="3">
        <v>-1.61289627212602</v>
      </c>
      <c r="F7809" s="3">
        <v>-1.61289627212602</v>
      </c>
      <c r="G7809" s="3">
        <v>3.0123517999999998</v>
      </c>
      <c r="H7809" s="3">
        <v>-16.055081945138799</v>
      </c>
      <c r="I7809" s="3">
        <v>3.1605007999999999</v>
      </c>
      <c r="J7809" s="3">
        <v>3.1604998000000002</v>
      </c>
      <c r="K7809" s="3">
        <v>3.0123517999999998</v>
      </c>
      <c r="L7809" s="3">
        <v>-16.055081945138799</v>
      </c>
    </row>
    <row r="7810" spans="1:12" ht="15" customHeight="1" x14ac:dyDescent="0.2">
      <c r="A7810" s="2">
        <v>34719</v>
      </c>
      <c r="B7810" s="3">
        <v>3.0617344000000002</v>
      </c>
      <c r="C7810" s="1">
        <v>56193.637999999999</v>
      </c>
      <c r="D7810" s="3">
        <v>-7.4074099999999796E-2</v>
      </c>
      <c r="E7810" s="3">
        <v>-2.3622010081291598</v>
      </c>
      <c r="F7810" s="3">
        <v>-2.3622010081291598</v>
      </c>
      <c r="G7810" s="3">
        <v>3.0617344000000002</v>
      </c>
      <c r="H7810" s="3">
        <v>-14.678941777733399</v>
      </c>
      <c r="I7810" s="3">
        <v>3.0617347000000001</v>
      </c>
      <c r="J7810" s="3">
        <v>3.2098827000000001</v>
      </c>
      <c r="K7810" s="3">
        <v>3.0617344000000002</v>
      </c>
      <c r="L7810" s="3">
        <v>-14.678941777733399</v>
      </c>
    </row>
    <row r="7811" spans="1:12" ht="15" customHeight="1" x14ac:dyDescent="0.2">
      <c r="A7811" s="2">
        <v>34718</v>
      </c>
      <c r="B7811" s="3">
        <v>3.1358085</v>
      </c>
      <c r="C7811" s="1">
        <v>32399.937000000002</v>
      </c>
      <c r="D7811" s="3">
        <v>-4.9382699999999703E-2</v>
      </c>
      <c r="E7811" s="3">
        <v>-1.5503841653210599</v>
      </c>
      <c r="F7811" s="3">
        <v>-1.5503841653210599</v>
      </c>
      <c r="G7811" s="3">
        <v>3.1358085</v>
      </c>
      <c r="H7811" s="3">
        <v>-12.6147259532445</v>
      </c>
      <c r="I7811" s="3">
        <v>3.209883</v>
      </c>
      <c r="J7811" s="3">
        <v>3.2098827000000001</v>
      </c>
      <c r="K7811" s="3">
        <v>3.1111165999999999</v>
      </c>
      <c r="L7811" s="3">
        <v>-12.6147259532445</v>
      </c>
    </row>
    <row r="7812" spans="1:12" ht="15" customHeight="1" x14ac:dyDescent="0.2">
      <c r="A7812" s="2">
        <v>34717</v>
      </c>
      <c r="B7812" s="3">
        <v>3.1851912000000002</v>
      </c>
      <c r="C7812" s="1">
        <v>196424.6</v>
      </c>
      <c r="D7812" s="3">
        <v>2.4691399999999499E-2</v>
      </c>
      <c r="E7812" s="3">
        <v>0.78124985168483896</v>
      </c>
      <c r="F7812" s="3">
        <v>0.78124985168483896</v>
      </c>
      <c r="G7812" s="3">
        <v>3.1851912000000002</v>
      </c>
      <c r="H7812" s="3">
        <v>-11.238582999148701</v>
      </c>
      <c r="I7812" s="3">
        <v>3.2592660000000002</v>
      </c>
      <c r="J7812" s="3">
        <v>3.2592656999999998</v>
      </c>
      <c r="K7812" s="3">
        <v>3.1111165999999999</v>
      </c>
      <c r="L7812" s="3">
        <v>-11.238582999148701</v>
      </c>
    </row>
    <row r="7813" spans="1:12" ht="15" customHeight="1" x14ac:dyDescent="0.2">
      <c r="A7813" s="2">
        <v>34716</v>
      </c>
      <c r="B7813" s="3">
        <v>3.1604998000000002</v>
      </c>
      <c r="C7813" s="1">
        <v>174655.91</v>
      </c>
      <c r="D7813" s="3">
        <v>9.8765400000000003E-2</v>
      </c>
      <c r="E7813" s="3">
        <v>3.2257990764972901</v>
      </c>
      <c r="F7813" s="3">
        <v>3.2257990764972901</v>
      </c>
      <c r="G7813" s="3">
        <v>3.1604998000000002</v>
      </c>
      <c r="H7813" s="3">
        <v>-11.926655869541801</v>
      </c>
      <c r="I7813" s="3">
        <v>3.1111176</v>
      </c>
      <c r="J7813" s="3">
        <v>3.2592656999999998</v>
      </c>
      <c r="K7813" s="3">
        <v>3.0123517999999998</v>
      </c>
      <c r="L7813" s="3">
        <v>-11.926655869541801</v>
      </c>
    </row>
    <row r="7814" spans="1:12" ht="15" customHeight="1" x14ac:dyDescent="0.2">
      <c r="A7814" s="2">
        <v>34715</v>
      </c>
      <c r="B7814" s="3">
        <v>3.0617344000000002</v>
      </c>
      <c r="C7814" s="1">
        <v>291093.23</v>
      </c>
      <c r="D7814" s="3">
        <v>0.19753119999999999</v>
      </c>
      <c r="E7814" s="3">
        <v>6.8965497978635097</v>
      </c>
      <c r="F7814" s="3">
        <v>6.8965497978635097</v>
      </c>
      <c r="G7814" s="3">
        <v>3.0617344000000002</v>
      </c>
      <c r="H7814" s="3">
        <v>-14.678941777733399</v>
      </c>
      <c r="I7814" s="3">
        <v>2.8642031999999999</v>
      </c>
      <c r="J7814" s="3">
        <v>3.0617344000000002</v>
      </c>
      <c r="K7814" s="3">
        <v>2.7777832</v>
      </c>
      <c r="L7814" s="3">
        <v>-14.678941777733399</v>
      </c>
    </row>
    <row r="7815" spans="1:12" ht="15" customHeight="1" x14ac:dyDescent="0.2">
      <c r="A7815" s="2">
        <v>34712</v>
      </c>
      <c r="B7815" s="3">
        <v>2.8642031999999999</v>
      </c>
      <c r="C7815" s="1">
        <v>255149.5</v>
      </c>
      <c r="D7815" s="3">
        <v>4.9382899999999799E-2</v>
      </c>
      <c r="E7815" s="3">
        <v>1.7543890812496901</v>
      </c>
      <c r="F7815" s="3">
        <v>1.7543890812496901</v>
      </c>
      <c r="G7815" s="3">
        <v>2.8642031999999999</v>
      </c>
      <c r="H7815" s="3">
        <v>-20.183524740878202</v>
      </c>
      <c r="I7815" s="3">
        <v>2.8642031999999999</v>
      </c>
      <c r="J7815" s="3">
        <v>2.8642031999999999</v>
      </c>
      <c r="K7815" s="3">
        <v>2.7654377999999999</v>
      </c>
      <c r="L7815" s="3">
        <v>-20.183524740878202</v>
      </c>
    </row>
    <row r="7816" spans="1:12" ht="15" customHeight="1" x14ac:dyDescent="0.2">
      <c r="A7816" s="2">
        <v>34711</v>
      </c>
      <c r="B7816" s="3">
        <v>2.8148203000000001</v>
      </c>
      <c r="C7816" s="1">
        <v>269830.71999999997</v>
      </c>
      <c r="D7816" s="3">
        <v>4.93825000000001E-2</v>
      </c>
      <c r="E7816" s="3">
        <v>1.7857027917966599</v>
      </c>
      <c r="F7816" s="3">
        <v>1.7857027917966599</v>
      </c>
      <c r="G7816" s="3">
        <v>2.8148203000000001</v>
      </c>
      <c r="H7816" s="3">
        <v>-21.5596732683547</v>
      </c>
      <c r="I7816" s="3">
        <v>2.7654377999999999</v>
      </c>
      <c r="J7816" s="3">
        <v>2.8642031999999999</v>
      </c>
      <c r="K7816" s="3">
        <v>2.7654377999999999</v>
      </c>
      <c r="L7816" s="3">
        <v>-21.5596732683547</v>
      </c>
    </row>
    <row r="7817" spans="1:12" ht="15" customHeight="1" x14ac:dyDescent="0.2">
      <c r="A7817" s="2">
        <v>34710</v>
      </c>
      <c r="B7817" s="3">
        <v>2.7654377999999999</v>
      </c>
      <c r="C7817" s="1">
        <v>686473.75</v>
      </c>
      <c r="D7817" s="3">
        <v>-4.93825000000001E-2</v>
      </c>
      <c r="E7817" s="3">
        <v>-1.75437487075107</v>
      </c>
      <c r="F7817" s="3">
        <v>-1.75437487075107</v>
      </c>
      <c r="G7817" s="3">
        <v>2.7654377999999999</v>
      </c>
      <c r="H7817" s="3">
        <v>-22.935810649069801</v>
      </c>
      <c r="I7817" s="3">
        <v>2.7160549999999999</v>
      </c>
      <c r="J7817" s="3">
        <v>2.8148203000000001</v>
      </c>
      <c r="K7817" s="3">
        <v>2.7160549999999999</v>
      </c>
      <c r="L7817" s="3">
        <v>-22.935810649069801</v>
      </c>
    </row>
    <row r="7818" spans="1:12" ht="15" customHeight="1" x14ac:dyDescent="0.2">
      <c r="A7818" s="2">
        <v>34709</v>
      </c>
      <c r="B7818" s="3">
        <v>2.8148203000000001</v>
      </c>
      <c r="C7818" s="1">
        <v>325518.13</v>
      </c>
      <c r="D7818" s="3">
        <v>-4.9382899999999799E-2</v>
      </c>
      <c r="E7818" s="3">
        <v>-1.72414094083827</v>
      </c>
      <c r="F7818" s="3">
        <v>-1.72414094083827</v>
      </c>
      <c r="G7818" s="3">
        <v>2.8148203000000001</v>
      </c>
      <c r="H7818" s="3">
        <v>-21.5596732683547</v>
      </c>
      <c r="I7818" s="3">
        <v>2.8148208000000001</v>
      </c>
      <c r="J7818" s="3">
        <v>2.8642031999999999</v>
      </c>
      <c r="K7818" s="3">
        <v>2.7160549999999999</v>
      </c>
      <c r="L7818" s="3">
        <v>-21.5596732683547</v>
      </c>
    </row>
    <row r="7819" spans="1:12" ht="15" customHeight="1" x14ac:dyDescent="0.2">
      <c r="A7819" s="2">
        <v>34708</v>
      </c>
      <c r="B7819" s="3">
        <v>2.8642031999999999</v>
      </c>
      <c r="C7819" s="1">
        <v>385761.8</v>
      </c>
      <c r="D7819" s="3">
        <v>-4.93825000000001E-2</v>
      </c>
      <c r="E7819" s="3">
        <v>-1.6949046667822401</v>
      </c>
      <c r="F7819" s="3">
        <v>-1.6949046667822401</v>
      </c>
      <c r="G7819" s="3">
        <v>2.8642031999999999</v>
      </c>
      <c r="H7819" s="3">
        <v>-20.183524740878202</v>
      </c>
      <c r="I7819" s="3">
        <v>2.9629690000000002</v>
      </c>
      <c r="J7819" s="3">
        <v>2.9629683</v>
      </c>
      <c r="K7819" s="3">
        <v>2.8148203000000001</v>
      </c>
      <c r="L7819" s="3">
        <v>-20.183524740878202</v>
      </c>
    </row>
    <row r="7820" spans="1:12" ht="15" customHeight="1" x14ac:dyDescent="0.2">
      <c r="A7820" s="2">
        <v>34705</v>
      </c>
      <c r="B7820" s="3">
        <v>2.9135857000000001</v>
      </c>
      <c r="C7820" s="1">
        <v>210599.6</v>
      </c>
      <c r="D7820" s="3">
        <v>-2.4691299999999701E-2</v>
      </c>
      <c r="E7820" s="3">
        <v>-0.84033261670018999</v>
      </c>
      <c r="F7820" s="3">
        <v>-0.84033261670018999</v>
      </c>
      <c r="G7820" s="3">
        <v>2.9135857000000001</v>
      </c>
      <c r="H7820" s="3">
        <v>-18.807387360163101</v>
      </c>
      <c r="I7820" s="3">
        <v>2.9382777</v>
      </c>
      <c r="J7820" s="3">
        <v>2.9629683</v>
      </c>
      <c r="K7820" s="3">
        <v>2.9135857000000001</v>
      </c>
      <c r="L7820" s="3">
        <v>-18.807387360163101</v>
      </c>
    </row>
    <row r="7821" spans="1:12" ht="15" customHeight="1" x14ac:dyDescent="0.2">
      <c r="A7821" s="2">
        <v>34704</v>
      </c>
      <c r="B7821" s="3">
        <v>2.9382769999999998</v>
      </c>
      <c r="C7821" s="1">
        <v>129093.49</v>
      </c>
      <c r="D7821" s="3">
        <v>-7.4074799999999996E-2</v>
      </c>
      <c r="E7821" s="3">
        <v>-2.4590354951237701</v>
      </c>
      <c r="F7821" s="3">
        <v>-2.4590354951237701</v>
      </c>
      <c r="G7821" s="3">
        <v>2.9382769999999998</v>
      </c>
      <c r="H7821" s="3">
        <v>-18.1193172764604</v>
      </c>
      <c r="I7821" s="3">
        <v>3.0123517999999998</v>
      </c>
      <c r="J7821" s="3">
        <v>3.0123517999999998</v>
      </c>
      <c r="K7821" s="3">
        <v>2.9135857000000001</v>
      </c>
      <c r="L7821" s="3">
        <v>-18.1193172764604</v>
      </c>
    </row>
    <row r="7822" spans="1:12" ht="15" customHeight="1" x14ac:dyDescent="0.2">
      <c r="A7822" s="2">
        <v>34703</v>
      </c>
      <c r="B7822" s="3">
        <v>3.0123517999999998</v>
      </c>
      <c r="C7822" s="1">
        <v>172124.66</v>
      </c>
      <c r="D7822" s="3">
        <v>9.8766099999999704E-2</v>
      </c>
      <c r="E7822" s="3">
        <v>3.38984708773109</v>
      </c>
      <c r="F7822" s="3">
        <v>3.38984708773109</v>
      </c>
      <c r="G7822" s="3">
        <v>3.0123517999999998</v>
      </c>
      <c r="H7822" s="3">
        <v>-16.055081945138799</v>
      </c>
      <c r="I7822" s="3">
        <v>2.9629690000000002</v>
      </c>
      <c r="J7822" s="3">
        <v>3.0123517999999998</v>
      </c>
      <c r="K7822" s="3">
        <v>2.8148203000000001</v>
      </c>
      <c r="L7822" s="3">
        <v>-16.055081945138799</v>
      </c>
    </row>
    <row r="7823" spans="1:12" ht="15" customHeight="1" x14ac:dyDescent="0.2">
      <c r="A7823" s="2">
        <v>34702</v>
      </c>
      <c r="B7823" s="3">
        <v>2.9135857000000001</v>
      </c>
      <c r="C7823" s="1">
        <v>431324.22</v>
      </c>
      <c r="D7823" s="3">
        <v>-0.19753089999999901</v>
      </c>
      <c r="E7823" s="3">
        <v>-6.3491962982036698</v>
      </c>
      <c r="F7823" s="3">
        <v>-6.3491962982036698</v>
      </c>
      <c r="G7823" s="3">
        <v>2.9135857000000001</v>
      </c>
      <c r="H7823" s="3">
        <v>-18.807387360163101</v>
      </c>
      <c r="I7823" s="3">
        <v>3.1111176</v>
      </c>
      <c r="J7823" s="3">
        <v>3.1111165999999999</v>
      </c>
      <c r="K7823" s="3">
        <v>2.8148203000000001</v>
      </c>
      <c r="L7823" s="3">
        <v>-18.807387360163101</v>
      </c>
    </row>
    <row r="7824" spans="1:12" ht="15" customHeight="1" x14ac:dyDescent="0.2">
      <c r="A7824" s="2">
        <v>34698</v>
      </c>
      <c r="B7824" s="3">
        <v>3.1111165999999999</v>
      </c>
      <c r="C7824" s="1">
        <v>232368.32</v>
      </c>
      <c r="D7824" s="3">
        <v>7.4073599999999698E-2</v>
      </c>
      <c r="E7824" s="3">
        <v>2.4390039917116599</v>
      </c>
      <c r="F7824" s="3">
        <v>2.4390039917116599</v>
      </c>
      <c r="G7824" s="3">
        <v>3.1111165999999999</v>
      </c>
      <c r="H7824" s="3">
        <v>-13.302812757089599</v>
      </c>
      <c r="I7824" s="3">
        <v>3.0123517999999998</v>
      </c>
      <c r="J7824" s="3">
        <v>3.1111165999999999</v>
      </c>
      <c r="K7824" s="3">
        <v>3.0123517999999998</v>
      </c>
      <c r="L7824" s="3">
        <v>-13.302812757089599</v>
      </c>
    </row>
    <row r="7825" spans="1:12" ht="15" customHeight="1" x14ac:dyDescent="0.2">
      <c r="A7825" s="2">
        <v>34697</v>
      </c>
      <c r="B7825" s="3">
        <v>3.0370430000000002</v>
      </c>
      <c r="C7825" s="1">
        <v>137193.47999999899</v>
      </c>
      <c r="D7825" s="3"/>
      <c r="E7825" s="3"/>
      <c r="F7825" s="3"/>
      <c r="G7825" s="3">
        <v>3.0370430000000002</v>
      </c>
      <c r="H7825" s="3">
        <v>-15.367014648126499</v>
      </c>
      <c r="I7825" s="3">
        <v>3.0123517999999998</v>
      </c>
      <c r="J7825" s="3">
        <v>3.1111165999999999</v>
      </c>
      <c r="K7825" s="3">
        <v>3.0123517999999998</v>
      </c>
      <c r="L7825" s="3">
        <v>-15.367014648126499</v>
      </c>
    </row>
    <row r="7826" spans="1:12" ht="15" customHeight="1" x14ac:dyDescent="0.2">
      <c r="A7826" s="2">
        <v>34696</v>
      </c>
      <c r="B7826" s="3">
        <v>3.0370430000000002</v>
      </c>
      <c r="C7826" s="1">
        <v>157949.69</v>
      </c>
      <c r="D7826" s="3">
        <v>-7.4073599999999698E-2</v>
      </c>
      <c r="E7826" s="3">
        <v>-2.38093294221115</v>
      </c>
      <c r="F7826" s="3">
        <v>-2.38093294221115</v>
      </c>
      <c r="G7826" s="3">
        <v>3.0370430000000002</v>
      </c>
      <c r="H7826" s="3">
        <v>-15.367014648126499</v>
      </c>
      <c r="I7826" s="3">
        <v>3.1111176</v>
      </c>
      <c r="J7826" s="3">
        <v>3.1111165999999999</v>
      </c>
      <c r="K7826" s="3">
        <v>3.0123517999999998</v>
      </c>
      <c r="L7826" s="3">
        <v>-15.367014648126499</v>
      </c>
    </row>
    <row r="7827" spans="1:12" ht="15" customHeight="1" x14ac:dyDescent="0.2">
      <c r="A7827" s="2">
        <v>34695</v>
      </c>
      <c r="B7827" s="3">
        <v>3.1111165999999999</v>
      </c>
      <c r="C7827" s="1">
        <v>21262.46</v>
      </c>
      <c r="D7827" s="3">
        <v>4.9382199999999703E-2</v>
      </c>
      <c r="E7827" s="3">
        <v>1.6128832076355</v>
      </c>
      <c r="F7827" s="3">
        <v>1.6128832076355</v>
      </c>
      <c r="G7827" s="3">
        <v>3.1111165999999999</v>
      </c>
      <c r="H7827" s="3">
        <v>-13.302812757089599</v>
      </c>
      <c r="I7827" s="3">
        <v>2.9135860999999998</v>
      </c>
      <c r="J7827" s="3">
        <v>3.1111165999999999</v>
      </c>
      <c r="K7827" s="3">
        <v>2.9135857000000001</v>
      </c>
      <c r="L7827" s="3">
        <v>-13.302812757089599</v>
      </c>
    </row>
    <row r="7828" spans="1:12" ht="15" customHeight="1" x14ac:dyDescent="0.2">
      <c r="A7828" s="2">
        <v>34691</v>
      </c>
      <c r="B7828" s="3">
        <v>3.0617344000000002</v>
      </c>
      <c r="C7828" s="1">
        <v>392342.96</v>
      </c>
      <c r="D7828" s="3">
        <v>4.9382600000000297E-2</v>
      </c>
      <c r="E7828" s="3">
        <v>1.63933707875687</v>
      </c>
      <c r="F7828" s="3">
        <v>1.63933707875687</v>
      </c>
      <c r="G7828" s="3">
        <v>3.0617344000000002</v>
      </c>
      <c r="H7828" s="3">
        <v>-14.678941777733399</v>
      </c>
      <c r="I7828" s="3">
        <v>3.0617347000000001</v>
      </c>
      <c r="J7828" s="3">
        <v>3.0617344000000002</v>
      </c>
      <c r="K7828" s="3">
        <v>2.9629683</v>
      </c>
      <c r="L7828" s="3">
        <v>-14.678941777733399</v>
      </c>
    </row>
    <row r="7829" spans="1:12" ht="15" customHeight="1" x14ac:dyDescent="0.2">
      <c r="A7829" s="2">
        <v>34690</v>
      </c>
      <c r="B7829" s="3">
        <v>3.0123517999999998</v>
      </c>
      <c r="C7829" s="1">
        <v>37462.43</v>
      </c>
      <c r="D7829" s="3">
        <v>-4.9382600000000297E-2</v>
      </c>
      <c r="E7829" s="3">
        <v>-1.61289627212602</v>
      </c>
      <c r="F7829" s="3">
        <v>-1.61289627212602</v>
      </c>
      <c r="G7829" s="3">
        <v>3.0123517999999998</v>
      </c>
      <c r="H7829" s="3">
        <v>-16.055081945138799</v>
      </c>
      <c r="I7829" s="3">
        <v>3.0123517999999998</v>
      </c>
      <c r="J7829" s="3">
        <v>3.1111165999999999</v>
      </c>
      <c r="K7829" s="3">
        <v>3.0123517999999998</v>
      </c>
      <c r="L7829" s="3">
        <v>-16.055081945138799</v>
      </c>
    </row>
    <row r="7830" spans="1:12" ht="15" customHeight="1" x14ac:dyDescent="0.2">
      <c r="A7830" s="2">
        <v>34689</v>
      </c>
      <c r="B7830" s="3">
        <v>3.0617344000000002</v>
      </c>
      <c r="C7830" s="1">
        <v>370068.02</v>
      </c>
      <c r="D7830" s="3">
        <v>4.9382600000000297E-2</v>
      </c>
      <c r="E7830" s="3">
        <v>1.63933707875687</v>
      </c>
      <c r="F7830" s="3">
        <v>1.63933707875687</v>
      </c>
      <c r="G7830" s="3">
        <v>3.0617344000000002</v>
      </c>
      <c r="H7830" s="3">
        <v>-14.678941777733399</v>
      </c>
      <c r="I7830" s="3">
        <v>3.1111176</v>
      </c>
      <c r="J7830" s="3">
        <v>3.1111165999999999</v>
      </c>
      <c r="K7830" s="3">
        <v>2.9629683</v>
      </c>
      <c r="L7830" s="3">
        <v>-14.678941777733399</v>
      </c>
    </row>
    <row r="7831" spans="1:12" ht="15" customHeight="1" x14ac:dyDescent="0.2">
      <c r="A7831" s="2">
        <v>34688</v>
      </c>
      <c r="B7831" s="3">
        <v>3.0123517999999998</v>
      </c>
      <c r="C7831" s="1">
        <v>318430.63</v>
      </c>
      <c r="D7831" s="3">
        <v>-9.8764800000000097E-2</v>
      </c>
      <c r="E7831" s="3">
        <v>-3.1745772562815602</v>
      </c>
      <c r="F7831" s="3">
        <v>-3.1745772562815602</v>
      </c>
      <c r="G7831" s="3">
        <v>3.0123517999999998</v>
      </c>
      <c r="H7831" s="3">
        <v>-16.055081945138799</v>
      </c>
      <c r="I7831" s="3">
        <v>3.1111176</v>
      </c>
      <c r="J7831" s="3">
        <v>3.1111165999999999</v>
      </c>
      <c r="K7831" s="3">
        <v>2.9876597</v>
      </c>
      <c r="L7831" s="3">
        <v>-16.055081945138799</v>
      </c>
    </row>
    <row r="7832" spans="1:12" ht="15" customHeight="1" x14ac:dyDescent="0.2">
      <c r="A7832" s="2">
        <v>34687</v>
      </c>
      <c r="B7832" s="3">
        <v>3.1111165999999999</v>
      </c>
      <c r="C7832" s="1">
        <v>103274.81</v>
      </c>
      <c r="D7832" s="3">
        <v>4.9382199999999703E-2</v>
      </c>
      <c r="E7832" s="3">
        <v>1.6128832076355</v>
      </c>
      <c r="F7832" s="3">
        <v>1.6128832076355</v>
      </c>
      <c r="G7832" s="3">
        <v>3.1111165999999999</v>
      </c>
      <c r="H7832" s="3">
        <v>-13.302812757089599</v>
      </c>
      <c r="I7832" s="3">
        <v>3.0617347000000001</v>
      </c>
      <c r="J7832" s="3">
        <v>3.1604998000000002</v>
      </c>
      <c r="K7832" s="3">
        <v>3.0123517999999998</v>
      </c>
      <c r="L7832" s="3">
        <v>-13.302812757089599</v>
      </c>
    </row>
    <row r="7833" spans="1:12" ht="15" customHeight="1" x14ac:dyDescent="0.2">
      <c r="A7833" s="2">
        <v>34684</v>
      </c>
      <c r="B7833" s="3">
        <v>3.0617344000000002</v>
      </c>
      <c r="C7833" s="1">
        <v>131624.74</v>
      </c>
      <c r="D7833" s="3">
        <v>-4.9382199999999703E-2</v>
      </c>
      <c r="E7833" s="3">
        <v>-1.5872821995806801</v>
      </c>
      <c r="F7833" s="3">
        <v>-1.5872821995806801</v>
      </c>
      <c r="G7833" s="3">
        <v>3.0617344000000002</v>
      </c>
      <c r="H7833" s="3">
        <v>-14.678941777733399</v>
      </c>
      <c r="I7833" s="3">
        <v>3.1605007999999999</v>
      </c>
      <c r="J7833" s="3">
        <v>3.1604998000000002</v>
      </c>
      <c r="K7833" s="3">
        <v>3.0617344000000002</v>
      </c>
      <c r="L7833" s="3">
        <v>-14.678941777733399</v>
      </c>
    </row>
    <row r="7834" spans="1:12" ht="15" customHeight="1" x14ac:dyDescent="0.2">
      <c r="A7834" s="2">
        <v>34683</v>
      </c>
      <c r="B7834" s="3">
        <v>3.1111165999999999</v>
      </c>
      <c r="C7834" s="1">
        <v>155924.68</v>
      </c>
      <c r="D7834" s="3">
        <v>7.4073599999999698E-2</v>
      </c>
      <c r="E7834" s="3">
        <v>2.4390039917116599</v>
      </c>
      <c r="F7834" s="3">
        <v>2.4390039917116599</v>
      </c>
      <c r="G7834" s="3">
        <v>3.1111165999999999</v>
      </c>
      <c r="H7834" s="3">
        <v>-13.302812757089599</v>
      </c>
      <c r="I7834" s="3">
        <v>3.0617347000000001</v>
      </c>
      <c r="J7834" s="3">
        <v>3.1604998000000002</v>
      </c>
      <c r="K7834" s="3">
        <v>3.0123517999999998</v>
      </c>
      <c r="L7834" s="3">
        <v>-13.302812757089599</v>
      </c>
    </row>
    <row r="7835" spans="1:12" ht="15" customHeight="1" x14ac:dyDescent="0.2">
      <c r="A7835" s="2">
        <v>34682</v>
      </c>
      <c r="B7835" s="3">
        <v>3.0370430000000002</v>
      </c>
      <c r="C7835" s="1">
        <v>233380.81</v>
      </c>
      <c r="D7835" s="3">
        <v>-2.4691399999999999E-2</v>
      </c>
      <c r="E7835" s="3">
        <v>-0.80645140218563705</v>
      </c>
      <c r="F7835" s="3">
        <v>-0.80645140218563705</v>
      </c>
      <c r="G7835" s="3">
        <v>3.0370430000000002</v>
      </c>
      <c r="H7835" s="3">
        <v>-15.367014648126499</v>
      </c>
      <c r="I7835" s="3">
        <v>3.0617347000000001</v>
      </c>
      <c r="J7835" s="3">
        <v>3.0617344000000002</v>
      </c>
      <c r="K7835" s="3">
        <v>2.9629683</v>
      </c>
      <c r="L7835" s="3">
        <v>-15.367014648126499</v>
      </c>
    </row>
    <row r="7836" spans="1:12" ht="15" customHeight="1" x14ac:dyDescent="0.2">
      <c r="A7836" s="2">
        <v>34681</v>
      </c>
      <c r="B7836" s="3">
        <v>3.0617344000000002</v>
      </c>
      <c r="C7836" s="1">
        <v>156430.94</v>
      </c>
      <c r="D7836" s="3"/>
      <c r="E7836" s="3"/>
      <c r="F7836" s="3"/>
      <c r="G7836" s="3">
        <v>3.0617344000000002</v>
      </c>
      <c r="H7836" s="3">
        <v>-14.678941777733399</v>
      </c>
      <c r="I7836" s="3">
        <v>3.0617347000000001</v>
      </c>
      <c r="J7836" s="3">
        <v>3.1604998000000002</v>
      </c>
      <c r="K7836" s="3">
        <v>2.9629683</v>
      </c>
      <c r="L7836" s="3">
        <v>-14.678941777733399</v>
      </c>
    </row>
    <row r="7837" spans="1:12" ht="15" customHeight="1" x14ac:dyDescent="0.2">
      <c r="A7837" s="2">
        <v>34680</v>
      </c>
      <c r="B7837" s="3">
        <v>3.0617344000000002</v>
      </c>
      <c r="C7837" s="1">
        <v>49612.408000000003</v>
      </c>
      <c r="D7837" s="3"/>
      <c r="E7837" s="3"/>
      <c r="F7837" s="3"/>
      <c r="G7837" s="3">
        <v>3.0617344000000002</v>
      </c>
      <c r="H7837" s="3">
        <v>-14.678941777733399</v>
      </c>
      <c r="I7837" s="3">
        <v>3.0617347000000001</v>
      </c>
      <c r="J7837" s="3">
        <v>3.0617344000000002</v>
      </c>
      <c r="K7837" s="3">
        <v>2.9629683</v>
      </c>
      <c r="L7837" s="3">
        <v>-14.678941777733399</v>
      </c>
    </row>
    <row r="7838" spans="1:12" ht="15" customHeight="1" x14ac:dyDescent="0.2">
      <c r="A7838" s="2">
        <v>34677</v>
      </c>
      <c r="B7838" s="3">
        <v>3.0617344000000002</v>
      </c>
      <c r="C7838" s="1">
        <v>150355.97</v>
      </c>
      <c r="D7838" s="3">
        <v>4.9382600000000297E-2</v>
      </c>
      <c r="E7838" s="3">
        <v>1.63933707875687</v>
      </c>
      <c r="F7838" s="3">
        <v>1.63933707875687</v>
      </c>
      <c r="G7838" s="3">
        <v>3.0617344000000002</v>
      </c>
      <c r="H7838" s="3">
        <v>-14.678941777733399</v>
      </c>
      <c r="I7838" s="3">
        <v>3.0617347000000001</v>
      </c>
      <c r="J7838" s="3">
        <v>3.0617344000000002</v>
      </c>
      <c r="K7838" s="3">
        <v>2.9135857000000001</v>
      </c>
      <c r="L7838" s="3">
        <v>-14.678941777733399</v>
      </c>
    </row>
    <row r="7839" spans="1:12" ht="15" customHeight="1" x14ac:dyDescent="0.2">
      <c r="A7839" s="2">
        <v>34676</v>
      </c>
      <c r="B7839" s="3">
        <v>3.0123517999999998</v>
      </c>
      <c r="C7839" s="1">
        <v>151874.73000000001</v>
      </c>
      <c r="D7839" s="3"/>
      <c r="E7839" s="3"/>
      <c r="F7839" s="3"/>
      <c r="G7839" s="3">
        <v>3.0123517999999998</v>
      </c>
      <c r="H7839" s="3">
        <v>-16.055081945138799</v>
      </c>
      <c r="I7839" s="3">
        <v>3.1111176</v>
      </c>
      <c r="J7839" s="3">
        <v>3.1604998000000002</v>
      </c>
      <c r="K7839" s="3">
        <v>2.9629683</v>
      </c>
      <c r="L7839" s="3">
        <v>-16.055081945138799</v>
      </c>
    </row>
    <row r="7840" spans="1:12" ht="15" customHeight="1" x14ac:dyDescent="0.2">
      <c r="A7840" s="2">
        <v>34675</v>
      </c>
      <c r="B7840" s="3">
        <v>3.0123517999999998</v>
      </c>
      <c r="C7840" s="1">
        <v>313368.13</v>
      </c>
      <c r="D7840" s="3">
        <v>-4.9382600000000297E-2</v>
      </c>
      <c r="E7840" s="3">
        <v>-1.61289627212602</v>
      </c>
      <c r="F7840" s="3">
        <v>-1.61289627212602</v>
      </c>
      <c r="G7840" s="3">
        <v>3.0123517999999998</v>
      </c>
      <c r="H7840" s="3">
        <v>-16.055081945138799</v>
      </c>
      <c r="I7840" s="3">
        <v>3.1605007999999999</v>
      </c>
      <c r="J7840" s="3">
        <v>3.1604998000000002</v>
      </c>
      <c r="K7840" s="3">
        <v>3.0123517999999998</v>
      </c>
      <c r="L7840" s="3">
        <v>-16.055081945138799</v>
      </c>
    </row>
    <row r="7841" spans="1:12" ht="15" customHeight="1" x14ac:dyDescent="0.2">
      <c r="A7841" s="2">
        <v>34674</v>
      </c>
      <c r="B7841" s="3">
        <v>3.0617344000000002</v>
      </c>
      <c r="C7841" s="1">
        <v>156937.19999999899</v>
      </c>
      <c r="D7841" s="3">
        <v>4.9382600000000297E-2</v>
      </c>
      <c r="E7841" s="3">
        <v>1.63933707875687</v>
      </c>
      <c r="F7841" s="3">
        <v>1.63933707875687</v>
      </c>
      <c r="G7841" s="3">
        <v>3.0617344000000002</v>
      </c>
      <c r="H7841" s="3">
        <v>-14.678941777733399</v>
      </c>
      <c r="I7841" s="3">
        <v>3.1605007999999999</v>
      </c>
      <c r="J7841" s="3">
        <v>3.1604998000000002</v>
      </c>
      <c r="K7841" s="3">
        <v>3.0123517999999998</v>
      </c>
      <c r="L7841" s="3">
        <v>-14.678941777733399</v>
      </c>
    </row>
    <row r="7842" spans="1:12" ht="15" customHeight="1" x14ac:dyDescent="0.2">
      <c r="A7842" s="2">
        <v>34673</v>
      </c>
      <c r="B7842" s="3">
        <v>3.0123517999999998</v>
      </c>
      <c r="C7842" s="1">
        <v>74924.86</v>
      </c>
      <c r="D7842" s="3">
        <v>-9.8764800000000097E-2</v>
      </c>
      <c r="E7842" s="3">
        <v>-3.1745772562815602</v>
      </c>
      <c r="F7842" s="3">
        <v>-3.1745772562815602</v>
      </c>
      <c r="G7842" s="3">
        <v>3.0123517999999998</v>
      </c>
      <c r="H7842" s="3">
        <v>-16.055081945138799</v>
      </c>
      <c r="I7842" s="3">
        <v>3.0123517999999998</v>
      </c>
      <c r="J7842" s="3">
        <v>3.1604998000000002</v>
      </c>
      <c r="K7842" s="3">
        <v>3.0123517999999998</v>
      </c>
      <c r="L7842" s="3">
        <v>-16.055081945138799</v>
      </c>
    </row>
    <row r="7843" spans="1:12" ht="15" customHeight="1" x14ac:dyDescent="0.2">
      <c r="A7843" s="2">
        <v>34670</v>
      </c>
      <c r="B7843" s="3">
        <v>3.1111165999999999</v>
      </c>
      <c r="C7843" s="1">
        <v>171112.18</v>
      </c>
      <c r="D7843" s="3">
        <v>-4.9383200000000203E-2</v>
      </c>
      <c r="E7843" s="3">
        <v>-1.5625123595957899</v>
      </c>
      <c r="F7843" s="3">
        <v>-1.5625123595957899</v>
      </c>
      <c r="G7843" s="3">
        <v>3.1111165999999999</v>
      </c>
      <c r="H7843" s="3">
        <v>-13.302812757089599</v>
      </c>
      <c r="I7843" s="3">
        <v>3.1111176</v>
      </c>
      <c r="J7843" s="3">
        <v>3.2098827000000001</v>
      </c>
      <c r="K7843" s="3">
        <v>3.0123517999999998</v>
      </c>
      <c r="L7843" s="3">
        <v>-13.302812757089599</v>
      </c>
    </row>
    <row r="7844" spans="1:12" ht="15" customHeight="1" x14ac:dyDescent="0.2">
      <c r="A7844" s="2">
        <v>34669</v>
      </c>
      <c r="B7844" s="3">
        <v>3.1604998000000002</v>
      </c>
      <c r="C7844" s="1">
        <v>75431.11</v>
      </c>
      <c r="D7844" s="3">
        <v>-4.9382899999999799E-2</v>
      </c>
      <c r="E7844" s="3">
        <v>-1.5384643183378599</v>
      </c>
      <c r="F7844" s="3">
        <v>-1.5384643183378599</v>
      </c>
      <c r="G7844" s="3">
        <v>3.1604998000000002</v>
      </c>
      <c r="H7844" s="3">
        <v>-11.926655869541801</v>
      </c>
      <c r="I7844" s="3">
        <v>3.209883</v>
      </c>
      <c r="J7844" s="3">
        <v>3.2098827000000001</v>
      </c>
      <c r="K7844" s="3">
        <v>3.1604998000000002</v>
      </c>
      <c r="L7844" s="3">
        <v>-11.926655869541801</v>
      </c>
    </row>
    <row r="7845" spans="1:12" ht="15" customHeight="1" x14ac:dyDescent="0.2">
      <c r="A7845" s="2">
        <v>34668</v>
      </c>
      <c r="B7845" s="3">
        <v>3.2098827000000001</v>
      </c>
      <c r="C7845" s="1">
        <v>199462.13</v>
      </c>
      <c r="D7845" s="3">
        <v>7.4074200000000007E-2</v>
      </c>
      <c r="E7845" s="3">
        <v>2.3622041970994001</v>
      </c>
      <c r="F7845" s="3">
        <v>2.3622041970994001</v>
      </c>
      <c r="G7845" s="3">
        <v>3.2098827000000001</v>
      </c>
      <c r="H7845" s="3">
        <v>-10.5505073420653</v>
      </c>
      <c r="I7845" s="3">
        <v>3.209883</v>
      </c>
      <c r="J7845" s="3">
        <v>3.2098827000000001</v>
      </c>
      <c r="K7845" s="3">
        <v>3.0617344000000002</v>
      </c>
      <c r="L7845" s="3">
        <v>-10.5505073420653</v>
      </c>
    </row>
    <row r="7846" spans="1:12" ht="15" customHeight="1" x14ac:dyDescent="0.2">
      <c r="A7846" s="2">
        <v>34667</v>
      </c>
      <c r="B7846" s="3">
        <v>3.1358085</v>
      </c>
      <c r="C7846" s="1">
        <v>261730.74</v>
      </c>
      <c r="D7846" s="3">
        <v>-2.46913000000001E-2</v>
      </c>
      <c r="E7846" s="3">
        <v>-0.78124668762833405</v>
      </c>
      <c r="F7846" s="3">
        <v>-0.78124668762833405</v>
      </c>
      <c r="G7846" s="3">
        <v>3.1358085</v>
      </c>
      <c r="H7846" s="3">
        <v>-12.6147259532445</v>
      </c>
      <c r="I7846" s="3">
        <v>3.1605007999999999</v>
      </c>
      <c r="J7846" s="3">
        <v>3.2098827000000001</v>
      </c>
      <c r="K7846" s="3">
        <v>3.0123517999999998</v>
      </c>
      <c r="L7846" s="3">
        <v>-12.6147259532445</v>
      </c>
    </row>
    <row r="7847" spans="1:12" ht="15" customHeight="1" x14ac:dyDescent="0.2">
      <c r="A7847" s="2">
        <v>34666</v>
      </c>
      <c r="B7847" s="3">
        <v>3.1604998000000002</v>
      </c>
      <c r="C7847" s="1">
        <v>217180.86</v>
      </c>
      <c r="D7847" s="3"/>
      <c r="E7847" s="3"/>
      <c r="F7847" s="3"/>
      <c r="G7847" s="3">
        <v>3.1604998000000002</v>
      </c>
      <c r="H7847" s="3">
        <v>-11.926655869541801</v>
      </c>
      <c r="I7847" s="3">
        <v>3.1605007999999999</v>
      </c>
      <c r="J7847" s="3">
        <v>3.1604998000000002</v>
      </c>
      <c r="K7847" s="3">
        <v>3.0617344000000002</v>
      </c>
      <c r="L7847" s="3">
        <v>-11.926655869541801</v>
      </c>
    </row>
    <row r="7848" spans="1:12" ht="15" customHeight="1" x14ac:dyDescent="0.2">
      <c r="A7848" s="2">
        <v>34663</v>
      </c>
      <c r="B7848" s="3">
        <v>3.1604998000000002</v>
      </c>
      <c r="C7848" s="1">
        <v>80999.849999999904</v>
      </c>
      <c r="D7848" s="3">
        <v>6.1728499999999999E-2</v>
      </c>
      <c r="E7848" s="3">
        <v>1.9920314868025299</v>
      </c>
      <c r="F7848" s="3">
        <v>1.9920314868025299</v>
      </c>
      <c r="G7848" s="3">
        <v>3.1604998000000002</v>
      </c>
      <c r="H7848" s="3">
        <v>-11.926655869541801</v>
      </c>
      <c r="I7848" s="3">
        <v>3.1605007999999999</v>
      </c>
      <c r="J7848" s="3">
        <v>3.1604998000000002</v>
      </c>
      <c r="K7848" s="3">
        <v>3.0123517999999998</v>
      </c>
      <c r="L7848" s="3">
        <v>-11.926655869541801</v>
      </c>
    </row>
    <row r="7849" spans="1:12" ht="15" customHeight="1" x14ac:dyDescent="0.2">
      <c r="A7849" s="2">
        <v>34661</v>
      </c>
      <c r="B7849" s="3">
        <v>3.0987713000000001</v>
      </c>
      <c r="C7849" s="1">
        <v>193387.16</v>
      </c>
      <c r="D7849" s="3">
        <v>-1.23452999999997E-2</v>
      </c>
      <c r="E7849" s="3">
        <v>-0.39681251419505498</v>
      </c>
      <c r="F7849" s="3">
        <v>-0.39681251419505498</v>
      </c>
      <c r="G7849" s="3">
        <v>3.0987713000000001</v>
      </c>
      <c r="H7849" s="3">
        <v>-13.6468380455246</v>
      </c>
      <c r="I7849" s="3">
        <v>3.0617347000000001</v>
      </c>
      <c r="J7849" s="3">
        <v>3.1111165999999999</v>
      </c>
      <c r="K7849" s="3">
        <v>2.9135857000000001</v>
      </c>
      <c r="L7849" s="3">
        <v>-13.6468380455246</v>
      </c>
    </row>
    <row r="7850" spans="1:12" ht="15" customHeight="1" x14ac:dyDescent="0.2">
      <c r="A7850" s="2">
        <v>34660</v>
      </c>
      <c r="B7850" s="3">
        <v>3.1111165999999999</v>
      </c>
      <c r="C7850" s="1">
        <v>388799.22</v>
      </c>
      <c r="D7850" s="3">
        <v>-9.8766100000000107E-2</v>
      </c>
      <c r="E7850" s="3">
        <v>-3.0769379828116499</v>
      </c>
      <c r="F7850" s="3">
        <v>-3.0769379828116499</v>
      </c>
      <c r="G7850" s="3">
        <v>3.1111165999999999</v>
      </c>
      <c r="H7850" s="3">
        <v>-13.302812757089599</v>
      </c>
      <c r="I7850" s="3">
        <v>3.0617347000000001</v>
      </c>
      <c r="J7850" s="3">
        <v>3.1604998000000002</v>
      </c>
      <c r="K7850" s="3">
        <v>3.0617344000000002</v>
      </c>
      <c r="L7850" s="3">
        <v>-13.302812757089599</v>
      </c>
    </row>
    <row r="7851" spans="1:12" ht="15" customHeight="1" x14ac:dyDescent="0.2">
      <c r="A7851" s="2">
        <v>34659</v>
      </c>
      <c r="B7851" s="3">
        <v>3.2098827000000001</v>
      </c>
      <c r="C7851" s="1">
        <v>552317.69999999995</v>
      </c>
      <c r="D7851" s="3">
        <v>-2.4691599999999699E-2</v>
      </c>
      <c r="E7851" s="3">
        <v>-0.76336474942002497</v>
      </c>
      <c r="F7851" s="3">
        <v>-0.76336474942002497</v>
      </c>
      <c r="G7851" s="3">
        <v>3.2098827000000001</v>
      </c>
      <c r="H7851" s="3">
        <v>-10.5505073420653</v>
      </c>
      <c r="I7851" s="3">
        <v>3.3086487999999998</v>
      </c>
      <c r="J7851" s="3">
        <v>3.3086479999999998</v>
      </c>
      <c r="K7851" s="3">
        <v>3.0617344000000002</v>
      </c>
      <c r="L7851" s="3">
        <v>-10.5505073420653</v>
      </c>
    </row>
    <row r="7852" spans="1:12" ht="15" customHeight="1" x14ac:dyDescent="0.2">
      <c r="A7852" s="2">
        <v>34656</v>
      </c>
      <c r="B7852" s="3">
        <v>3.2345742999999998</v>
      </c>
      <c r="C7852" s="1">
        <v>543205.19999999995</v>
      </c>
      <c r="D7852" s="3">
        <v>-0.14814859999999999</v>
      </c>
      <c r="E7852" s="3">
        <v>-4.3795665320384396</v>
      </c>
      <c r="F7852" s="3">
        <v>-4.3795665320384396</v>
      </c>
      <c r="G7852" s="3">
        <v>3.2345742999999998</v>
      </c>
      <c r="H7852" s="3">
        <v>-9.8624288982914301</v>
      </c>
      <c r="I7852" s="3">
        <v>3.3086487999999998</v>
      </c>
      <c r="J7852" s="3">
        <v>3.4567966000000001</v>
      </c>
      <c r="K7852" s="3">
        <v>3.2098827000000001</v>
      </c>
      <c r="L7852" s="3">
        <v>-9.8624288982914301</v>
      </c>
    </row>
    <row r="7853" spans="1:12" ht="15" customHeight="1" x14ac:dyDescent="0.2">
      <c r="A7853" s="2">
        <v>34655</v>
      </c>
      <c r="B7853" s="3">
        <v>3.3827229000000001</v>
      </c>
      <c r="C7853" s="1">
        <v>424236.7</v>
      </c>
      <c r="D7853" s="3">
        <v>-0.17283960000000001</v>
      </c>
      <c r="E7853" s="3">
        <v>-4.86110425565575</v>
      </c>
      <c r="F7853" s="3">
        <v>-4.86110425565575</v>
      </c>
      <c r="G7853" s="3">
        <v>3.3827229000000001</v>
      </c>
      <c r="H7853" s="3">
        <v>-5.7339861025521</v>
      </c>
      <c r="I7853" s="3">
        <v>3.4567974000000001</v>
      </c>
      <c r="J7853" s="3">
        <v>3.5555625000000002</v>
      </c>
      <c r="K7853" s="3">
        <v>3.3086479999999998</v>
      </c>
      <c r="L7853" s="3">
        <v>-5.7339861025521</v>
      </c>
    </row>
    <row r="7854" spans="1:12" ht="15" customHeight="1" x14ac:dyDescent="0.2">
      <c r="A7854" s="2">
        <v>34654</v>
      </c>
      <c r="B7854" s="3">
        <v>3.5555625000000002</v>
      </c>
      <c r="C7854" s="1">
        <v>59737.392</v>
      </c>
      <c r="D7854" s="3">
        <v>-4.9382899999999799E-2</v>
      </c>
      <c r="E7854" s="3">
        <v>-1.3698654076702399</v>
      </c>
      <c r="F7854" s="3">
        <v>-1.3698654076702399</v>
      </c>
      <c r="G7854" s="3">
        <v>3.5555625000000002</v>
      </c>
      <c r="H7854" s="3">
        <v>-0.91748158318123096</v>
      </c>
      <c r="I7854" s="3">
        <v>3.5061805000000001</v>
      </c>
      <c r="J7854" s="3">
        <v>3.6049454000000001</v>
      </c>
      <c r="K7854" s="3">
        <v>3.4567966000000001</v>
      </c>
      <c r="L7854" s="3">
        <v>-0.91748158318123096</v>
      </c>
    </row>
    <row r="7855" spans="1:12" ht="15" customHeight="1" x14ac:dyDescent="0.2">
      <c r="A7855" s="2">
        <v>34653</v>
      </c>
      <c r="B7855" s="3">
        <v>3.6049454000000001</v>
      </c>
      <c r="C7855" s="1">
        <v>54168.65</v>
      </c>
      <c r="D7855" s="3">
        <v>4.9382899999999799E-2</v>
      </c>
      <c r="E7855" s="3">
        <v>1.38889134982158</v>
      </c>
      <c r="F7855" s="3">
        <v>1.38889134982158</v>
      </c>
      <c r="G7855" s="3">
        <v>3.6049454000000001</v>
      </c>
      <c r="H7855" s="3">
        <v>0.458666944295338</v>
      </c>
      <c r="I7855" s="3">
        <v>3.6049457</v>
      </c>
      <c r="J7855" s="3">
        <v>3.6049454000000001</v>
      </c>
      <c r="K7855" s="3">
        <v>3.5061795999999998</v>
      </c>
      <c r="L7855" s="3">
        <v>0.458666944295338</v>
      </c>
    </row>
    <row r="7856" spans="1:12" ht="15" customHeight="1" x14ac:dyDescent="0.2">
      <c r="A7856" s="2">
        <v>34652</v>
      </c>
      <c r="B7856" s="3">
        <v>3.5555625000000002</v>
      </c>
      <c r="C7856" s="1">
        <v>112893.524</v>
      </c>
      <c r="D7856" s="3">
        <v>-4.9382899999999799E-2</v>
      </c>
      <c r="E7856" s="3">
        <v>-1.3698654076702399</v>
      </c>
      <c r="F7856" s="3">
        <v>-1.3698654076702399</v>
      </c>
      <c r="G7856" s="3">
        <v>3.5555625000000002</v>
      </c>
      <c r="H7856" s="3">
        <v>-0.91748158318123096</v>
      </c>
      <c r="I7856" s="3">
        <v>3.5555629999999998</v>
      </c>
      <c r="J7856" s="3">
        <v>3.6049454000000001</v>
      </c>
      <c r="K7856" s="3">
        <v>3.5555625000000002</v>
      </c>
      <c r="L7856" s="3">
        <v>-0.91748158318123096</v>
      </c>
    </row>
    <row r="7857" spans="1:12" ht="15" customHeight="1" x14ac:dyDescent="0.2">
      <c r="A7857" s="2">
        <v>34649</v>
      </c>
      <c r="B7857" s="3">
        <v>3.6049454000000001</v>
      </c>
      <c r="C7857" s="1">
        <v>132130.97999999899</v>
      </c>
      <c r="D7857" s="3"/>
      <c r="E7857" s="3"/>
      <c r="F7857" s="3"/>
      <c r="G7857" s="3">
        <v>3.6049454000000001</v>
      </c>
      <c r="H7857" s="3">
        <v>0.458666944295338</v>
      </c>
      <c r="I7857" s="3">
        <v>3.654328</v>
      </c>
      <c r="J7857" s="3">
        <v>3.6543279000000002</v>
      </c>
      <c r="K7857" s="3">
        <v>3.5555625000000002</v>
      </c>
      <c r="L7857" s="3">
        <v>0.458666944295338</v>
      </c>
    </row>
    <row r="7858" spans="1:12" ht="15" customHeight="1" x14ac:dyDescent="0.2">
      <c r="A7858" s="2">
        <v>34648</v>
      </c>
      <c r="B7858" s="3">
        <v>3.6049454000000001</v>
      </c>
      <c r="C7858" s="1">
        <v>1330422.5</v>
      </c>
      <c r="D7858" s="3"/>
      <c r="E7858" s="3"/>
      <c r="F7858" s="3"/>
      <c r="G7858" s="3">
        <v>3.6049454000000001</v>
      </c>
      <c r="H7858" s="3">
        <v>0.458666944295338</v>
      </c>
      <c r="I7858" s="3">
        <v>3.654328</v>
      </c>
      <c r="J7858" s="3">
        <v>3.6543279000000002</v>
      </c>
      <c r="K7858" s="3">
        <v>3.5555625000000002</v>
      </c>
      <c r="L7858" s="3">
        <v>0.458666944295338</v>
      </c>
    </row>
    <row r="7859" spans="1:12" ht="15" customHeight="1" x14ac:dyDescent="0.2">
      <c r="A7859" s="2">
        <v>34647</v>
      </c>
      <c r="B7859" s="3">
        <v>3.6049454000000001</v>
      </c>
      <c r="C7859" s="1">
        <v>320961.88</v>
      </c>
      <c r="D7859" s="3"/>
      <c r="E7859" s="3"/>
      <c r="F7859" s="3"/>
      <c r="G7859" s="3">
        <v>3.6049454000000001</v>
      </c>
      <c r="H7859" s="3">
        <v>0.458666944295338</v>
      </c>
      <c r="I7859" s="3">
        <v>3.7037113000000002</v>
      </c>
      <c r="J7859" s="3">
        <v>3.7037113000000002</v>
      </c>
      <c r="K7859" s="3">
        <v>3.5555625000000002</v>
      </c>
      <c r="L7859" s="3">
        <v>0.458666944295338</v>
      </c>
    </row>
    <row r="7860" spans="1:12" ht="15" customHeight="1" x14ac:dyDescent="0.2">
      <c r="A7860" s="2">
        <v>34646</v>
      </c>
      <c r="B7860" s="3">
        <v>3.6049454000000001</v>
      </c>
      <c r="C7860" s="1">
        <v>13668.725999999901</v>
      </c>
      <c r="D7860" s="3">
        <v>-0.14814829999999901</v>
      </c>
      <c r="E7860" s="3">
        <v>-3.9473648099966101</v>
      </c>
      <c r="F7860" s="3">
        <v>-3.9473648099966101</v>
      </c>
      <c r="G7860" s="3">
        <v>3.6049454000000001</v>
      </c>
      <c r="H7860" s="3">
        <v>0.458666944295338</v>
      </c>
      <c r="I7860" s="3">
        <v>3.654328</v>
      </c>
      <c r="J7860" s="3">
        <v>3.7037113000000002</v>
      </c>
      <c r="K7860" s="3">
        <v>3.6049454000000001</v>
      </c>
      <c r="L7860" s="3">
        <v>0.458666944295338</v>
      </c>
    </row>
    <row r="7861" spans="1:12" ht="15" customHeight="1" x14ac:dyDescent="0.2">
      <c r="A7861" s="2">
        <v>34645</v>
      </c>
      <c r="B7861" s="3">
        <v>3.7530937</v>
      </c>
      <c r="C7861" s="1">
        <v>56193.637999999999</v>
      </c>
      <c r="D7861" s="3"/>
      <c r="E7861" s="3"/>
      <c r="F7861" s="3"/>
      <c r="G7861" s="3">
        <v>3.7530937</v>
      </c>
      <c r="H7861" s="3">
        <v>4.5871013799635003</v>
      </c>
      <c r="I7861" s="3">
        <v>3.7530937</v>
      </c>
      <c r="J7861" s="3">
        <v>3.7530937</v>
      </c>
      <c r="K7861" s="3">
        <v>3.6049454000000001</v>
      </c>
      <c r="L7861" s="3">
        <v>4.5871013799635003</v>
      </c>
    </row>
    <row r="7862" spans="1:12" ht="15" customHeight="1" x14ac:dyDescent="0.2">
      <c r="A7862" s="2">
        <v>34642</v>
      </c>
      <c r="B7862" s="3">
        <v>3.7530937</v>
      </c>
      <c r="C7862" s="1">
        <v>35437.434999999998</v>
      </c>
      <c r="D7862" s="3">
        <v>-1.2345799999999799E-2</v>
      </c>
      <c r="E7862" s="3">
        <v>-0.32787142111829698</v>
      </c>
      <c r="F7862" s="3">
        <v>-0.32787142111829698</v>
      </c>
      <c r="G7862" s="3">
        <v>3.7530937</v>
      </c>
      <c r="H7862" s="3">
        <v>4.5871013799635003</v>
      </c>
      <c r="I7862" s="3">
        <v>3.7530939999999999</v>
      </c>
      <c r="J7862" s="3">
        <v>3.8024764000000002</v>
      </c>
      <c r="K7862" s="3">
        <v>3.6049454000000001</v>
      </c>
      <c r="L7862" s="3">
        <v>4.5871013799635003</v>
      </c>
    </row>
    <row r="7863" spans="1:12" ht="15" customHeight="1" x14ac:dyDescent="0.2">
      <c r="A7863" s="2">
        <v>34641</v>
      </c>
      <c r="B7863" s="3">
        <v>3.7654394999999998</v>
      </c>
      <c r="C7863" s="1">
        <v>575098.93999999994</v>
      </c>
      <c r="D7863" s="3">
        <v>-1.23453000000002E-2</v>
      </c>
      <c r="E7863" s="3">
        <v>-0.32678674550229397</v>
      </c>
      <c r="F7863" s="3">
        <v>-0.32678674550229397</v>
      </c>
      <c r="G7863" s="3">
        <v>3.7654394999999998</v>
      </c>
      <c r="H7863" s="3">
        <v>4.93114060185043</v>
      </c>
      <c r="I7863" s="3">
        <v>3.8518599999999998</v>
      </c>
      <c r="J7863" s="3">
        <v>3.8518590000000001</v>
      </c>
      <c r="K7863" s="3">
        <v>3.7530937</v>
      </c>
      <c r="L7863" s="3">
        <v>4.93114060185043</v>
      </c>
    </row>
    <row r="7864" spans="1:12" ht="15" customHeight="1" x14ac:dyDescent="0.2">
      <c r="A7864" s="2">
        <v>34640</v>
      </c>
      <c r="B7864" s="3">
        <v>3.7777848000000001</v>
      </c>
      <c r="C7864" s="1">
        <v>91631.08</v>
      </c>
      <c r="D7864" s="3">
        <v>2.4691100000000001E-2</v>
      </c>
      <c r="E7864" s="3">
        <v>0.65788658567198499</v>
      </c>
      <c r="F7864" s="3">
        <v>0.65788658567198499</v>
      </c>
      <c r="G7864" s="3">
        <v>3.7777848000000001</v>
      </c>
      <c r="H7864" s="3">
        <v>5.2751658902854297</v>
      </c>
      <c r="I7864" s="3">
        <v>3.7530939999999999</v>
      </c>
      <c r="J7864" s="3">
        <v>3.8518590000000001</v>
      </c>
      <c r="K7864" s="3">
        <v>3.7530937</v>
      </c>
      <c r="L7864" s="3">
        <v>5.2751658902854297</v>
      </c>
    </row>
    <row r="7865" spans="1:12" ht="15" customHeight="1" x14ac:dyDescent="0.2">
      <c r="A7865" s="2">
        <v>34639</v>
      </c>
      <c r="B7865" s="3">
        <v>3.7530937</v>
      </c>
      <c r="C7865" s="1">
        <v>34424.934000000001</v>
      </c>
      <c r="D7865" s="3">
        <v>4.9382399999999799E-2</v>
      </c>
      <c r="E7865" s="3">
        <v>1.3333220653564299</v>
      </c>
      <c r="F7865" s="3">
        <v>1.3333220653564299</v>
      </c>
      <c r="G7865" s="3">
        <v>3.7530937</v>
      </c>
      <c r="H7865" s="3">
        <v>4.5871013799635003</v>
      </c>
      <c r="I7865" s="3">
        <v>3.8518599999999998</v>
      </c>
      <c r="J7865" s="3">
        <v>3.8518590000000001</v>
      </c>
      <c r="K7865" s="3">
        <v>3.7037113000000002</v>
      </c>
      <c r="L7865" s="3">
        <v>4.5871013799635003</v>
      </c>
    </row>
    <row r="7866" spans="1:12" ht="15" customHeight="1" x14ac:dyDescent="0.2">
      <c r="A7866" s="2">
        <v>34638</v>
      </c>
      <c r="B7866" s="3">
        <v>3.7037113000000002</v>
      </c>
      <c r="C7866" s="1">
        <v>206043.38</v>
      </c>
      <c r="D7866" s="3">
        <v>-0.14814769999999999</v>
      </c>
      <c r="E7866" s="3">
        <v>-3.8461350739993301</v>
      </c>
      <c r="F7866" s="3">
        <v>-3.8461350739993301</v>
      </c>
      <c r="G7866" s="3">
        <v>3.7037113000000002</v>
      </c>
      <c r="H7866" s="3">
        <v>3.21096678593887</v>
      </c>
      <c r="I7866" s="3">
        <v>3.7530939999999999</v>
      </c>
      <c r="J7866" s="3">
        <v>3.8518590000000001</v>
      </c>
      <c r="K7866" s="3">
        <v>3.7037113000000002</v>
      </c>
      <c r="L7866" s="3">
        <v>3.21096678593887</v>
      </c>
    </row>
    <row r="7867" spans="1:12" ht="15" customHeight="1" x14ac:dyDescent="0.2">
      <c r="A7867" s="2">
        <v>34635</v>
      </c>
      <c r="B7867" s="3">
        <v>3.8518590000000001</v>
      </c>
      <c r="C7867" s="1">
        <v>100743.56</v>
      </c>
      <c r="D7867" s="3">
        <v>9.8765300000000097E-2</v>
      </c>
      <c r="E7867" s="3">
        <v>2.6315703229045502</v>
      </c>
      <c r="F7867" s="3">
        <v>2.6315703229045502</v>
      </c>
      <c r="G7867" s="3">
        <v>3.8518590000000001</v>
      </c>
      <c r="H7867" s="3">
        <v>7.3393845014647097</v>
      </c>
      <c r="I7867" s="3">
        <v>3.7530939999999999</v>
      </c>
      <c r="J7867" s="3">
        <v>3.8518590000000001</v>
      </c>
      <c r="K7867" s="3">
        <v>3.6049454000000001</v>
      </c>
      <c r="L7867" s="3">
        <v>7.3393845014647097</v>
      </c>
    </row>
    <row r="7868" spans="1:12" ht="15" customHeight="1" x14ac:dyDescent="0.2">
      <c r="A7868" s="2">
        <v>34634</v>
      </c>
      <c r="B7868" s="3">
        <v>3.7530937</v>
      </c>
      <c r="C7868" s="1">
        <v>83024.84</v>
      </c>
      <c r="D7868" s="3">
        <v>4.9382399999999799E-2</v>
      </c>
      <c r="E7868" s="3">
        <v>1.3333220653564299</v>
      </c>
      <c r="F7868" s="3">
        <v>1.3333220653564299</v>
      </c>
      <c r="G7868" s="3">
        <v>3.7530937</v>
      </c>
      <c r="H7868" s="3">
        <v>4.5871013799635003</v>
      </c>
      <c r="I7868" s="3">
        <v>3.7530939999999999</v>
      </c>
      <c r="J7868" s="3">
        <v>3.7530937</v>
      </c>
      <c r="K7868" s="3">
        <v>3.6049454000000001</v>
      </c>
      <c r="L7868" s="3">
        <v>4.5871013799635003</v>
      </c>
    </row>
    <row r="7869" spans="1:12" ht="15" customHeight="1" x14ac:dyDescent="0.2">
      <c r="A7869" s="2">
        <v>34633</v>
      </c>
      <c r="B7869" s="3">
        <v>3.7037113000000002</v>
      </c>
      <c r="C7869" s="1">
        <v>127574.75</v>
      </c>
      <c r="D7869" s="3"/>
      <c r="E7869" s="3"/>
      <c r="F7869" s="3"/>
      <c r="G7869" s="3">
        <v>3.7037113000000002</v>
      </c>
      <c r="H7869" s="3">
        <v>3.21096678593887</v>
      </c>
      <c r="I7869" s="3">
        <v>3.7530939999999999</v>
      </c>
      <c r="J7869" s="3">
        <v>3.7530937</v>
      </c>
      <c r="K7869" s="3">
        <v>3.6296365000000002</v>
      </c>
      <c r="L7869" s="3">
        <v>3.21096678593887</v>
      </c>
    </row>
    <row r="7870" spans="1:12" ht="15" customHeight="1" x14ac:dyDescent="0.2">
      <c r="A7870" s="2">
        <v>34632</v>
      </c>
      <c r="B7870" s="3">
        <v>3.7037113000000002</v>
      </c>
      <c r="C7870" s="1">
        <v>145799.73000000001</v>
      </c>
      <c r="D7870" s="3"/>
      <c r="E7870" s="3"/>
      <c r="F7870" s="3"/>
      <c r="G7870" s="3">
        <v>3.7037113000000002</v>
      </c>
      <c r="H7870" s="3">
        <v>3.21096678593887</v>
      </c>
      <c r="I7870" s="3">
        <v>3.7530939999999999</v>
      </c>
      <c r="J7870" s="3">
        <v>3.7530937</v>
      </c>
      <c r="K7870" s="3">
        <v>3.6543279000000002</v>
      </c>
      <c r="L7870" s="3">
        <v>3.21096678593887</v>
      </c>
    </row>
    <row r="7871" spans="1:12" ht="15" customHeight="1" x14ac:dyDescent="0.2">
      <c r="A7871" s="2">
        <v>34631</v>
      </c>
      <c r="B7871" s="3">
        <v>3.7037113000000002</v>
      </c>
      <c r="C7871" s="1">
        <v>53662.400000000001</v>
      </c>
      <c r="D7871" s="3">
        <v>-4.9382399999999799E-2</v>
      </c>
      <c r="E7871" s="3">
        <v>-1.3157785002809701</v>
      </c>
      <c r="F7871" s="3">
        <v>-1.3157785002809701</v>
      </c>
      <c r="G7871" s="3">
        <v>3.7037113000000002</v>
      </c>
      <c r="H7871" s="3">
        <v>3.21096678593887</v>
      </c>
      <c r="I7871" s="3">
        <v>3.654328</v>
      </c>
      <c r="J7871" s="3">
        <v>3.7530937</v>
      </c>
      <c r="K7871" s="3">
        <v>3.6543279000000002</v>
      </c>
      <c r="L7871" s="3">
        <v>3.21096678593887</v>
      </c>
    </row>
    <row r="7872" spans="1:12" ht="15" customHeight="1" x14ac:dyDescent="0.2">
      <c r="A7872" s="2">
        <v>34628</v>
      </c>
      <c r="B7872" s="3">
        <v>3.7530937</v>
      </c>
      <c r="C7872" s="1">
        <v>55181.1519999999</v>
      </c>
      <c r="D7872" s="3">
        <v>2.4691999999999902E-2</v>
      </c>
      <c r="E7872" s="3">
        <v>0.66226769502868399</v>
      </c>
      <c r="F7872" s="3">
        <v>0.66226769502868399</v>
      </c>
      <c r="G7872" s="3">
        <v>3.7530937</v>
      </c>
      <c r="H7872" s="3">
        <v>4.5871013799635003</v>
      </c>
      <c r="I7872" s="3">
        <v>3.7530939999999999</v>
      </c>
      <c r="J7872" s="3">
        <v>3.7530937</v>
      </c>
      <c r="K7872" s="3">
        <v>3.6543279000000002</v>
      </c>
      <c r="L7872" s="3">
        <v>4.5871013799635003</v>
      </c>
    </row>
    <row r="7873" spans="1:12" ht="15" customHeight="1" x14ac:dyDescent="0.2">
      <c r="A7873" s="2">
        <v>34627</v>
      </c>
      <c r="B7873" s="3">
        <v>3.7284017</v>
      </c>
      <c r="C7873" s="1">
        <v>135674.73000000001</v>
      </c>
      <c r="D7873" s="3">
        <v>-7.4074700000000104E-2</v>
      </c>
      <c r="E7873" s="3">
        <v>-1.94806468752837</v>
      </c>
      <c r="F7873" s="3">
        <v>-1.94806468752837</v>
      </c>
      <c r="G7873" s="3">
        <v>3.7284017</v>
      </c>
      <c r="H7873" s="3">
        <v>3.89901178942808</v>
      </c>
      <c r="I7873" s="3">
        <v>3.7530939999999999</v>
      </c>
      <c r="J7873" s="3">
        <v>3.8518590000000001</v>
      </c>
      <c r="K7873" s="3">
        <v>3.6790191999999999</v>
      </c>
      <c r="L7873" s="3">
        <v>3.89901178942808</v>
      </c>
    </row>
    <row r="7874" spans="1:12" ht="15" customHeight="1" x14ac:dyDescent="0.2">
      <c r="A7874" s="2">
        <v>34626</v>
      </c>
      <c r="B7874" s="3">
        <v>3.8024764000000002</v>
      </c>
      <c r="C7874" s="1">
        <v>268818.2</v>
      </c>
      <c r="D7874" s="3">
        <v>-4.9382599999999902E-2</v>
      </c>
      <c r="E7874" s="3">
        <v>-1.28204589004945</v>
      </c>
      <c r="F7874" s="3">
        <v>-1.28204589004945</v>
      </c>
      <c r="G7874" s="3">
        <v>3.8024764000000002</v>
      </c>
      <c r="H7874" s="3">
        <v>5.9632443340592998</v>
      </c>
      <c r="I7874" s="3">
        <v>3.8024770000000001</v>
      </c>
      <c r="J7874" s="3">
        <v>3.9012422999999998</v>
      </c>
      <c r="K7874" s="3">
        <v>3.7530937</v>
      </c>
      <c r="L7874" s="3">
        <v>5.9632443340592998</v>
      </c>
    </row>
    <row r="7875" spans="1:12" ht="15" customHeight="1" x14ac:dyDescent="0.2">
      <c r="A7875" s="2">
        <v>34625</v>
      </c>
      <c r="B7875" s="3">
        <v>3.8518590000000001</v>
      </c>
      <c r="C7875" s="1">
        <v>206043.38</v>
      </c>
      <c r="D7875" s="3">
        <v>0.14814769999999999</v>
      </c>
      <c r="E7875" s="3">
        <v>3.9999796960416401</v>
      </c>
      <c r="F7875" s="3">
        <v>3.9999796960416401</v>
      </c>
      <c r="G7875" s="3">
        <v>3.8518590000000001</v>
      </c>
      <c r="H7875" s="3">
        <v>7.3393845014647097</v>
      </c>
      <c r="I7875" s="3">
        <v>3.7037113000000002</v>
      </c>
      <c r="J7875" s="3">
        <v>3.9012422999999998</v>
      </c>
      <c r="K7875" s="3">
        <v>3.7037113000000002</v>
      </c>
      <c r="L7875" s="3">
        <v>7.3393845014647097</v>
      </c>
    </row>
    <row r="7876" spans="1:12" ht="15" customHeight="1" x14ac:dyDescent="0.2">
      <c r="A7876" s="2">
        <v>34624</v>
      </c>
      <c r="B7876" s="3">
        <v>3.7037113000000002</v>
      </c>
      <c r="C7876" s="1">
        <v>248568.28</v>
      </c>
      <c r="D7876" s="3">
        <v>9.8765900000000004E-2</v>
      </c>
      <c r="E7876" s="3">
        <v>2.73973358930761</v>
      </c>
      <c r="F7876" s="3">
        <v>2.73973358930761</v>
      </c>
      <c r="G7876" s="3">
        <v>3.7037113000000002</v>
      </c>
      <c r="H7876" s="3">
        <v>3.21096678593887</v>
      </c>
      <c r="I7876" s="3">
        <v>3.6049457</v>
      </c>
      <c r="J7876" s="3">
        <v>3.8024764000000002</v>
      </c>
      <c r="K7876" s="3">
        <v>3.6049454000000001</v>
      </c>
      <c r="L7876" s="3">
        <v>3.21096678593887</v>
      </c>
    </row>
    <row r="7877" spans="1:12" ht="15" customHeight="1" x14ac:dyDescent="0.2">
      <c r="A7877" s="2">
        <v>34621</v>
      </c>
      <c r="B7877" s="3">
        <v>3.6049454000000001</v>
      </c>
      <c r="C7877" s="1">
        <v>110362.30499999999</v>
      </c>
      <c r="D7877" s="3">
        <v>4.9382899999999799E-2</v>
      </c>
      <c r="E7877" s="3">
        <v>1.38889134982158</v>
      </c>
      <c r="F7877" s="3">
        <v>1.38889134982158</v>
      </c>
      <c r="G7877" s="3">
        <v>3.6049454000000001</v>
      </c>
      <c r="H7877" s="3">
        <v>0.458666944295338</v>
      </c>
      <c r="I7877" s="3">
        <v>3.5061805000000001</v>
      </c>
      <c r="J7877" s="3">
        <v>3.7037113000000002</v>
      </c>
      <c r="K7877" s="3">
        <v>3.5061795999999998</v>
      </c>
      <c r="L7877" s="3">
        <v>0.458666944295338</v>
      </c>
    </row>
    <row r="7878" spans="1:12" ht="15" customHeight="1" x14ac:dyDescent="0.2">
      <c r="A7878" s="2">
        <v>34620</v>
      </c>
      <c r="B7878" s="3">
        <v>3.5555625000000002</v>
      </c>
      <c r="C7878" s="1">
        <v>57206.142</v>
      </c>
      <c r="D7878" s="3">
        <v>4.9382900000000299E-2</v>
      </c>
      <c r="E7878" s="3">
        <v>1.4084532349683401</v>
      </c>
      <c r="F7878" s="3">
        <v>1.4084532349683401</v>
      </c>
      <c r="G7878" s="3">
        <v>3.5555625000000002</v>
      </c>
      <c r="H7878" s="3">
        <v>-0.91748158318123096</v>
      </c>
      <c r="I7878" s="3">
        <v>3.6049457</v>
      </c>
      <c r="J7878" s="3">
        <v>3.6049454000000001</v>
      </c>
      <c r="K7878" s="3">
        <v>3.5061795999999998</v>
      </c>
      <c r="L7878" s="3">
        <v>-0.91748158318123096</v>
      </c>
    </row>
    <row r="7879" spans="1:12" ht="15" customHeight="1" x14ac:dyDescent="0.2">
      <c r="A7879" s="2">
        <v>34619</v>
      </c>
      <c r="B7879" s="3">
        <v>3.5061795999999998</v>
      </c>
      <c r="C7879" s="1">
        <v>270336.98</v>
      </c>
      <c r="D7879" s="3">
        <v>-0.1975317</v>
      </c>
      <c r="E7879" s="3">
        <v>-5.3333449613094901</v>
      </c>
      <c r="F7879" s="3">
        <v>-5.3333449613094901</v>
      </c>
      <c r="G7879" s="3">
        <v>3.5061795999999998</v>
      </c>
      <c r="H7879" s="3">
        <v>-2.2936301106578099</v>
      </c>
      <c r="I7879" s="3">
        <v>3.7037113000000002</v>
      </c>
      <c r="J7879" s="3">
        <v>3.7037113000000002</v>
      </c>
      <c r="K7879" s="3">
        <v>3.5061795999999998</v>
      </c>
      <c r="L7879" s="3">
        <v>-2.2936301106578099</v>
      </c>
    </row>
    <row r="7880" spans="1:12" ht="15" customHeight="1" x14ac:dyDescent="0.2">
      <c r="A7880" s="2">
        <v>34618</v>
      </c>
      <c r="B7880" s="3">
        <v>3.7037113000000002</v>
      </c>
      <c r="C7880" s="1">
        <v>101249.81</v>
      </c>
      <c r="D7880" s="3"/>
      <c r="E7880" s="3"/>
      <c r="F7880" s="3"/>
      <c r="G7880" s="3">
        <v>3.7037113000000002</v>
      </c>
      <c r="H7880" s="3">
        <v>3.21096678593887</v>
      </c>
      <c r="I7880" s="3">
        <v>3.5555629999999998</v>
      </c>
      <c r="J7880" s="3">
        <v>3.7037113000000002</v>
      </c>
      <c r="K7880" s="3">
        <v>3.5555625000000002</v>
      </c>
      <c r="L7880" s="3">
        <v>3.21096678593887</v>
      </c>
    </row>
    <row r="7881" spans="1:12" ht="15" customHeight="1" x14ac:dyDescent="0.2">
      <c r="A7881" s="2">
        <v>34617</v>
      </c>
      <c r="B7881" s="3">
        <v>3.7037113000000002</v>
      </c>
      <c r="C7881" s="1">
        <v>105806.046</v>
      </c>
      <c r="D7881" s="3">
        <v>9.8765900000000004E-2</v>
      </c>
      <c r="E7881" s="3">
        <v>2.73973358930761</v>
      </c>
      <c r="F7881" s="3">
        <v>2.73973358930761</v>
      </c>
      <c r="G7881" s="3">
        <v>3.7037113000000002</v>
      </c>
      <c r="H7881" s="3">
        <v>3.21096678593887</v>
      </c>
      <c r="I7881" s="3">
        <v>3.5061805000000001</v>
      </c>
      <c r="J7881" s="3">
        <v>3.7037113000000002</v>
      </c>
      <c r="K7881" s="3">
        <v>3.5061795999999998</v>
      </c>
      <c r="L7881" s="3">
        <v>3.21096678593887</v>
      </c>
    </row>
    <row r="7882" spans="1:12" ht="15" customHeight="1" x14ac:dyDescent="0.2">
      <c r="A7882" s="2">
        <v>34614</v>
      </c>
      <c r="B7882" s="3">
        <v>3.6049454000000001</v>
      </c>
      <c r="C7882" s="1">
        <v>38474.921999999999</v>
      </c>
      <c r="D7882" s="3">
        <v>4.9382899999999799E-2</v>
      </c>
      <c r="E7882" s="3">
        <v>1.38889134982158</v>
      </c>
      <c r="F7882" s="3">
        <v>1.38889134982158</v>
      </c>
      <c r="G7882" s="3">
        <v>3.6049454000000001</v>
      </c>
      <c r="H7882" s="3">
        <v>0.458666944295338</v>
      </c>
      <c r="I7882" s="3">
        <v>3.6049457</v>
      </c>
      <c r="J7882" s="3">
        <v>3.6049454000000001</v>
      </c>
      <c r="K7882" s="3">
        <v>3.5061795999999998</v>
      </c>
      <c r="L7882" s="3">
        <v>0.458666944295338</v>
      </c>
    </row>
    <row r="7883" spans="1:12" ht="15" customHeight="1" x14ac:dyDescent="0.2">
      <c r="A7883" s="2">
        <v>34613</v>
      </c>
      <c r="B7883" s="3">
        <v>3.5555625000000002</v>
      </c>
      <c r="C7883" s="1">
        <v>349311.82999999903</v>
      </c>
      <c r="D7883" s="3">
        <v>9.8765900000000004E-2</v>
      </c>
      <c r="E7883" s="3">
        <v>2.8571510397805899</v>
      </c>
      <c r="F7883" s="3">
        <v>2.8571510397805899</v>
      </c>
      <c r="G7883" s="3">
        <v>3.5555625000000002</v>
      </c>
      <c r="H7883" s="3">
        <v>-0.91748158318123096</v>
      </c>
      <c r="I7883" s="3">
        <v>3.5061805000000001</v>
      </c>
      <c r="J7883" s="3">
        <v>3.6049454000000001</v>
      </c>
      <c r="K7883" s="3">
        <v>3.4074132000000001</v>
      </c>
      <c r="L7883" s="3">
        <v>-0.91748158318123096</v>
      </c>
    </row>
    <row r="7884" spans="1:12" ht="15" customHeight="1" x14ac:dyDescent="0.2">
      <c r="A7884" s="2">
        <v>34612</v>
      </c>
      <c r="B7884" s="3">
        <v>3.4567966000000001</v>
      </c>
      <c r="C7884" s="1">
        <v>639392.5</v>
      </c>
      <c r="D7884" s="3"/>
      <c r="E7884" s="3"/>
      <c r="F7884" s="3"/>
      <c r="G7884" s="3">
        <v>3.4567966000000001</v>
      </c>
      <c r="H7884" s="3">
        <v>-3.6697814248247602</v>
      </c>
      <c r="I7884" s="3">
        <v>3.4074141999999998</v>
      </c>
      <c r="J7884" s="3">
        <v>3.5061795999999998</v>
      </c>
      <c r="K7884" s="3">
        <v>3.3580312999999999</v>
      </c>
      <c r="L7884" s="3">
        <v>-3.6697814248247602</v>
      </c>
    </row>
    <row r="7885" spans="1:12" ht="15" customHeight="1" x14ac:dyDescent="0.2">
      <c r="A7885" s="2">
        <v>34611</v>
      </c>
      <c r="B7885" s="3">
        <v>3.4567966000000001</v>
      </c>
      <c r="C7885" s="1">
        <v>145293.49</v>
      </c>
      <c r="D7885" s="3">
        <v>4.9383399999999897E-2</v>
      </c>
      <c r="E7885" s="3">
        <v>1.4492929709845499</v>
      </c>
      <c r="F7885" s="3">
        <v>1.4492929709845499</v>
      </c>
      <c r="G7885" s="3">
        <v>3.4567966000000001</v>
      </c>
      <c r="H7885" s="3">
        <v>-3.6697814248247602</v>
      </c>
      <c r="I7885" s="3">
        <v>3.4074141999999998</v>
      </c>
      <c r="J7885" s="3">
        <v>3.4814881999999998</v>
      </c>
      <c r="K7885" s="3">
        <v>3.3086479999999998</v>
      </c>
      <c r="L7885" s="3">
        <v>-3.6697814248247602</v>
      </c>
    </row>
    <row r="7886" spans="1:12" ht="15" customHeight="1" x14ac:dyDescent="0.2">
      <c r="A7886" s="2">
        <v>34610</v>
      </c>
      <c r="B7886" s="3">
        <v>3.4074132000000001</v>
      </c>
      <c r="C7886" s="1">
        <v>100237.31</v>
      </c>
      <c r="D7886" s="3"/>
      <c r="E7886" s="3"/>
      <c r="F7886" s="3"/>
      <c r="G7886" s="3">
        <v>3.4074132000000001</v>
      </c>
      <c r="H7886" s="3">
        <v>-5.0459438857532701</v>
      </c>
      <c r="I7886" s="3">
        <v>3.3086487999999998</v>
      </c>
      <c r="J7886" s="3">
        <v>3.4074132000000001</v>
      </c>
      <c r="K7886" s="3">
        <v>3.3086479999999998</v>
      </c>
      <c r="L7886" s="3">
        <v>-5.0459438857532701</v>
      </c>
    </row>
    <row r="7887" spans="1:12" ht="15" customHeight="1" x14ac:dyDescent="0.2">
      <c r="A7887" s="2">
        <v>34607</v>
      </c>
      <c r="B7887" s="3">
        <v>3.4074132000000001</v>
      </c>
      <c r="C7887" s="1">
        <v>94668.58</v>
      </c>
      <c r="D7887" s="3">
        <v>9.8765200000000303E-2</v>
      </c>
      <c r="E7887" s="3">
        <v>2.9850621764539502</v>
      </c>
      <c r="F7887" s="3">
        <v>2.9850621764539502</v>
      </c>
      <c r="G7887" s="3">
        <v>3.4074132000000001</v>
      </c>
      <c r="H7887" s="3">
        <v>-5.0459438857532701</v>
      </c>
      <c r="I7887" s="3">
        <v>3.3086487999999998</v>
      </c>
      <c r="J7887" s="3">
        <v>3.4074132000000001</v>
      </c>
      <c r="K7887" s="3">
        <v>3.3086479999999998</v>
      </c>
      <c r="L7887" s="3">
        <v>-5.0459438857532701</v>
      </c>
    </row>
    <row r="7888" spans="1:12" ht="15" customHeight="1" x14ac:dyDescent="0.2">
      <c r="A7888" s="2">
        <v>34606</v>
      </c>
      <c r="B7888" s="3">
        <v>3.3086479999999998</v>
      </c>
      <c r="C7888" s="1">
        <v>211612.09</v>
      </c>
      <c r="D7888" s="3">
        <v>4.93822999999999E-2</v>
      </c>
      <c r="E7888" s="3">
        <v>1.5151357558851299</v>
      </c>
      <c r="F7888" s="3">
        <v>1.5151357558851299</v>
      </c>
      <c r="G7888" s="3">
        <v>3.3086479999999998</v>
      </c>
      <c r="H7888" s="3">
        <v>-7.7982242205640997</v>
      </c>
      <c r="I7888" s="3">
        <v>3.3580312999999999</v>
      </c>
      <c r="J7888" s="3">
        <v>3.4567966000000001</v>
      </c>
      <c r="K7888" s="3">
        <v>3.3086479999999998</v>
      </c>
      <c r="L7888" s="3">
        <v>-7.7982242205640997</v>
      </c>
    </row>
    <row r="7889" spans="1:12" ht="15" customHeight="1" x14ac:dyDescent="0.2">
      <c r="A7889" s="2">
        <v>34605</v>
      </c>
      <c r="B7889" s="3">
        <v>3.2592656999999998</v>
      </c>
      <c r="C7889" s="1">
        <v>425755.43</v>
      </c>
      <c r="D7889" s="3">
        <v>7.4074500000000001E-2</v>
      </c>
      <c r="E7889" s="3">
        <v>2.3255903758618799</v>
      </c>
      <c r="F7889" s="3">
        <v>2.3255903758618799</v>
      </c>
      <c r="G7889" s="3">
        <v>3.2592656999999998</v>
      </c>
      <c r="H7889" s="3">
        <v>-9.1743560278983391</v>
      </c>
      <c r="I7889" s="3">
        <v>3.209883</v>
      </c>
      <c r="J7889" s="3">
        <v>3.3580312999999999</v>
      </c>
      <c r="K7889" s="3">
        <v>3.1604998000000002</v>
      </c>
      <c r="L7889" s="3">
        <v>-9.1743560278983391</v>
      </c>
    </row>
    <row r="7890" spans="1:12" ht="15" customHeight="1" x14ac:dyDescent="0.2">
      <c r="A7890" s="2">
        <v>34604</v>
      </c>
      <c r="B7890" s="3">
        <v>3.1851912000000002</v>
      </c>
      <c r="C7890" s="1">
        <v>278436.98</v>
      </c>
      <c r="D7890" s="3">
        <v>-0.222222</v>
      </c>
      <c r="E7890" s="3">
        <v>-6.5217215217690701</v>
      </c>
      <c r="F7890" s="3">
        <v>-6.5217215217690701</v>
      </c>
      <c r="G7890" s="3">
        <v>3.1851912000000002</v>
      </c>
      <c r="H7890" s="3">
        <v>-11.238582999148701</v>
      </c>
      <c r="I7890" s="3">
        <v>3.4074141999999998</v>
      </c>
      <c r="J7890" s="3">
        <v>3.4074132000000001</v>
      </c>
      <c r="K7890" s="3">
        <v>3.1604998000000002</v>
      </c>
      <c r="L7890" s="3">
        <v>-11.238582999148701</v>
      </c>
    </row>
    <row r="7891" spans="1:12" ht="15" customHeight="1" x14ac:dyDescent="0.2">
      <c r="A7891" s="2">
        <v>34603</v>
      </c>
      <c r="B7891" s="3">
        <v>3.4074132000000001</v>
      </c>
      <c r="C7891" s="1">
        <v>30374.94</v>
      </c>
      <c r="D7891" s="3">
        <v>4.9381900000000201E-2</v>
      </c>
      <c r="E7891" s="3">
        <v>1.47056103973779</v>
      </c>
      <c r="F7891" s="3">
        <v>1.47056103973779</v>
      </c>
      <c r="G7891" s="3">
        <v>3.4074132000000001</v>
      </c>
      <c r="H7891" s="3">
        <v>-5.0459438857532701</v>
      </c>
      <c r="I7891" s="3">
        <v>3.3580312999999999</v>
      </c>
      <c r="J7891" s="3">
        <v>3.4074132000000001</v>
      </c>
      <c r="K7891" s="3">
        <v>3.3580312999999999</v>
      </c>
      <c r="L7891" s="3">
        <v>-5.0459438857532701</v>
      </c>
    </row>
    <row r="7892" spans="1:12" ht="15" customHeight="1" x14ac:dyDescent="0.2">
      <c r="A7892" s="2">
        <v>34600</v>
      </c>
      <c r="B7892" s="3">
        <v>3.3580312999999999</v>
      </c>
      <c r="C7892" s="1">
        <v>65306.12</v>
      </c>
      <c r="D7892" s="3"/>
      <c r="E7892" s="3"/>
      <c r="F7892" s="3"/>
      <c r="G7892" s="3">
        <v>3.3580312999999999</v>
      </c>
      <c r="H7892" s="3">
        <v>-6.42206454632597</v>
      </c>
      <c r="I7892" s="3">
        <v>3.3580312999999999</v>
      </c>
      <c r="J7892" s="3">
        <v>3.4074132000000001</v>
      </c>
      <c r="K7892" s="3">
        <v>3.3580312999999999</v>
      </c>
      <c r="L7892" s="3">
        <v>-6.42206454632597</v>
      </c>
    </row>
    <row r="7893" spans="1:12" ht="15" customHeight="1" x14ac:dyDescent="0.2">
      <c r="A7893" s="2">
        <v>34599</v>
      </c>
      <c r="B7893" s="3">
        <v>3.3580312999999999</v>
      </c>
      <c r="C7893" s="1">
        <v>135168.49</v>
      </c>
      <c r="D7893" s="3">
        <v>-9.8765300000000097E-2</v>
      </c>
      <c r="E7893" s="3">
        <v>-2.8571336826702498</v>
      </c>
      <c r="F7893" s="3">
        <v>-2.8571336826702498</v>
      </c>
      <c r="G7893" s="3">
        <v>3.3580312999999999</v>
      </c>
      <c r="H7893" s="3">
        <v>-6.42206454632597</v>
      </c>
      <c r="I7893" s="3">
        <v>3.4074141999999998</v>
      </c>
      <c r="J7893" s="3">
        <v>3.4567966000000001</v>
      </c>
      <c r="K7893" s="3">
        <v>3.3580312999999999</v>
      </c>
      <c r="L7893" s="3">
        <v>-6.42206454632597</v>
      </c>
    </row>
    <row r="7894" spans="1:12" ht="15" customHeight="1" x14ac:dyDescent="0.2">
      <c r="A7894" s="2">
        <v>34598</v>
      </c>
      <c r="B7894" s="3">
        <v>3.4567966000000001</v>
      </c>
      <c r="C7894" s="1">
        <v>235405.8</v>
      </c>
      <c r="D7894" s="3">
        <v>4.9383399999999897E-2</v>
      </c>
      <c r="E7894" s="3">
        <v>1.4492929709845499</v>
      </c>
      <c r="F7894" s="3">
        <v>1.4492929709845499</v>
      </c>
      <c r="G7894" s="3">
        <v>3.4567966000000001</v>
      </c>
      <c r="H7894" s="3">
        <v>-3.6697814248247602</v>
      </c>
      <c r="I7894" s="3">
        <v>3.3580312999999999</v>
      </c>
      <c r="J7894" s="3">
        <v>3.4567966000000001</v>
      </c>
      <c r="K7894" s="3">
        <v>3.3086479999999998</v>
      </c>
      <c r="L7894" s="3">
        <v>-3.6697814248247602</v>
      </c>
    </row>
    <row r="7895" spans="1:12" ht="15" customHeight="1" x14ac:dyDescent="0.2">
      <c r="A7895" s="2">
        <v>34597</v>
      </c>
      <c r="B7895" s="3">
        <v>3.4074132000000001</v>
      </c>
      <c r="C7895" s="1">
        <v>147824.72</v>
      </c>
      <c r="D7895" s="3">
        <v>4.9381900000000201E-2</v>
      </c>
      <c r="E7895" s="3">
        <v>1.47056103973779</v>
      </c>
      <c r="F7895" s="3">
        <v>1.47056103973779</v>
      </c>
      <c r="G7895" s="3">
        <v>3.4074132000000001</v>
      </c>
      <c r="H7895" s="3">
        <v>-5.0459438857532701</v>
      </c>
      <c r="I7895" s="3">
        <v>3.3580312999999999</v>
      </c>
      <c r="J7895" s="3">
        <v>3.4074132000000001</v>
      </c>
      <c r="K7895" s="3">
        <v>3.3086479999999998</v>
      </c>
      <c r="L7895" s="3">
        <v>-5.0459438857532701</v>
      </c>
    </row>
    <row r="7896" spans="1:12" ht="15" customHeight="1" x14ac:dyDescent="0.2">
      <c r="A7896" s="2">
        <v>34596</v>
      </c>
      <c r="B7896" s="3">
        <v>3.3580312999999999</v>
      </c>
      <c r="C7896" s="1">
        <v>80493.59</v>
      </c>
      <c r="D7896" s="3">
        <v>-4.9381900000000201E-2</v>
      </c>
      <c r="E7896" s="3">
        <v>-1.44924894932026</v>
      </c>
      <c r="F7896" s="3">
        <v>-1.44924894932026</v>
      </c>
      <c r="G7896" s="3">
        <v>3.3580312999999999</v>
      </c>
      <c r="H7896" s="3">
        <v>-6.42206454632597</v>
      </c>
      <c r="I7896" s="3">
        <v>3.4074141999999998</v>
      </c>
      <c r="J7896" s="3">
        <v>3.4074132000000001</v>
      </c>
      <c r="K7896" s="3">
        <v>3.3580312999999999</v>
      </c>
      <c r="L7896" s="3">
        <v>-6.42206454632597</v>
      </c>
    </row>
    <row r="7897" spans="1:12" ht="15" customHeight="1" x14ac:dyDescent="0.2">
      <c r="A7897" s="2">
        <v>34593</v>
      </c>
      <c r="B7897" s="3">
        <v>3.4074132000000001</v>
      </c>
      <c r="C7897" s="1">
        <v>174149.66999999899</v>
      </c>
      <c r="D7897" s="3">
        <v>-4.9383399999999897E-2</v>
      </c>
      <c r="E7897" s="3">
        <v>-1.4285885377230401</v>
      </c>
      <c r="F7897" s="3">
        <v>-1.4285885377230401</v>
      </c>
      <c r="G7897" s="3">
        <v>3.4074132000000001</v>
      </c>
      <c r="H7897" s="3">
        <v>-5.0459438857532701</v>
      </c>
      <c r="I7897" s="3">
        <v>3.4567974000000001</v>
      </c>
      <c r="J7897" s="3">
        <v>3.4567966000000001</v>
      </c>
      <c r="K7897" s="3">
        <v>3.3086479999999998</v>
      </c>
      <c r="L7897" s="3">
        <v>-5.0459438857532701</v>
      </c>
    </row>
    <row r="7898" spans="1:12" ht="15" customHeight="1" x14ac:dyDescent="0.2">
      <c r="A7898" s="2">
        <v>34592</v>
      </c>
      <c r="B7898" s="3">
        <v>3.4567966000000001</v>
      </c>
      <c r="C7898" s="1">
        <v>157443.44</v>
      </c>
      <c r="D7898" s="3">
        <v>9.8765300000000097E-2</v>
      </c>
      <c r="E7898" s="3">
        <v>2.9411667485052999</v>
      </c>
      <c r="F7898" s="3">
        <v>2.9411667485052999</v>
      </c>
      <c r="G7898" s="3">
        <v>3.4567966000000001</v>
      </c>
      <c r="H7898" s="3">
        <v>-3.6697814248247602</v>
      </c>
      <c r="I7898" s="3">
        <v>3.4074141999999998</v>
      </c>
      <c r="J7898" s="3">
        <v>3.4567966000000001</v>
      </c>
      <c r="K7898" s="3">
        <v>3.3086479999999998</v>
      </c>
      <c r="L7898" s="3">
        <v>-3.6697814248247602</v>
      </c>
    </row>
    <row r="7899" spans="1:12" ht="15" customHeight="1" x14ac:dyDescent="0.2">
      <c r="A7899" s="2">
        <v>34591</v>
      </c>
      <c r="B7899" s="3">
        <v>3.3580312999999999</v>
      </c>
      <c r="C7899" s="1">
        <v>67331.115999999995</v>
      </c>
      <c r="D7899" s="3">
        <v>4.9383300000000102E-2</v>
      </c>
      <c r="E7899" s="3">
        <v>1.49255224490487</v>
      </c>
      <c r="F7899" s="3">
        <v>1.49255224490487</v>
      </c>
      <c r="G7899" s="3">
        <v>3.3580312999999999</v>
      </c>
      <c r="H7899" s="3">
        <v>-6.42206454632597</v>
      </c>
      <c r="I7899" s="3">
        <v>3.3580312999999999</v>
      </c>
      <c r="J7899" s="3">
        <v>3.4074132000000001</v>
      </c>
      <c r="K7899" s="3">
        <v>3.2592656999999998</v>
      </c>
      <c r="L7899" s="3">
        <v>-6.42206454632597</v>
      </c>
    </row>
    <row r="7900" spans="1:12" ht="15" customHeight="1" x14ac:dyDescent="0.2">
      <c r="A7900" s="2">
        <v>34590</v>
      </c>
      <c r="B7900" s="3">
        <v>3.3086479999999998</v>
      </c>
      <c r="C7900" s="1">
        <v>140737.23000000001</v>
      </c>
      <c r="D7900" s="3"/>
      <c r="E7900" s="3"/>
      <c r="F7900" s="3"/>
      <c r="G7900" s="3">
        <v>3.3086479999999998</v>
      </c>
      <c r="H7900" s="3">
        <v>-7.7982242205640997</v>
      </c>
      <c r="I7900" s="3">
        <v>3.2839577000000002</v>
      </c>
      <c r="J7900" s="3">
        <v>3.3580312999999999</v>
      </c>
      <c r="K7900" s="3">
        <v>3.2592656999999998</v>
      </c>
      <c r="L7900" s="3">
        <v>-7.7982242205640997</v>
      </c>
    </row>
    <row r="7901" spans="1:12" ht="15" customHeight="1" x14ac:dyDescent="0.2">
      <c r="A7901" s="2">
        <v>34589</v>
      </c>
      <c r="B7901" s="3">
        <v>3.3086479999999998</v>
      </c>
      <c r="C7901" s="1">
        <v>106312.29399999999</v>
      </c>
      <c r="D7901" s="3"/>
      <c r="E7901" s="3"/>
      <c r="F7901" s="3"/>
      <c r="G7901" s="3">
        <v>3.3086479999999998</v>
      </c>
      <c r="H7901" s="3">
        <v>-7.7982242205640997</v>
      </c>
      <c r="I7901" s="3">
        <v>3.4074141999999998</v>
      </c>
      <c r="J7901" s="3">
        <v>3.4074132000000001</v>
      </c>
      <c r="K7901" s="3">
        <v>3.2592656999999998</v>
      </c>
      <c r="L7901" s="3">
        <v>-7.7982242205640997</v>
      </c>
    </row>
    <row r="7902" spans="1:12" ht="15" customHeight="1" x14ac:dyDescent="0.2">
      <c r="A7902" s="2">
        <v>34586</v>
      </c>
      <c r="B7902" s="3">
        <v>3.3086479999999998</v>
      </c>
      <c r="C7902" s="1">
        <v>191362.15</v>
      </c>
      <c r="D7902" s="3">
        <v>-4.9383300000000102E-2</v>
      </c>
      <c r="E7902" s="3">
        <v>-1.4706027308322001</v>
      </c>
      <c r="F7902" s="3">
        <v>-1.4706027308322001</v>
      </c>
      <c r="G7902" s="3">
        <v>3.3086479999999998</v>
      </c>
      <c r="H7902" s="3">
        <v>-7.7982242205640997</v>
      </c>
      <c r="I7902" s="3">
        <v>3.4074141999999998</v>
      </c>
      <c r="J7902" s="3">
        <v>3.4074132000000001</v>
      </c>
      <c r="K7902" s="3">
        <v>3.2592656999999998</v>
      </c>
      <c r="L7902" s="3">
        <v>-7.7982242205640997</v>
      </c>
    </row>
    <row r="7903" spans="1:12" ht="15" customHeight="1" x14ac:dyDescent="0.2">
      <c r="A7903" s="2">
        <v>34585</v>
      </c>
      <c r="B7903" s="3">
        <v>3.3580312999999999</v>
      </c>
      <c r="C7903" s="1">
        <v>163518.43</v>
      </c>
      <c r="D7903" s="3">
        <v>0.24691469999999999</v>
      </c>
      <c r="E7903" s="3">
        <v>7.9365299262650497</v>
      </c>
      <c r="F7903" s="3">
        <v>7.9365299262650497</v>
      </c>
      <c r="G7903" s="3">
        <v>3.3580312999999999</v>
      </c>
      <c r="H7903" s="3">
        <v>-6.42206454632597</v>
      </c>
      <c r="I7903" s="3">
        <v>3.2592660000000002</v>
      </c>
      <c r="J7903" s="3">
        <v>3.4074132000000001</v>
      </c>
      <c r="K7903" s="3">
        <v>3.2345742999999998</v>
      </c>
      <c r="L7903" s="3">
        <v>-6.42206454632597</v>
      </c>
    </row>
    <row r="7904" spans="1:12" ht="15" customHeight="1" x14ac:dyDescent="0.2">
      <c r="A7904" s="2">
        <v>34584</v>
      </c>
      <c r="B7904" s="3">
        <v>3.1111165999999999</v>
      </c>
      <c r="C7904" s="1">
        <v>804429.75</v>
      </c>
      <c r="D7904" s="3">
        <v>-9.8766100000000107E-2</v>
      </c>
      <c r="E7904" s="3">
        <v>-3.0769379828116499</v>
      </c>
      <c r="F7904" s="3">
        <v>-3.0769379828116499</v>
      </c>
      <c r="G7904" s="3">
        <v>3.1111165999999999</v>
      </c>
      <c r="H7904" s="3">
        <v>-13.302812757089599</v>
      </c>
      <c r="I7904" s="3">
        <v>3.1605007999999999</v>
      </c>
      <c r="J7904" s="3">
        <v>3.2592656999999998</v>
      </c>
      <c r="K7904" s="3">
        <v>3.1111165999999999</v>
      </c>
      <c r="L7904" s="3">
        <v>-13.302812757089599</v>
      </c>
    </row>
    <row r="7905" spans="1:12" ht="15" customHeight="1" x14ac:dyDescent="0.2">
      <c r="A7905" s="2">
        <v>34583</v>
      </c>
      <c r="B7905" s="3">
        <v>3.2098827000000001</v>
      </c>
      <c r="C7905" s="1">
        <v>246037.03</v>
      </c>
      <c r="D7905" s="3">
        <v>-9.8765299999999695E-2</v>
      </c>
      <c r="E7905" s="3">
        <v>-2.9850651988364998</v>
      </c>
      <c r="F7905" s="3">
        <v>-2.9850651988364998</v>
      </c>
      <c r="G7905" s="3">
        <v>3.2098827000000001</v>
      </c>
      <c r="H7905" s="3">
        <v>-10.5505073420653</v>
      </c>
      <c r="I7905" s="3">
        <v>3.3086487999999998</v>
      </c>
      <c r="J7905" s="3">
        <v>3.3086479999999998</v>
      </c>
      <c r="K7905" s="3">
        <v>3.2098827000000001</v>
      </c>
      <c r="L7905" s="3">
        <v>-10.5505073420653</v>
      </c>
    </row>
    <row r="7906" spans="1:12" ht="15" customHeight="1" x14ac:dyDescent="0.2">
      <c r="A7906" s="2">
        <v>34579</v>
      </c>
      <c r="B7906" s="3">
        <v>3.3086479999999998</v>
      </c>
      <c r="C7906" s="1">
        <v>920360.8</v>
      </c>
      <c r="D7906" s="3">
        <v>-7.4074900000000193E-2</v>
      </c>
      <c r="E7906" s="3">
        <v>-2.1898010032095701</v>
      </c>
      <c r="F7906" s="3">
        <v>-2.1898010032095701</v>
      </c>
      <c r="G7906" s="3">
        <v>3.3086479999999998</v>
      </c>
      <c r="H7906" s="3">
        <v>-7.7982242205640997</v>
      </c>
      <c r="I7906" s="3">
        <v>3.3086487999999998</v>
      </c>
      <c r="J7906" s="3">
        <v>3.4074132000000001</v>
      </c>
      <c r="K7906" s="3">
        <v>3.2098827000000001</v>
      </c>
      <c r="L7906" s="3">
        <v>-7.7982242205640997</v>
      </c>
    </row>
    <row r="7907" spans="1:12" ht="15" customHeight="1" x14ac:dyDescent="0.2">
      <c r="A7907" s="2">
        <v>34578</v>
      </c>
      <c r="B7907" s="3">
        <v>3.3827229000000001</v>
      </c>
      <c r="C7907" s="1">
        <v>984654.36</v>
      </c>
      <c r="D7907" s="3">
        <v>-0.370370799999999</v>
      </c>
      <c r="E7907" s="3">
        <v>-9.8684133572257995</v>
      </c>
      <c r="F7907" s="3">
        <v>-9.8684133572257995</v>
      </c>
      <c r="G7907" s="3">
        <v>3.3827229000000001</v>
      </c>
      <c r="H7907" s="3">
        <v>-5.7339861025521</v>
      </c>
      <c r="I7907" s="3">
        <v>3.8024770000000001</v>
      </c>
      <c r="J7907" s="3">
        <v>3.8024764000000002</v>
      </c>
      <c r="K7907" s="3">
        <v>3.3580312999999999</v>
      </c>
      <c r="L7907" s="3">
        <v>-5.7339861025521</v>
      </c>
    </row>
    <row r="7908" spans="1:12" ht="15" customHeight="1" x14ac:dyDescent="0.2">
      <c r="A7908" s="2">
        <v>34577</v>
      </c>
      <c r="B7908" s="3">
        <v>3.7530937</v>
      </c>
      <c r="C7908" s="1">
        <v>302736.94</v>
      </c>
      <c r="D7908" s="3">
        <v>2.4691999999999902E-2</v>
      </c>
      <c r="E7908" s="3">
        <v>0.66226769502868399</v>
      </c>
      <c r="F7908" s="3">
        <v>0.66226769502868399</v>
      </c>
      <c r="G7908" s="3">
        <v>3.7530937</v>
      </c>
      <c r="H7908" s="3">
        <v>4.5871013799635003</v>
      </c>
      <c r="I7908" s="3">
        <v>3.7037113000000002</v>
      </c>
      <c r="J7908" s="3">
        <v>3.8024764000000002</v>
      </c>
      <c r="K7908" s="3">
        <v>3.7037113000000002</v>
      </c>
      <c r="L7908" s="3">
        <v>4.5871013799635003</v>
      </c>
    </row>
    <row r="7909" spans="1:12" ht="15" customHeight="1" x14ac:dyDescent="0.2">
      <c r="A7909" s="2">
        <v>34576</v>
      </c>
      <c r="B7909" s="3">
        <v>3.7284017</v>
      </c>
      <c r="C7909" s="1">
        <v>332099.37</v>
      </c>
      <c r="D7909" s="3">
        <v>-0.17284059999999901</v>
      </c>
      <c r="E7909" s="3">
        <v>-4.4303990039275396</v>
      </c>
      <c r="F7909" s="3">
        <v>-4.4303990039275396</v>
      </c>
      <c r="G7909" s="3">
        <v>3.7284017</v>
      </c>
      <c r="H7909" s="3">
        <v>3.89901178942808</v>
      </c>
      <c r="I7909" s="3">
        <v>3.9012424999999999</v>
      </c>
      <c r="J7909" s="3">
        <v>3.9012422999999998</v>
      </c>
      <c r="K7909" s="3">
        <v>3.6543279000000002</v>
      </c>
      <c r="L7909" s="3">
        <v>3.89901178942808</v>
      </c>
    </row>
    <row r="7910" spans="1:12" ht="15" customHeight="1" x14ac:dyDescent="0.2">
      <c r="A7910" s="2">
        <v>34575</v>
      </c>
      <c r="B7910" s="3">
        <v>3.9012422999999998</v>
      </c>
      <c r="C7910" s="1">
        <v>283499.48</v>
      </c>
      <c r="D7910" s="3">
        <v>0.19753099999999901</v>
      </c>
      <c r="E7910" s="3">
        <v>5.3333260613482398</v>
      </c>
      <c r="F7910" s="3">
        <v>5.3333260613482398</v>
      </c>
      <c r="G7910" s="3">
        <v>3.9012422999999998</v>
      </c>
      <c r="H7910" s="3">
        <v>8.7155441757028207</v>
      </c>
      <c r="I7910" s="3">
        <v>3.7530939999999999</v>
      </c>
      <c r="J7910" s="3">
        <v>3.9012422999999998</v>
      </c>
      <c r="K7910" s="3">
        <v>3.6543279000000002</v>
      </c>
      <c r="L7910" s="3">
        <v>8.7155441757028207</v>
      </c>
    </row>
    <row r="7911" spans="1:12" ht="15" customHeight="1" x14ac:dyDescent="0.2">
      <c r="A7911" s="2">
        <v>34572</v>
      </c>
      <c r="B7911" s="3">
        <v>3.7037113000000002</v>
      </c>
      <c r="C7911" s="1">
        <v>270843.23</v>
      </c>
      <c r="D7911" s="3">
        <v>2.4692100000000199E-2</v>
      </c>
      <c r="E7911" s="3">
        <v>0.67115985695318503</v>
      </c>
      <c r="F7911" s="3">
        <v>0.67115985695318503</v>
      </c>
      <c r="G7911" s="3">
        <v>3.7037113000000002</v>
      </c>
      <c r="H7911" s="3">
        <v>3.21096678593887</v>
      </c>
      <c r="I7911" s="3">
        <v>3.7530939999999999</v>
      </c>
      <c r="J7911" s="3">
        <v>3.8024764000000002</v>
      </c>
      <c r="K7911" s="3">
        <v>3.6543279000000002</v>
      </c>
      <c r="L7911" s="3">
        <v>3.21096678593887</v>
      </c>
    </row>
    <row r="7912" spans="1:12" ht="15" customHeight="1" x14ac:dyDescent="0.2">
      <c r="A7912" s="2">
        <v>34571</v>
      </c>
      <c r="B7912" s="3">
        <v>3.6790191999999999</v>
      </c>
      <c r="C7912" s="1">
        <v>263249.48</v>
      </c>
      <c r="D7912" s="3">
        <v>7.4073799999999801E-2</v>
      </c>
      <c r="E7912" s="3">
        <v>2.0547828546862301</v>
      </c>
      <c r="F7912" s="3">
        <v>2.0547828546862301</v>
      </c>
      <c r="G7912" s="3">
        <v>3.6790191999999999</v>
      </c>
      <c r="H7912" s="3">
        <v>2.5228744087130499</v>
      </c>
      <c r="I7912" s="3">
        <v>3.7037113000000002</v>
      </c>
      <c r="J7912" s="3">
        <v>3.7530937</v>
      </c>
      <c r="K7912" s="3">
        <v>3.6049454000000001</v>
      </c>
      <c r="L7912" s="3">
        <v>2.5228744087130499</v>
      </c>
    </row>
    <row r="7913" spans="1:12" ht="15" customHeight="1" x14ac:dyDescent="0.2">
      <c r="A7913" s="2">
        <v>34570</v>
      </c>
      <c r="B7913" s="3">
        <v>3.6049454000000001</v>
      </c>
      <c r="C7913" s="1">
        <v>193893.36</v>
      </c>
      <c r="D7913" s="3">
        <v>-4.93825000000001E-2</v>
      </c>
      <c r="E7913" s="3">
        <v>-1.3513428830510801</v>
      </c>
      <c r="F7913" s="3">
        <v>-1.3513428830510801</v>
      </c>
      <c r="G7913" s="3">
        <v>3.6049454000000001</v>
      </c>
      <c r="H7913" s="3">
        <v>0.458666944295338</v>
      </c>
      <c r="I7913" s="3">
        <v>3.654328</v>
      </c>
      <c r="J7913" s="3">
        <v>3.7037113000000002</v>
      </c>
      <c r="K7913" s="3">
        <v>3.5061795999999998</v>
      </c>
      <c r="L7913" s="3">
        <v>0.458666944295338</v>
      </c>
    </row>
    <row r="7914" spans="1:12" ht="15" customHeight="1" x14ac:dyDescent="0.2">
      <c r="A7914" s="2">
        <v>34569</v>
      </c>
      <c r="B7914" s="3">
        <v>3.6543279000000002</v>
      </c>
      <c r="C7914" s="1">
        <v>135168.49</v>
      </c>
      <c r="D7914" s="3">
        <v>9.8765400000000003E-2</v>
      </c>
      <c r="E7914" s="3">
        <v>2.77777144966513</v>
      </c>
      <c r="F7914" s="3">
        <v>2.77777144966513</v>
      </c>
      <c r="G7914" s="3">
        <v>3.6543279000000002</v>
      </c>
      <c r="H7914" s="3">
        <v>1.8348043250103601</v>
      </c>
      <c r="I7914" s="3">
        <v>3.654328</v>
      </c>
      <c r="J7914" s="3">
        <v>3.6543279000000002</v>
      </c>
      <c r="K7914" s="3">
        <v>3.5061795999999998</v>
      </c>
      <c r="L7914" s="3">
        <v>1.8348043250103601</v>
      </c>
    </row>
    <row r="7915" spans="1:12" ht="15" customHeight="1" x14ac:dyDescent="0.2">
      <c r="A7915" s="2">
        <v>34568</v>
      </c>
      <c r="B7915" s="3">
        <v>3.5555625000000002</v>
      </c>
      <c r="C7915" s="1">
        <v>122006.01</v>
      </c>
      <c r="D7915" s="3">
        <v>4.9382900000000299E-2</v>
      </c>
      <c r="E7915" s="3">
        <v>1.4084532349683401</v>
      </c>
      <c r="F7915" s="3">
        <v>1.4084532349683401</v>
      </c>
      <c r="G7915" s="3">
        <v>3.5555625000000002</v>
      </c>
      <c r="H7915" s="3">
        <v>-0.91748158318123096</v>
      </c>
      <c r="I7915" s="3">
        <v>3.3580312999999999</v>
      </c>
      <c r="J7915" s="3">
        <v>3.6049454000000001</v>
      </c>
      <c r="K7915" s="3">
        <v>3.3580312999999999</v>
      </c>
      <c r="L7915" s="3">
        <v>-0.91748158318123096</v>
      </c>
    </row>
    <row r="7916" spans="1:12" ht="15" customHeight="1" x14ac:dyDescent="0.2">
      <c r="A7916" s="2">
        <v>34565</v>
      </c>
      <c r="B7916" s="3">
        <v>3.5061795999999998</v>
      </c>
      <c r="C7916" s="1">
        <v>29868.696</v>
      </c>
      <c r="D7916" s="3">
        <v>9.8766399999999699E-2</v>
      </c>
      <c r="E7916" s="3">
        <v>2.8985742028586299</v>
      </c>
      <c r="F7916" s="3">
        <v>2.8985742028586299</v>
      </c>
      <c r="G7916" s="3">
        <v>3.5061795999999998</v>
      </c>
      <c r="H7916" s="3">
        <v>-2.2936301106578099</v>
      </c>
      <c r="I7916" s="3">
        <v>3.5061805000000001</v>
      </c>
      <c r="J7916" s="3">
        <v>3.5061795999999998</v>
      </c>
      <c r="K7916" s="3">
        <v>3.4074132000000001</v>
      </c>
      <c r="L7916" s="3">
        <v>-2.2936301106578099</v>
      </c>
    </row>
    <row r="7917" spans="1:12" ht="15" customHeight="1" x14ac:dyDescent="0.2">
      <c r="A7917" s="2">
        <v>34564</v>
      </c>
      <c r="B7917" s="3">
        <v>3.4074132000000001</v>
      </c>
      <c r="C7917" s="1">
        <v>690017.46</v>
      </c>
      <c r="D7917" s="3">
        <v>-0.19753219999999899</v>
      </c>
      <c r="E7917" s="3">
        <v>-5.4794782744837001</v>
      </c>
      <c r="F7917" s="3">
        <v>-5.4794782744837001</v>
      </c>
      <c r="G7917" s="3">
        <v>3.4074132000000001</v>
      </c>
      <c r="H7917" s="3">
        <v>-5.0459438857532701</v>
      </c>
      <c r="I7917" s="3">
        <v>3.5061805000000001</v>
      </c>
      <c r="J7917" s="3">
        <v>3.6049454000000001</v>
      </c>
      <c r="K7917" s="3">
        <v>3.4074132000000001</v>
      </c>
      <c r="L7917" s="3">
        <v>-5.0459438857532701</v>
      </c>
    </row>
    <row r="7918" spans="1:12" ht="15" customHeight="1" x14ac:dyDescent="0.2">
      <c r="A7918" s="2">
        <v>34563</v>
      </c>
      <c r="B7918" s="3">
        <v>3.6049454000000001</v>
      </c>
      <c r="C7918" s="1">
        <v>374118.04</v>
      </c>
      <c r="D7918" s="3">
        <v>0.2469141</v>
      </c>
      <c r="E7918" s="3">
        <v>7.3529421837134201</v>
      </c>
      <c r="F7918" s="3">
        <v>7.3529421837134201</v>
      </c>
      <c r="G7918" s="3">
        <v>3.6049454000000001</v>
      </c>
      <c r="H7918" s="3">
        <v>0.458666944295338</v>
      </c>
      <c r="I7918" s="3">
        <v>3.4567974000000001</v>
      </c>
      <c r="J7918" s="3">
        <v>3.6543279000000002</v>
      </c>
      <c r="K7918" s="3">
        <v>3.4074132000000001</v>
      </c>
      <c r="L7918" s="3">
        <v>0.458666944295338</v>
      </c>
    </row>
    <row r="7919" spans="1:12" ht="15" customHeight="1" x14ac:dyDescent="0.2">
      <c r="A7919" s="2">
        <v>34562</v>
      </c>
      <c r="B7919" s="3">
        <v>3.3580312999999999</v>
      </c>
      <c r="C7919" s="1">
        <v>181743.41</v>
      </c>
      <c r="D7919" s="3">
        <v>9.8765600000000106E-2</v>
      </c>
      <c r="E7919" s="3">
        <v>3.0303021935278198</v>
      </c>
      <c r="F7919" s="3">
        <v>3.0303021935278198</v>
      </c>
      <c r="G7919" s="3">
        <v>3.3580312999999999</v>
      </c>
      <c r="H7919" s="3">
        <v>-6.42206454632597</v>
      </c>
      <c r="I7919" s="3">
        <v>3.2592660000000002</v>
      </c>
      <c r="J7919" s="3">
        <v>3.4567966000000001</v>
      </c>
      <c r="K7919" s="3">
        <v>3.2592656999999998</v>
      </c>
      <c r="L7919" s="3">
        <v>-6.42206454632597</v>
      </c>
    </row>
    <row r="7920" spans="1:12" ht="15" customHeight="1" x14ac:dyDescent="0.2">
      <c r="A7920" s="2">
        <v>34561</v>
      </c>
      <c r="B7920" s="3">
        <v>3.2592656999999998</v>
      </c>
      <c r="C7920" s="1">
        <v>66824.87</v>
      </c>
      <c r="D7920" s="3">
        <v>-4.93822999999999E-2</v>
      </c>
      <c r="E7920" s="3">
        <v>-1.4925220210793</v>
      </c>
      <c r="F7920" s="3">
        <v>-1.4925220210793</v>
      </c>
      <c r="G7920" s="3">
        <v>3.2592656999999998</v>
      </c>
      <c r="H7920" s="3">
        <v>-9.1743560278983391</v>
      </c>
      <c r="I7920" s="3">
        <v>3.2592660000000002</v>
      </c>
      <c r="J7920" s="3">
        <v>3.4074132000000001</v>
      </c>
      <c r="K7920" s="3">
        <v>3.2592656999999998</v>
      </c>
      <c r="L7920" s="3">
        <v>-9.1743560278983391</v>
      </c>
    </row>
    <row r="7921" spans="1:12" ht="15" customHeight="1" x14ac:dyDescent="0.2">
      <c r="A7921" s="2">
        <v>34558</v>
      </c>
      <c r="B7921" s="3">
        <v>3.3086479999999998</v>
      </c>
      <c r="C7921" s="1">
        <v>24299.952000000001</v>
      </c>
      <c r="D7921" s="3"/>
      <c r="E7921" s="3"/>
      <c r="F7921" s="3"/>
      <c r="G7921" s="3">
        <v>3.3086479999999998</v>
      </c>
      <c r="H7921" s="3">
        <v>-7.7982242205640997</v>
      </c>
      <c r="I7921" s="3">
        <v>3.209883</v>
      </c>
      <c r="J7921" s="3">
        <v>3.3086479999999998</v>
      </c>
      <c r="K7921" s="3">
        <v>3.2098827000000001</v>
      </c>
      <c r="L7921" s="3">
        <v>-7.7982242205640997</v>
      </c>
    </row>
    <row r="7922" spans="1:12" ht="15" customHeight="1" x14ac:dyDescent="0.2">
      <c r="A7922" s="2">
        <v>34557</v>
      </c>
      <c r="B7922" s="3">
        <v>3.3086479999999998</v>
      </c>
      <c r="C7922" s="1">
        <v>111881.03</v>
      </c>
      <c r="D7922" s="3">
        <v>-4.9383300000000102E-2</v>
      </c>
      <c r="E7922" s="3">
        <v>-1.4706027308322001</v>
      </c>
      <c r="F7922" s="3">
        <v>-1.4706027308322001</v>
      </c>
      <c r="G7922" s="3">
        <v>3.3086479999999998</v>
      </c>
      <c r="H7922" s="3">
        <v>-7.7982242205640997</v>
      </c>
      <c r="I7922" s="3">
        <v>3.2592660000000002</v>
      </c>
      <c r="J7922" s="3">
        <v>3.3580312999999999</v>
      </c>
      <c r="K7922" s="3">
        <v>3.2098827000000001</v>
      </c>
      <c r="L7922" s="3">
        <v>-7.7982242205640997</v>
      </c>
    </row>
    <row r="7923" spans="1:12" ht="15" customHeight="1" x14ac:dyDescent="0.2">
      <c r="A7923" s="2">
        <v>34556</v>
      </c>
      <c r="B7923" s="3">
        <v>3.3580312999999999</v>
      </c>
      <c r="C7923" s="1">
        <v>38981.17</v>
      </c>
      <c r="D7923" s="3"/>
      <c r="E7923" s="3"/>
      <c r="F7923" s="3"/>
      <c r="G7923" s="3">
        <v>3.3580312999999999</v>
      </c>
      <c r="H7923" s="3">
        <v>-6.42206454632597</v>
      </c>
      <c r="I7923" s="3">
        <v>3.3580312999999999</v>
      </c>
      <c r="J7923" s="3">
        <v>3.3580312999999999</v>
      </c>
      <c r="K7923" s="3">
        <v>3.2592656999999998</v>
      </c>
      <c r="L7923" s="3">
        <v>-6.42206454632597</v>
      </c>
    </row>
    <row r="7924" spans="1:12" ht="15" customHeight="1" x14ac:dyDescent="0.2">
      <c r="A7924" s="2">
        <v>34555</v>
      </c>
      <c r="B7924" s="3">
        <v>3.3580312999999999</v>
      </c>
      <c r="C7924" s="1">
        <v>42018.673000000003</v>
      </c>
      <c r="D7924" s="3">
        <v>7.4074500000000001E-2</v>
      </c>
      <c r="E7924" s="3">
        <v>2.25564782094576</v>
      </c>
      <c r="F7924" s="3">
        <v>2.25564782094576</v>
      </c>
      <c r="G7924" s="3">
        <v>3.3580312999999999</v>
      </c>
      <c r="H7924" s="3">
        <v>-6.42206454632597</v>
      </c>
      <c r="I7924" s="3">
        <v>3.3580312999999999</v>
      </c>
      <c r="J7924" s="3">
        <v>3.3580312999999999</v>
      </c>
      <c r="K7924" s="3">
        <v>3.2592656999999998</v>
      </c>
      <c r="L7924" s="3">
        <v>-6.42206454632597</v>
      </c>
    </row>
    <row r="7925" spans="1:12" ht="15" customHeight="1" x14ac:dyDescent="0.2">
      <c r="A7925" s="2">
        <v>34554</v>
      </c>
      <c r="B7925" s="3">
        <v>3.2839567999999999</v>
      </c>
      <c r="C7925" s="1">
        <v>231862.06</v>
      </c>
      <c r="D7925" s="3">
        <v>-2.4691199999999899E-2</v>
      </c>
      <c r="E7925" s="3">
        <v>-0.746262521730922</v>
      </c>
      <c r="F7925" s="3">
        <v>-0.746262521730922</v>
      </c>
      <c r="G7925" s="3">
        <v>3.2839567999999999</v>
      </c>
      <c r="H7925" s="3">
        <v>-8.4862915175764098</v>
      </c>
      <c r="I7925" s="3">
        <v>3.3086487999999998</v>
      </c>
      <c r="J7925" s="3">
        <v>3.3580312999999999</v>
      </c>
      <c r="K7925" s="3">
        <v>3.2098827000000001</v>
      </c>
      <c r="L7925" s="3">
        <v>-8.4862915175764098</v>
      </c>
    </row>
    <row r="7926" spans="1:12" ht="15" customHeight="1" x14ac:dyDescent="0.2">
      <c r="A7926" s="2">
        <v>34551</v>
      </c>
      <c r="B7926" s="3">
        <v>3.3086479999999998</v>
      </c>
      <c r="C7926" s="1">
        <v>43537.42</v>
      </c>
      <c r="D7926" s="3">
        <v>4.93822999999999E-2</v>
      </c>
      <c r="E7926" s="3">
        <v>1.5151357558851299</v>
      </c>
      <c r="F7926" s="3">
        <v>1.5151357558851299</v>
      </c>
      <c r="G7926" s="3">
        <v>3.3086479999999998</v>
      </c>
      <c r="H7926" s="3">
        <v>-7.7982242205640997</v>
      </c>
      <c r="I7926" s="3">
        <v>3.209883</v>
      </c>
      <c r="J7926" s="3">
        <v>3.3086479999999998</v>
      </c>
      <c r="K7926" s="3">
        <v>3.2098827000000001</v>
      </c>
      <c r="L7926" s="3">
        <v>-7.7982242205640997</v>
      </c>
    </row>
    <row r="7927" spans="1:12" ht="15" customHeight="1" x14ac:dyDescent="0.2">
      <c r="A7927" s="2">
        <v>34550</v>
      </c>
      <c r="B7927" s="3">
        <v>3.2592656999999998</v>
      </c>
      <c r="C7927" s="1">
        <v>14174.972</v>
      </c>
      <c r="D7927" s="3">
        <v>2.4691399999999999E-2</v>
      </c>
      <c r="E7927" s="3">
        <v>0.76335856622615705</v>
      </c>
      <c r="F7927" s="3">
        <v>0.76335856622615705</v>
      </c>
      <c r="G7927" s="3">
        <v>3.2592656999999998</v>
      </c>
      <c r="H7927" s="3">
        <v>-9.1743560278983391</v>
      </c>
      <c r="I7927" s="3">
        <v>3.3086487999999998</v>
      </c>
      <c r="J7927" s="3">
        <v>3.3086479999999998</v>
      </c>
      <c r="K7927" s="3">
        <v>3.2098827000000001</v>
      </c>
      <c r="L7927" s="3">
        <v>-9.1743560278983391</v>
      </c>
    </row>
    <row r="7928" spans="1:12" ht="15" customHeight="1" x14ac:dyDescent="0.2">
      <c r="A7928" s="2">
        <v>34549</v>
      </c>
      <c r="B7928" s="3">
        <v>3.2345742999999998</v>
      </c>
      <c r="C7928" s="1">
        <v>146305.98000000001</v>
      </c>
      <c r="D7928" s="3">
        <v>-7.4073700000000006E-2</v>
      </c>
      <c r="E7928" s="3">
        <v>-2.2387905875753402</v>
      </c>
      <c r="F7928" s="3">
        <v>-2.2387905875753402</v>
      </c>
      <c r="G7928" s="3">
        <v>3.2345742999999998</v>
      </c>
      <c r="H7928" s="3">
        <v>-9.8624288982914301</v>
      </c>
      <c r="I7928" s="3">
        <v>3.3580312999999999</v>
      </c>
      <c r="J7928" s="3">
        <v>3.3580312999999999</v>
      </c>
      <c r="K7928" s="3">
        <v>3.2098827000000001</v>
      </c>
      <c r="L7928" s="3">
        <v>-9.8624288982914301</v>
      </c>
    </row>
    <row r="7929" spans="1:12" ht="15" customHeight="1" x14ac:dyDescent="0.2">
      <c r="A7929" s="2">
        <v>34548</v>
      </c>
      <c r="B7929" s="3">
        <v>3.3086479999999998</v>
      </c>
      <c r="C7929" s="1">
        <v>403480.5</v>
      </c>
      <c r="D7929" s="3">
        <v>-4.9383300000000102E-2</v>
      </c>
      <c r="E7929" s="3">
        <v>-1.4706027308322001</v>
      </c>
      <c r="F7929" s="3">
        <v>-1.4706027308322001</v>
      </c>
      <c r="G7929" s="3">
        <v>3.3086479999999998</v>
      </c>
      <c r="H7929" s="3">
        <v>-7.7982242205640997</v>
      </c>
      <c r="I7929" s="3">
        <v>3.3086487999999998</v>
      </c>
      <c r="J7929" s="3">
        <v>3.4074132000000001</v>
      </c>
      <c r="K7929" s="3">
        <v>3.2592656999999998</v>
      </c>
      <c r="L7929" s="3">
        <v>-7.7982242205640997</v>
      </c>
    </row>
    <row r="7930" spans="1:12" ht="15" customHeight="1" x14ac:dyDescent="0.2">
      <c r="A7930" s="2">
        <v>34547</v>
      </c>
      <c r="B7930" s="3">
        <v>3.3580312999999999</v>
      </c>
      <c r="C7930" s="1">
        <v>558898.9</v>
      </c>
      <c r="D7930" s="3">
        <v>0.24691469999999999</v>
      </c>
      <c r="E7930" s="3">
        <v>7.9365299262650497</v>
      </c>
      <c r="F7930" s="3">
        <v>7.9365299262650497</v>
      </c>
      <c r="G7930" s="3">
        <v>3.3580312999999999</v>
      </c>
      <c r="H7930" s="3">
        <v>-6.42206454632597</v>
      </c>
      <c r="I7930" s="3">
        <v>2.9629690000000002</v>
      </c>
      <c r="J7930" s="3">
        <v>3.3580312999999999</v>
      </c>
      <c r="K7930" s="3">
        <v>2.7654377999999999</v>
      </c>
      <c r="L7930" s="3">
        <v>-6.42206454632597</v>
      </c>
    </row>
    <row r="7931" spans="1:12" ht="15" customHeight="1" x14ac:dyDescent="0.2">
      <c r="A7931" s="2">
        <v>34544</v>
      </c>
      <c r="B7931" s="3">
        <v>3.1111165999999999</v>
      </c>
      <c r="C7931" s="1">
        <v>239455.81</v>
      </c>
      <c r="D7931" s="3">
        <v>-0.14814909999999901</v>
      </c>
      <c r="E7931" s="3">
        <v>-4.54547476752201</v>
      </c>
      <c r="F7931" s="3">
        <v>-4.54547476752201</v>
      </c>
      <c r="G7931" s="3">
        <v>3.1111165999999999</v>
      </c>
      <c r="H7931" s="3">
        <v>-13.302812757089599</v>
      </c>
      <c r="I7931" s="3">
        <v>3.3086487999999998</v>
      </c>
      <c r="J7931" s="3">
        <v>3.3086479999999998</v>
      </c>
      <c r="K7931" s="3">
        <v>3.0370430000000002</v>
      </c>
      <c r="L7931" s="3">
        <v>-13.302812757089599</v>
      </c>
    </row>
    <row r="7932" spans="1:12" ht="15" customHeight="1" x14ac:dyDescent="0.2">
      <c r="A7932" s="2">
        <v>34543</v>
      </c>
      <c r="B7932" s="3">
        <v>3.2592656999999998</v>
      </c>
      <c r="C7932" s="1">
        <v>203005.87</v>
      </c>
      <c r="D7932" s="3">
        <v>-4.93822999999999E-2</v>
      </c>
      <c r="E7932" s="3">
        <v>-1.4925220210793</v>
      </c>
      <c r="F7932" s="3">
        <v>-1.4925220210793</v>
      </c>
      <c r="G7932" s="3">
        <v>3.2592656999999998</v>
      </c>
      <c r="H7932" s="3">
        <v>-9.1743560278983391</v>
      </c>
      <c r="I7932" s="3">
        <v>3.209883</v>
      </c>
      <c r="J7932" s="3">
        <v>3.3086479999999998</v>
      </c>
      <c r="K7932" s="3">
        <v>3.2098827000000001</v>
      </c>
      <c r="L7932" s="3">
        <v>-9.1743560278983391</v>
      </c>
    </row>
    <row r="7933" spans="1:12" ht="15" customHeight="1" x14ac:dyDescent="0.2">
      <c r="A7933" s="2">
        <v>34542</v>
      </c>
      <c r="B7933" s="3">
        <v>3.3086479999999998</v>
      </c>
      <c r="C7933" s="1">
        <v>170605.94</v>
      </c>
      <c r="D7933" s="3"/>
      <c r="E7933" s="3"/>
      <c r="F7933" s="3"/>
      <c r="G7933" s="3">
        <v>3.3086479999999998</v>
      </c>
      <c r="H7933" s="3">
        <v>-7.7982242205640997</v>
      </c>
      <c r="I7933" s="3">
        <v>3.3086487999999998</v>
      </c>
      <c r="J7933" s="3">
        <v>3.3086479999999998</v>
      </c>
      <c r="K7933" s="3">
        <v>3.2098827000000001</v>
      </c>
      <c r="L7933" s="3">
        <v>-7.7982242205640997</v>
      </c>
    </row>
    <row r="7934" spans="1:12" ht="15" customHeight="1" x14ac:dyDescent="0.2">
      <c r="A7934" s="2">
        <v>34541</v>
      </c>
      <c r="B7934" s="3">
        <v>3.3086479999999998</v>
      </c>
      <c r="C7934" s="1">
        <v>19237.460999999999</v>
      </c>
      <c r="D7934" s="3"/>
      <c r="E7934" s="3"/>
      <c r="F7934" s="3"/>
      <c r="G7934" s="3">
        <v>3.3086479999999998</v>
      </c>
      <c r="H7934" s="3">
        <v>-7.7982242205640997</v>
      </c>
      <c r="I7934" s="3">
        <v>3.209883</v>
      </c>
      <c r="J7934" s="3">
        <v>3.3086479999999998</v>
      </c>
      <c r="K7934" s="3">
        <v>3.2098827000000001</v>
      </c>
      <c r="L7934" s="3">
        <v>-7.7982242205640997</v>
      </c>
    </row>
    <row r="7935" spans="1:12" ht="15" customHeight="1" x14ac:dyDescent="0.2">
      <c r="A7935" s="2">
        <v>34540</v>
      </c>
      <c r="B7935" s="3">
        <v>3.3086479999999998</v>
      </c>
      <c r="C7935" s="1">
        <v>21262.46</v>
      </c>
      <c r="D7935" s="3"/>
      <c r="E7935" s="3"/>
      <c r="F7935" s="3"/>
      <c r="G7935" s="3">
        <v>3.3086479999999998</v>
      </c>
      <c r="H7935" s="3">
        <v>-7.7982242205640997</v>
      </c>
      <c r="I7935" s="3">
        <v>3.209883</v>
      </c>
      <c r="J7935" s="3">
        <v>3.3086479999999998</v>
      </c>
      <c r="K7935" s="3">
        <v>3.2098827000000001</v>
      </c>
      <c r="L7935" s="3">
        <v>-7.7982242205640997</v>
      </c>
    </row>
    <row r="7936" spans="1:12" ht="15" customHeight="1" x14ac:dyDescent="0.2">
      <c r="A7936" s="2">
        <v>34537</v>
      </c>
      <c r="B7936" s="3">
        <v>3.3086479999999998</v>
      </c>
      <c r="C7936" s="1">
        <v>450561.58</v>
      </c>
      <c r="D7936" s="3">
        <v>-4.9383300000000102E-2</v>
      </c>
      <c r="E7936" s="3">
        <v>-1.4706027308322001</v>
      </c>
      <c r="F7936" s="3">
        <v>-1.4706027308322001</v>
      </c>
      <c r="G7936" s="3">
        <v>3.3086479999999998</v>
      </c>
      <c r="H7936" s="3">
        <v>-7.7982242205640997</v>
      </c>
      <c r="I7936" s="3">
        <v>3.3580312999999999</v>
      </c>
      <c r="J7936" s="3">
        <v>3.4074132000000001</v>
      </c>
      <c r="K7936" s="3">
        <v>3.1851912000000002</v>
      </c>
      <c r="L7936" s="3">
        <v>-7.7982242205640997</v>
      </c>
    </row>
    <row r="7937" spans="1:12" ht="15" customHeight="1" x14ac:dyDescent="0.2">
      <c r="A7937" s="2">
        <v>34536</v>
      </c>
      <c r="B7937" s="3">
        <v>3.3580312999999999</v>
      </c>
      <c r="C7937" s="1">
        <v>129093.49</v>
      </c>
      <c r="D7937" s="3">
        <v>-9.8765300000000097E-2</v>
      </c>
      <c r="E7937" s="3">
        <v>-2.8571336826702498</v>
      </c>
      <c r="F7937" s="3">
        <v>-2.8571336826702498</v>
      </c>
      <c r="G7937" s="3">
        <v>3.3580312999999999</v>
      </c>
      <c r="H7937" s="3">
        <v>-6.42206454632597</v>
      </c>
      <c r="I7937" s="3">
        <v>3.3580312999999999</v>
      </c>
      <c r="J7937" s="3">
        <v>3.4567966000000001</v>
      </c>
      <c r="K7937" s="3">
        <v>3.3333400000000002</v>
      </c>
      <c r="L7937" s="3">
        <v>-6.42206454632597</v>
      </c>
    </row>
    <row r="7938" spans="1:12" ht="15" customHeight="1" x14ac:dyDescent="0.2">
      <c r="A7938" s="2">
        <v>34535</v>
      </c>
      <c r="B7938" s="3">
        <v>3.4567966000000001</v>
      </c>
      <c r="C7938" s="1">
        <v>419680.45</v>
      </c>
      <c r="D7938" s="3">
        <v>-0.148148799999999</v>
      </c>
      <c r="E7938" s="3">
        <v>-4.1095989969778701</v>
      </c>
      <c r="F7938" s="3">
        <v>-4.1095989969778701</v>
      </c>
      <c r="G7938" s="3">
        <v>3.4567966000000001</v>
      </c>
      <c r="H7938" s="3">
        <v>-3.6697814248247602</v>
      </c>
      <c r="I7938" s="3">
        <v>3.654328</v>
      </c>
      <c r="J7938" s="3">
        <v>3.6543279000000002</v>
      </c>
      <c r="K7938" s="3">
        <v>3.4074132000000001</v>
      </c>
      <c r="L7938" s="3">
        <v>-3.6697814248247602</v>
      </c>
    </row>
    <row r="7939" spans="1:12" ht="15" customHeight="1" x14ac:dyDescent="0.2">
      <c r="A7939" s="2">
        <v>34534</v>
      </c>
      <c r="B7939" s="3">
        <v>3.6049454000000001</v>
      </c>
      <c r="C7939" s="1">
        <v>244518.28</v>
      </c>
      <c r="D7939" s="3">
        <v>0.271605399999999</v>
      </c>
      <c r="E7939" s="3">
        <v>8.1481457037085807</v>
      </c>
      <c r="F7939" s="3">
        <v>8.1481457037085807</v>
      </c>
      <c r="G7939" s="3">
        <v>3.6049454000000001</v>
      </c>
      <c r="H7939" s="3">
        <v>0.458666944295338</v>
      </c>
      <c r="I7939" s="3">
        <v>3.3580312999999999</v>
      </c>
      <c r="J7939" s="3">
        <v>3.6049454000000001</v>
      </c>
      <c r="K7939" s="3">
        <v>3.3333400000000002</v>
      </c>
      <c r="L7939" s="3">
        <v>0.458666944295338</v>
      </c>
    </row>
    <row r="7940" spans="1:12" ht="15" customHeight="1" x14ac:dyDescent="0.2">
      <c r="A7940" s="2">
        <v>34533</v>
      </c>
      <c r="B7940" s="3">
        <v>3.3333400000000002</v>
      </c>
      <c r="C7940" s="1">
        <v>48093.661999999997</v>
      </c>
      <c r="D7940" s="3">
        <v>0.1728402</v>
      </c>
      <c r="E7940" s="3">
        <v>5.4687616180200296</v>
      </c>
      <c r="F7940" s="3">
        <v>5.4687616180200296</v>
      </c>
      <c r="G7940" s="3">
        <v>3.3333400000000002</v>
      </c>
      <c r="H7940" s="3">
        <v>-7.1101346300286696</v>
      </c>
      <c r="I7940" s="3">
        <v>3.2592660000000002</v>
      </c>
      <c r="J7940" s="3">
        <v>3.3333400000000002</v>
      </c>
      <c r="K7940" s="3">
        <v>3.1604998000000002</v>
      </c>
      <c r="L7940" s="3">
        <v>-7.1101346300286696</v>
      </c>
    </row>
    <row r="7941" spans="1:12" ht="15" customHeight="1" x14ac:dyDescent="0.2">
      <c r="A7941" s="2">
        <v>34530</v>
      </c>
      <c r="B7941" s="3">
        <v>3.1604998000000002</v>
      </c>
      <c r="C7941" s="1">
        <v>7593.7349999999997</v>
      </c>
      <c r="D7941" s="3">
        <v>-4.9382899999999799E-2</v>
      </c>
      <c r="E7941" s="3">
        <v>-1.5384643183378599</v>
      </c>
      <c r="F7941" s="3">
        <v>-1.5384643183378599</v>
      </c>
      <c r="G7941" s="3">
        <v>3.1604998000000002</v>
      </c>
      <c r="H7941" s="3">
        <v>-11.926655869541801</v>
      </c>
      <c r="I7941" s="3">
        <v>3.2592660000000002</v>
      </c>
      <c r="J7941" s="3">
        <v>3.2592656999999998</v>
      </c>
      <c r="K7941" s="3">
        <v>3.1604998000000002</v>
      </c>
      <c r="L7941" s="3">
        <v>-11.926655869541801</v>
      </c>
    </row>
    <row r="7942" spans="1:12" ht="15" customHeight="1" x14ac:dyDescent="0.2">
      <c r="A7942" s="2">
        <v>34529</v>
      </c>
      <c r="B7942" s="3">
        <v>3.2098827000000001</v>
      </c>
      <c r="C7942" s="1">
        <v>71381.119999999995</v>
      </c>
      <c r="D7942" s="3">
        <v>7.4074200000000007E-2</v>
      </c>
      <c r="E7942" s="3">
        <v>2.3622041970994001</v>
      </c>
      <c r="F7942" s="3">
        <v>2.3622041970994001</v>
      </c>
      <c r="G7942" s="3">
        <v>3.2098827000000001</v>
      </c>
      <c r="H7942" s="3">
        <v>-10.5505073420653</v>
      </c>
      <c r="I7942" s="3">
        <v>3.1605007999999999</v>
      </c>
      <c r="J7942" s="3">
        <v>3.2592656999999998</v>
      </c>
      <c r="K7942" s="3">
        <v>3.1604998000000002</v>
      </c>
      <c r="L7942" s="3">
        <v>-10.5505073420653</v>
      </c>
    </row>
    <row r="7943" spans="1:12" ht="15" customHeight="1" x14ac:dyDescent="0.2">
      <c r="A7943" s="2">
        <v>34528</v>
      </c>
      <c r="B7943" s="3">
        <v>3.1358085</v>
      </c>
      <c r="C7943" s="1">
        <v>77456.09</v>
      </c>
      <c r="D7943" s="3">
        <v>2.46919000000001E-2</v>
      </c>
      <c r="E7943" s="3">
        <v>0.79366681403070205</v>
      </c>
      <c r="F7943" s="3">
        <v>0.79366681403070205</v>
      </c>
      <c r="G7943" s="3">
        <v>3.1358085</v>
      </c>
      <c r="H7943" s="3">
        <v>-12.6147259532445</v>
      </c>
      <c r="I7943" s="3">
        <v>3.1111176</v>
      </c>
      <c r="J7943" s="3">
        <v>3.1604998000000002</v>
      </c>
      <c r="K7943" s="3">
        <v>3.0123517999999998</v>
      </c>
      <c r="L7943" s="3">
        <v>-12.6147259532445</v>
      </c>
    </row>
    <row r="7944" spans="1:12" ht="15" customHeight="1" x14ac:dyDescent="0.2">
      <c r="A7944" s="2">
        <v>34527</v>
      </c>
      <c r="B7944" s="3">
        <v>3.1111165999999999</v>
      </c>
      <c r="C7944" s="1">
        <v>387786.7</v>
      </c>
      <c r="D7944" s="3">
        <v>2.46907999999996E-2</v>
      </c>
      <c r="E7944" s="3">
        <v>0.799980352678475</v>
      </c>
      <c r="F7944" s="3">
        <v>0.799980352678475</v>
      </c>
      <c r="G7944" s="3">
        <v>3.1111165999999999</v>
      </c>
      <c r="H7944" s="3">
        <v>-13.302812757089599</v>
      </c>
      <c r="I7944" s="3">
        <v>3.0123517999999998</v>
      </c>
      <c r="J7944" s="3">
        <v>3.1604998000000002</v>
      </c>
      <c r="K7944" s="3">
        <v>3.0123517999999998</v>
      </c>
      <c r="L7944" s="3">
        <v>-13.302812757089599</v>
      </c>
    </row>
    <row r="7945" spans="1:12" ht="15" customHeight="1" x14ac:dyDescent="0.2">
      <c r="A7945" s="2">
        <v>34526</v>
      </c>
      <c r="B7945" s="3">
        <v>3.0864258000000002</v>
      </c>
      <c r="C7945" s="1">
        <v>84037.346000000005</v>
      </c>
      <c r="D7945" s="3">
        <v>2.4691399999999999E-2</v>
      </c>
      <c r="E7945" s="3">
        <v>0.80645140218564804</v>
      </c>
      <c r="F7945" s="3">
        <v>0.80645140218564804</v>
      </c>
      <c r="G7945" s="3">
        <v>3.0864258000000002</v>
      </c>
      <c r="H7945" s="3">
        <v>-13.9908689073403</v>
      </c>
      <c r="I7945" s="3">
        <v>3.0617347000000001</v>
      </c>
      <c r="J7945" s="3">
        <v>3.1604998000000002</v>
      </c>
      <c r="K7945" s="3">
        <v>3.0123517999999998</v>
      </c>
      <c r="L7945" s="3">
        <v>-13.9908689073403</v>
      </c>
    </row>
    <row r="7946" spans="1:12" ht="15" customHeight="1" x14ac:dyDescent="0.2">
      <c r="A7946" s="2">
        <v>34523</v>
      </c>
      <c r="B7946" s="3">
        <v>3.0617344000000002</v>
      </c>
      <c r="C7946" s="1">
        <v>170605.94</v>
      </c>
      <c r="D7946" s="3"/>
      <c r="E7946" s="3"/>
      <c r="F7946" s="3"/>
      <c r="G7946" s="3">
        <v>3.0617344000000002</v>
      </c>
      <c r="H7946" s="3">
        <v>-14.678941777733399</v>
      </c>
      <c r="I7946" s="3">
        <v>3.0617347000000001</v>
      </c>
      <c r="J7946" s="3">
        <v>3.0617344000000002</v>
      </c>
      <c r="K7946" s="3">
        <v>2.9629683</v>
      </c>
      <c r="L7946" s="3">
        <v>-14.678941777733399</v>
      </c>
    </row>
    <row r="7947" spans="1:12" ht="15" customHeight="1" x14ac:dyDescent="0.2">
      <c r="A7947" s="2">
        <v>34522</v>
      </c>
      <c r="B7947" s="3">
        <v>3.0617344000000002</v>
      </c>
      <c r="C7947" s="1">
        <v>165037.19</v>
      </c>
      <c r="D7947" s="3">
        <v>2.4691399999999999E-2</v>
      </c>
      <c r="E7947" s="3">
        <v>0.81300791592349098</v>
      </c>
      <c r="F7947" s="3">
        <v>0.81300791592349098</v>
      </c>
      <c r="G7947" s="3">
        <v>3.0617344000000002</v>
      </c>
      <c r="H7947" s="3">
        <v>-14.678941777733399</v>
      </c>
      <c r="I7947" s="3">
        <v>3.0617347000000001</v>
      </c>
      <c r="J7947" s="3">
        <v>3.0617344000000002</v>
      </c>
      <c r="K7947" s="3">
        <v>2.9629683</v>
      </c>
      <c r="L7947" s="3">
        <v>-14.678941777733399</v>
      </c>
    </row>
    <row r="7948" spans="1:12" ht="15" customHeight="1" x14ac:dyDescent="0.2">
      <c r="A7948" s="2">
        <v>34521</v>
      </c>
      <c r="B7948" s="3">
        <v>3.0370430000000002</v>
      </c>
      <c r="C7948" s="1">
        <v>196424.6</v>
      </c>
      <c r="D7948" s="3">
        <v>-0.12345680000000001</v>
      </c>
      <c r="E7948" s="3">
        <v>-3.9062429303112101</v>
      </c>
      <c r="F7948" s="3">
        <v>-3.9062429303112101</v>
      </c>
      <c r="G7948" s="3">
        <v>3.0370430000000002</v>
      </c>
      <c r="H7948" s="3">
        <v>-15.367014648126499</v>
      </c>
      <c r="I7948" s="3">
        <v>3.209883</v>
      </c>
      <c r="J7948" s="3">
        <v>3.2098827000000001</v>
      </c>
      <c r="K7948" s="3">
        <v>3.0123517999999998</v>
      </c>
      <c r="L7948" s="3">
        <v>-15.367014648126499</v>
      </c>
    </row>
    <row r="7949" spans="1:12" ht="15" customHeight="1" x14ac:dyDescent="0.2">
      <c r="A7949" s="2">
        <v>34520</v>
      </c>
      <c r="B7949" s="3">
        <v>3.1604998000000002</v>
      </c>
      <c r="C7949" s="1">
        <v>53156.146999999997</v>
      </c>
      <c r="D7949" s="3">
        <v>4.9383200000000203E-2</v>
      </c>
      <c r="E7949" s="3">
        <v>1.58731434238112</v>
      </c>
      <c r="F7949" s="3">
        <v>1.58731434238112</v>
      </c>
      <c r="G7949" s="3">
        <v>3.1604998000000002</v>
      </c>
      <c r="H7949" s="3">
        <v>-11.926655869541801</v>
      </c>
      <c r="I7949" s="3">
        <v>3.209883</v>
      </c>
      <c r="J7949" s="3">
        <v>3.2098827000000001</v>
      </c>
      <c r="K7949" s="3">
        <v>3.1111165999999999</v>
      </c>
      <c r="L7949" s="3">
        <v>-11.926655869541801</v>
      </c>
    </row>
    <row r="7950" spans="1:12" ht="15" customHeight="1" x14ac:dyDescent="0.2">
      <c r="A7950" s="2">
        <v>34516</v>
      </c>
      <c r="B7950" s="3">
        <v>3.1111165999999999</v>
      </c>
      <c r="C7950" s="1">
        <v>140230.99</v>
      </c>
      <c r="D7950" s="3"/>
      <c r="E7950" s="3"/>
      <c r="F7950" s="3"/>
      <c r="G7950" s="3">
        <v>3.1111165999999999</v>
      </c>
      <c r="H7950" s="3">
        <v>-13.302812757089599</v>
      </c>
      <c r="I7950" s="3">
        <v>3.209883</v>
      </c>
      <c r="J7950" s="3">
        <v>3.2098827000000001</v>
      </c>
      <c r="K7950" s="3">
        <v>3.1111165999999999</v>
      </c>
      <c r="L7950" s="3">
        <v>-13.302812757089599</v>
      </c>
    </row>
    <row r="7951" spans="1:12" ht="15" customHeight="1" x14ac:dyDescent="0.2">
      <c r="A7951" s="2">
        <v>34515</v>
      </c>
      <c r="B7951" s="3">
        <v>3.1111165999999999</v>
      </c>
      <c r="C7951" s="1">
        <v>132130.97999999899</v>
      </c>
      <c r="D7951" s="3">
        <v>-5.2469100000000102E-2</v>
      </c>
      <c r="E7951" s="3">
        <v>-1.6585325948337699</v>
      </c>
      <c r="F7951" s="3">
        <v>-1.6585325948337699</v>
      </c>
      <c r="G7951" s="3">
        <v>3.1111165999999999</v>
      </c>
      <c r="H7951" s="3">
        <v>-13.302812757089599</v>
      </c>
      <c r="I7951" s="3">
        <v>3.209883</v>
      </c>
      <c r="J7951" s="3">
        <v>3.2098827000000001</v>
      </c>
      <c r="K7951" s="3">
        <v>3.1111165999999999</v>
      </c>
      <c r="L7951" s="3">
        <v>-13.302812757089599</v>
      </c>
    </row>
    <row r="7952" spans="1:12" ht="15" customHeight="1" x14ac:dyDescent="0.2">
      <c r="A7952" s="2">
        <v>34514</v>
      </c>
      <c r="B7952" s="3">
        <v>3.1635857000000001</v>
      </c>
      <c r="C7952" s="1">
        <v>125549.75</v>
      </c>
      <c r="D7952" s="3">
        <v>0.10185129999999901</v>
      </c>
      <c r="E7952" s="3">
        <v>3.3265883546267099</v>
      </c>
      <c r="F7952" s="3">
        <v>3.3265883546267099</v>
      </c>
      <c r="G7952" s="3">
        <v>3.1635857000000001</v>
      </c>
      <c r="H7952" s="3">
        <v>-11.840661390867201</v>
      </c>
      <c r="I7952" s="3">
        <v>2.9629690000000002</v>
      </c>
      <c r="J7952" s="3">
        <v>3.2098827000000001</v>
      </c>
      <c r="K7952" s="3">
        <v>2.9629683</v>
      </c>
      <c r="L7952" s="3">
        <v>-11.840661390867201</v>
      </c>
    </row>
    <row r="7953" spans="1:12" ht="15" customHeight="1" x14ac:dyDescent="0.2">
      <c r="A7953" s="2">
        <v>34513</v>
      </c>
      <c r="B7953" s="3">
        <v>3.0617344000000002</v>
      </c>
      <c r="C7953" s="1">
        <v>484986.56999999902</v>
      </c>
      <c r="D7953" s="3">
        <v>0.12345739999999999</v>
      </c>
      <c r="E7953" s="3">
        <v>4.2016937136968497</v>
      </c>
      <c r="F7953" s="3">
        <v>4.2016937136968497</v>
      </c>
      <c r="G7953" s="3">
        <v>3.0617344000000002</v>
      </c>
      <c r="H7953" s="3">
        <v>-14.678941777733399</v>
      </c>
      <c r="I7953" s="3">
        <v>2.9629690000000002</v>
      </c>
      <c r="J7953" s="3">
        <v>3.0617344000000002</v>
      </c>
      <c r="K7953" s="3">
        <v>2.8888946</v>
      </c>
      <c r="L7953" s="3">
        <v>-14.678941777733399</v>
      </c>
    </row>
    <row r="7954" spans="1:12" ht="15" customHeight="1" x14ac:dyDescent="0.2">
      <c r="A7954" s="2">
        <v>34512</v>
      </c>
      <c r="B7954" s="3">
        <v>2.9382769999999998</v>
      </c>
      <c r="C7954" s="1">
        <v>202499.62</v>
      </c>
      <c r="D7954" s="3">
        <v>-2.46913000000001E-2</v>
      </c>
      <c r="E7954" s="3">
        <v>-0.83332987396457203</v>
      </c>
      <c r="F7954" s="3">
        <v>-0.83332987396457203</v>
      </c>
      <c r="G7954" s="3">
        <v>2.9382769999999998</v>
      </c>
      <c r="H7954" s="3">
        <v>-18.1193172764604</v>
      </c>
      <c r="I7954" s="3">
        <v>2.8148208000000001</v>
      </c>
      <c r="J7954" s="3">
        <v>2.9629683</v>
      </c>
      <c r="K7954" s="3">
        <v>2.8148203000000001</v>
      </c>
      <c r="L7954" s="3">
        <v>-18.1193172764604</v>
      </c>
    </row>
    <row r="7955" spans="1:12" ht="15" customHeight="1" x14ac:dyDescent="0.2">
      <c r="A7955" s="2">
        <v>34509</v>
      </c>
      <c r="B7955" s="3">
        <v>2.9629683</v>
      </c>
      <c r="C7955" s="1">
        <v>218193.36</v>
      </c>
      <c r="D7955" s="3"/>
      <c r="E7955" s="3"/>
      <c r="F7955" s="3"/>
      <c r="G7955" s="3">
        <v>2.9629683</v>
      </c>
      <c r="H7955" s="3">
        <v>-17.431247192757699</v>
      </c>
      <c r="I7955" s="3">
        <v>2.9629690000000002</v>
      </c>
      <c r="J7955" s="3">
        <v>2.9629683</v>
      </c>
      <c r="K7955" s="3">
        <v>2.7654377999999999</v>
      </c>
      <c r="L7955" s="3">
        <v>-17.431247192757699</v>
      </c>
    </row>
    <row r="7956" spans="1:12" ht="15" customHeight="1" x14ac:dyDescent="0.2">
      <c r="A7956" s="2">
        <v>34508</v>
      </c>
      <c r="B7956" s="3">
        <v>2.9629683</v>
      </c>
      <c r="C7956" s="1">
        <v>568011.4</v>
      </c>
      <c r="D7956" s="3">
        <v>-9.8766100000000107E-2</v>
      </c>
      <c r="E7956" s="3">
        <v>-3.2258219393556802</v>
      </c>
      <c r="F7956" s="3">
        <v>-3.2258219393556802</v>
      </c>
      <c r="G7956" s="3">
        <v>2.9629683</v>
      </c>
      <c r="H7956" s="3">
        <v>-17.431247192757699</v>
      </c>
      <c r="I7956" s="3">
        <v>3.1605007999999999</v>
      </c>
      <c r="J7956" s="3">
        <v>3.1604998000000002</v>
      </c>
      <c r="K7956" s="3">
        <v>2.8148203000000001</v>
      </c>
      <c r="L7956" s="3">
        <v>-17.431247192757699</v>
      </c>
    </row>
    <row r="7957" spans="1:12" ht="15" customHeight="1" x14ac:dyDescent="0.2">
      <c r="A7957" s="2">
        <v>34507</v>
      </c>
      <c r="B7957" s="3">
        <v>3.0617344000000002</v>
      </c>
      <c r="C7957" s="1">
        <v>362474.3</v>
      </c>
      <c r="D7957" s="3"/>
      <c r="E7957" s="3"/>
      <c r="F7957" s="3"/>
      <c r="G7957" s="3">
        <v>3.0617344000000002</v>
      </c>
      <c r="H7957" s="3">
        <v>-14.678941777733399</v>
      </c>
      <c r="I7957" s="3">
        <v>3.1605007999999999</v>
      </c>
      <c r="J7957" s="3">
        <v>3.2098827000000001</v>
      </c>
      <c r="K7957" s="3">
        <v>3.0617344000000002</v>
      </c>
      <c r="L7957" s="3">
        <v>-14.678941777733399</v>
      </c>
    </row>
    <row r="7958" spans="1:12" ht="15" customHeight="1" x14ac:dyDescent="0.2">
      <c r="A7958" s="2">
        <v>34506</v>
      </c>
      <c r="B7958" s="3">
        <v>3.0617344000000002</v>
      </c>
      <c r="C7958" s="1">
        <v>371586.8</v>
      </c>
      <c r="D7958" s="3">
        <v>-0.14814829999999901</v>
      </c>
      <c r="E7958" s="3">
        <v>-4.6153804934990204</v>
      </c>
      <c r="F7958" s="3">
        <v>-4.6153804934990204</v>
      </c>
      <c r="G7958" s="3">
        <v>3.0617344000000002</v>
      </c>
      <c r="H7958" s="3">
        <v>-14.678941777733399</v>
      </c>
      <c r="I7958" s="3">
        <v>3.1358085</v>
      </c>
      <c r="J7958" s="3">
        <v>3.2098827000000001</v>
      </c>
      <c r="K7958" s="3">
        <v>3.0617344000000002</v>
      </c>
      <c r="L7958" s="3">
        <v>-14.678941777733399</v>
      </c>
    </row>
    <row r="7959" spans="1:12" ht="15" customHeight="1" x14ac:dyDescent="0.2">
      <c r="A7959" s="2">
        <v>34505</v>
      </c>
      <c r="B7959" s="3">
        <v>3.2098827000000001</v>
      </c>
      <c r="C7959" s="1">
        <v>557886.4</v>
      </c>
      <c r="D7959" s="3">
        <v>-9.8765299999999695E-2</v>
      </c>
      <c r="E7959" s="3">
        <v>-2.9850651988364998</v>
      </c>
      <c r="F7959" s="3">
        <v>-2.9850651988364998</v>
      </c>
      <c r="G7959" s="3">
        <v>3.2098827000000001</v>
      </c>
      <c r="H7959" s="3">
        <v>-10.5505073420653</v>
      </c>
      <c r="I7959" s="3">
        <v>3.2592660000000002</v>
      </c>
      <c r="J7959" s="3">
        <v>3.2592656999999998</v>
      </c>
      <c r="K7959" s="3">
        <v>3.1358085</v>
      </c>
      <c r="L7959" s="3">
        <v>-10.5505073420653</v>
      </c>
    </row>
    <row r="7960" spans="1:12" ht="15" customHeight="1" x14ac:dyDescent="0.2">
      <c r="A7960" s="2">
        <v>34502</v>
      </c>
      <c r="B7960" s="3">
        <v>3.3086479999999998</v>
      </c>
      <c r="C7960" s="1">
        <v>96187.324999999997</v>
      </c>
      <c r="D7960" s="3">
        <v>9.8765299999999695E-2</v>
      </c>
      <c r="E7960" s="3">
        <v>3.0769130597825201</v>
      </c>
      <c r="F7960" s="3">
        <v>3.0769130597825201</v>
      </c>
      <c r="G7960" s="3">
        <v>3.3086479999999998</v>
      </c>
      <c r="H7960" s="3">
        <v>-7.7982242205640997</v>
      </c>
      <c r="I7960" s="3">
        <v>3.3086487999999998</v>
      </c>
      <c r="J7960" s="3">
        <v>3.3086479999999998</v>
      </c>
      <c r="K7960" s="3">
        <v>3.2098827000000001</v>
      </c>
      <c r="L7960" s="3">
        <v>-7.7982242205640997</v>
      </c>
    </row>
    <row r="7961" spans="1:12" ht="15" customHeight="1" x14ac:dyDescent="0.2">
      <c r="A7961" s="2">
        <v>34501</v>
      </c>
      <c r="B7961" s="3">
        <v>3.2098827000000001</v>
      </c>
      <c r="C7961" s="1">
        <v>85556.09</v>
      </c>
      <c r="D7961" s="3">
        <v>-4.9382999999999698E-2</v>
      </c>
      <c r="E7961" s="3">
        <v>-1.51515723311541</v>
      </c>
      <c r="F7961" s="3">
        <v>-1.51515723311541</v>
      </c>
      <c r="G7961" s="3">
        <v>3.2098827000000001</v>
      </c>
      <c r="H7961" s="3">
        <v>-10.5505073420653</v>
      </c>
      <c r="I7961" s="3">
        <v>3.3086487999999998</v>
      </c>
      <c r="J7961" s="3">
        <v>3.3086479999999998</v>
      </c>
      <c r="K7961" s="3">
        <v>3.2098827000000001</v>
      </c>
      <c r="L7961" s="3">
        <v>-10.5505073420653</v>
      </c>
    </row>
    <row r="7962" spans="1:12" ht="15" customHeight="1" x14ac:dyDescent="0.2">
      <c r="A7962" s="2">
        <v>34500</v>
      </c>
      <c r="B7962" s="3">
        <v>3.2592656999999998</v>
      </c>
      <c r="C7962" s="1">
        <v>309318.09999999998</v>
      </c>
      <c r="D7962" s="3">
        <v>-2.4691100000000001E-2</v>
      </c>
      <c r="E7962" s="3">
        <v>-0.75187042655372405</v>
      </c>
      <c r="F7962" s="3">
        <v>-0.75187042655372405</v>
      </c>
      <c r="G7962" s="3">
        <v>3.2592656999999998</v>
      </c>
      <c r="H7962" s="3">
        <v>-9.1743560278983391</v>
      </c>
      <c r="I7962" s="3">
        <v>3.3086487999999998</v>
      </c>
      <c r="J7962" s="3">
        <v>3.3086479999999998</v>
      </c>
      <c r="K7962" s="3">
        <v>3.2592656999999998</v>
      </c>
      <c r="L7962" s="3">
        <v>-9.1743560278983391</v>
      </c>
    </row>
    <row r="7963" spans="1:12" ht="15" customHeight="1" x14ac:dyDescent="0.2">
      <c r="A7963" s="2">
        <v>34499</v>
      </c>
      <c r="B7963" s="3">
        <v>3.2839567999999999</v>
      </c>
      <c r="C7963" s="1">
        <v>380699.3</v>
      </c>
      <c r="D7963" s="3">
        <v>-7.4074500000000001E-2</v>
      </c>
      <c r="E7963" s="3">
        <v>-2.20589069553938</v>
      </c>
      <c r="F7963" s="3">
        <v>-2.20589069553938</v>
      </c>
      <c r="G7963" s="3">
        <v>3.2839567999999999</v>
      </c>
      <c r="H7963" s="3">
        <v>-8.4862915175764098</v>
      </c>
      <c r="I7963" s="3">
        <v>3.4074141999999998</v>
      </c>
      <c r="J7963" s="3">
        <v>3.4074132000000001</v>
      </c>
      <c r="K7963" s="3">
        <v>3.2098827000000001</v>
      </c>
      <c r="L7963" s="3">
        <v>-8.4862915175764098</v>
      </c>
    </row>
    <row r="7964" spans="1:12" ht="15" customHeight="1" x14ac:dyDescent="0.2">
      <c r="A7964" s="2">
        <v>34498</v>
      </c>
      <c r="B7964" s="3">
        <v>3.3580312999999999</v>
      </c>
      <c r="C7964" s="1">
        <v>521436.46</v>
      </c>
      <c r="D7964" s="3">
        <v>-0.29629660000000002</v>
      </c>
      <c r="E7964" s="3">
        <v>-8.1081010820074493</v>
      </c>
      <c r="F7964" s="3">
        <v>-8.1081010820074493</v>
      </c>
      <c r="G7964" s="3">
        <v>3.3580312999999999</v>
      </c>
      <c r="H7964" s="3">
        <v>-6.42206454632597</v>
      </c>
      <c r="I7964" s="3">
        <v>3.5555629999999998</v>
      </c>
      <c r="J7964" s="3">
        <v>3.5555625000000002</v>
      </c>
      <c r="K7964" s="3">
        <v>3.2592656999999998</v>
      </c>
      <c r="L7964" s="3">
        <v>-6.42206454632597</v>
      </c>
    </row>
    <row r="7965" spans="1:12" ht="15" customHeight="1" x14ac:dyDescent="0.2">
      <c r="A7965" s="2">
        <v>34495</v>
      </c>
      <c r="B7965" s="3">
        <v>3.6543279000000002</v>
      </c>
      <c r="C7965" s="1">
        <v>82012.343999999997</v>
      </c>
      <c r="D7965" s="3">
        <v>0.14814830000000001</v>
      </c>
      <c r="E7965" s="3">
        <v>4.2253482964763096</v>
      </c>
      <c r="F7965" s="3">
        <v>4.2253482964763096</v>
      </c>
      <c r="G7965" s="3">
        <v>3.6543279000000002</v>
      </c>
      <c r="H7965" s="3">
        <v>1.8348043250103601</v>
      </c>
      <c r="I7965" s="3">
        <v>3.5555629999999998</v>
      </c>
      <c r="J7965" s="3">
        <v>3.6543279000000002</v>
      </c>
      <c r="K7965" s="3">
        <v>3.5061795999999998</v>
      </c>
      <c r="L7965" s="3">
        <v>1.8348043250103601</v>
      </c>
    </row>
    <row r="7966" spans="1:12" ht="15" customHeight="1" x14ac:dyDescent="0.2">
      <c r="A7966" s="2">
        <v>34494</v>
      </c>
      <c r="B7966" s="3">
        <v>3.5061795999999998</v>
      </c>
      <c r="C7966" s="1">
        <v>102262.314</v>
      </c>
      <c r="D7966" s="3">
        <v>-9.8765800000000195E-2</v>
      </c>
      <c r="E7966" s="3">
        <v>-2.73973081534051</v>
      </c>
      <c r="F7966" s="3">
        <v>-2.73973081534051</v>
      </c>
      <c r="G7966" s="3">
        <v>3.5061795999999998</v>
      </c>
      <c r="H7966" s="3">
        <v>-2.2936301106578099</v>
      </c>
      <c r="I7966" s="3">
        <v>3.6049457</v>
      </c>
      <c r="J7966" s="3">
        <v>3.6543279000000002</v>
      </c>
      <c r="K7966" s="3">
        <v>3.5061795999999998</v>
      </c>
      <c r="L7966" s="3">
        <v>-2.2936301106578099</v>
      </c>
    </row>
    <row r="7967" spans="1:12" ht="15" customHeight="1" x14ac:dyDescent="0.2">
      <c r="A7967" s="2">
        <v>34493</v>
      </c>
      <c r="B7967" s="3">
        <v>3.6049454000000001</v>
      </c>
      <c r="C7967" s="1">
        <v>496630.3</v>
      </c>
      <c r="D7967" s="3">
        <v>0.148148799999999</v>
      </c>
      <c r="E7967" s="3">
        <v>4.2857251132450003</v>
      </c>
      <c r="F7967" s="3">
        <v>4.2857251132450003</v>
      </c>
      <c r="G7967" s="3">
        <v>3.6049454000000001</v>
      </c>
      <c r="H7967" s="3">
        <v>0.458666944295338</v>
      </c>
      <c r="I7967" s="3">
        <v>3.4074141999999998</v>
      </c>
      <c r="J7967" s="3">
        <v>3.7037113000000002</v>
      </c>
      <c r="K7967" s="3">
        <v>3.4074132000000001</v>
      </c>
      <c r="L7967" s="3">
        <v>0.458666944295338</v>
      </c>
    </row>
    <row r="7968" spans="1:12" ht="15" customHeight="1" x14ac:dyDescent="0.2">
      <c r="A7968" s="2">
        <v>34492</v>
      </c>
      <c r="B7968" s="3">
        <v>3.4567966000000001</v>
      </c>
      <c r="C7968" s="1">
        <v>183768.4</v>
      </c>
      <c r="D7968" s="3">
        <v>4.9383399999999897E-2</v>
      </c>
      <c r="E7968" s="3">
        <v>1.4492929709845499</v>
      </c>
      <c r="F7968" s="3">
        <v>1.4492929709845499</v>
      </c>
      <c r="G7968" s="3">
        <v>3.4567966000000001</v>
      </c>
      <c r="H7968" s="3">
        <v>-3.6697814248247602</v>
      </c>
      <c r="I7968" s="3">
        <v>3.5061805000000001</v>
      </c>
      <c r="J7968" s="3">
        <v>3.5061795999999998</v>
      </c>
      <c r="K7968" s="3">
        <v>3.432105</v>
      </c>
      <c r="L7968" s="3">
        <v>-3.6697814248247602</v>
      </c>
    </row>
    <row r="7969" spans="1:12" ht="15" customHeight="1" x14ac:dyDescent="0.2">
      <c r="A7969" s="2">
        <v>34491</v>
      </c>
      <c r="B7969" s="3">
        <v>3.4074132000000001</v>
      </c>
      <c r="C7969" s="1">
        <v>210093.34</v>
      </c>
      <c r="D7969" s="3"/>
      <c r="E7969" s="3"/>
      <c r="F7969" s="3"/>
      <c r="G7969" s="3">
        <v>3.4074132000000001</v>
      </c>
      <c r="H7969" s="3">
        <v>-5.0459438857532701</v>
      </c>
      <c r="I7969" s="3">
        <v>3.4074141999999998</v>
      </c>
      <c r="J7969" s="3">
        <v>3.5061795999999998</v>
      </c>
      <c r="K7969" s="3">
        <v>3.4074132000000001</v>
      </c>
      <c r="L7969" s="3">
        <v>-5.0459438857532701</v>
      </c>
    </row>
    <row r="7970" spans="1:12" ht="15" customHeight="1" x14ac:dyDescent="0.2">
      <c r="A7970" s="2">
        <v>34488</v>
      </c>
      <c r="B7970" s="3">
        <v>3.4074132000000001</v>
      </c>
      <c r="C7970" s="1">
        <v>67331.115999999995</v>
      </c>
      <c r="D7970" s="3">
        <v>-9.8766399999999699E-2</v>
      </c>
      <c r="E7970" s="3">
        <v>-2.8169235825797299</v>
      </c>
      <c r="F7970" s="3">
        <v>-2.8169235825797299</v>
      </c>
      <c r="G7970" s="3">
        <v>3.4074132000000001</v>
      </c>
      <c r="H7970" s="3">
        <v>-5.0459438857532701</v>
      </c>
      <c r="I7970" s="3">
        <v>3.4074141999999998</v>
      </c>
      <c r="J7970" s="3">
        <v>3.5061795999999998</v>
      </c>
      <c r="K7970" s="3">
        <v>3.4074132000000001</v>
      </c>
      <c r="L7970" s="3">
        <v>-5.0459438857532701</v>
      </c>
    </row>
    <row r="7971" spans="1:12" ht="15" customHeight="1" x14ac:dyDescent="0.2">
      <c r="A7971" s="2">
        <v>34487</v>
      </c>
      <c r="B7971" s="3">
        <v>3.5061795999999998</v>
      </c>
      <c r="C7971" s="1">
        <v>229330.81</v>
      </c>
      <c r="D7971" s="3">
        <v>7.4074599999999796E-2</v>
      </c>
      <c r="E7971" s="3">
        <v>2.1582847844107298</v>
      </c>
      <c r="F7971" s="3">
        <v>2.1582847844107298</v>
      </c>
      <c r="G7971" s="3">
        <v>3.5061795999999998</v>
      </c>
      <c r="H7971" s="3">
        <v>-2.2936301106578099</v>
      </c>
      <c r="I7971" s="3">
        <v>3.4567974000000001</v>
      </c>
      <c r="J7971" s="3">
        <v>3.5061795999999998</v>
      </c>
      <c r="K7971" s="3">
        <v>3.4074132000000001</v>
      </c>
      <c r="L7971" s="3">
        <v>-2.2936301106578099</v>
      </c>
    </row>
    <row r="7972" spans="1:12" ht="15" customHeight="1" x14ac:dyDescent="0.2">
      <c r="A7972" s="2">
        <v>34486</v>
      </c>
      <c r="B7972" s="3">
        <v>3.432105</v>
      </c>
      <c r="C7972" s="1">
        <v>701661.2</v>
      </c>
      <c r="D7972" s="3">
        <v>7.4073700000000006E-2</v>
      </c>
      <c r="E7972" s="3">
        <v>2.2058668720568599</v>
      </c>
      <c r="F7972" s="3">
        <v>2.2058668720568599</v>
      </c>
      <c r="G7972" s="3">
        <v>3.432105</v>
      </c>
      <c r="H7972" s="3">
        <v>-4.3578598685986298</v>
      </c>
      <c r="I7972" s="3">
        <v>3.3580312999999999</v>
      </c>
      <c r="J7972" s="3">
        <v>3.4567966000000001</v>
      </c>
      <c r="K7972" s="3">
        <v>3.3086479999999998</v>
      </c>
      <c r="L7972" s="3">
        <v>-4.3578598685986298</v>
      </c>
    </row>
    <row r="7973" spans="1:12" ht="15" customHeight="1" x14ac:dyDescent="0.2">
      <c r="A7973" s="2">
        <v>34485</v>
      </c>
      <c r="B7973" s="3">
        <v>3.3580312999999999</v>
      </c>
      <c r="C7973" s="1">
        <v>73912.36</v>
      </c>
      <c r="D7973" s="3">
        <v>9.8765600000000106E-2</v>
      </c>
      <c r="E7973" s="3">
        <v>3.0303021935278198</v>
      </c>
      <c r="F7973" s="3">
        <v>3.0303021935278198</v>
      </c>
      <c r="G7973" s="3">
        <v>3.3580312999999999</v>
      </c>
      <c r="H7973" s="3">
        <v>-6.42206454632597</v>
      </c>
      <c r="I7973" s="3">
        <v>3.209883</v>
      </c>
      <c r="J7973" s="3">
        <v>3.3580312999999999</v>
      </c>
      <c r="K7973" s="3">
        <v>3.2098827000000001</v>
      </c>
      <c r="L7973" s="3">
        <v>-6.42206454632597</v>
      </c>
    </row>
    <row r="7974" spans="1:12" ht="15" customHeight="1" x14ac:dyDescent="0.2">
      <c r="A7974" s="2">
        <v>34481</v>
      </c>
      <c r="B7974" s="3">
        <v>3.2592656999999998</v>
      </c>
      <c r="C7974" s="1">
        <v>152887.19</v>
      </c>
      <c r="D7974" s="3"/>
      <c r="E7974" s="3"/>
      <c r="F7974" s="3"/>
      <c r="G7974" s="3">
        <v>3.2592656999999998</v>
      </c>
      <c r="H7974" s="3">
        <v>-9.1743560278983391</v>
      </c>
      <c r="I7974" s="3">
        <v>3.3086487999999998</v>
      </c>
      <c r="J7974" s="3">
        <v>3.3086479999999998</v>
      </c>
      <c r="K7974" s="3">
        <v>3.2098827000000001</v>
      </c>
      <c r="L7974" s="3">
        <v>-9.1743560278983391</v>
      </c>
    </row>
    <row r="7975" spans="1:12" ht="15" customHeight="1" x14ac:dyDescent="0.2">
      <c r="A7975" s="2">
        <v>34480</v>
      </c>
      <c r="B7975" s="3">
        <v>3.2592656999999998</v>
      </c>
      <c r="C7975" s="1">
        <v>181743.41</v>
      </c>
      <c r="D7975" s="3"/>
      <c r="E7975" s="3"/>
      <c r="F7975" s="3"/>
      <c r="G7975" s="3">
        <v>3.2592656999999998</v>
      </c>
      <c r="H7975" s="3">
        <v>-9.1743560278983391</v>
      </c>
      <c r="I7975" s="3">
        <v>3.2592660000000002</v>
      </c>
      <c r="J7975" s="3">
        <v>3.3580312999999999</v>
      </c>
      <c r="K7975" s="3">
        <v>3.2098827000000001</v>
      </c>
      <c r="L7975" s="3">
        <v>-9.1743560278983391</v>
      </c>
    </row>
    <row r="7976" spans="1:12" ht="15" customHeight="1" x14ac:dyDescent="0.2">
      <c r="A7976" s="2">
        <v>34479</v>
      </c>
      <c r="B7976" s="3">
        <v>3.2592656999999998</v>
      </c>
      <c r="C7976" s="1">
        <v>69862.365999999995</v>
      </c>
      <c r="D7976" s="3">
        <v>-9.8765600000000106E-2</v>
      </c>
      <c r="E7976" s="3">
        <v>-2.9411756823112398</v>
      </c>
      <c r="F7976" s="3">
        <v>-2.9411756823112398</v>
      </c>
      <c r="G7976" s="3">
        <v>3.2592656999999998</v>
      </c>
      <c r="H7976" s="3">
        <v>-9.1743560278983391</v>
      </c>
      <c r="I7976" s="3">
        <v>3.2592660000000002</v>
      </c>
      <c r="J7976" s="3">
        <v>3.3580312999999999</v>
      </c>
      <c r="K7976" s="3">
        <v>3.2592656999999998</v>
      </c>
      <c r="L7976" s="3">
        <v>-9.1743560278983391</v>
      </c>
    </row>
    <row r="7977" spans="1:12" ht="15" customHeight="1" x14ac:dyDescent="0.2">
      <c r="A7977" s="2">
        <v>34478</v>
      </c>
      <c r="B7977" s="3">
        <v>3.3580312999999999</v>
      </c>
      <c r="C7977" s="1">
        <v>30881.190999999999</v>
      </c>
      <c r="D7977" s="3"/>
      <c r="E7977" s="3"/>
      <c r="F7977" s="3"/>
      <c r="G7977" s="3">
        <v>3.3580312999999999</v>
      </c>
      <c r="H7977" s="3">
        <v>-6.42206454632597</v>
      </c>
      <c r="I7977" s="3">
        <v>3.3580312999999999</v>
      </c>
      <c r="J7977" s="3">
        <v>3.3580312999999999</v>
      </c>
      <c r="K7977" s="3">
        <v>3.2592656999999998</v>
      </c>
      <c r="L7977" s="3">
        <v>-6.42206454632597</v>
      </c>
    </row>
    <row r="7978" spans="1:12" ht="15" customHeight="1" x14ac:dyDescent="0.2">
      <c r="A7978" s="2">
        <v>34477</v>
      </c>
      <c r="B7978" s="3">
        <v>3.3580312999999999</v>
      </c>
      <c r="C7978" s="1">
        <v>58724.89</v>
      </c>
      <c r="D7978" s="3"/>
      <c r="E7978" s="3"/>
      <c r="F7978" s="3"/>
      <c r="G7978" s="3">
        <v>3.3580312999999999</v>
      </c>
      <c r="H7978" s="3">
        <v>-6.42206454632597</v>
      </c>
      <c r="I7978" s="3">
        <v>3.4074141999999998</v>
      </c>
      <c r="J7978" s="3">
        <v>3.4074132000000001</v>
      </c>
      <c r="K7978" s="3">
        <v>3.2592656999999998</v>
      </c>
      <c r="L7978" s="3">
        <v>-6.42206454632597</v>
      </c>
    </row>
    <row r="7979" spans="1:12" ht="15" customHeight="1" x14ac:dyDescent="0.2">
      <c r="A7979" s="2">
        <v>34474</v>
      </c>
      <c r="B7979" s="3">
        <v>3.3580312999999999</v>
      </c>
      <c r="C7979" s="1">
        <v>119474.785</v>
      </c>
      <c r="D7979" s="3">
        <v>4.9383300000000102E-2</v>
      </c>
      <c r="E7979" s="3">
        <v>1.49255224490487</v>
      </c>
      <c r="F7979" s="3">
        <v>1.49255224490487</v>
      </c>
      <c r="G7979" s="3">
        <v>3.3580312999999999</v>
      </c>
      <c r="H7979" s="3">
        <v>-6.42206454632597</v>
      </c>
      <c r="I7979" s="3">
        <v>3.4074141999999998</v>
      </c>
      <c r="J7979" s="3">
        <v>3.4074132000000001</v>
      </c>
      <c r="K7979" s="3">
        <v>3.2592656999999998</v>
      </c>
      <c r="L7979" s="3">
        <v>-6.42206454632597</v>
      </c>
    </row>
    <row r="7980" spans="1:12" ht="15" customHeight="1" x14ac:dyDescent="0.2">
      <c r="A7980" s="2">
        <v>34473</v>
      </c>
      <c r="B7980" s="3">
        <v>3.3086479999999998</v>
      </c>
      <c r="C7980" s="1">
        <v>119474.785</v>
      </c>
      <c r="D7980" s="3">
        <v>-4.9383300000000102E-2</v>
      </c>
      <c r="E7980" s="3">
        <v>-1.4706027308322001</v>
      </c>
      <c r="F7980" s="3">
        <v>-1.4706027308322001</v>
      </c>
      <c r="G7980" s="3">
        <v>3.3086479999999998</v>
      </c>
      <c r="H7980" s="3">
        <v>-7.7982242205640997</v>
      </c>
      <c r="I7980" s="3">
        <v>3.3580312999999999</v>
      </c>
      <c r="J7980" s="3">
        <v>3.4074132000000001</v>
      </c>
      <c r="K7980" s="3">
        <v>3.2592656999999998</v>
      </c>
      <c r="L7980" s="3">
        <v>-7.7982242205640997</v>
      </c>
    </row>
    <row r="7981" spans="1:12" ht="15" customHeight="1" x14ac:dyDescent="0.2">
      <c r="A7981" s="2">
        <v>34472</v>
      </c>
      <c r="B7981" s="3">
        <v>3.3580312999999999</v>
      </c>
      <c r="C7981" s="1">
        <v>102768.56</v>
      </c>
      <c r="D7981" s="3">
        <v>9.8765600000000106E-2</v>
      </c>
      <c r="E7981" s="3">
        <v>3.0303021935278198</v>
      </c>
      <c r="F7981" s="3">
        <v>3.0303021935278198</v>
      </c>
      <c r="G7981" s="3">
        <v>3.3580312999999999</v>
      </c>
      <c r="H7981" s="3">
        <v>-6.42206454632597</v>
      </c>
      <c r="I7981" s="3">
        <v>3.2592660000000002</v>
      </c>
      <c r="J7981" s="3">
        <v>3.3580312999999999</v>
      </c>
      <c r="K7981" s="3">
        <v>3.1604998000000002</v>
      </c>
      <c r="L7981" s="3">
        <v>-6.42206454632597</v>
      </c>
    </row>
    <row r="7982" spans="1:12" ht="15" customHeight="1" x14ac:dyDescent="0.2">
      <c r="A7982" s="2">
        <v>34471</v>
      </c>
      <c r="B7982" s="3">
        <v>3.2592656999999998</v>
      </c>
      <c r="C7982" s="1">
        <v>71887.37</v>
      </c>
      <c r="D7982" s="3">
        <v>9.8765899999999601E-2</v>
      </c>
      <c r="E7982" s="3">
        <v>3.12500889890894</v>
      </c>
      <c r="F7982" s="3">
        <v>3.12500889890894</v>
      </c>
      <c r="G7982" s="3">
        <v>3.2592656999999998</v>
      </c>
      <c r="H7982" s="3">
        <v>-9.1743560278983391</v>
      </c>
      <c r="I7982" s="3">
        <v>3.1605007999999999</v>
      </c>
      <c r="J7982" s="3">
        <v>3.2592656999999998</v>
      </c>
      <c r="K7982" s="3">
        <v>3.1604998000000002</v>
      </c>
      <c r="L7982" s="3">
        <v>-9.1743560278983391</v>
      </c>
    </row>
    <row r="7983" spans="1:12" ht="15" customHeight="1" x14ac:dyDescent="0.2">
      <c r="A7983" s="2">
        <v>34470</v>
      </c>
      <c r="B7983" s="3">
        <v>3.1604998000000002</v>
      </c>
      <c r="C7983" s="1">
        <v>218193.36</v>
      </c>
      <c r="D7983" s="3">
        <v>-4.9382899999999799E-2</v>
      </c>
      <c r="E7983" s="3">
        <v>-1.5384643183378599</v>
      </c>
      <c r="F7983" s="3">
        <v>-1.5384643183378599</v>
      </c>
      <c r="G7983" s="3">
        <v>3.1604998000000002</v>
      </c>
      <c r="H7983" s="3">
        <v>-11.926655869541801</v>
      </c>
      <c r="I7983" s="3">
        <v>3.1605007999999999</v>
      </c>
      <c r="J7983" s="3">
        <v>3.2592656999999998</v>
      </c>
      <c r="K7983" s="3">
        <v>3.1111165999999999</v>
      </c>
      <c r="L7983" s="3">
        <v>-11.926655869541801</v>
      </c>
    </row>
    <row r="7984" spans="1:12" ht="15" customHeight="1" x14ac:dyDescent="0.2">
      <c r="A7984" s="2">
        <v>34467</v>
      </c>
      <c r="B7984" s="3">
        <v>3.2098827000000001</v>
      </c>
      <c r="C7984" s="1">
        <v>498149</v>
      </c>
      <c r="D7984" s="3">
        <v>-3.7037299999999697E-2</v>
      </c>
      <c r="E7984" s="3">
        <v>-1.14069025414853</v>
      </c>
      <c r="F7984" s="3">
        <v>-1.14069025414853</v>
      </c>
      <c r="G7984" s="3">
        <v>3.2098827000000001</v>
      </c>
      <c r="H7984" s="3">
        <v>-10.5505073420653</v>
      </c>
      <c r="I7984" s="3">
        <v>3.3086487999999998</v>
      </c>
      <c r="J7984" s="3">
        <v>3.3086479999999998</v>
      </c>
      <c r="K7984" s="3">
        <v>3.1604998000000002</v>
      </c>
      <c r="L7984" s="3">
        <v>-10.5505073420653</v>
      </c>
    </row>
    <row r="7985" spans="1:12" ht="15" customHeight="1" x14ac:dyDescent="0.2">
      <c r="A7985" s="2">
        <v>34466</v>
      </c>
      <c r="B7985" s="3">
        <v>3.2469199999999998</v>
      </c>
      <c r="C7985" s="1">
        <v>1344091.3</v>
      </c>
      <c r="D7985" s="3">
        <v>0.308643</v>
      </c>
      <c r="E7985" s="3">
        <v>10.504217267466601</v>
      </c>
      <c r="F7985" s="3">
        <v>10.504217267466601</v>
      </c>
      <c r="G7985" s="3">
        <v>3.2469199999999998</v>
      </c>
      <c r="H7985" s="3">
        <v>-9.5183924630948908</v>
      </c>
      <c r="I7985" s="3">
        <v>3.0617347000000001</v>
      </c>
      <c r="J7985" s="3">
        <v>3.3086479999999998</v>
      </c>
      <c r="K7985" s="3">
        <v>3.0123517999999998</v>
      </c>
      <c r="L7985" s="3">
        <v>-9.5183924630948908</v>
      </c>
    </row>
    <row r="7986" spans="1:12" ht="15" customHeight="1" x14ac:dyDescent="0.2">
      <c r="A7986" s="2">
        <v>34465</v>
      </c>
      <c r="B7986" s="3">
        <v>2.9382769999999998</v>
      </c>
      <c r="C7986" s="1">
        <v>1505584.5999999901</v>
      </c>
      <c r="D7986" s="3">
        <v>-0.27160570000000001</v>
      </c>
      <c r="E7986" s="3">
        <v>-8.46154596241165</v>
      </c>
      <c r="F7986" s="3">
        <v>-8.46154596241165</v>
      </c>
      <c r="G7986" s="3">
        <v>2.9382769999999998</v>
      </c>
      <c r="H7986" s="3">
        <v>-18.1193172764604</v>
      </c>
      <c r="I7986" s="3">
        <v>3.3086487999999998</v>
      </c>
      <c r="J7986" s="3">
        <v>3.3086479999999998</v>
      </c>
      <c r="K7986" s="3">
        <v>2.6666715000000001</v>
      </c>
      <c r="L7986" s="3">
        <v>-18.1193172764604</v>
      </c>
    </row>
    <row r="7987" spans="1:12" ht="15" customHeight="1" x14ac:dyDescent="0.2">
      <c r="A7987" s="2">
        <v>34464</v>
      </c>
      <c r="B7987" s="3">
        <v>3.2098827000000001</v>
      </c>
      <c r="C7987" s="1">
        <v>232874.56</v>
      </c>
      <c r="D7987" s="3"/>
      <c r="E7987" s="3"/>
      <c r="F7987" s="3"/>
      <c r="G7987" s="3">
        <v>3.2098827000000001</v>
      </c>
      <c r="H7987" s="3">
        <v>-10.5505073420653</v>
      </c>
      <c r="I7987" s="3">
        <v>3.2592660000000002</v>
      </c>
      <c r="J7987" s="3">
        <v>3.3086479999999998</v>
      </c>
      <c r="K7987" s="3">
        <v>3.1604998000000002</v>
      </c>
      <c r="L7987" s="3">
        <v>-10.5505073420653</v>
      </c>
    </row>
    <row r="7988" spans="1:12" ht="15" customHeight="1" x14ac:dyDescent="0.2">
      <c r="A7988" s="2">
        <v>34463</v>
      </c>
      <c r="B7988" s="3">
        <v>3.2098827000000001</v>
      </c>
      <c r="C7988" s="1">
        <v>472836.64</v>
      </c>
      <c r="D7988" s="3">
        <v>-4.9382999999999698E-2</v>
      </c>
      <c r="E7988" s="3">
        <v>-1.51515723311541</v>
      </c>
      <c r="F7988" s="3">
        <v>-1.51515723311541</v>
      </c>
      <c r="G7988" s="3">
        <v>3.2098827000000001</v>
      </c>
      <c r="H7988" s="3">
        <v>-10.5505073420653</v>
      </c>
      <c r="I7988" s="3">
        <v>3.3580312999999999</v>
      </c>
      <c r="J7988" s="3">
        <v>3.3580312999999999</v>
      </c>
      <c r="K7988" s="3">
        <v>3.2098827000000001</v>
      </c>
      <c r="L7988" s="3">
        <v>-10.5505073420653</v>
      </c>
    </row>
    <row r="7989" spans="1:12" ht="15" customHeight="1" x14ac:dyDescent="0.2">
      <c r="A7989" s="2">
        <v>34460</v>
      </c>
      <c r="B7989" s="3">
        <v>3.2592656999999998</v>
      </c>
      <c r="C7989" s="1">
        <v>56699.885999999999</v>
      </c>
      <c r="D7989" s="3"/>
      <c r="E7989" s="3"/>
      <c r="F7989" s="3"/>
      <c r="G7989" s="3">
        <v>3.2592656999999998</v>
      </c>
      <c r="H7989" s="3">
        <v>-9.1743560278983391</v>
      </c>
      <c r="I7989" s="3">
        <v>3.3580312999999999</v>
      </c>
      <c r="J7989" s="3">
        <v>3.3580312999999999</v>
      </c>
      <c r="K7989" s="3">
        <v>3.1604998000000002</v>
      </c>
      <c r="L7989" s="3">
        <v>-9.1743560278983391</v>
      </c>
    </row>
    <row r="7990" spans="1:12" ht="15" customHeight="1" x14ac:dyDescent="0.2">
      <c r="A7990" s="2">
        <v>34459</v>
      </c>
      <c r="B7990" s="3">
        <v>3.2592656999999998</v>
      </c>
      <c r="C7990" s="1">
        <v>292611.96999999997</v>
      </c>
      <c r="D7990" s="3">
        <v>-4.93822999999999E-2</v>
      </c>
      <c r="E7990" s="3">
        <v>-1.4925220210793</v>
      </c>
      <c r="F7990" s="3">
        <v>-1.4925220210793</v>
      </c>
      <c r="G7990" s="3">
        <v>3.2592656999999998</v>
      </c>
      <c r="H7990" s="3">
        <v>-9.1743560278983391</v>
      </c>
      <c r="I7990" s="3">
        <v>3.3086487999999998</v>
      </c>
      <c r="J7990" s="3">
        <v>3.3580312999999999</v>
      </c>
      <c r="K7990" s="3">
        <v>3.2592656999999998</v>
      </c>
      <c r="L7990" s="3">
        <v>-9.1743560278983391</v>
      </c>
    </row>
    <row r="7991" spans="1:12" ht="15" customHeight="1" x14ac:dyDescent="0.2">
      <c r="A7991" s="2">
        <v>34458</v>
      </c>
      <c r="B7991" s="3">
        <v>3.3086479999999998</v>
      </c>
      <c r="C7991" s="1">
        <v>216168.37</v>
      </c>
      <c r="D7991" s="3"/>
      <c r="E7991" s="3"/>
      <c r="F7991" s="3"/>
      <c r="G7991" s="3">
        <v>3.3086479999999998</v>
      </c>
      <c r="H7991" s="3">
        <v>-7.7982242205640997</v>
      </c>
      <c r="I7991" s="3">
        <v>3.4074141999999998</v>
      </c>
      <c r="J7991" s="3">
        <v>3.4567966000000001</v>
      </c>
      <c r="K7991" s="3">
        <v>3.2592656999999998</v>
      </c>
      <c r="L7991" s="3">
        <v>-7.7982242205640997</v>
      </c>
    </row>
    <row r="7992" spans="1:12" ht="15" customHeight="1" x14ac:dyDescent="0.2">
      <c r="A7992" s="2">
        <v>34457</v>
      </c>
      <c r="B7992" s="3">
        <v>3.3086479999999998</v>
      </c>
      <c r="C7992" s="1">
        <v>332605.62</v>
      </c>
      <c r="D7992" s="3">
        <v>-6.1729300000000098E-2</v>
      </c>
      <c r="E7992" s="3">
        <v>-1.8315249156229501</v>
      </c>
      <c r="F7992" s="3">
        <v>-1.8315249156229501</v>
      </c>
      <c r="G7992" s="3">
        <v>3.3086479999999998</v>
      </c>
      <c r="H7992" s="3">
        <v>-7.7982242205640997</v>
      </c>
      <c r="I7992" s="3">
        <v>3.4074141999999998</v>
      </c>
      <c r="J7992" s="3">
        <v>3.4074132000000001</v>
      </c>
      <c r="K7992" s="3">
        <v>3.3086479999999998</v>
      </c>
      <c r="L7992" s="3">
        <v>-7.7982242205640997</v>
      </c>
    </row>
    <row r="7993" spans="1:12" ht="15" customHeight="1" x14ac:dyDescent="0.2">
      <c r="A7993" s="2">
        <v>34456</v>
      </c>
      <c r="B7993" s="3">
        <v>3.3703772999999999</v>
      </c>
      <c r="C7993" s="1">
        <v>526498.96</v>
      </c>
      <c r="D7993" s="3">
        <v>1.23459999999999E-2</v>
      </c>
      <c r="E7993" s="3">
        <v>0.36765589409484201</v>
      </c>
      <c r="F7993" s="3">
        <v>0.36765589409484201</v>
      </c>
      <c r="G7993" s="3">
        <v>3.3703772999999999</v>
      </c>
      <c r="H7993" s="3">
        <v>-6.0780197510582603</v>
      </c>
      <c r="I7993" s="3">
        <v>3.4074141999999998</v>
      </c>
      <c r="J7993" s="3">
        <v>3.4074132000000001</v>
      </c>
      <c r="K7993" s="3">
        <v>3.3086479999999998</v>
      </c>
      <c r="L7993" s="3">
        <v>-6.0780197510582603</v>
      </c>
    </row>
    <row r="7994" spans="1:12" ht="15" customHeight="1" x14ac:dyDescent="0.2">
      <c r="A7994" s="2">
        <v>34453</v>
      </c>
      <c r="B7994" s="3">
        <v>3.3580312999999999</v>
      </c>
      <c r="C7994" s="1">
        <v>164024.69</v>
      </c>
      <c r="D7994" s="3">
        <v>2.4691299999999701E-2</v>
      </c>
      <c r="E7994" s="3">
        <v>0.74073751852494696</v>
      </c>
      <c r="F7994" s="3">
        <v>0.74073751852494696</v>
      </c>
      <c r="G7994" s="3">
        <v>3.3580312999999999</v>
      </c>
      <c r="H7994" s="3">
        <v>-6.42206454632597</v>
      </c>
      <c r="I7994" s="3">
        <v>3.4074141999999998</v>
      </c>
      <c r="J7994" s="3">
        <v>3.4074132000000001</v>
      </c>
      <c r="K7994" s="3">
        <v>3.2839567999999999</v>
      </c>
      <c r="L7994" s="3">
        <v>-6.42206454632597</v>
      </c>
    </row>
    <row r="7995" spans="1:12" ht="15" customHeight="1" x14ac:dyDescent="0.2">
      <c r="A7995" s="2">
        <v>34452</v>
      </c>
      <c r="B7995" s="3">
        <v>3.3333400000000002</v>
      </c>
      <c r="C7995" s="1">
        <v>155418.44</v>
      </c>
      <c r="D7995" s="3"/>
      <c r="E7995" s="3"/>
      <c r="F7995" s="3"/>
      <c r="G7995" s="3">
        <v>3.3333400000000002</v>
      </c>
      <c r="H7995" s="3">
        <v>-7.1101346300286696</v>
      </c>
      <c r="I7995" s="3">
        <v>3.4074141999999998</v>
      </c>
      <c r="J7995" s="3">
        <v>3.4074132000000001</v>
      </c>
      <c r="K7995" s="3">
        <v>3.3086479999999998</v>
      </c>
      <c r="L7995" s="3">
        <v>-7.1101346300286696</v>
      </c>
    </row>
    <row r="7996" spans="1:12" ht="15" customHeight="1" x14ac:dyDescent="0.2">
      <c r="A7996" s="2">
        <v>34450</v>
      </c>
      <c r="B7996" s="3">
        <v>3.3333400000000002</v>
      </c>
      <c r="C7996" s="1">
        <v>175668.43</v>
      </c>
      <c r="D7996" s="3">
        <v>-7.4073199999999895E-2</v>
      </c>
      <c r="E7996" s="3">
        <v>-2.17388369570206</v>
      </c>
      <c r="F7996" s="3">
        <v>-2.17388369570206</v>
      </c>
      <c r="G7996" s="3">
        <v>3.3333400000000002</v>
      </c>
      <c r="H7996" s="3">
        <v>-7.1101346300286696</v>
      </c>
      <c r="I7996" s="3">
        <v>3.3086487999999998</v>
      </c>
      <c r="J7996" s="3">
        <v>3.4074132000000001</v>
      </c>
      <c r="K7996" s="3">
        <v>3.3086479999999998</v>
      </c>
      <c r="L7996" s="3">
        <v>-7.1101346300286696</v>
      </c>
    </row>
    <row r="7997" spans="1:12" ht="15" customHeight="1" x14ac:dyDescent="0.2">
      <c r="A7997" s="2">
        <v>34449</v>
      </c>
      <c r="B7997" s="3">
        <v>3.4074132000000001</v>
      </c>
      <c r="C7997" s="1">
        <v>153393.43</v>
      </c>
      <c r="D7997" s="3"/>
      <c r="E7997" s="3"/>
      <c r="F7997" s="3"/>
      <c r="G7997" s="3">
        <v>3.4074132000000001</v>
      </c>
      <c r="H7997" s="3">
        <v>-5.0459438857532701</v>
      </c>
      <c r="I7997" s="3">
        <v>3.3086487999999998</v>
      </c>
      <c r="J7997" s="3">
        <v>3.4074132000000001</v>
      </c>
      <c r="K7997" s="3">
        <v>3.3086479999999998</v>
      </c>
      <c r="L7997" s="3">
        <v>-5.0459438857532701</v>
      </c>
    </row>
    <row r="7998" spans="1:12" ht="15" customHeight="1" x14ac:dyDescent="0.2">
      <c r="A7998" s="2">
        <v>34446</v>
      </c>
      <c r="B7998" s="3">
        <v>3.4074132000000001</v>
      </c>
      <c r="C7998" s="1">
        <v>167568.44</v>
      </c>
      <c r="D7998" s="3">
        <v>9.8765200000000303E-2</v>
      </c>
      <c r="E7998" s="3">
        <v>2.9850621764539502</v>
      </c>
      <c r="F7998" s="3">
        <v>2.9850621764539502</v>
      </c>
      <c r="G7998" s="3">
        <v>3.4074132000000001</v>
      </c>
      <c r="H7998" s="3">
        <v>-5.0459438857532701</v>
      </c>
      <c r="I7998" s="3">
        <v>3.4567974000000001</v>
      </c>
      <c r="J7998" s="3">
        <v>3.4567966000000001</v>
      </c>
      <c r="K7998" s="3">
        <v>3.3086479999999998</v>
      </c>
      <c r="L7998" s="3">
        <v>-5.0459438857532701</v>
      </c>
    </row>
    <row r="7999" spans="1:12" ht="15" customHeight="1" x14ac:dyDescent="0.2">
      <c r="A7999" s="2">
        <v>34445</v>
      </c>
      <c r="B7999" s="3">
        <v>3.3086479999999998</v>
      </c>
      <c r="C7999" s="1">
        <v>381205.57</v>
      </c>
      <c r="D7999" s="3">
        <v>-4.9383300000000102E-2</v>
      </c>
      <c r="E7999" s="3">
        <v>-1.4706027308322001</v>
      </c>
      <c r="F7999" s="3">
        <v>-1.4706027308322001</v>
      </c>
      <c r="G7999" s="3">
        <v>3.3086479999999998</v>
      </c>
      <c r="H7999" s="3">
        <v>-7.7982242205640997</v>
      </c>
      <c r="I7999" s="3">
        <v>3.3580312999999999</v>
      </c>
      <c r="J7999" s="3">
        <v>3.4074132000000001</v>
      </c>
      <c r="K7999" s="3">
        <v>3.2592656999999998</v>
      </c>
      <c r="L7999" s="3">
        <v>-7.7982242205640997</v>
      </c>
    </row>
    <row r="8000" spans="1:12" ht="15" customHeight="1" x14ac:dyDescent="0.2">
      <c r="A8000" s="2">
        <v>34444</v>
      </c>
      <c r="B8000" s="3">
        <v>3.3580312999999999</v>
      </c>
      <c r="C8000" s="1">
        <v>110868.52</v>
      </c>
      <c r="D8000" s="3">
        <v>9.8765600000000106E-2</v>
      </c>
      <c r="E8000" s="3">
        <v>3.0303021935278198</v>
      </c>
      <c r="F8000" s="3">
        <v>3.0303021935278198</v>
      </c>
      <c r="G8000" s="3">
        <v>3.3580312999999999</v>
      </c>
      <c r="H8000" s="3">
        <v>-6.42206454632597</v>
      </c>
      <c r="I8000" s="3">
        <v>3.2592660000000002</v>
      </c>
      <c r="J8000" s="3">
        <v>3.3580312999999999</v>
      </c>
      <c r="K8000" s="3">
        <v>3.2592656999999998</v>
      </c>
      <c r="L8000" s="3">
        <v>-6.42206454632597</v>
      </c>
    </row>
    <row r="8001" spans="1:12" ht="15" customHeight="1" x14ac:dyDescent="0.2">
      <c r="A8001" s="2">
        <v>34443</v>
      </c>
      <c r="B8001" s="3">
        <v>3.2592656999999998</v>
      </c>
      <c r="C8001" s="1">
        <v>356905.57999999903</v>
      </c>
      <c r="D8001" s="3"/>
      <c r="E8001" s="3"/>
      <c r="F8001" s="3"/>
      <c r="G8001" s="3">
        <v>3.2592656999999998</v>
      </c>
      <c r="H8001" s="3">
        <v>-9.1743560278983391</v>
      </c>
      <c r="I8001" s="3">
        <v>3.2592660000000002</v>
      </c>
      <c r="J8001" s="3">
        <v>3.3580312999999999</v>
      </c>
      <c r="K8001" s="3">
        <v>3.2592656999999998</v>
      </c>
      <c r="L8001" s="3">
        <v>-9.1743560278983391</v>
      </c>
    </row>
    <row r="8002" spans="1:12" ht="15" customHeight="1" x14ac:dyDescent="0.2">
      <c r="A8002" s="2">
        <v>34442</v>
      </c>
      <c r="B8002" s="3">
        <v>3.2592656999999998</v>
      </c>
      <c r="C8002" s="1">
        <v>329568.09999999998</v>
      </c>
      <c r="D8002" s="3"/>
      <c r="E8002" s="3"/>
      <c r="F8002" s="3"/>
      <c r="G8002" s="3">
        <v>3.2592656999999998</v>
      </c>
      <c r="H8002" s="3">
        <v>-9.1743560278983391</v>
      </c>
      <c r="I8002" s="3">
        <v>3.2592660000000002</v>
      </c>
      <c r="J8002" s="3">
        <v>3.3580312999999999</v>
      </c>
      <c r="K8002" s="3">
        <v>3.2592656999999998</v>
      </c>
      <c r="L8002" s="3">
        <v>-9.1743560278983391</v>
      </c>
    </row>
    <row r="8003" spans="1:12" ht="15" customHeight="1" x14ac:dyDescent="0.2">
      <c r="A8003" s="2">
        <v>34439</v>
      </c>
      <c r="B8003" s="3">
        <v>3.2592656999999998</v>
      </c>
      <c r="C8003" s="1">
        <v>193387.16</v>
      </c>
      <c r="D8003" s="3">
        <v>-9.8765600000000106E-2</v>
      </c>
      <c r="E8003" s="3">
        <v>-2.9411756823112398</v>
      </c>
      <c r="F8003" s="3">
        <v>-2.9411756823112398</v>
      </c>
      <c r="G8003" s="3">
        <v>3.2592656999999998</v>
      </c>
      <c r="H8003" s="3">
        <v>-9.1743560278983391</v>
      </c>
      <c r="I8003" s="3">
        <v>3.3580312999999999</v>
      </c>
      <c r="J8003" s="3">
        <v>3.3580312999999999</v>
      </c>
      <c r="K8003" s="3">
        <v>3.2592656999999998</v>
      </c>
      <c r="L8003" s="3">
        <v>-9.1743560278983391</v>
      </c>
    </row>
    <row r="8004" spans="1:12" ht="15" customHeight="1" x14ac:dyDescent="0.2">
      <c r="A8004" s="2">
        <v>34438</v>
      </c>
      <c r="B8004" s="3">
        <v>3.3580312999999999</v>
      </c>
      <c r="C8004" s="1">
        <v>796329.799999999</v>
      </c>
      <c r="D8004" s="3">
        <v>0.197531499999999</v>
      </c>
      <c r="E8004" s="3">
        <v>6.2500083056483398</v>
      </c>
      <c r="F8004" s="3">
        <v>6.2500083056483398</v>
      </c>
      <c r="G8004" s="3">
        <v>3.3580312999999999</v>
      </c>
      <c r="H8004" s="3">
        <v>-6.42206454632597</v>
      </c>
      <c r="I8004" s="3">
        <v>3.3086487999999998</v>
      </c>
      <c r="J8004" s="3">
        <v>3.4074132000000001</v>
      </c>
      <c r="K8004" s="3">
        <v>3.1604998000000002</v>
      </c>
      <c r="L8004" s="3">
        <v>-6.42206454632597</v>
      </c>
    </row>
    <row r="8005" spans="1:12" ht="15" customHeight="1" x14ac:dyDescent="0.2">
      <c r="A8005" s="2">
        <v>34437</v>
      </c>
      <c r="B8005" s="3">
        <v>3.1604998000000002</v>
      </c>
      <c r="C8005" s="1">
        <v>259705.75</v>
      </c>
      <c r="D8005" s="3">
        <v>-0.14814819999999901</v>
      </c>
      <c r="E8005" s="3">
        <v>-4.4776053542111303</v>
      </c>
      <c r="F8005" s="3">
        <v>-4.4776053542111303</v>
      </c>
      <c r="G8005" s="3">
        <v>3.1604998000000002</v>
      </c>
      <c r="H8005" s="3">
        <v>-11.926655869541801</v>
      </c>
      <c r="I8005" s="3">
        <v>3.3580312999999999</v>
      </c>
      <c r="J8005" s="3">
        <v>3.3580312999999999</v>
      </c>
      <c r="K8005" s="3">
        <v>3.1604998000000002</v>
      </c>
      <c r="L8005" s="3">
        <v>-11.926655869541801</v>
      </c>
    </row>
    <row r="8006" spans="1:12" ht="15" customHeight="1" x14ac:dyDescent="0.2">
      <c r="A8006" s="2">
        <v>34436</v>
      </c>
      <c r="B8006" s="3">
        <v>3.3086479999999998</v>
      </c>
      <c r="C8006" s="1">
        <v>992248.1</v>
      </c>
      <c r="D8006" s="3">
        <v>-9.8765200000000303E-2</v>
      </c>
      <c r="E8006" s="3">
        <v>-2.8985389855272099</v>
      </c>
      <c r="F8006" s="3">
        <v>-2.8985389855272099</v>
      </c>
      <c r="G8006" s="3">
        <v>3.3086479999999998</v>
      </c>
      <c r="H8006" s="3">
        <v>-7.7982242205640997</v>
      </c>
      <c r="I8006" s="3">
        <v>3.5061805000000001</v>
      </c>
      <c r="J8006" s="3">
        <v>3.5061795999999998</v>
      </c>
      <c r="K8006" s="3">
        <v>3.3086479999999998</v>
      </c>
      <c r="L8006" s="3">
        <v>-7.7982242205640997</v>
      </c>
    </row>
    <row r="8007" spans="1:12" ht="15" customHeight="1" x14ac:dyDescent="0.2">
      <c r="A8007" s="2">
        <v>34435</v>
      </c>
      <c r="B8007" s="3">
        <v>3.4074132000000001</v>
      </c>
      <c r="C8007" s="1">
        <v>1120329.0999999901</v>
      </c>
      <c r="D8007" s="3">
        <v>-4.9383399999999897E-2</v>
      </c>
      <c r="E8007" s="3">
        <v>-1.4285885377230401</v>
      </c>
      <c r="F8007" s="3">
        <v>-1.4285885377230401</v>
      </c>
      <c r="G8007" s="3">
        <v>3.4074132000000001</v>
      </c>
      <c r="H8007" s="3">
        <v>-5.0459438857532701</v>
      </c>
      <c r="I8007" s="3">
        <v>3.4074141999999998</v>
      </c>
      <c r="J8007" s="3">
        <v>3.5061795999999998</v>
      </c>
      <c r="K8007" s="3">
        <v>3.4074132000000001</v>
      </c>
      <c r="L8007" s="3">
        <v>-5.0459438857532701</v>
      </c>
    </row>
    <row r="8008" spans="1:12" ht="15" customHeight="1" x14ac:dyDescent="0.2">
      <c r="A8008" s="2">
        <v>34432</v>
      </c>
      <c r="B8008" s="3">
        <v>3.4567966000000001</v>
      </c>
      <c r="C8008" s="1">
        <v>1076285.3999999999</v>
      </c>
      <c r="D8008" s="3">
        <v>-0.148148799999999</v>
      </c>
      <c r="E8008" s="3">
        <v>-4.1095989969778701</v>
      </c>
      <c r="F8008" s="3">
        <v>-4.1095989969778701</v>
      </c>
      <c r="G8008" s="3">
        <v>3.4567966000000001</v>
      </c>
      <c r="H8008" s="3">
        <v>-3.6697814248247602</v>
      </c>
      <c r="I8008" s="3">
        <v>3.5308712</v>
      </c>
      <c r="J8008" s="3">
        <v>3.6049454000000001</v>
      </c>
      <c r="K8008" s="3">
        <v>3.4074132000000001</v>
      </c>
      <c r="L8008" s="3">
        <v>-3.6697814248247602</v>
      </c>
    </row>
    <row r="8009" spans="1:12" ht="15" customHeight="1" x14ac:dyDescent="0.2">
      <c r="A8009" s="2">
        <v>34431</v>
      </c>
      <c r="B8009" s="3">
        <v>3.6049454000000001</v>
      </c>
      <c r="C8009" s="1">
        <v>897073.2</v>
      </c>
      <c r="D8009" s="3"/>
      <c r="E8009" s="3"/>
      <c r="F8009" s="3"/>
      <c r="G8009" s="3">
        <v>3.6049454000000001</v>
      </c>
      <c r="H8009" s="3">
        <v>0.458666944295338</v>
      </c>
      <c r="I8009" s="3">
        <v>3.6049457</v>
      </c>
      <c r="J8009" s="3">
        <v>3.6049454000000001</v>
      </c>
      <c r="K8009" s="3">
        <v>3.5061795999999998</v>
      </c>
      <c r="L8009" s="3">
        <v>0.458666944295338</v>
      </c>
    </row>
    <row r="8010" spans="1:12" ht="15" customHeight="1" x14ac:dyDescent="0.2">
      <c r="A8010" s="2">
        <v>34430</v>
      </c>
      <c r="B8010" s="3">
        <v>3.6049454000000001</v>
      </c>
      <c r="C8010" s="1">
        <v>1090966.7</v>
      </c>
      <c r="D8010" s="3">
        <v>-9.8765900000000004E-2</v>
      </c>
      <c r="E8010" s="3">
        <v>-2.6666738306519702</v>
      </c>
      <c r="F8010" s="3">
        <v>-2.6666738306519702</v>
      </c>
      <c r="G8010" s="3">
        <v>3.6049454000000001</v>
      </c>
      <c r="H8010" s="3">
        <v>0.458666944295338</v>
      </c>
      <c r="I8010" s="3">
        <v>3.8518599999999998</v>
      </c>
      <c r="J8010" s="3">
        <v>3.8518590000000001</v>
      </c>
      <c r="K8010" s="3">
        <v>3.5061795999999998</v>
      </c>
      <c r="L8010" s="3">
        <v>0.458666944295338</v>
      </c>
    </row>
    <row r="8011" spans="1:12" ht="15" customHeight="1" x14ac:dyDescent="0.2">
      <c r="A8011" s="2">
        <v>34429</v>
      </c>
      <c r="B8011" s="3">
        <v>3.7037113000000002</v>
      </c>
      <c r="C8011" s="1">
        <v>258693.24</v>
      </c>
      <c r="D8011" s="3">
        <v>0.29629810000000001</v>
      </c>
      <c r="E8011" s="3">
        <v>8.6956903260220795</v>
      </c>
      <c r="F8011" s="3">
        <v>8.6956903260220795</v>
      </c>
      <c r="G8011" s="3">
        <v>3.7037113000000002</v>
      </c>
      <c r="H8011" s="3">
        <v>3.21096678593887</v>
      </c>
      <c r="I8011" s="3">
        <v>3.5061805000000001</v>
      </c>
      <c r="J8011" s="3">
        <v>3.8518590000000001</v>
      </c>
      <c r="K8011" s="3">
        <v>3.5061795999999998</v>
      </c>
      <c r="L8011" s="3">
        <v>3.21096678593887</v>
      </c>
    </row>
    <row r="8012" spans="1:12" ht="15" customHeight="1" x14ac:dyDescent="0.2">
      <c r="A8012" s="2">
        <v>34428</v>
      </c>
      <c r="B8012" s="3">
        <v>3.4074132000000001</v>
      </c>
      <c r="C8012" s="1">
        <v>740642.33</v>
      </c>
      <c r="D8012" s="3">
        <v>-0.24691469999999999</v>
      </c>
      <c r="E8012" s="3">
        <v>-6.7567746178442301</v>
      </c>
      <c r="F8012" s="3">
        <v>-6.7567746178442301</v>
      </c>
      <c r="G8012" s="3">
        <v>3.4074132000000001</v>
      </c>
      <c r="H8012" s="3">
        <v>-5.0459438857532701</v>
      </c>
      <c r="I8012" s="3">
        <v>3.6049457</v>
      </c>
      <c r="J8012" s="3">
        <v>3.6543279000000002</v>
      </c>
      <c r="K8012" s="3">
        <v>3.3086479999999998</v>
      </c>
      <c r="L8012" s="3">
        <v>-5.0459438857532701</v>
      </c>
    </row>
    <row r="8013" spans="1:12" ht="15" customHeight="1" x14ac:dyDescent="0.2">
      <c r="A8013" s="2">
        <v>34424</v>
      </c>
      <c r="B8013" s="3">
        <v>3.6543279000000002</v>
      </c>
      <c r="C8013" s="1">
        <v>509286.5</v>
      </c>
      <c r="D8013" s="3">
        <v>2.4691399999999999E-2</v>
      </c>
      <c r="E8013" s="3">
        <v>0.68027197764846103</v>
      </c>
      <c r="F8013" s="3">
        <v>0.68027197764846103</v>
      </c>
      <c r="G8013" s="3">
        <v>3.6543279000000002</v>
      </c>
      <c r="H8013" s="3">
        <v>1.8348043250103601</v>
      </c>
      <c r="I8013" s="3">
        <v>3.654328</v>
      </c>
      <c r="J8013" s="3">
        <v>3.7530937</v>
      </c>
      <c r="K8013" s="3">
        <v>3.5555625000000002</v>
      </c>
      <c r="L8013" s="3">
        <v>1.8348043250103601</v>
      </c>
    </row>
    <row r="8014" spans="1:12" ht="15" customHeight="1" x14ac:dyDescent="0.2">
      <c r="A8014" s="2">
        <v>34423</v>
      </c>
      <c r="B8014" s="3">
        <v>3.6296365000000002</v>
      </c>
      <c r="C8014" s="1">
        <v>497136.57</v>
      </c>
      <c r="D8014" s="3">
        <v>-7.4074799999999996E-2</v>
      </c>
      <c r="E8014" s="3">
        <v>-2.0000154979682101</v>
      </c>
      <c r="F8014" s="3">
        <v>-2.0000154979682101</v>
      </c>
      <c r="G8014" s="3">
        <v>3.6296365000000002</v>
      </c>
      <c r="H8014" s="3">
        <v>1.14673145461726</v>
      </c>
      <c r="I8014" s="3">
        <v>3.7530939999999999</v>
      </c>
      <c r="J8014" s="3">
        <v>3.7530937</v>
      </c>
      <c r="K8014" s="3">
        <v>3.5555625000000002</v>
      </c>
      <c r="L8014" s="3">
        <v>1.14673145461726</v>
      </c>
    </row>
    <row r="8015" spans="1:12" ht="15" customHeight="1" x14ac:dyDescent="0.2">
      <c r="A8015" s="2">
        <v>34422</v>
      </c>
      <c r="B8015" s="3">
        <v>3.7037113000000002</v>
      </c>
      <c r="C8015" s="1">
        <v>388292.97</v>
      </c>
      <c r="D8015" s="3"/>
      <c r="E8015" s="3"/>
      <c r="F8015" s="3"/>
      <c r="G8015" s="3">
        <v>3.7037113000000002</v>
      </c>
      <c r="H8015" s="3">
        <v>3.21096678593887</v>
      </c>
      <c r="I8015" s="3">
        <v>3.7530939999999999</v>
      </c>
      <c r="J8015" s="3">
        <v>3.7530937</v>
      </c>
      <c r="K8015" s="3">
        <v>3.6543279000000002</v>
      </c>
      <c r="L8015" s="3">
        <v>3.21096678593887</v>
      </c>
    </row>
    <row r="8016" spans="1:12" ht="15" customHeight="1" x14ac:dyDescent="0.2">
      <c r="A8016" s="2">
        <v>34421</v>
      </c>
      <c r="B8016" s="3">
        <v>3.7037113000000002</v>
      </c>
      <c r="C8016" s="1">
        <v>1600759.5</v>
      </c>
      <c r="D8016" s="3">
        <v>-0.29629629999999901</v>
      </c>
      <c r="E8016" s="3">
        <v>-7.4073934259524901</v>
      </c>
      <c r="F8016" s="3">
        <v>-7.4073934259524901</v>
      </c>
      <c r="G8016" s="3">
        <v>3.7037113000000002</v>
      </c>
      <c r="H8016" s="3">
        <v>3.21096678593887</v>
      </c>
      <c r="I8016" s="3">
        <v>3.7530939999999999</v>
      </c>
      <c r="J8016" s="3">
        <v>3.8518590000000001</v>
      </c>
      <c r="K8016" s="3">
        <v>3.6543279000000002</v>
      </c>
      <c r="L8016" s="3">
        <v>3.21096678593887</v>
      </c>
    </row>
    <row r="8017" spans="1:12" ht="15" customHeight="1" x14ac:dyDescent="0.2">
      <c r="A8017" s="2">
        <v>34418</v>
      </c>
      <c r="B8017" s="3">
        <v>4.0000076</v>
      </c>
      <c r="C8017" s="1">
        <v>165037.19</v>
      </c>
      <c r="D8017" s="3">
        <v>0.222222799999999</v>
      </c>
      <c r="E8017" s="3">
        <v>5.8823573010299501</v>
      </c>
      <c r="F8017" s="3">
        <v>5.8823573010299501</v>
      </c>
      <c r="G8017" s="3">
        <v>4.0000076</v>
      </c>
      <c r="H8017" s="3">
        <v>11.467827297204</v>
      </c>
      <c r="I8017" s="3">
        <v>3.9012424999999999</v>
      </c>
      <c r="J8017" s="3">
        <v>4.0000076</v>
      </c>
      <c r="K8017" s="3">
        <v>3.8271679999999999</v>
      </c>
      <c r="L8017" s="3">
        <v>11.467827297204</v>
      </c>
    </row>
    <row r="8018" spans="1:12" ht="15" customHeight="1" x14ac:dyDescent="0.2">
      <c r="A8018" s="2">
        <v>34417</v>
      </c>
      <c r="B8018" s="3">
        <v>3.7777848000000001</v>
      </c>
      <c r="C8018" s="1">
        <v>53156.146999999997</v>
      </c>
      <c r="D8018" s="3">
        <v>2.4691100000000001E-2</v>
      </c>
      <c r="E8018" s="3">
        <v>0.65788658567198499</v>
      </c>
      <c r="F8018" s="3">
        <v>0.65788658567198499</v>
      </c>
      <c r="G8018" s="3">
        <v>3.7777848000000001</v>
      </c>
      <c r="H8018" s="3">
        <v>5.2751658902854297</v>
      </c>
      <c r="I8018" s="3">
        <v>3.9012424999999999</v>
      </c>
      <c r="J8018" s="3">
        <v>3.9012422999999998</v>
      </c>
      <c r="K8018" s="3">
        <v>3.7530937</v>
      </c>
      <c r="L8018" s="3">
        <v>5.2751658902854297</v>
      </c>
    </row>
    <row r="8019" spans="1:12" ht="15" customHeight="1" x14ac:dyDescent="0.2">
      <c r="A8019" s="2">
        <v>34416</v>
      </c>
      <c r="B8019" s="3">
        <v>3.7530937</v>
      </c>
      <c r="C8019" s="1">
        <v>189843.4</v>
      </c>
      <c r="D8019" s="3">
        <v>-2.4691100000000001E-2</v>
      </c>
      <c r="E8019" s="3">
        <v>-0.65358672627409098</v>
      </c>
      <c r="F8019" s="3">
        <v>-0.65358672627409098</v>
      </c>
      <c r="G8019" s="3">
        <v>3.7530937</v>
      </c>
      <c r="H8019" s="3">
        <v>4.5871013799635003</v>
      </c>
      <c r="I8019" s="3">
        <v>3.9012424999999999</v>
      </c>
      <c r="J8019" s="3">
        <v>3.9012422999999998</v>
      </c>
      <c r="K8019" s="3">
        <v>3.7530937</v>
      </c>
      <c r="L8019" s="3">
        <v>4.5871013799635003</v>
      </c>
    </row>
    <row r="8020" spans="1:12" ht="15" customHeight="1" x14ac:dyDescent="0.2">
      <c r="A8020" s="2">
        <v>34415</v>
      </c>
      <c r="B8020" s="3">
        <v>3.7777848000000001</v>
      </c>
      <c r="C8020" s="1">
        <v>684448.7</v>
      </c>
      <c r="D8020" s="3">
        <v>-0.123457499999999</v>
      </c>
      <c r="E8020" s="3">
        <v>-3.1645688861724799</v>
      </c>
      <c r="F8020" s="3">
        <v>-3.1645688861724799</v>
      </c>
      <c r="G8020" s="3">
        <v>3.7777848000000001</v>
      </c>
      <c r="H8020" s="3">
        <v>5.2751658902854297</v>
      </c>
      <c r="I8020" s="3">
        <v>3.9012424999999999</v>
      </c>
      <c r="J8020" s="3">
        <v>3.9012422999999998</v>
      </c>
      <c r="K8020" s="3">
        <v>3.7530937</v>
      </c>
      <c r="L8020" s="3">
        <v>5.2751658902854297</v>
      </c>
    </row>
    <row r="8021" spans="1:12" ht="15" customHeight="1" x14ac:dyDescent="0.2">
      <c r="A8021" s="2">
        <v>34414</v>
      </c>
      <c r="B8021" s="3">
        <v>3.9012422999999998</v>
      </c>
      <c r="C8021" s="1">
        <v>714317.44</v>
      </c>
      <c r="D8021" s="3">
        <v>-0.148147999999999</v>
      </c>
      <c r="E8021" s="3">
        <v>-3.6585260749007</v>
      </c>
      <c r="F8021" s="3">
        <v>-3.6585260749007</v>
      </c>
      <c r="G8021" s="3">
        <v>3.9012422999999998</v>
      </c>
      <c r="H8021" s="3">
        <v>8.7155441757028207</v>
      </c>
      <c r="I8021" s="3">
        <v>4.0000086000000001</v>
      </c>
      <c r="J8021" s="3">
        <v>4.0493902999999998</v>
      </c>
      <c r="K8021" s="3">
        <v>3.7530937</v>
      </c>
      <c r="L8021" s="3">
        <v>8.7155441757028207</v>
      </c>
    </row>
    <row r="8022" spans="1:12" ht="15" customHeight="1" x14ac:dyDescent="0.2">
      <c r="A8022" s="2">
        <v>34411</v>
      </c>
      <c r="B8022" s="3">
        <v>4.0493902999999998</v>
      </c>
      <c r="C8022" s="1">
        <v>548267.69999999995</v>
      </c>
      <c r="D8022" s="3">
        <v>-9.87657000000004E-2</v>
      </c>
      <c r="E8022" s="3">
        <v>-2.3809543324793099</v>
      </c>
      <c r="F8022" s="3">
        <v>-2.3809543324793099</v>
      </c>
      <c r="G8022" s="3">
        <v>4.0493902999999998</v>
      </c>
      <c r="H8022" s="3">
        <v>12.843970251299799</v>
      </c>
      <c r="I8022" s="3">
        <v>4.19754</v>
      </c>
      <c r="J8022" s="3">
        <v>4.19754</v>
      </c>
      <c r="K8022" s="3">
        <v>4.0000076</v>
      </c>
      <c r="L8022" s="3">
        <v>12.843970251299799</v>
      </c>
    </row>
    <row r="8023" spans="1:12" ht="15" customHeight="1" x14ac:dyDescent="0.2">
      <c r="A8023" s="2">
        <v>34410</v>
      </c>
      <c r="B8023" s="3">
        <v>4.1481560000000002</v>
      </c>
      <c r="C8023" s="1">
        <v>940104.5</v>
      </c>
      <c r="D8023" s="3"/>
      <c r="E8023" s="3"/>
      <c r="F8023" s="3"/>
      <c r="G8023" s="3">
        <v>4.1481560000000002</v>
      </c>
      <c r="H8023" s="3">
        <v>15.596264519562499</v>
      </c>
      <c r="I8023" s="3">
        <v>4.19754</v>
      </c>
      <c r="J8023" s="3">
        <v>4.19754</v>
      </c>
      <c r="K8023" s="3">
        <v>4.0987730000000004</v>
      </c>
      <c r="L8023" s="3">
        <v>15.596264519562499</v>
      </c>
    </row>
    <row r="8024" spans="1:12" ht="15" customHeight="1" x14ac:dyDescent="0.2">
      <c r="A8024" s="2">
        <v>34409</v>
      </c>
      <c r="B8024" s="3">
        <v>4.1481560000000002</v>
      </c>
      <c r="C8024" s="1">
        <v>1054010.3999999999</v>
      </c>
      <c r="D8024" s="3">
        <v>0.1975296</v>
      </c>
      <c r="E8024" s="3">
        <v>4.99995646260047</v>
      </c>
      <c r="F8024" s="3">
        <v>4.99995646260047</v>
      </c>
      <c r="G8024" s="3">
        <v>4.1481560000000002</v>
      </c>
      <c r="H8024" s="3">
        <v>15.596264519562499</v>
      </c>
      <c r="I8024" s="3">
        <v>4.0493912999999999</v>
      </c>
      <c r="J8024" s="3">
        <v>4.2469215</v>
      </c>
      <c r="K8024" s="3">
        <v>3.9506247000000001</v>
      </c>
      <c r="L8024" s="3">
        <v>15.596264519562499</v>
      </c>
    </row>
    <row r="8025" spans="1:12" ht="15" customHeight="1" x14ac:dyDescent="0.2">
      <c r="A8025" s="2">
        <v>34408</v>
      </c>
      <c r="B8025" s="3">
        <v>3.9506264</v>
      </c>
      <c r="C8025" s="1">
        <v>332605.39999999898</v>
      </c>
      <c r="D8025" s="3">
        <v>6.5843600000000002E-2</v>
      </c>
      <c r="E8025" s="3">
        <v>1.6949107167587301</v>
      </c>
      <c r="F8025" s="3">
        <v>1.6949107167587301</v>
      </c>
      <c r="G8025" s="3">
        <v>3.9506264</v>
      </c>
      <c r="H8025" s="3">
        <v>10.091726143463999</v>
      </c>
      <c r="I8025" s="3">
        <v>3.9835498</v>
      </c>
      <c r="J8025" s="3">
        <v>4.0493917000000001</v>
      </c>
      <c r="K8025" s="3">
        <v>3.8518612000000001</v>
      </c>
      <c r="L8025" s="3">
        <v>10.091726143463999</v>
      </c>
    </row>
    <row r="8026" spans="1:12" ht="15" customHeight="1" x14ac:dyDescent="0.2">
      <c r="A8026" s="2">
        <v>34407</v>
      </c>
      <c r="B8026" s="3">
        <v>3.8847828</v>
      </c>
      <c r="C8026" s="1">
        <v>197437</v>
      </c>
      <c r="D8026" s="3">
        <v>0.1316872</v>
      </c>
      <c r="E8026" s="3">
        <v>3.50876220685665</v>
      </c>
      <c r="F8026" s="3">
        <v>3.50876220685665</v>
      </c>
      <c r="G8026" s="3">
        <v>3.8847828</v>
      </c>
      <c r="H8026" s="3">
        <v>8.2568688713363194</v>
      </c>
      <c r="I8026" s="3">
        <v>3.7860185999999998</v>
      </c>
      <c r="J8026" s="3">
        <v>3.8847828</v>
      </c>
      <c r="K8026" s="3">
        <v>3.7201740000000001</v>
      </c>
      <c r="L8026" s="3">
        <v>8.2568688713363194</v>
      </c>
    </row>
    <row r="8027" spans="1:12" ht="15" customHeight="1" x14ac:dyDescent="0.2">
      <c r="A8027" s="2">
        <v>34404</v>
      </c>
      <c r="B8027" s="3">
        <v>3.7530956</v>
      </c>
      <c r="C8027" s="1">
        <v>109349.75</v>
      </c>
      <c r="D8027" s="3">
        <v>-3.2921800000000001E-2</v>
      </c>
      <c r="E8027" s="3">
        <v>-0.86956282873924495</v>
      </c>
      <c r="F8027" s="3">
        <v>-0.86956282873924495</v>
      </c>
      <c r="G8027" s="3">
        <v>3.7530956</v>
      </c>
      <c r="H8027" s="3">
        <v>4.5871543270808601</v>
      </c>
      <c r="I8027" s="3">
        <v>3.7201743</v>
      </c>
      <c r="J8027" s="3">
        <v>3.7860174</v>
      </c>
      <c r="K8027" s="3">
        <v>3.7201740000000001</v>
      </c>
      <c r="L8027" s="3">
        <v>4.5871543270808601</v>
      </c>
    </row>
    <row r="8028" spans="1:12" ht="15" customHeight="1" x14ac:dyDescent="0.2">
      <c r="A8028" s="2">
        <v>34403</v>
      </c>
      <c r="B8028" s="3">
        <v>3.7860174</v>
      </c>
      <c r="C8028" s="1">
        <v>677360.84</v>
      </c>
      <c r="D8028" s="3">
        <v>-6.5843800000000105E-2</v>
      </c>
      <c r="E8028" s="3">
        <v>-1.7094021975662099</v>
      </c>
      <c r="F8028" s="3">
        <v>-1.7094021975662099</v>
      </c>
      <c r="G8028" s="3">
        <v>3.7860174</v>
      </c>
      <c r="H8028" s="3">
        <v>5.5045829631447303</v>
      </c>
      <c r="I8028" s="3">
        <v>3.9177054999999998</v>
      </c>
      <c r="J8028" s="3">
        <v>3.9177046</v>
      </c>
      <c r="K8028" s="3">
        <v>3.6543294999999998</v>
      </c>
      <c r="L8028" s="3">
        <v>5.5045829631447303</v>
      </c>
    </row>
    <row r="8029" spans="1:12" ht="15" customHeight="1" x14ac:dyDescent="0.2">
      <c r="A8029" s="2">
        <v>34402</v>
      </c>
      <c r="B8029" s="3">
        <v>3.8518612000000001</v>
      </c>
      <c r="C8029" s="1">
        <v>549786.19999999995</v>
      </c>
      <c r="D8029" s="3">
        <v>-0.131686999999999</v>
      </c>
      <c r="E8029" s="3">
        <v>-3.30577147277896</v>
      </c>
      <c r="F8029" s="3">
        <v>-3.30577147277896</v>
      </c>
      <c r="G8029" s="3">
        <v>3.8518612000000001</v>
      </c>
      <c r="H8029" s="3">
        <v>7.3394458086532302</v>
      </c>
      <c r="I8029" s="3">
        <v>3.9835498</v>
      </c>
      <c r="J8029" s="3">
        <v>3.9835482</v>
      </c>
      <c r="K8029" s="3">
        <v>3.8518612000000001</v>
      </c>
      <c r="L8029" s="3">
        <v>7.3394458086532302</v>
      </c>
    </row>
    <row r="8030" spans="1:12" ht="15" customHeight="1" x14ac:dyDescent="0.2">
      <c r="A8030" s="2">
        <v>34401</v>
      </c>
      <c r="B8030" s="3">
        <v>3.9835482</v>
      </c>
      <c r="C8030" s="1">
        <v>1111722.3999999999</v>
      </c>
      <c r="D8030" s="3">
        <v>9.8765400000000003E-2</v>
      </c>
      <c r="E8030" s="3">
        <v>2.5423660751380899</v>
      </c>
      <c r="F8030" s="3">
        <v>2.5423660751380899</v>
      </c>
      <c r="G8030" s="3">
        <v>3.9835482</v>
      </c>
      <c r="H8030" s="3">
        <v>11.009154779527901</v>
      </c>
      <c r="I8030" s="3">
        <v>3.950628</v>
      </c>
      <c r="J8030" s="3">
        <v>3.9835482</v>
      </c>
      <c r="K8030" s="3">
        <v>3.8518612000000001</v>
      </c>
      <c r="L8030" s="3">
        <v>11.009154779527901</v>
      </c>
    </row>
    <row r="8031" spans="1:12" ht="15" customHeight="1" x14ac:dyDescent="0.2">
      <c r="A8031" s="2">
        <v>34400</v>
      </c>
      <c r="B8031" s="3">
        <v>3.8847828</v>
      </c>
      <c r="C8031" s="1">
        <v>410821.04</v>
      </c>
      <c r="D8031" s="3">
        <v>3.2921599999999801E-2</v>
      </c>
      <c r="E8031" s="3">
        <v>0.85469331034047002</v>
      </c>
      <c r="F8031" s="3">
        <v>0.85469331034047002</v>
      </c>
      <c r="G8031" s="3">
        <v>3.8847828</v>
      </c>
      <c r="H8031" s="3">
        <v>8.2568688713363194</v>
      </c>
      <c r="I8031" s="3">
        <v>3.8847836999999998</v>
      </c>
      <c r="J8031" s="3">
        <v>3.9835482</v>
      </c>
      <c r="K8031" s="3">
        <v>3.8189394000000001</v>
      </c>
      <c r="L8031" s="3">
        <v>8.2568688713363194</v>
      </c>
    </row>
    <row r="8032" spans="1:12" ht="15" customHeight="1" x14ac:dyDescent="0.2">
      <c r="A8032" s="2">
        <v>34397</v>
      </c>
      <c r="B8032" s="3">
        <v>3.8518612000000001</v>
      </c>
      <c r="C8032" s="1">
        <v>2912195.6</v>
      </c>
      <c r="D8032" s="3">
        <v>-1.6460799999999901E-2</v>
      </c>
      <c r="E8032" s="3">
        <v>-0.42552817474863502</v>
      </c>
      <c r="F8032" s="3">
        <v>-0.42552817474863502</v>
      </c>
      <c r="G8032" s="3">
        <v>3.8518612000000001</v>
      </c>
      <c r="H8032" s="3">
        <v>7.3394458086532302</v>
      </c>
      <c r="I8032" s="3">
        <v>3.8847836999999998</v>
      </c>
      <c r="J8032" s="3">
        <v>3.8847828</v>
      </c>
      <c r="K8032" s="3">
        <v>3.6214081999999999</v>
      </c>
      <c r="L8032" s="3">
        <v>7.3394458086532302</v>
      </c>
    </row>
    <row r="8033" spans="1:12" ht="15" customHeight="1" x14ac:dyDescent="0.2">
      <c r="A8033" s="2">
        <v>34396</v>
      </c>
      <c r="B8033" s="3">
        <v>3.868322</v>
      </c>
      <c r="C8033" s="1">
        <v>15226950</v>
      </c>
      <c r="D8033" s="3">
        <v>-0.47736800000000001</v>
      </c>
      <c r="E8033" s="3">
        <v>-10.984860862141501</v>
      </c>
      <c r="F8033" s="3">
        <v>-10.984860862141501</v>
      </c>
      <c r="G8033" s="3">
        <v>3.868322</v>
      </c>
      <c r="H8033" s="3">
        <v>7.7981573399947797</v>
      </c>
      <c r="I8033" s="3">
        <v>3.6872522999999999</v>
      </c>
      <c r="J8033" s="3">
        <v>3.9177046</v>
      </c>
      <c r="K8033" s="3">
        <v>3.4238757999999998</v>
      </c>
      <c r="L8033" s="3">
        <v>7.7981573399947797</v>
      </c>
    </row>
    <row r="8034" spans="1:12" ht="15" customHeight="1" x14ac:dyDescent="0.2">
      <c r="A8034" s="2">
        <v>34395</v>
      </c>
      <c r="B8034" s="3">
        <v>4.3456900000000003</v>
      </c>
      <c r="C8034" s="1">
        <v>367536.62</v>
      </c>
      <c r="D8034" s="3">
        <v>-6.5843000000000096E-2</v>
      </c>
      <c r="E8034" s="3">
        <v>-1.4925197204690499</v>
      </c>
      <c r="F8034" s="3">
        <v>-1.4925197204690499</v>
      </c>
      <c r="G8034" s="3">
        <v>4.3456900000000003</v>
      </c>
      <c r="H8034" s="3">
        <v>21.100925510038099</v>
      </c>
      <c r="I8034" s="3">
        <v>4.3456900000000003</v>
      </c>
      <c r="J8034" s="3">
        <v>4.4115330000000004</v>
      </c>
      <c r="K8034" s="3">
        <v>4.3456900000000003</v>
      </c>
      <c r="L8034" s="3">
        <v>21.100925510038099</v>
      </c>
    </row>
    <row r="8035" spans="1:12" ht="15" customHeight="1" x14ac:dyDescent="0.2">
      <c r="A8035" s="2">
        <v>34394</v>
      </c>
      <c r="B8035" s="3">
        <v>4.4115330000000004</v>
      </c>
      <c r="C8035" s="1">
        <v>182249.56</v>
      </c>
      <c r="D8035" s="3">
        <v>3.2922000000000097E-2</v>
      </c>
      <c r="E8035" s="3">
        <v>0.75188227499543003</v>
      </c>
      <c r="F8035" s="3">
        <v>0.75188227499543003</v>
      </c>
      <c r="G8035" s="3">
        <v>4.4115330000000004</v>
      </c>
      <c r="H8035" s="3">
        <v>22.9357660620235</v>
      </c>
      <c r="I8035" s="3">
        <v>4.4444559999999997</v>
      </c>
      <c r="J8035" s="3">
        <v>4.4773769999999997</v>
      </c>
      <c r="K8035" s="3">
        <v>4.3786110000000003</v>
      </c>
      <c r="L8035" s="3">
        <v>22.9357660620235</v>
      </c>
    </row>
    <row r="8036" spans="1:12" ht="15" customHeight="1" x14ac:dyDescent="0.2">
      <c r="A8036" s="2">
        <v>34393</v>
      </c>
      <c r="B8036" s="3">
        <v>4.3786110000000003</v>
      </c>
      <c r="C8036" s="1">
        <v>385761.57</v>
      </c>
      <c r="D8036" s="3">
        <v>-9.8765999999999396E-2</v>
      </c>
      <c r="E8036" s="3">
        <v>-2.2058897430347999</v>
      </c>
      <c r="F8036" s="3">
        <v>-2.2058897430347999</v>
      </c>
      <c r="G8036" s="3">
        <v>4.3786110000000003</v>
      </c>
      <c r="H8036" s="3">
        <v>22.0183318525789</v>
      </c>
      <c r="I8036" s="3">
        <v>4.4115339999999996</v>
      </c>
      <c r="J8036" s="3">
        <v>4.4773769999999997</v>
      </c>
      <c r="K8036" s="3">
        <v>4.3786110000000003</v>
      </c>
      <c r="L8036" s="3">
        <v>22.0183318525789</v>
      </c>
    </row>
    <row r="8037" spans="1:12" ht="15" customHeight="1" x14ac:dyDescent="0.2">
      <c r="A8037" s="2">
        <v>34390</v>
      </c>
      <c r="B8037" s="3">
        <v>4.4773769999999997</v>
      </c>
      <c r="C8037" s="1">
        <v>306027.40000000002</v>
      </c>
      <c r="D8037" s="3">
        <v>6.5843999999999306E-2</v>
      </c>
      <c r="E8037" s="3">
        <v>1.4925423883262099</v>
      </c>
      <c r="F8037" s="3">
        <v>1.4925423883262099</v>
      </c>
      <c r="G8037" s="3">
        <v>4.4773769999999997</v>
      </c>
      <c r="H8037" s="3">
        <v>24.770634480912801</v>
      </c>
      <c r="I8037" s="3">
        <v>4.4115339999999996</v>
      </c>
      <c r="J8037" s="3">
        <v>4.4773769999999997</v>
      </c>
      <c r="K8037" s="3">
        <v>4.4115330000000004</v>
      </c>
      <c r="L8037" s="3">
        <v>24.770634480912801</v>
      </c>
    </row>
    <row r="8038" spans="1:12" ht="15" customHeight="1" x14ac:dyDescent="0.2">
      <c r="A8038" s="2">
        <v>34389</v>
      </c>
      <c r="B8038" s="3">
        <v>4.4115330000000004</v>
      </c>
      <c r="C8038" s="1">
        <v>325011.75</v>
      </c>
      <c r="D8038" s="3">
        <v>-3.2920999999999902E-2</v>
      </c>
      <c r="E8038" s="3">
        <v>-0.74072090745004304</v>
      </c>
      <c r="F8038" s="3">
        <v>-0.74072090745004304</v>
      </c>
      <c r="G8038" s="3">
        <v>4.4115330000000004</v>
      </c>
      <c r="H8038" s="3">
        <v>22.9357660620235</v>
      </c>
      <c r="I8038" s="3">
        <v>4.4773769999999997</v>
      </c>
      <c r="J8038" s="3">
        <v>4.4773769999999997</v>
      </c>
      <c r="K8038" s="3">
        <v>4.3786110000000003</v>
      </c>
      <c r="L8038" s="3">
        <v>22.9357660620235</v>
      </c>
    </row>
    <row r="8039" spans="1:12" ht="15" customHeight="1" x14ac:dyDescent="0.2">
      <c r="A8039" s="2">
        <v>34388</v>
      </c>
      <c r="B8039" s="3">
        <v>4.4444540000000003</v>
      </c>
      <c r="C8039" s="1">
        <v>1502799.29999999</v>
      </c>
      <c r="D8039" s="3">
        <v>-0.1975324</v>
      </c>
      <c r="E8039" s="3">
        <v>-4.2553420664911803</v>
      </c>
      <c r="F8039" s="3">
        <v>-4.2553420664911803</v>
      </c>
      <c r="G8039" s="3">
        <v>4.4444540000000003</v>
      </c>
      <c r="H8039" s="3">
        <v>23.853172404564301</v>
      </c>
      <c r="I8039" s="3">
        <v>4.6419879999999996</v>
      </c>
      <c r="J8039" s="3">
        <v>4.6419864000000004</v>
      </c>
      <c r="K8039" s="3">
        <v>4.4115330000000004</v>
      </c>
      <c r="L8039" s="3">
        <v>23.853172404564301</v>
      </c>
    </row>
    <row r="8040" spans="1:12" ht="15" customHeight="1" x14ac:dyDescent="0.2">
      <c r="A8040" s="2">
        <v>34387</v>
      </c>
      <c r="B8040" s="3">
        <v>4.6419864000000004</v>
      </c>
      <c r="C8040" s="1">
        <v>391836.7</v>
      </c>
      <c r="D8040" s="3"/>
      <c r="E8040" s="3"/>
      <c r="F8040" s="3"/>
      <c r="G8040" s="3">
        <v>4.6419864000000004</v>
      </c>
      <c r="H8040" s="3">
        <v>29.3577888079937</v>
      </c>
      <c r="I8040" s="3">
        <v>4.7407526999999998</v>
      </c>
      <c r="J8040" s="3">
        <v>4.7407519999999996</v>
      </c>
      <c r="K8040" s="3">
        <v>4.5432199999999998</v>
      </c>
      <c r="L8040" s="3">
        <v>29.3577888079937</v>
      </c>
    </row>
    <row r="8041" spans="1:12" ht="15" customHeight="1" x14ac:dyDescent="0.2">
      <c r="A8041" s="2">
        <v>34383</v>
      </c>
      <c r="B8041" s="3">
        <v>4.6419864000000004</v>
      </c>
      <c r="C8041" s="1">
        <v>937066.83</v>
      </c>
      <c r="D8041" s="3">
        <v>-0.13168659999999899</v>
      </c>
      <c r="E8041" s="3">
        <v>-2.7586011861306599</v>
      </c>
      <c r="F8041" s="3">
        <v>-2.7586011861306599</v>
      </c>
      <c r="G8041" s="3">
        <v>4.6419864000000004</v>
      </c>
      <c r="H8041" s="3">
        <v>29.3577888079937</v>
      </c>
      <c r="I8041" s="3">
        <v>4.7407526999999998</v>
      </c>
      <c r="J8041" s="3">
        <v>4.8065962999999998</v>
      </c>
      <c r="K8041" s="3">
        <v>4.6090646</v>
      </c>
      <c r="L8041" s="3">
        <v>29.3577888079937</v>
      </c>
    </row>
    <row r="8042" spans="1:12" ht="15" customHeight="1" x14ac:dyDescent="0.2">
      <c r="A8042" s="2">
        <v>34382</v>
      </c>
      <c r="B8042" s="3">
        <v>4.7736729999999996</v>
      </c>
      <c r="C8042" s="1">
        <v>307546.13999999902</v>
      </c>
      <c r="D8042" s="3">
        <v>3.2920999999999902E-2</v>
      </c>
      <c r="E8042" s="3">
        <v>0.69442569448896396</v>
      </c>
      <c r="F8042" s="3">
        <v>0.69442569448896396</v>
      </c>
      <c r="G8042" s="3">
        <v>4.7736729999999996</v>
      </c>
      <c r="H8042" s="3">
        <v>33.0274866321068</v>
      </c>
      <c r="I8042" s="3">
        <v>4.7407526999999998</v>
      </c>
      <c r="J8042" s="3">
        <v>4.8065962999999998</v>
      </c>
      <c r="K8042" s="3">
        <v>4.6090646</v>
      </c>
      <c r="L8042" s="3">
        <v>33.0274866321068</v>
      </c>
    </row>
    <row r="8043" spans="1:12" ht="15" customHeight="1" x14ac:dyDescent="0.2">
      <c r="A8043" s="2">
        <v>34381</v>
      </c>
      <c r="B8043" s="3">
        <v>4.7407519999999996</v>
      </c>
      <c r="C8043" s="1">
        <v>267299.38</v>
      </c>
      <c r="D8043" s="3">
        <v>3.2921599999999801E-2</v>
      </c>
      <c r="E8043" s="3">
        <v>0.69929452004047199</v>
      </c>
      <c r="F8043" s="3">
        <v>0.69929452004047199</v>
      </c>
      <c r="G8043" s="3">
        <v>4.7407519999999996</v>
      </c>
      <c r="H8043" s="3">
        <v>32.110080289566</v>
      </c>
      <c r="I8043" s="3">
        <v>4.6090646</v>
      </c>
      <c r="J8043" s="3">
        <v>4.7407519999999996</v>
      </c>
      <c r="K8043" s="3">
        <v>4.6090646</v>
      </c>
      <c r="L8043" s="3">
        <v>32.110080289566</v>
      </c>
    </row>
    <row r="8044" spans="1:12" ht="15" customHeight="1" x14ac:dyDescent="0.2">
      <c r="A8044" s="2">
        <v>34380</v>
      </c>
      <c r="B8044" s="3">
        <v>4.7078303999999997</v>
      </c>
      <c r="C8044" s="1">
        <v>122259.09</v>
      </c>
      <c r="D8044" s="3"/>
      <c r="E8044" s="3"/>
      <c r="F8044" s="3"/>
      <c r="G8044" s="3">
        <v>4.7078303999999997</v>
      </c>
      <c r="H8044" s="3">
        <v>31.192657226883</v>
      </c>
      <c r="I8044" s="3">
        <v>4.6749096000000003</v>
      </c>
      <c r="J8044" s="3">
        <v>4.7078303999999997</v>
      </c>
      <c r="K8044" s="3">
        <v>4.6090646</v>
      </c>
      <c r="L8044" s="3">
        <v>31.192657226883</v>
      </c>
    </row>
    <row r="8045" spans="1:12" ht="15" customHeight="1" x14ac:dyDescent="0.2">
      <c r="A8045" s="2">
        <v>34379</v>
      </c>
      <c r="B8045" s="3">
        <v>4.7078303999999997</v>
      </c>
      <c r="C8045" s="1">
        <v>37209.281999999999</v>
      </c>
      <c r="D8045" s="3">
        <v>9.8765799999999696E-2</v>
      </c>
      <c r="E8045" s="3">
        <v>2.1428599633860501</v>
      </c>
      <c r="F8045" s="3">
        <v>2.1428599633860501</v>
      </c>
      <c r="G8045" s="3">
        <v>4.7078303999999997</v>
      </c>
      <c r="H8045" s="3">
        <v>31.192657226883</v>
      </c>
      <c r="I8045" s="3">
        <v>4.6419879999999996</v>
      </c>
      <c r="J8045" s="3">
        <v>4.7078303999999997</v>
      </c>
      <c r="K8045" s="3">
        <v>4.6090646</v>
      </c>
      <c r="L8045" s="3">
        <v>31.192657226883</v>
      </c>
    </row>
    <row r="8046" spans="1:12" ht="15" customHeight="1" x14ac:dyDescent="0.2">
      <c r="A8046" s="2">
        <v>34376</v>
      </c>
      <c r="B8046" s="3">
        <v>4.6090646</v>
      </c>
      <c r="C8046" s="1">
        <v>207308.87</v>
      </c>
      <c r="D8046" s="3">
        <v>-6.5843400000000302E-2</v>
      </c>
      <c r="E8046" s="3">
        <v>-1.4084426902090901</v>
      </c>
      <c r="F8046" s="3">
        <v>-1.4084426902090901</v>
      </c>
      <c r="G8046" s="3">
        <v>4.6090646</v>
      </c>
      <c r="H8046" s="3">
        <v>28.4403601719298</v>
      </c>
      <c r="I8046" s="3">
        <v>4.7078319999999998</v>
      </c>
      <c r="J8046" s="3">
        <v>4.7078303999999997</v>
      </c>
      <c r="K8046" s="3">
        <v>4.6090646</v>
      </c>
      <c r="L8046" s="3">
        <v>28.4403601719298</v>
      </c>
    </row>
    <row r="8047" spans="1:12" ht="15" customHeight="1" x14ac:dyDescent="0.2">
      <c r="A8047" s="2">
        <v>34375</v>
      </c>
      <c r="B8047" s="3">
        <v>4.6749080000000003</v>
      </c>
      <c r="C8047" s="1">
        <v>172377.72</v>
      </c>
      <c r="D8047" s="3"/>
      <c r="E8047" s="3"/>
      <c r="F8047" s="3"/>
      <c r="G8047" s="3">
        <v>4.6749080000000003</v>
      </c>
      <c r="H8047" s="3">
        <v>30.275211870676799</v>
      </c>
      <c r="I8047" s="3">
        <v>4.7078319999999998</v>
      </c>
      <c r="J8047" s="3">
        <v>4.7078303999999997</v>
      </c>
      <c r="K8047" s="3">
        <v>4.6090646</v>
      </c>
      <c r="L8047" s="3">
        <v>30.275211870676799</v>
      </c>
    </row>
    <row r="8048" spans="1:12" ht="15" customHeight="1" x14ac:dyDescent="0.2">
      <c r="A8048" s="2">
        <v>34374</v>
      </c>
      <c r="B8048" s="3">
        <v>4.6749080000000003</v>
      </c>
      <c r="C8048" s="1">
        <v>359183.56</v>
      </c>
      <c r="D8048" s="3">
        <v>3.2921599999999801E-2</v>
      </c>
      <c r="E8048" s="3">
        <v>0.70921362458105097</v>
      </c>
      <c r="F8048" s="3">
        <v>0.70921362458105097</v>
      </c>
      <c r="G8048" s="3">
        <v>4.6749080000000003</v>
      </c>
      <c r="H8048" s="3">
        <v>30.275211870676799</v>
      </c>
      <c r="I8048" s="3">
        <v>4.6749096000000003</v>
      </c>
      <c r="J8048" s="3">
        <v>4.7078303999999997</v>
      </c>
      <c r="K8048" s="3">
        <v>4.5761422999999999</v>
      </c>
      <c r="L8048" s="3">
        <v>30.275211870676799</v>
      </c>
    </row>
    <row r="8049" spans="1:12" ht="15" customHeight="1" x14ac:dyDescent="0.2">
      <c r="A8049" s="2">
        <v>34373</v>
      </c>
      <c r="B8049" s="3">
        <v>4.6419864000000004</v>
      </c>
      <c r="C8049" s="1">
        <v>101755.989999999</v>
      </c>
      <c r="D8049" s="3">
        <v>0.13168740000000001</v>
      </c>
      <c r="E8049" s="3">
        <v>2.9197044364464602</v>
      </c>
      <c r="F8049" s="3">
        <v>2.9197044364464602</v>
      </c>
      <c r="G8049" s="3">
        <v>4.6419864000000004</v>
      </c>
      <c r="H8049" s="3">
        <v>29.3577888079937</v>
      </c>
      <c r="I8049" s="3">
        <v>4.543221</v>
      </c>
      <c r="J8049" s="3">
        <v>4.6419864000000004</v>
      </c>
      <c r="K8049" s="3">
        <v>4.4444540000000003</v>
      </c>
      <c r="L8049" s="3">
        <v>29.3577888079937</v>
      </c>
    </row>
    <row r="8050" spans="1:12" ht="15" customHeight="1" x14ac:dyDescent="0.2">
      <c r="A8050" s="2">
        <v>34372</v>
      </c>
      <c r="B8050" s="3">
        <v>4.5102989999999998</v>
      </c>
      <c r="C8050" s="1">
        <v>1353962.29999999</v>
      </c>
      <c r="D8050" s="3">
        <v>-9.8765600000000106E-2</v>
      </c>
      <c r="E8050" s="3">
        <v>-2.1428556241107999</v>
      </c>
      <c r="F8050" s="3">
        <v>-2.1428556241107999</v>
      </c>
      <c r="G8050" s="3">
        <v>4.5102989999999998</v>
      </c>
      <c r="H8050" s="3">
        <v>25.688068690357401</v>
      </c>
      <c r="I8050" s="3">
        <v>4.6090646</v>
      </c>
      <c r="J8050" s="3">
        <v>4.6090646</v>
      </c>
      <c r="K8050" s="3">
        <v>4.4115330000000004</v>
      </c>
      <c r="L8050" s="3">
        <v>25.688068690357401</v>
      </c>
    </row>
    <row r="8051" spans="1:12" ht="15" customHeight="1" x14ac:dyDescent="0.2">
      <c r="A8051" s="2">
        <v>34369</v>
      </c>
      <c r="B8051" s="3">
        <v>4.6090646</v>
      </c>
      <c r="C8051" s="1">
        <v>933269.6</v>
      </c>
      <c r="D8051" s="3">
        <v>-0.16460839999999899</v>
      </c>
      <c r="E8051" s="3">
        <v>-3.4482546248978299</v>
      </c>
      <c r="F8051" s="3">
        <v>-3.4482546248978299</v>
      </c>
      <c r="G8051" s="3">
        <v>4.6090646</v>
      </c>
      <c r="H8051" s="3">
        <v>28.4403601719298</v>
      </c>
      <c r="I8051" s="3">
        <v>4.7407526999999998</v>
      </c>
      <c r="J8051" s="3">
        <v>4.8065962999999998</v>
      </c>
      <c r="K8051" s="3">
        <v>4.6090646</v>
      </c>
      <c r="L8051" s="3">
        <v>28.4403601719298</v>
      </c>
    </row>
    <row r="8052" spans="1:12" ht="15" customHeight="1" x14ac:dyDescent="0.2">
      <c r="A8052" s="2">
        <v>34368</v>
      </c>
      <c r="B8052" s="3">
        <v>4.7736729999999996</v>
      </c>
      <c r="C8052" s="1">
        <v>275652.46999999997</v>
      </c>
      <c r="D8052" s="3">
        <v>-9.8766400000000504E-2</v>
      </c>
      <c r="E8052" s="3">
        <v>-2.0270421423815002</v>
      </c>
      <c r="F8052" s="3">
        <v>-2.0270421423815002</v>
      </c>
      <c r="G8052" s="3">
        <v>4.7736729999999996</v>
      </c>
      <c r="H8052" s="3">
        <v>33.0274866321068</v>
      </c>
      <c r="I8052" s="3">
        <v>4.8065962999999998</v>
      </c>
      <c r="J8052" s="3">
        <v>4.8395190000000001</v>
      </c>
      <c r="K8052" s="3">
        <v>4.7407519999999996</v>
      </c>
      <c r="L8052" s="3">
        <v>33.0274866321068</v>
      </c>
    </row>
    <row r="8053" spans="1:12" ht="15" customHeight="1" x14ac:dyDescent="0.2">
      <c r="A8053" s="2">
        <v>34367</v>
      </c>
      <c r="B8053" s="3">
        <v>4.8724394000000002</v>
      </c>
      <c r="C8053" s="1">
        <v>101755.989999999</v>
      </c>
      <c r="D8053" s="3">
        <v>0.13168740000000001</v>
      </c>
      <c r="E8053" s="3">
        <v>2.77777449653557</v>
      </c>
      <c r="F8053" s="3">
        <v>2.77777449653557</v>
      </c>
      <c r="G8053" s="3">
        <v>4.8724394000000002</v>
      </c>
      <c r="H8053" s="3">
        <v>35.779800407202302</v>
      </c>
      <c r="I8053" s="3">
        <v>4.7407526999999998</v>
      </c>
      <c r="J8053" s="3">
        <v>4.8724394000000002</v>
      </c>
      <c r="K8053" s="3">
        <v>4.7407519999999996</v>
      </c>
      <c r="L8053" s="3">
        <v>35.779800407202302</v>
      </c>
    </row>
    <row r="8054" spans="1:12" ht="15" customHeight="1" x14ac:dyDescent="0.2">
      <c r="A8054" s="2">
        <v>34366</v>
      </c>
      <c r="B8054" s="3">
        <v>4.7407519999999996</v>
      </c>
      <c r="C8054" s="1">
        <v>1303843.8999999999</v>
      </c>
      <c r="D8054" s="3">
        <v>0.13168739999999901</v>
      </c>
      <c r="E8054" s="3">
        <v>2.8571393857226499</v>
      </c>
      <c r="F8054" s="3">
        <v>2.8571393857226499</v>
      </c>
      <c r="G8054" s="3">
        <v>4.7407519999999996</v>
      </c>
      <c r="H8054" s="3">
        <v>32.110080289566</v>
      </c>
      <c r="I8054" s="3">
        <v>4.6749096000000003</v>
      </c>
      <c r="J8054" s="3">
        <v>4.8724394000000002</v>
      </c>
      <c r="K8054" s="3">
        <v>4.6090646</v>
      </c>
      <c r="L8054" s="3">
        <v>32.110080289566</v>
      </c>
    </row>
    <row r="8055" spans="1:12" ht="15" customHeight="1" x14ac:dyDescent="0.2">
      <c r="A8055" s="2">
        <v>34365</v>
      </c>
      <c r="B8055" s="3">
        <v>4.6090646</v>
      </c>
      <c r="C8055" s="1">
        <v>1107166.0999999901</v>
      </c>
      <c r="D8055" s="3">
        <v>-3.2921800000000397E-2</v>
      </c>
      <c r="E8055" s="3">
        <v>-0.70921793308141801</v>
      </c>
      <c r="F8055" s="3">
        <v>-0.70921793308141801</v>
      </c>
      <c r="G8055" s="3">
        <v>4.6090646</v>
      </c>
      <c r="H8055" s="3">
        <v>28.4403601719298</v>
      </c>
      <c r="I8055" s="3">
        <v>4.6749096000000003</v>
      </c>
      <c r="J8055" s="3">
        <v>4.6749080000000003</v>
      </c>
      <c r="K8055" s="3">
        <v>4.6090646</v>
      </c>
      <c r="L8055" s="3">
        <v>28.4403601719298</v>
      </c>
    </row>
    <row r="8056" spans="1:12" ht="15" customHeight="1" x14ac:dyDescent="0.2">
      <c r="A8056" s="2">
        <v>34362</v>
      </c>
      <c r="B8056" s="3">
        <v>4.6419864000000004</v>
      </c>
      <c r="C8056" s="1">
        <v>381964.7</v>
      </c>
      <c r="D8056" s="3">
        <v>3.2921800000000397E-2</v>
      </c>
      <c r="E8056" s="3">
        <v>0.71428376161186602</v>
      </c>
      <c r="F8056" s="3">
        <v>0.71428376161186602</v>
      </c>
      <c r="G8056" s="3">
        <v>4.6419864000000004</v>
      </c>
      <c r="H8056" s="3">
        <v>29.3577888079937</v>
      </c>
      <c r="I8056" s="3">
        <v>4.6419879999999996</v>
      </c>
      <c r="J8056" s="3">
        <v>4.6749080000000003</v>
      </c>
      <c r="K8056" s="3">
        <v>4.6090646</v>
      </c>
      <c r="L8056" s="3">
        <v>29.3577888079937</v>
      </c>
    </row>
    <row r="8057" spans="1:12" ht="15" customHeight="1" x14ac:dyDescent="0.2">
      <c r="A8057" s="2">
        <v>34361</v>
      </c>
      <c r="B8057" s="3">
        <v>4.6090646</v>
      </c>
      <c r="C8057" s="1">
        <v>323493</v>
      </c>
      <c r="D8057" s="3">
        <v>-1.6460900000000198E-2</v>
      </c>
      <c r="E8057" s="3">
        <v>-0.35587091672071303</v>
      </c>
      <c r="F8057" s="3">
        <v>-0.35587091672071303</v>
      </c>
      <c r="G8057" s="3">
        <v>4.6090646</v>
      </c>
      <c r="H8057" s="3">
        <v>28.4403601719298</v>
      </c>
      <c r="I8057" s="3">
        <v>4.6419879999999996</v>
      </c>
      <c r="J8057" s="3">
        <v>4.6749080000000003</v>
      </c>
      <c r="K8057" s="3">
        <v>4.6090646</v>
      </c>
      <c r="L8057" s="3">
        <v>28.4403601719298</v>
      </c>
    </row>
    <row r="8058" spans="1:12" ht="15" customHeight="1" x14ac:dyDescent="0.2">
      <c r="A8058" s="2">
        <v>34360</v>
      </c>
      <c r="B8058" s="3">
        <v>4.6255255000000002</v>
      </c>
      <c r="C8058" s="1">
        <v>308305.53999999998</v>
      </c>
      <c r="D8058" s="3">
        <v>0.1152265</v>
      </c>
      <c r="E8058" s="3">
        <v>2.5547419361776398</v>
      </c>
      <c r="F8058" s="3">
        <v>2.5547419361776398</v>
      </c>
      <c r="G8058" s="3">
        <v>4.6255255000000002</v>
      </c>
      <c r="H8058" s="3">
        <v>28.899074489961802</v>
      </c>
      <c r="I8058" s="3">
        <v>4.5102989999999998</v>
      </c>
      <c r="J8058" s="3">
        <v>4.6419864000000004</v>
      </c>
      <c r="K8058" s="3">
        <v>4.5102989999999998</v>
      </c>
      <c r="L8058" s="3">
        <v>28.899074489961802</v>
      </c>
    </row>
    <row r="8059" spans="1:12" ht="15" customHeight="1" x14ac:dyDescent="0.2">
      <c r="A8059" s="2">
        <v>34359</v>
      </c>
      <c r="B8059" s="3">
        <v>4.5102989999999998</v>
      </c>
      <c r="C8059" s="1">
        <v>1464071.5</v>
      </c>
      <c r="D8059" s="3">
        <v>-0.16460900000000001</v>
      </c>
      <c r="E8059" s="3">
        <v>-3.5211174209203802</v>
      </c>
      <c r="F8059" s="3">
        <v>-3.5211174209203802</v>
      </c>
      <c r="G8059" s="3">
        <v>4.5102989999999998</v>
      </c>
      <c r="H8059" s="3">
        <v>25.688068690357401</v>
      </c>
      <c r="I8059" s="3">
        <v>4.6090646</v>
      </c>
      <c r="J8059" s="3">
        <v>4.6419864000000004</v>
      </c>
      <c r="K8059" s="3">
        <v>4.5102989999999998</v>
      </c>
      <c r="L8059" s="3">
        <v>25.688068690357401</v>
      </c>
    </row>
    <row r="8060" spans="1:12" ht="15" customHeight="1" x14ac:dyDescent="0.2">
      <c r="A8060" s="2">
        <v>34358</v>
      </c>
      <c r="B8060" s="3">
        <v>4.6749080000000003</v>
      </c>
      <c r="C8060" s="1">
        <v>797341.74</v>
      </c>
      <c r="D8060" s="3">
        <v>3.2921599999999801E-2</v>
      </c>
      <c r="E8060" s="3">
        <v>0.70921362458105097</v>
      </c>
      <c r="F8060" s="3">
        <v>0.70921362458105097</v>
      </c>
      <c r="G8060" s="3">
        <v>4.6749080000000003</v>
      </c>
      <c r="H8060" s="3">
        <v>30.275211870676799</v>
      </c>
      <c r="I8060" s="3">
        <v>4.6419879999999996</v>
      </c>
      <c r="J8060" s="3">
        <v>4.6749080000000003</v>
      </c>
      <c r="K8060" s="3">
        <v>4.6090646</v>
      </c>
      <c r="L8060" s="3">
        <v>30.275211870676799</v>
      </c>
    </row>
    <row r="8061" spans="1:12" ht="15" customHeight="1" x14ac:dyDescent="0.2">
      <c r="A8061" s="2">
        <v>34355</v>
      </c>
      <c r="B8061" s="3">
        <v>4.6419864000000004</v>
      </c>
      <c r="C8061" s="1">
        <v>599145.4</v>
      </c>
      <c r="D8061" s="3"/>
      <c r="E8061" s="3"/>
      <c r="F8061" s="3"/>
      <c r="G8061" s="3">
        <v>4.6419864000000004</v>
      </c>
      <c r="H8061" s="3">
        <v>29.3577888079937</v>
      </c>
      <c r="I8061" s="3">
        <v>4.6419879999999996</v>
      </c>
      <c r="J8061" s="3">
        <v>4.6749080000000003</v>
      </c>
      <c r="K8061" s="3">
        <v>4.6419864000000004</v>
      </c>
      <c r="L8061" s="3">
        <v>29.3577888079937</v>
      </c>
    </row>
    <row r="8062" spans="1:12" ht="15" customHeight="1" x14ac:dyDescent="0.2">
      <c r="A8062" s="2">
        <v>34354</v>
      </c>
      <c r="B8062" s="3">
        <v>4.6419864000000004</v>
      </c>
      <c r="C8062" s="1">
        <v>5614806</v>
      </c>
      <c r="D8062" s="3"/>
      <c r="E8062" s="3"/>
      <c r="F8062" s="3"/>
      <c r="G8062" s="3">
        <v>4.6419864000000004</v>
      </c>
      <c r="H8062" s="3">
        <v>29.3577888079937</v>
      </c>
      <c r="I8062" s="3">
        <v>4.6419879999999996</v>
      </c>
      <c r="J8062" s="3">
        <v>4.7736729999999996</v>
      </c>
      <c r="K8062" s="3">
        <v>4.6419864000000004</v>
      </c>
      <c r="L8062" s="3">
        <v>29.3577888079937</v>
      </c>
    </row>
    <row r="8063" spans="1:12" ht="15" customHeight="1" x14ac:dyDescent="0.2">
      <c r="A8063" s="2">
        <v>34353</v>
      </c>
      <c r="B8063" s="3">
        <v>4.6419864000000004</v>
      </c>
      <c r="C8063" s="1">
        <v>387280.26999999903</v>
      </c>
      <c r="D8063" s="3">
        <v>-6.5843999999999306E-2</v>
      </c>
      <c r="E8063" s="3">
        <v>-1.39860603304654</v>
      </c>
      <c r="F8063" s="3">
        <v>-1.39860603304654</v>
      </c>
      <c r="G8063" s="3">
        <v>4.6419864000000004</v>
      </c>
      <c r="H8063" s="3">
        <v>29.3577888079937</v>
      </c>
      <c r="I8063" s="3">
        <v>4.6090646</v>
      </c>
      <c r="J8063" s="3">
        <v>4.7078303999999997</v>
      </c>
      <c r="K8063" s="3">
        <v>4.5761422999999999</v>
      </c>
      <c r="L8063" s="3">
        <v>29.3577888079937</v>
      </c>
    </row>
    <row r="8064" spans="1:12" ht="15" customHeight="1" x14ac:dyDescent="0.2">
      <c r="A8064" s="2">
        <v>34352</v>
      </c>
      <c r="B8064" s="3">
        <v>4.7078303999999997</v>
      </c>
      <c r="C8064" s="1">
        <v>809491.76</v>
      </c>
      <c r="D8064" s="3">
        <v>0.2304534</v>
      </c>
      <c r="E8064" s="3">
        <v>5.1470626663780896</v>
      </c>
      <c r="F8064" s="3">
        <v>5.1470626663780896</v>
      </c>
      <c r="G8064" s="3">
        <v>4.7078303999999997</v>
      </c>
      <c r="H8064" s="3">
        <v>31.192657226883</v>
      </c>
      <c r="I8064" s="3">
        <v>4.4773769999999997</v>
      </c>
      <c r="J8064" s="3">
        <v>4.7736729999999996</v>
      </c>
      <c r="K8064" s="3">
        <v>4.4115330000000004</v>
      </c>
      <c r="L8064" s="3">
        <v>31.192657226883</v>
      </c>
    </row>
    <row r="8065" spans="1:12" ht="15" customHeight="1" x14ac:dyDescent="0.2">
      <c r="A8065" s="2">
        <v>34351</v>
      </c>
      <c r="B8065" s="3">
        <v>4.4773769999999997</v>
      </c>
      <c r="C8065" s="1">
        <v>1876411</v>
      </c>
      <c r="D8065" s="3">
        <v>-0.16460939999999999</v>
      </c>
      <c r="E8065" s="3">
        <v>-3.5460982824077298</v>
      </c>
      <c r="F8065" s="3">
        <v>-3.5460982824077298</v>
      </c>
      <c r="G8065" s="3">
        <v>4.4773769999999997</v>
      </c>
      <c r="H8065" s="3">
        <v>24.770634480912801</v>
      </c>
      <c r="I8065" s="3">
        <v>4.6419879999999996</v>
      </c>
      <c r="J8065" s="3">
        <v>4.7078303999999997</v>
      </c>
      <c r="K8065" s="3">
        <v>4.4444540000000003</v>
      </c>
      <c r="L8065" s="3">
        <v>24.770634480912801</v>
      </c>
    </row>
    <row r="8066" spans="1:12" ht="15" customHeight="1" x14ac:dyDescent="0.2">
      <c r="A8066" s="2">
        <v>34348</v>
      </c>
      <c r="B8066" s="3">
        <v>4.6419864000000004</v>
      </c>
      <c r="C8066" s="1">
        <v>374370.94</v>
      </c>
      <c r="D8066" s="3">
        <v>3.2921800000000397E-2</v>
      </c>
      <c r="E8066" s="3">
        <v>0.71428376161186602</v>
      </c>
      <c r="F8066" s="3">
        <v>0.71428376161186602</v>
      </c>
      <c r="G8066" s="3">
        <v>4.6419864000000004</v>
      </c>
      <c r="H8066" s="3">
        <v>29.3577888079937</v>
      </c>
      <c r="I8066" s="3">
        <v>4.6090646</v>
      </c>
      <c r="J8066" s="3">
        <v>4.7078303999999997</v>
      </c>
      <c r="K8066" s="3">
        <v>4.5432199999999998</v>
      </c>
      <c r="L8066" s="3">
        <v>29.3577888079937</v>
      </c>
    </row>
    <row r="8067" spans="1:12" ht="15" customHeight="1" x14ac:dyDescent="0.2">
      <c r="A8067" s="2">
        <v>34347</v>
      </c>
      <c r="B8067" s="3">
        <v>4.6090646</v>
      </c>
      <c r="C8067" s="1">
        <v>301471.13</v>
      </c>
      <c r="D8067" s="3">
        <v>6.58446000000001E-2</v>
      </c>
      <c r="E8067" s="3">
        <v>1.44929367276953</v>
      </c>
      <c r="F8067" s="3">
        <v>1.44929367276953</v>
      </c>
      <c r="G8067" s="3">
        <v>4.6090646</v>
      </c>
      <c r="H8067" s="3">
        <v>28.4403601719298</v>
      </c>
      <c r="I8067" s="3">
        <v>4.6090646</v>
      </c>
      <c r="J8067" s="3">
        <v>4.6090646</v>
      </c>
      <c r="K8067" s="3">
        <v>4.5432199999999998</v>
      </c>
      <c r="L8067" s="3">
        <v>28.4403601719298</v>
      </c>
    </row>
    <row r="8068" spans="1:12" ht="15" customHeight="1" x14ac:dyDescent="0.2">
      <c r="A8068" s="2">
        <v>34346</v>
      </c>
      <c r="B8068" s="3">
        <v>4.5432199999999998</v>
      </c>
      <c r="C8068" s="1">
        <v>1054010</v>
      </c>
      <c r="D8068" s="3">
        <v>-3.2922300000000002E-2</v>
      </c>
      <c r="E8068" s="3">
        <v>-0.71943348440016697</v>
      </c>
      <c r="F8068" s="3">
        <v>-0.71943348440016697</v>
      </c>
      <c r="G8068" s="3">
        <v>4.5432199999999998</v>
      </c>
      <c r="H8068" s="3">
        <v>26.605475032898202</v>
      </c>
      <c r="I8068" s="3">
        <v>4.4773769999999997</v>
      </c>
      <c r="J8068" s="3">
        <v>4.6090646</v>
      </c>
      <c r="K8068" s="3">
        <v>4.4773769999999997</v>
      </c>
      <c r="L8068" s="3">
        <v>26.605475032898202</v>
      </c>
    </row>
    <row r="8069" spans="1:12" ht="15" customHeight="1" x14ac:dyDescent="0.2">
      <c r="A8069" s="2">
        <v>34345</v>
      </c>
      <c r="B8069" s="3">
        <v>4.5761422999999999</v>
      </c>
      <c r="C8069" s="1">
        <v>763170.2</v>
      </c>
      <c r="D8069" s="3">
        <v>0.26337429999999901</v>
      </c>
      <c r="E8069" s="3">
        <v>6.1068506351373397</v>
      </c>
      <c r="F8069" s="3">
        <v>6.1068506351373397</v>
      </c>
      <c r="G8069" s="3">
        <v>4.5761422999999999</v>
      </c>
      <c r="H8069" s="3">
        <v>27.522917602414001</v>
      </c>
      <c r="I8069" s="3">
        <v>4.3127684999999998</v>
      </c>
      <c r="J8069" s="3">
        <v>4.5761422999999999</v>
      </c>
      <c r="K8069" s="3">
        <v>4.3127680000000002</v>
      </c>
      <c r="L8069" s="3">
        <v>27.522917602414001</v>
      </c>
    </row>
    <row r="8070" spans="1:12" ht="15" customHeight="1" x14ac:dyDescent="0.2">
      <c r="A8070" s="2">
        <v>34344</v>
      </c>
      <c r="B8070" s="3">
        <v>4.3127680000000002</v>
      </c>
      <c r="C8070" s="1">
        <v>403986.5</v>
      </c>
      <c r="D8070" s="3">
        <v>0.131688</v>
      </c>
      <c r="E8070" s="3">
        <v>3.1496168454083699</v>
      </c>
      <c r="F8070" s="3">
        <v>3.1496168454083699</v>
      </c>
      <c r="G8070" s="3">
        <v>4.3127680000000002</v>
      </c>
      <c r="H8070" s="3">
        <v>20.183491300593499</v>
      </c>
      <c r="I8070" s="3">
        <v>4.2140029999999999</v>
      </c>
      <c r="J8070" s="3">
        <v>4.3127680000000002</v>
      </c>
      <c r="K8070" s="3">
        <v>4.1481586000000004</v>
      </c>
      <c r="L8070" s="3">
        <v>20.183491300593499</v>
      </c>
    </row>
    <row r="8071" spans="1:12" ht="15" customHeight="1" x14ac:dyDescent="0.2">
      <c r="A8071" s="2">
        <v>34341</v>
      </c>
      <c r="B8071" s="3">
        <v>4.1810799999999997</v>
      </c>
      <c r="C8071" s="1">
        <v>349311.68</v>
      </c>
      <c r="D8071" s="3"/>
      <c r="E8071" s="3"/>
      <c r="F8071" s="3"/>
      <c r="G8071" s="3">
        <v>4.1810799999999997</v>
      </c>
      <c r="H8071" s="3">
        <v>16.513754462814902</v>
      </c>
      <c r="I8071" s="3">
        <v>4.2469250000000001</v>
      </c>
      <c r="J8071" s="3">
        <v>4.2469234</v>
      </c>
      <c r="K8071" s="3">
        <v>4.1481586000000004</v>
      </c>
      <c r="L8071" s="3">
        <v>16.513754462814902</v>
      </c>
    </row>
    <row r="8072" spans="1:12" ht="15" customHeight="1" x14ac:dyDescent="0.2">
      <c r="A8072" s="2">
        <v>34340</v>
      </c>
      <c r="B8072" s="3">
        <v>4.1810799999999997</v>
      </c>
      <c r="C8072" s="1">
        <v>127574.7</v>
      </c>
      <c r="D8072" s="3">
        <v>-6.5843400000000302E-2</v>
      </c>
      <c r="E8072" s="3">
        <v>-1.5503787989206499</v>
      </c>
      <c r="F8072" s="3">
        <v>-1.5503787989206499</v>
      </c>
      <c r="G8072" s="3">
        <v>4.1810799999999997</v>
      </c>
      <c r="H8072" s="3">
        <v>16.513754462814902</v>
      </c>
      <c r="I8072" s="3">
        <v>4.2469250000000001</v>
      </c>
      <c r="J8072" s="3">
        <v>4.2469234</v>
      </c>
      <c r="K8072" s="3">
        <v>4.1810799999999997</v>
      </c>
      <c r="L8072" s="3">
        <v>16.513754462814902</v>
      </c>
    </row>
    <row r="8073" spans="1:12" ht="15" customHeight="1" x14ac:dyDescent="0.2">
      <c r="A8073" s="2">
        <v>34339</v>
      </c>
      <c r="B8073" s="3">
        <v>4.2469234</v>
      </c>
      <c r="C8073" s="1">
        <v>1822495.7</v>
      </c>
      <c r="D8073" s="3">
        <v>-1.6461600000000399E-2</v>
      </c>
      <c r="E8073" s="3">
        <v>-0.38611572729182397</v>
      </c>
      <c r="F8073" s="3">
        <v>-0.38611572729182397</v>
      </c>
      <c r="G8073" s="3">
        <v>4.2469234</v>
      </c>
      <c r="H8073" s="3">
        <v>18.3486061615619</v>
      </c>
      <c r="I8073" s="3">
        <v>4.3456900000000003</v>
      </c>
      <c r="J8073" s="3">
        <v>4.3456900000000003</v>
      </c>
      <c r="K8073" s="3">
        <v>4.1481586000000004</v>
      </c>
      <c r="L8073" s="3">
        <v>18.3486061615619</v>
      </c>
    </row>
    <row r="8074" spans="1:12" ht="15" customHeight="1" x14ac:dyDescent="0.2">
      <c r="A8074" s="2">
        <v>34338</v>
      </c>
      <c r="B8074" s="3">
        <v>4.2633850000000004</v>
      </c>
      <c r="C8074" s="1">
        <v>583198.6</v>
      </c>
      <c r="D8074" s="3">
        <v>-0.23045299999999899</v>
      </c>
      <c r="E8074" s="3">
        <v>-5.1281999929681401</v>
      </c>
      <c r="F8074" s="3">
        <v>-5.1281999929681401</v>
      </c>
      <c r="G8074" s="3">
        <v>4.2633850000000004</v>
      </c>
      <c r="H8074" s="3">
        <v>18.807339986426499</v>
      </c>
      <c r="I8074" s="3">
        <v>4.5102989999999998</v>
      </c>
      <c r="J8074" s="3">
        <v>4.5102989999999998</v>
      </c>
      <c r="K8074" s="3">
        <v>4.2140016999999999</v>
      </c>
      <c r="L8074" s="3">
        <v>18.807339986426499</v>
      </c>
    </row>
    <row r="8075" spans="1:12" ht="15" customHeight="1" x14ac:dyDescent="0.2">
      <c r="A8075" s="2">
        <v>34337</v>
      </c>
      <c r="B8075" s="3">
        <v>4.4938380000000002</v>
      </c>
      <c r="C8075" s="1">
        <v>539154.9</v>
      </c>
      <c r="D8075" s="3">
        <v>-1.6460999999999601E-2</v>
      </c>
      <c r="E8075" s="3">
        <v>-0.36496471741672698</v>
      </c>
      <c r="F8075" s="3">
        <v>-0.36496471741672698</v>
      </c>
      <c r="G8075" s="3">
        <v>4.4938380000000002</v>
      </c>
      <c r="H8075" s="3">
        <v>25.229351585635101</v>
      </c>
      <c r="I8075" s="3">
        <v>4.4444559999999997</v>
      </c>
      <c r="J8075" s="3">
        <v>4.5761422999999999</v>
      </c>
      <c r="K8075" s="3">
        <v>4.3786110000000003</v>
      </c>
      <c r="L8075" s="3">
        <v>25.229351585635101</v>
      </c>
    </row>
    <row r="8076" spans="1:12" ht="15" customHeight="1" x14ac:dyDescent="0.2">
      <c r="A8076" s="2">
        <v>34334</v>
      </c>
      <c r="B8076" s="3">
        <v>4.5102989999999998</v>
      </c>
      <c r="C8076" s="1">
        <v>788229.25</v>
      </c>
      <c r="D8076" s="3">
        <v>1.6460999999999601E-2</v>
      </c>
      <c r="E8076" s="3">
        <v>0.36630158897583698</v>
      </c>
      <c r="F8076" s="3">
        <v>0.36630158897583698</v>
      </c>
      <c r="G8076" s="3">
        <v>4.5102989999999998</v>
      </c>
      <c r="H8076" s="3">
        <v>25.688068690357401</v>
      </c>
      <c r="I8076" s="3">
        <v>4.5102989999999998</v>
      </c>
      <c r="J8076" s="3">
        <v>4.5102989999999998</v>
      </c>
      <c r="K8076" s="3">
        <v>4.3127680000000002</v>
      </c>
      <c r="L8076" s="3">
        <v>25.688068690357401</v>
      </c>
    </row>
    <row r="8077" spans="1:12" ht="15" customHeight="1" x14ac:dyDescent="0.2">
      <c r="A8077" s="2">
        <v>34333</v>
      </c>
      <c r="B8077" s="3">
        <v>4.4938380000000002</v>
      </c>
      <c r="C8077" s="1">
        <v>318177.37</v>
      </c>
      <c r="D8077" s="3">
        <v>-3.2922000000000097E-2</v>
      </c>
      <c r="E8077" s="3">
        <v>-0.72727513718421299</v>
      </c>
      <c r="F8077" s="3">
        <v>-0.72727513718421299</v>
      </c>
      <c r="G8077" s="3">
        <v>4.4938380000000002</v>
      </c>
      <c r="H8077" s="3">
        <v>25.229351585635101</v>
      </c>
      <c r="I8077" s="3">
        <v>4.5761430000000001</v>
      </c>
      <c r="J8077" s="3">
        <v>4.5761422999999999</v>
      </c>
      <c r="K8077" s="3">
        <v>4.4773769999999997</v>
      </c>
      <c r="L8077" s="3">
        <v>25.229351585635101</v>
      </c>
    </row>
    <row r="8078" spans="1:12" ht="15" customHeight="1" x14ac:dyDescent="0.2">
      <c r="A8078" s="2">
        <v>34332</v>
      </c>
      <c r="B8078" s="3">
        <v>4.5267600000000003</v>
      </c>
      <c r="C8078" s="1">
        <v>300711.76</v>
      </c>
      <c r="D8078" s="3">
        <v>4.93830000000006E-2</v>
      </c>
      <c r="E8078" s="3">
        <v>1.1029448715174299</v>
      </c>
      <c r="F8078" s="3">
        <v>1.1029448715174299</v>
      </c>
      <c r="G8078" s="3">
        <v>4.5267600000000003</v>
      </c>
      <c r="H8078" s="3">
        <v>26.146785795079801</v>
      </c>
      <c r="I8078" s="3">
        <v>4.543221</v>
      </c>
      <c r="J8078" s="3">
        <v>4.6090646</v>
      </c>
      <c r="K8078" s="3">
        <v>4.4773769999999997</v>
      </c>
      <c r="L8078" s="3">
        <v>26.146785795079801</v>
      </c>
    </row>
    <row r="8079" spans="1:12" ht="15" customHeight="1" x14ac:dyDescent="0.2">
      <c r="A8079" s="2">
        <v>34331</v>
      </c>
      <c r="B8079" s="3">
        <v>4.4773769999999997</v>
      </c>
      <c r="C8079" s="1">
        <v>157949.63</v>
      </c>
      <c r="D8079" s="3">
        <v>-6.5843000000000096E-2</v>
      </c>
      <c r="E8079" s="3">
        <v>-1.4492584554567001</v>
      </c>
      <c r="F8079" s="3">
        <v>-1.4492584554567001</v>
      </c>
      <c r="G8079" s="3">
        <v>4.4773769999999997</v>
      </c>
      <c r="H8079" s="3">
        <v>24.770634480912801</v>
      </c>
      <c r="I8079" s="3">
        <v>4.543221</v>
      </c>
      <c r="J8079" s="3">
        <v>4.5432199999999998</v>
      </c>
      <c r="K8079" s="3">
        <v>4.4444540000000003</v>
      </c>
      <c r="L8079" s="3">
        <v>24.770634480912801</v>
      </c>
    </row>
    <row r="8080" spans="1:12" ht="15" customHeight="1" x14ac:dyDescent="0.2">
      <c r="A8080" s="2">
        <v>34330</v>
      </c>
      <c r="B8080" s="3">
        <v>4.5432199999999998</v>
      </c>
      <c r="C8080" s="1">
        <v>26578.0619999999</v>
      </c>
      <c r="D8080" s="3">
        <v>6.5843000000000096E-2</v>
      </c>
      <c r="E8080" s="3">
        <v>1.4705708275179801</v>
      </c>
      <c r="F8080" s="3">
        <v>1.4705708275179801</v>
      </c>
      <c r="G8080" s="3">
        <v>4.5432199999999998</v>
      </c>
      <c r="H8080" s="3">
        <v>26.605475032898202</v>
      </c>
      <c r="I8080" s="3">
        <v>4.543221</v>
      </c>
      <c r="J8080" s="3">
        <v>4.5432199999999998</v>
      </c>
      <c r="K8080" s="3">
        <v>4.4444540000000003</v>
      </c>
      <c r="L8080" s="3">
        <v>26.605475032898202</v>
      </c>
    </row>
    <row r="8081" spans="1:12" ht="15" customHeight="1" x14ac:dyDescent="0.2">
      <c r="A8081" s="2">
        <v>34326</v>
      </c>
      <c r="B8081" s="3">
        <v>4.4773769999999997</v>
      </c>
      <c r="C8081" s="1">
        <v>558139.19999999995</v>
      </c>
      <c r="D8081" s="3">
        <v>-6.5843000000000096E-2</v>
      </c>
      <c r="E8081" s="3">
        <v>-1.4492584554567001</v>
      </c>
      <c r="F8081" s="3">
        <v>-1.4492584554567001</v>
      </c>
      <c r="G8081" s="3">
        <v>4.4773769999999997</v>
      </c>
      <c r="H8081" s="3">
        <v>24.770634480912801</v>
      </c>
      <c r="I8081" s="3">
        <v>4.6090646</v>
      </c>
      <c r="J8081" s="3">
        <v>4.7078303999999997</v>
      </c>
      <c r="K8081" s="3">
        <v>4.4115330000000004</v>
      </c>
      <c r="L8081" s="3">
        <v>24.770634480912801</v>
      </c>
    </row>
    <row r="8082" spans="1:12" ht="15" customHeight="1" x14ac:dyDescent="0.2">
      <c r="A8082" s="2">
        <v>34325</v>
      </c>
      <c r="B8082" s="3">
        <v>4.5432199999999998</v>
      </c>
      <c r="C8082" s="1">
        <v>508020.69999999902</v>
      </c>
      <c r="D8082" s="3">
        <v>0.23045199999999899</v>
      </c>
      <c r="E8082" s="3">
        <v>5.3434824224256801</v>
      </c>
      <c r="F8082" s="3">
        <v>5.3434824224256801</v>
      </c>
      <c r="G8082" s="3">
        <v>4.5432199999999998</v>
      </c>
      <c r="H8082" s="3">
        <v>26.605475032898202</v>
      </c>
      <c r="I8082" s="3">
        <v>4.4444559999999997</v>
      </c>
      <c r="J8082" s="3">
        <v>4.6090646</v>
      </c>
      <c r="K8082" s="3">
        <v>4.3127680000000002</v>
      </c>
      <c r="L8082" s="3">
        <v>26.605475032898202</v>
      </c>
    </row>
    <row r="8083" spans="1:12" ht="15" customHeight="1" x14ac:dyDescent="0.2">
      <c r="A8083" s="2">
        <v>34324</v>
      </c>
      <c r="B8083" s="3">
        <v>4.3127680000000002</v>
      </c>
      <c r="C8083" s="1">
        <v>163265.24</v>
      </c>
      <c r="D8083" s="3">
        <v>-3.2922000000000097E-2</v>
      </c>
      <c r="E8083" s="3">
        <v>-0.75757819816876204</v>
      </c>
      <c r="F8083" s="3">
        <v>-0.75757819816876204</v>
      </c>
      <c r="G8083" s="3">
        <v>4.3127680000000002</v>
      </c>
      <c r="H8083" s="3">
        <v>20.183491300593499</v>
      </c>
      <c r="I8083" s="3">
        <v>4.3786125</v>
      </c>
      <c r="J8083" s="3">
        <v>4.4115330000000004</v>
      </c>
      <c r="K8083" s="3">
        <v>4.3127680000000002</v>
      </c>
      <c r="L8083" s="3">
        <v>20.183491300593499</v>
      </c>
    </row>
    <row r="8084" spans="1:12" ht="15" customHeight="1" x14ac:dyDescent="0.2">
      <c r="A8084" s="2">
        <v>34323</v>
      </c>
      <c r="B8084" s="3">
        <v>4.3456900000000003</v>
      </c>
      <c r="C8084" s="1">
        <v>379686.55</v>
      </c>
      <c r="D8084" s="3">
        <v>0.148149</v>
      </c>
      <c r="E8084" s="3">
        <v>3.52942353630376</v>
      </c>
      <c r="F8084" s="3">
        <v>3.52942353630376</v>
      </c>
      <c r="G8084" s="3">
        <v>4.3456900000000003</v>
      </c>
      <c r="H8084" s="3">
        <v>21.100925510038099</v>
      </c>
      <c r="I8084" s="3">
        <v>4.279846</v>
      </c>
      <c r="J8084" s="3">
        <v>4.3786110000000003</v>
      </c>
      <c r="K8084" s="3">
        <v>4.2798457000000001</v>
      </c>
      <c r="L8084" s="3">
        <v>21.100925510038099</v>
      </c>
    </row>
    <row r="8085" spans="1:12" ht="15" customHeight="1" x14ac:dyDescent="0.2">
      <c r="A8085" s="2">
        <v>34320</v>
      </c>
      <c r="B8085" s="3">
        <v>4.1975410000000002</v>
      </c>
      <c r="C8085" s="1">
        <v>288561.82999999903</v>
      </c>
      <c r="D8085" s="3">
        <v>-4.9382399999999799E-2</v>
      </c>
      <c r="E8085" s="3">
        <v>-1.16278056722191</v>
      </c>
      <c r="F8085" s="3">
        <v>-1.16278056722191</v>
      </c>
      <c r="G8085" s="3">
        <v>4.1975410000000002</v>
      </c>
      <c r="H8085" s="3">
        <v>16.972471567537301</v>
      </c>
      <c r="I8085" s="3">
        <v>4.2469250000000001</v>
      </c>
      <c r="J8085" s="3">
        <v>4.3127680000000002</v>
      </c>
      <c r="K8085" s="3">
        <v>4.1810799999999997</v>
      </c>
      <c r="L8085" s="3">
        <v>16.972471567537301</v>
      </c>
    </row>
    <row r="8086" spans="1:12" ht="15" customHeight="1" x14ac:dyDescent="0.2">
      <c r="A8086" s="2">
        <v>34319</v>
      </c>
      <c r="B8086" s="3">
        <v>4.2469234</v>
      </c>
      <c r="C8086" s="1">
        <v>688751.7</v>
      </c>
      <c r="D8086" s="3">
        <v>6.5843400000000302E-2</v>
      </c>
      <c r="E8086" s="3">
        <v>1.5747940723449501</v>
      </c>
      <c r="F8086" s="3">
        <v>1.5747940723449501</v>
      </c>
      <c r="G8086" s="3">
        <v>4.2469234</v>
      </c>
      <c r="H8086" s="3">
        <v>18.3486061615619</v>
      </c>
      <c r="I8086" s="3">
        <v>4.1810809999999998</v>
      </c>
      <c r="J8086" s="3">
        <v>4.4115330000000004</v>
      </c>
      <c r="K8086" s="3">
        <v>4.1810799999999997</v>
      </c>
      <c r="L8086" s="3">
        <v>18.3486061615619</v>
      </c>
    </row>
    <row r="8087" spans="1:12" ht="15" customHeight="1" x14ac:dyDescent="0.2">
      <c r="A8087" s="2">
        <v>34318</v>
      </c>
      <c r="B8087" s="3">
        <v>4.1810799999999997</v>
      </c>
      <c r="C8087" s="1">
        <v>226293.21</v>
      </c>
      <c r="D8087" s="3">
        <v>0.148149</v>
      </c>
      <c r="E8087" s="3">
        <v>3.6734821399126298</v>
      </c>
      <c r="F8087" s="3">
        <v>3.6734821399126298</v>
      </c>
      <c r="G8087" s="3">
        <v>4.1810799999999997</v>
      </c>
      <c r="H8087" s="3">
        <v>16.513754462814902</v>
      </c>
      <c r="I8087" s="3">
        <v>4.0823150000000004</v>
      </c>
      <c r="J8087" s="3">
        <v>4.2798457000000001</v>
      </c>
      <c r="K8087" s="3">
        <v>4.0823144999999998</v>
      </c>
      <c r="L8087" s="3">
        <v>16.513754462814902</v>
      </c>
    </row>
    <row r="8088" spans="1:12" ht="15" customHeight="1" x14ac:dyDescent="0.2">
      <c r="A8088" s="2">
        <v>34317</v>
      </c>
      <c r="B8088" s="3">
        <v>4.0329309999999996</v>
      </c>
      <c r="C8088" s="1">
        <v>33412.421999999999</v>
      </c>
      <c r="D8088" s="3">
        <v>4.9382799999999602E-2</v>
      </c>
      <c r="E8088" s="3">
        <v>1.23966869536056</v>
      </c>
      <c r="F8088" s="3">
        <v>1.23966869536056</v>
      </c>
      <c r="G8088" s="3">
        <v>4.0329309999999996</v>
      </c>
      <c r="H8088" s="3">
        <v>12.385300520314001</v>
      </c>
      <c r="I8088" s="3">
        <v>4.0823150000000004</v>
      </c>
      <c r="J8088" s="3">
        <v>4.0823144999999998</v>
      </c>
      <c r="K8088" s="3">
        <v>3.9835482</v>
      </c>
      <c r="L8088" s="3">
        <v>12.385300520314001</v>
      </c>
    </row>
    <row r="8089" spans="1:12" ht="15" customHeight="1" x14ac:dyDescent="0.2">
      <c r="A8089" s="2">
        <v>34316</v>
      </c>
      <c r="B8089" s="3">
        <v>3.9835482</v>
      </c>
      <c r="C8089" s="1">
        <v>236165.05</v>
      </c>
      <c r="D8089" s="3">
        <v>-9.8766299999999793E-2</v>
      </c>
      <c r="E8089" s="3">
        <v>-2.4193701881616398</v>
      </c>
      <c r="F8089" s="3">
        <v>-2.4193701881616398</v>
      </c>
      <c r="G8089" s="3">
        <v>3.9835482</v>
      </c>
      <c r="H8089" s="3">
        <v>11.009154779527901</v>
      </c>
      <c r="I8089" s="3">
        <v>4.1481586000000004</v>
      </c>
      <c r="J8089" s="3">
        <v>4.1481586000000004</v>
      </c>
      <c r="K8089" s="3">
        <v>3.9506264</v>
      </c>
      <c r="L8089" s="3">
        <v>11.009154779527901</v>
      </c>
    </row>
    <row r="8090" spans="1:12" ht="15" customHeight="1" x14ac:dyDescent="0.2">
      <c r="A8090" s="2">
        <v>34313</v>
      </c>
      <c r="B8090" s="3">
        <v>4.0823144999999998</v>
      </c>
      <c r="C8090" s="1">
        <v>160227.75</v>
      </c>
      <c r="D8090" s="3">
        <v>-3.2921500000000402E-2</v>
      </c>
      <c r="E8090" s="3">
        <v>-0.79999057162214404</v>
      </c>
      <c r="F8090" s="3">
        <v>-0.79999057162214404</v>
      </c>
      <c r="G8090" s="3">
        <v>4.0823144999999998</v>
      </c>
      <c r="H8090" s="3">
        <v>13.761465767932901</v>
      </c>
      <c r="I8090" s="3">
        <v>4.0823150000000004</v>
      </c>
      <c r="J8090" s="3">
        <v>4.1152360000000003</v>
      </c>
      <c r="K8090" s="3">
        <v>4.0164710000000001</v>
      </c>
      <c r="L8090" s="3">
        <v>13.761465767932901</v>
      </c>
    </row>
    <row r="8091" spans="1:12" ht="15" customHeight="1" x14ac:dyDescent="0.2">
      <c r="A8091" s="2">
        <v>34312</v>
      </c>
      <c r="B8091" s="3">
        <v>4.1152360000000003</v>
      </c>
      <c r="C8091" s="1">
        <v>208827.62</v>
      </c>
      <c r="D8091" s="3">
        <v>-9.8765699999999498E-2</v>
      </c>
      <c r="E8091" s="3">
        <v>-2.3437508342723099</v>
      </c>
      <c r="F8091" s="3">
        <v>-2.3437508342723099</v>
      </c>
      <c r="G8091" s="3">
        <v>4.1152360000000003</v>
      </c>
      <c r="H8091" s="3">
        <v>14.678886043925701</v>
      </c>
      <c r="I8091" s="3">
        <v>4.2140029999999999</v>
      </c>
      <c r="J8091" s="3">
        <v>4.2469234</v>
      </c>
      <c r="K8091" s="3">
        <v>4.0658535999999996</v>
      </c>
      <c r="L8091" s="3">
        <v>14.678886043925701</v>
      </c>
    </row>
    <row r="8092" spans="1:12" ht="15" customHeight="1" x14ac:dyDescent="0.2">
      <c r="A8092" s="2">
        <v>34311</v>
      </c>
      <c r="B8092" s="3">
        <v>4.2140016999999999</v>
      </c>
      <c r="C8092" s="1">
        <v>508780.06</v>
      </c>
      <c r="D8092" s="3">
        <v>-0.16460929999999999</v>
      </c>
      <c r="E8092" s="3">
        <v>-3.75939538817219</v>
      </c>
      <c r="F8092" s="3">
        <v>-3.75939538817219</v>
      </c>
      <c r="G8092" s="3">
        <v>4.2140016999999999</v>
      </c>
      <c r="H8092" s="3">
        <v>17.431180312188399</v>
      </c>
      <c r="I8092" s="3">
        <v>4.4115339999999996</v>
      </c>
      <c r="J8092" s="3">
        <v>4.4444540000000003</v>
      </c>
      <c r="K8092" s="3">
        <v>4.1646190000000001</v>
      </c>
      <c r="L8092" s="3">
        <v>17.431180312188399</v>
      </c>
    </row>
    <row r="8093" spans="1:12" ht="15" customHeight="1" x14ac:dyDescent="0.2">
      <c r="A8093" s="2">
        <v>34310</v>
      </c>
      <c r="B8093" s="3">
        <v>4.3786110000000003</v>
      </c>
      <c r="C8093" s="1">
        <v>868723</v>
      </c>
      <c r="D8093" s="3">
        <v>0.19753100000000001</v>
      </c>
      <c r="E8093" s="3">
        <v>4.7244013508471703</v>
      </c>
      <c r="F8093" s="3">
        <v>4.7244013508471703</v>
      </c>
      <c r="G8093" s="3">
        <v>4.3786110000000003</v>
      </c>
      <c r="H8093" s="3">
        <v>22.0183318525789</v>
      </c>
      <c r="I8093" s="3">
        <v>4.1481586000000004</v>
      </c>
      <c r="J8093" s="3">
        <v>4.4444540000000003</v>
      </c>
      <c r="K8093" s="3">
        <v>4.1481586000000004</v>
      </c>
      <c r="L8093" s="3">
        <v>22.0183318525789</v>
      </c>
    </row>
    <row r="8094" spans="1:12" ht="15" customHeight="1" x14ac:dyDescent="0.2">
      <c r="A8094" s="2">
        <v>34309</v>
      </c>
      <c r="B8094" s="3">
        <v>4.1810799999999997</v>
      </c>
      <c r="C8094" s="1">
        <v>1141337.8999999999</v>
      </c>
      <c r="D8094" s="3">
        <v>0.19753179999999901</v>
      </c>
      <c r="E8094" s="3">
        <v>4.95868984339136</v>
      </c>
      <c r="F8094" s="3">
        <v>4.95868984339136</v>
      </c>
      <c r="G8094" s="3">
        <v>4.1810799999999997</v>
      </c>
      <c r="H8094" s="3">
        <v>16.513754462814902</v>
      </c>
      <c r="I8094" s="3">
        <v>3.9177054999999998</v>
      </c>
      <c r="J8094" s="3">
        <v>4.2469234</v>
      </c>
      <c r="K8094" s="3">
        <v>3.8189394000000001</v>
      </c>
      <c r="L8094" s="3">
        <v>16.513754462814902</v>
      </c>
    </row>
    <row r="8095" spans="1:12" ht="15" customHeight="1" x14ac:dyDescent="0.2">
      <c r="A8095" s="2">
        <v>34306</v>
      </c>
      <c r="B8095" s="3">
        <v>3.9835482</v>
      </c>
      <c r="C8095" s="1">
        <v>379686.55</v>
      </c>
      <c r="D8095" s="3">
        <v>-8.2305399999999598E-2</v>
      </c>
      <c r="E8095" s="3">
        <v>-2.0243080075485098</v>
      </c>
      <c r="F8095" s="3">
        <v>-2.0243080075485098</v>
      </c>
      <c r="G8095" s="3">
        <v>3.9835482</v>
      </c>
      <c r="H8095" s="3">
        <v>11.009154779527901</v>
      </c>
      <c r="I8095" s="3">
        <v>4.1152376999999998</v>
      </c>
      <c r="J8095" s="3">
        <v>4.1152360000000003</v>
      </c>
      <c r="K8095" s="3">
        <v>3.8847828</v>
      </c>
      <c r="L8095" s="3">
        <v>11.009154779527901</v>
      </c>
    </row>
    <row r="8096" spans="1:12" ht="15" customHeight="1" x14ac:dyDescent="0.2">
      <c r="A8096" s="2">
        <v>34305</v>
      </c>
      <c r="B8096" s="3">
        <v>4.0658535999999996</v>
      </c>
      <c r="C8096" s="1">
        <v>285524.32</v>
      </c>
      <c r="D8096" s="3">
        <v>-8.2305000000000697E-2</v>
      </c>
      <c r="E8096" s="3">
        <v>-1.9841333935496199</v>
      </c>
      <c r="F8096" s="3">
        <v>-1.9841333935496199</v>
      </c>
      <c r="G8096" s="3">
        <v>4.0658535999999996</v>
      </c>
      <c r="H8096" s="3">
        <v>13.302751449901001</v>
      </c>
      <c r="I8096" s="3">
        <v>4.2140029999999999</v>
      </c>
      <c r="J8096" s="3">
        <v>4.2140016999999999</v>
      </c>
      <c r="K8096" s="3">
        <v>4.0164710000000001</v>
      </c>
      <c r="L8096" s="3">
        <v>13.302751449901001</v>
      </c>
    </row>
    <row r="8097" spans="1:12" ht="15" customHeight="1" x14ac:dyDescent="0.2">
      <c r="A8097" s="2">
        <v>34304</v>
      </c>
      <c r="B8097" s="3">
        <v>4.1481586000000004</v>
      </c>
      <c r="C8097" s="1">
        <v>334124.3</v>
      </c>
      <c r="D8097" s="3">
        <v>1.6461600000000399E-2</v>
      </c>
      <c r="E8097" s="3">
        <v>0.39842224635544499</v>
      </c>
      <c r="F8097" s="3">
        <v>0.39842224635544499</v>
      </c>
      <c r="G8097" s="3">
        <v>4.1481586000000004</v>
      </c>
      <c r="H8097" s="3">
        <v>15.596336973512599</v>
      </c>
      <c r="I8097" s="3">
        <v>4.1481586000000004</v>
      </c>
      <c r="J8097" s="3">
        <v>4.2304630000000003</v>
      </c>
      <c r="K8097" s="3">
        <v>4.0823144999999998</v>
      </c>
      <c r="L8097" s="3">
        <v>15.596336973512599</v>
      </c>
    </row>
    <row r="8098" spans="1:12" ht="15" customHeight="1" x14ac:dyDescent="0.2">
      <c r="A8098" s="2">
        <v>34303</v>
      </c>
      <c r="B8098" s="3">
        <v>4.131697</v>
      </c>
      <c r="C8098" s="1">
        <v>329567.93</v>
      </c>
      <c r="D8098" s="3">
        <v>1.6460999999999601E-2</v>
      </c>
      <c r="E8098" s="3">
        <v>0.400001360796786</v>
      </c>
      <c r="F8098" s="3">
        <v>0.400001360796786</v>
      </c>
      <c r="G8098" s="3">
        <v>4.131697</v>
      </c>
      <c r="H8098" s="3">
        <v>15.137603148647999</v>
      </c>
      <c r="I8098" s="3">
        <v>4.1152376999999998</v>
      </c>
      <c r="J8098" s="3">
        <v>4.1481586000000004</v>
      </c>
      <c r="K8098" s="3">
        <v>4.0164710000000001</v>
      </c>
      <c r="L8098" s="3">
        <v>15.137603148647999</v>
      </c>
    </row>
    <row r="8099" spans="1:12" ht="15" customHeight="1" x14ac:dyDescent="0.2">
      <c r="A8099" s="2">
        <v>34302</v>
      </c>
      <c r="B8099" s="3">
        <v>4.1152360000000003</v>
      </c>
      <c r="C8099" s="1">
        <v>591551.64</v>
      </c>
      <c r="D8099" s="3">
        <v>-6.5843999999999306E-2</v>
      </c>
      <c r="E8099" s="3">
        <v>-1.5748084227041601</v>
      </c>
      <c r="F8099" s="3">
        <v>-1.5748084227041601</v>
      </c>
      <c r="G8099" s="3">
        <v>4.1152360000000003</v>
      </c>
      <c r="H8099" s="3">
        <v>14.678886043925701</v>
      </c>
      <c r="I8099" s="3">
        <v>4.1481586000000004</v>
      </c>
      <c r="J8099" s="3">
        <v>4.2140016999999999</v>
      </c>
      <c r="K8099" s="3">
        <v>4.0164710000000001</v>
      </c>
      <c r="L8099" s="3">
        <v>14.678886043925701</v>
      </c>
    </row>
    <row r="8100" spans="1:12" ht="15" customHeight="1" x14ac:dyDescent="0.2">
      <c r="A8100" s="2">
        <v>34299</v>
      </c>
      <c r="B8100" s="3">
        <v>4.1810799999999997</v>
      </c>
      <c r="C8100" s="1">
        <v>21262.447</v>
      </c>
      <c r="D8100" s="3">
        <v>-3.2921700000000102E-2</v>
      </c>
      <c r="E8100" s="3">
        <v>-0.78124553200821201</v>
      </c>
      <c r="F8100" s="3">
        <v>-0.78124553200821201</v>
      </c>
      <c r="G8100" s="3">
        <v>4.1810799999999997</v>
      </c>
      <c r="H8100" s="3">
        <v>16.513754462814902</v>
      </c>
      <c r="I8100" s="3">
        <v>4.0823150000000004</v>
      </c>
      <c r="J8100" s="3">
        <v>4.1810799999999997</v>
      </c>
      <c r="K8100" s="3">
        <v>4.0823144999999998</v>
      </c>
      <c r="L8100" s="3">
        <v>16.513754462814902</v>
      </c>
    </row>
    <row r="8101" spans="1:12" ht="15" customHeight="1" x14ac:dyDescent="0.2">
      <c r="A8101" s="2">
        <v>34297</v>
      </c>
      <c r="B8101" s="3">
        <v>4.2140016999999999</v>
      </c>
      <c r="C8101" s="1">
        <v>983388.24</v>
      </c>
      <c r="D8101" s="3">
        <v>9.8765699999999498E-2</v>
      </c>
      <c r="E8101" s="3">
        <v>2.4000008747979198</v>
      </c>
      <c r="F8101" s="3">
        <v>2.4000008747979198</v>
      </c>
      <c r="G8101" s="3">
        <v>4.2140016999999999</v>
      </c>
      <c r="H8101" s="3">
        <v>17.431180312188399</v>
      </c>
      <c r="I8101" s="3">
        <v>4.0823150000000004</v>
      </c>
      <c r="J8101" s="3">
        <v>4.2469234</v>
      </c>
      <c r="K8101" s="3">
        <v>4.0823144999999998</v>
      </c>
      <c r="L8101" s="3">
        <v>17.431180312188399</v>
      </c>
    </row>
    <row r="8102" spans="1:12" ht="15" customHeight="1" x14ac:dyDescent="0.2">
      <c r="A8102" s="2">
        <v>34296</v>
      </c>
      <c r="B8102" s="3">
        <v>4.1152360000000003</v>
      </c>
      <c r="C8102" s="1">
        <v>1282581.3999999999</v>
      </c>
      <c r="D8102" s="3">
        <v>0.42798370000000002</v>
      </c>
      <c r="E8102" s="3">
        <v>11.607117310632599</v>
      </c>
      <c r="F8102" s="3">
        <v>11.607117310632599</v>
      </c>
      <c r="G8102" s="3">
        <v>4.1152360000000003</v>
      </c>
      <c r="H8102" s="3">
        <v>14.678886043925701</v>
      </c>
      <c r="I8102" s="3">
        <v>3.7860185999999998</v>
      </c>
      <c r="J8102" s="3">
        <v>4.1481586000000004</v>
      </c>
      <c r="K8102" s="3">
        <v>3.6872522999999999</v>
      </c>
      <c r="L8102" s="3">
        <v>14.678886043925701</v>
      </c>
    </row>
    <row r="8103" spans="1:12" ht="15" customHeight="1" x14ac:dyDescent="0.2">
      <c r="A8103" s="2">
        <v>34295</v>
      </c>
      <c r="B8103" s="3">
        <v>3.6872522999999999</v>
      </c>
      <c r="C8103" s="1">
        <v>1487612.2</v>
      </c>
      <c r="D8103" s="3">
        <v>-6.5843299999999993E-2</v>
      </c>
      <c r="E8103" s="3">
        <v>-1.7543731100268301</v>
      </c>
      <c r="F8103" s="3">
        <v>-1.7543731100268301</v>
      </c>
      <c r="G8103" s="3">
        <v>3.6872522999999999</v>
      </c>
      <c r="H8103" s="3">
        <v>2.7523054150243</v>
      </c>
      <c r="I8103" s="3">
        <v>3.7530960000000002</v>
      </c>
      <c r="J8103" s="3">
        <v>3.7860174</v>
      </c>
      <c r="K8103" s="3">
        <v>3.4897203000000001</v>
      </c>
      <c r="L8103" s="3">
        <v>2.7523054150243</v>
      </c>
    </row>
    <row r="8104" spans="1:12" ht="15" customHeight="1" x14ac:dyDescent="0.2">
      <c r="A8104" s="2">
        <v>34292</v>
      </c>
      <c r="B8104" s="3">
        <v>3.7530956</v>
      </c>
      <c r="C8104" s="1">
        <v>432842.74</v>
      </c>
      <c r="D8104" s="3">
        <v>-0.16460900000000001</v>
      </c>
      <c r="E8104" s="3">
        <v>-4.2016695184215802</v>
      </c>
      <c r="F8104" s="3">
        <v>-4.2016695184215802</v>
      </c>
      <c r="G8104" s="3">
        <v>3.7530956</v>
      </c>
      <c r="H8104" s="3">
        <v>4.5871543270808601</v>
      </c>
      <c r="I8104" s="3">
        <v>3.8518620000000001</v>
      </c>
      <c r="J8104" s="3">
        <v>3.9177046</v>
      </c>
      <c r="K8104" s="3">
        <v>3.7201740000000001</v>
      </c>
      <c r="L8104" s="3">
        <v>4.5871543270808601</v>
      </c>
    </row>
    <row r="8105" spans="1:12" ht="15" customHeight="1" x14ac:dyDescent="0.2">
      <c r="A8105" s="2">
        <v>34291</v>
      </c>
      <c r="B8105" s="3">
        <v>3.9177046</v>
      </c>
      <c r="C8105" s="1">
        <v>275652.46999999997</v>
      </c>
      <c r="D8105" s="3">
        <v>-6.5843600000000002E-2</v>
      </c>
      <c r="E8105" s="3">
        <v>-1.65288824671432</v>
      </c>
      <c r="F8105" s="3">
        <v>-1.65288824671432</v>
      </c>
      <c r="G8105" s="3">
        <v>3.9177046</v>
      </c>
      <c r="H8105" s="3">
        <v>9.1742975074001905</v>
      </c>
      <c r="I8105" s="3">
        <v>4.0823150000000004</v>
      </c>
      <c r="J8105" s="3">
        <v>4.0823144999999998</v>
      </c>
      <c r="K8105" s="3">
        <v>3.8518612000000001</v>
      </c>
      <c r="L8105" s="3">
        <v>9.1742975074001905</v>
      </c>
    </row>
    <row r="8106" spans="1:12" ht="15" customHeight="1" x14ac:dyDescent="0.2">
      <c r="A8106" s="2">
        <v>34290</v>
      </c>
      <c r="B8106" s="3">
        <v>3.9835482</v>
      </c>
      <c r="C8106" s="1">
        <v>323493</v>
      </c>
      <c r="D8106" s="3">
        <v>-0.13168779999999999</v>
      </c>
      <c r="E8106" s="3">
        <v>-3.2000060263858598</v>
      </c>
      <c r="F8106" s="3">
        <v>-3.2000060263858598</v>
      </c>
      <c r="G8106" s="3">
        <v>3.9835482</v>
      </c>
      <c r="H8106" s="3">
        <v>11.009154779527901</v>
      </c>
      <c r="I8106" s="3">
        <v>4.1152376999999998</v>
      </c>
      <c r="J8106" s="3">
        <v>4.2140016999999999</v>
      </c>
      <c r="K8106" s="3">
        <v>3.9835482</v>
      </c>
      <c r="L8106" s="3">
        <v>11.009154779527901</v>
      </c>
    </row>
    <row r="8107" spans="1:12" ht="15" customHeight="1" x14ac:dyDescent="0.2">
      <c r="A8107" s="2">
        <v>34289</v>
      </c>
      <c r="B8107" s="3">
        <v>4.1152360000000003</v>
      </c>
      <c r="C8107" s="1">
        <v>113146.61</v>
      </c>
      <c r="D8107" s="3">
        <v>-9.8765699999999498E-2</v>
      </c>
      <c r="E8107" s="3">
        <v>-2.3437508342723099</v>
      </c>
      <c r="F8107" s="3">
        <v>-2.3437508342723099</v>
      </c>
      <c r="G8107" s="3">
        <v>4.1152360000000003</v>
      </c>
      <c r="H8107" s="3">
        <v>14.678886043925701</v>
      </c>
      <c r="I8107" s="3">
        <v>4.1481586000000004</v>
      </c>
      <c r="J8107" s="3">
        <v>4.2469234</v>
      </c>
      <c r="K8107" s="3">
        <v>4.1152360000000003</v>
      </c>
      <c r="L8107" s="3">
        <v>14.678886043925701</v>
      </c>
    </row>
    <row r="8108" spans="1:12" ht="15" customHeight="1" x14ac:dyDescent="0.2">
      <c r="A8108" s="2">
        <v>34288</v>
      </c>
      <c r="B8108" s="3">
        <v>4.2140016999999999</v>
      </c>
      <c r="C8108" s="1">
        <v>243758.85</v>
      </c>
      <c r="D8108" s="3">
        <v>4.9382699999999703E-2</v>
      </c>
      <c r="E8108" s="3">
        <v>1.1857675335967099</v>
      </c>
      <c r="F8108" s="3">
        <v>1.1857675335967099</v>
      </c>
      <c r="G8108" s="3">
        <v>4.2140016999999999</v>
      </c>
      <c r="H8108" s="3">
        <v>17.431180312188399</v>
      </c>
      <c r="I8108" s="3">
        <v>4.1481586000000004</v>
      </c>
      <c r="J8108" s="3">
        <v>4.2469234</v>
      </c>
      <c r="K8108" s="3">
        <v>4.1481586000000004</v>
      </c>
      <c r="L8108" s="3">
        <v>17.431180312188399</v>
      </c>
    </row>
    <row r="8109" spans="1:12" ht="15" customHeight="1" x14ac:dyDescent="0.2">
      <c r="A8109" s="2">
        <v>34285</v>
      </c>
      <c r="B8109" s="3">
        <v>4.1646190000000001</v>
      </c>
      <c r="C8109" s="1">
        <v>628001.65</v>
      </c>
      <c r="D8109" s="3">
        <v>0.131688</v>
      </c>
      <c r="E8109" s="3">
        <v>3.2653174577001298</v>
      </c>
      <c r="F8109" s="3">
        <v>3.2653174577001298</v>
      </c>
      <c r="G8109" s="3">
        <v>4.1646190000000001</v>
      </c>
      <c r="H8109" s="3">
        <v>16.055037358092601</v>
      </c>
      <c r="I8109" s="3">
        <v>4.0823150000000004</v>
      </c>
      <c r="J8109" s="3">
        <v>4.2798457000000001</v>
      </c>
      <c r="K8109" s="3">
        <v>3.9835482</v>
      </c>
      <c r="L8109" s="3">
        <v>16.055037358092601</v>
      </c>
    </row>
    <row r="8110" spans="1:12" ht="15" customHeight="1" x14ac:dyDescent="0.2">
      <c r="A8110" s="2">
        <v>34284</v>
      </c>
      <c r="B8110" s="3">
        <v>4.0329309999999996</v>
      </c>
      <c r="C8110" s="1">
        <v>1778452</v>
      </c>
      <c r="D8110" s="3">
        <v>0.11522639999999899</v>
      </c>
      <c r="E8110" s="3">
        <v>2.9411712154101499</v>
      </c>
      <c r="F8110" s="3">
        <v>2.9411712154101499</v>
      </c>
      <c r="G8110" s="3">
        <v>4.0329309999999996</v>
      </c>
      <c r="H8110" s="3">
        <v>12.385300520314001</v>
      </c>
      <c r="I8110" s="3">
        <v>3.9177054999999998</v>
      </c>
      <c r="J8110" s="3">
        <v>4.0823144999999998</v>
      </c>
      <c r="K8110" s="3">
        <v>3.9177046</v>
      </c>
      <c r="L8110" s="3">
        <v>12.385300520314001</v>
      </c>
    </row>
    <row r="8111" spans="1:12" ht="15" customHeight="1" x14ac:dyDescent="0.2">
      <c r="A8111" s="2">
        <v>34283</v>
      </c>
      <c r="B8111" s="3">
        <v>3.9177046</v>
      </c>
      <c r="C8111" s="1">
        <v>261224.4</v>
      </c>
      <c r="D8111" s="3"/>
      <c r="E8111" s="3"/>
      <c r="F8111" s="3"/>
      <c r="G8111" s="3">
        <v>3.9177046</v>
      </c>
      <c r="H8111" s="3">
        <v>9.1742975074001905</v>
      </c>
      <c r="I8111" s="3">
        <v>3.8518620000000001</v>
      </c>
      <c r="J8111" s="3">
        <v>3.9835482</v>
      </c>
      <c r="K8111" s="3">
        <v>3.8518612000000001</v>
      </c>
      <c r="L8111" s="3">
        <v>9.1742975074001905</v>
      </c>
    </row>
    <row r="8112" spans="1:12" ht="15" customHeight="1" x14ac:dyDescent="0.2">
      <c r="A8112" s="2">
        <v>34282</v>
      </c>
      <c r="B8112" s="3">
        <v>3.9177046</v>
      </c>
      <c r="C8112" s="1">
        <v>192121.4</v>
      </c>
      <c r="D8112" s="3">
        <v>4.9382599999999902E-2</v>
      </c>
      <c r="E8112" s="3">
        <v>1.27658969444632</v>
      </c>
      <c r="F8112" s="3">
        <v>1.27658969444632</v>
      </c>
      <c r="G8112" s="3">
        <v>3.9177046</v>
      </c>
      <c r="H8112" s="3">
        <v>9.1742975074001905</v>
      </c>
      <c r="I8112" s="3">
        <v>3.9177054999999998</v>
      </c>
      <c r="J8112" s="3">
        <v>3.9177046</v>
      </c>
      <c r="K8112" s="3">
        <v>3.8518612000000001</v>
      </c>
      <c r="L8112" s="3">
        <v>9.1742975074001905</v>
      </c>
    </row>
    <row r="8113" spans="1:12" ht="15" customHeight="1" x14ac:dyDescent="0.2">
      <c r="A8113" s="2">
        <v>34281</v>
      </c>
      <c r="B8113" s="3">
        <v>3.868322</v>
      </c>
      <c r="C8113" s="1">
        <v>395633.36</v>
      </c>
      <c r="D8113" s="3">
        <v>0.11522640000000001</v>
      </c>
      <c r="E8113" s="3">
        <v>3.0701695954667301</v>
      </c>
      <c r="F8113" s="3">
        <v>3.0701695954667301</v>
      </c>
      <c r="G8113" s="3">
        <v>3.868322</v>
      </c>
      <c r="H8113" s="3">
        <v>7.7981573399947797</v>
      </c>
      <c r="I8113" s="3">
        <v>3.7530960000000002</v>
      </c>
      <c r="J8113" s="3">
        <v>3.9177046</v>
      </c>
      <c r="K8113" s="3">
        <v>3.6872522999999999</v>
      </c>
      <c r="L8113" s="3">
        <v>7.7981573399947797</v>
      </c>
    </row>
    <row r="8114" spans="1:12" ht="15" customHeight="1" x14ac:dyDescent="0.2">
      <c r="A8114" s="2">
        <v>34278</v>
      </c>
      <c r="B8114" s="3">
        <v>3.7530956</v>
      </c>
      <c r="C8114" s="1">
        <v>161746.5</v>
      </c>
      <c r="D8114" s="3">
        <v>0.13168740000000001</v>
      </c>
      <c r="E8114" s="3">
        <v>3.6363589169538999</v>
      </c>
      <c r="F8114" s="3">
        <v>3.6363589169538999</v>
      </c>
      <c r="G8114" s="3">
        <v>3.7530956</v>
      </c>
      <c r="H8114" s="3">
        <v>4.5871543270808601</v>
      </c>
      <c r="I8114" s="3">
        <v>3.6543304999999999</v>
      </c>
      <c r="J8114" s="3">
        <v>3.7530956</v>
      </c>
      <c r="K8114" s="3">
        <v>3.5884862000000002</v>
      </c>
      <c r="L8114" s="3">
        <v>4.5871543270808601</v>
      </c>
    </row>
    <row r="8115" spans="1:12" ht="15" customHeight="1" x14ac:dyDescent="0.2">
      <c r="A8115" s="2">
        <v>34277</v>
      </c>
      <c r="B8115" s="3">
        <v>3.6214081999999999</v>
      </c>
      <c r="C8115" s="1">
        <v>280968.05</v>
      </c>
      <c r="D8115" s="3">
        <v>-0.19753119999999999</v>
      </c>
      <c r="E8115" s="3">
        <v>-5.1724099104583798</v>
      </c>
      <c r="F8115" s="3">
        <v>-5.1724099104583798</v>
      </c>
      <c r="G8115" s="3">
        <v>3.6214081999999999</v>
      </c>
      <c r="H8115" s="3">
        <v>0.91743420944463006</v>
      </c>
      <c r="I8115" s="3">
        <v>3.7860185999999998</v>
      </c>
      <c r="J8115" s="3">
        <v>3.8847828</v>
      </c>
      <c r="K8115" s="3">
        <v>3.5884862000000002</v>
      </c>
      <c r="L8115" s="3">
        <v>0.91743420944463006</v>
      </c>
    </row>
    <row r="8116" spans="1:12" ht="15" customHeight="1" x14ac:dyDescent="0.2">
      <c r="A8116" s="2">
        <v>34276</v>
      </c>
      <c r="B8116" s="3">
        <v>3.8189394000000001</v>
      </c>
      <c r="C8116" s="1">
        <v>110109.12</v>
      </c>
      <c r="D8116" s="3">
        <v>-9.8765199999999803E-2</v>
      </c>
      <c r="E8116" s="3">
        <v>-2.5209966060228099</v>
      </c>
      <c r="F8116" s="3">
        <v>-2.5209966060228099</v>
      </c>
      <c r="G8116" s="3">
        <v>3.8189394000000001</v>
      </c>
      <c r="H8116" s="3">
        <v>6.4220171725893698</v>
      </c>
      <c r="I8116" s="3">
        <v>3.9177054999999998</v>
      </c>
      <c r="J8116" s="3">
        <v>3.9177046</v>
      </c>
      <c r="K8116" s="3">
        <v>3.8189394000000001</v>
      </c>
      <c r="L8116" s="3">
        <v>6.4220171725893698</v>
      </c>
    </row>
    <row r="8117" spans="1:12" ht="15" customHeight="1" x14ac:dyDescent="0.2">
      <c r="A8117" s="2">
        <v>34275</v>
      </c>
      <c r="B8117" s="3">
        <v>3.9177046</v>
      </c>
      <c r="C8117" s="1">
        <v>438917.76</v>
      </c>
      <c r="D8117" s="3">
        <v>6.5843399999999802E-2</v>
      </c>
      <c r="E8117" s="3">
        <v>1.7093918129760199</v>
      </c>
      <c r="F8117" s="3">
        <v>1.7093918129760199</v>
      </c>
      <c r="G8117" s="3">
        <v>3.9177046</v>
      </c>
      <c r="H8117" s="3">
        <v>9.1742975074001905</v>
      </c>
      <c r="I8117" s="3">
        <v>3.9177054999999998</v>
      </c>
      <c r="J8117" s="3">
        <v>3.9177046</v>
      </c>
      <c r="K8117" s="3">
        <v>3.7530956</v>
      </c>
      <c r="L8117" s="3">
        <v>9.1742975074001905</v>
      </c>
    </row>
    <row r="8118" spans="1:12" ht="15" customHeight="1" x14ac:dyDescent="0.2">
      <c r="A8118" s="2">
        <v>34274</v>
      </c>
      <c r="B8118" s="3">
        <v>3.8518612000000001</v>
      </c>
      <c r="C8118" s="1">
        <v>271855.59999999998</v>
      </c>
      <c r="D8118" s="3"/>
      <c r="E8118" s="3"/>
      <c r="F8118" s="3"/>
      <c r="G8118" s="3">
        <v>3.8518612000000001</v>
      </c>
      <c r="H8118" s="3">
        <v>7.3394458086532302</v>
      </c>
      <c r="I8118" s="3">
        <v>3.9177054999999998</v>
      </c>
      <c r="J8118" s="3">
        <v>3.9177046</v>
      </c>
      <c r="K8118" s="3">
        <v>3.8189394000000001</v>
      </c>
      <c r="L8118" s="3">
        <v>7.3394458086532302</v>
      </c>
    </row>
    <row r="8119" spans="1:12" ht="15" customHeight="1" x14ac:dyDescent="0.2">
      <c r="A8119" s="2">
        <v>34271</v>
      </c>
      <c r="B8119" s="3">
        <v>3.8518612000000001</v>
      </c>
      <c r="C8119" s="1">
        <v>159468.37</v>
      </c>
      <c r="D8119" s="3">
        <v>-3.2921599999999801E-2</v>
      </c>
      <c r="E8119" s="3">
        <v>-0.84745021008638599</v>
      </c>
      <c r="F8119" s="3">
        <v>-0.84745021008638599</v>
      </c>
      <c r="G8119" s="3">
        <v>3.8518612000000001</v>
      </c>
      <c r="H8119" s="3">
        <v>7.3394458086532302</v>
      </c>
      <c r="I8119" s="3">
        <v>3.8847836999999998</v>
      </c>
      <c r="J8119" s="3">
        <v>3.9177046</v>
      </c>
      <c r="K8119" s="3">
        <v>3.8189394000000001</v>
      </c>
      <c r="L8119" s="3">
        <v>7.3394458086532302</v>
      </c>
    </row>
    <row r="8120" spans="1:12" ht="15" customHeight="1" x14ac:dyDescent="0.2">
      <c r="A8120" s="2">
        <v>34270</v>
      </c>
      <c r="B8120" s="3">
        <v>3.8847828</v>
      </c>
      <c r="C8120" s="1">
        <v>795823</v>
      </c>
      <c r="D8120" s="3">
        <v>0.26337460000000001</v>
      </c>
      <c r="E8120" s="3">
        <v>7.2727123111943</v>
      </c>
      <c r="F8120" s="3">
        <v>7.2727123111943</v>
      </c>
      <c r="G8120" s="3">
        <v>3.8847828</v>
      </c>
      <c r="H8120" s="3">
        <v>8.2568688713363194</v>
      </c>
      <c r="I8120" s="3">
        <v>3.7201743</v>
      </c>
      <c r="J8120" s="3">
        <v>3.9177046</v>
      </c>
      <c r="K8120" s="3">
        <v>3.6707904</v>
      </c>
      <c r="L8120" s="3">
        <v>8.2568688713363194</v>
      </c>
    </row>
    <row r="8121" spans="1:12" ht="15" customHeight="1" x14ac:dyDescent="0.2">
      <c r="A8121" s="2">
        <v>34269</v>
      </c>
      <c r="B8121" s="3">
        <v>3.6214081999999999</v>
      </c>
      <c r="C8121" s="1">
        <v>227052.6</v>
      </c>
      <c r="D8121" s="3">
        <v>-6.5844100000000003E-2</v>
      </c>
      <c r="E8121" s="3">
        <v>-1.78572266400105</v>
      </c>
      <c r="F8121" s="3">
        <v>-1.78572266400105</v>
      </c>
      <c r="G8121" s="3">
        <v>3.6214081999999999</v>
      </c>
      <c r="H8121" s="3">
        <v>0.91743420944463006</v>
      </c>
      <c r="I8121" s="3">
        <v>3.7201743</v>
      </c>
      <c r="J8121" s="3">
        <v>3.7201740000000001</v>
      </c>
      <c r="K8121" s="3">
        <v>3.6214081999999999</v>
      </c>
      <c r="L8121" s="3">
        <v>0.91743420944463006</v>
      </c>
    </row>
    <row r="8122" spans="1:12" ht="15" customHeight="1" x14ac:dyDescent="0.2">
      <c r="A8122" s="2">
        <v>34268</v>
      </c>
      <c r="B8122" s="3">
        <v>3.6872522999999999</v>
      </c>
      <c r="C8122" s="1">
        <v>731276.37</v>
      </c>
      <c r="D8122" s="3">
        <v>-0.14814759999999999</v>
      </c>
      <c r="E8122" s="3">
        <v>-3.86263763525676</v>
      </c>
      <c r="F8122" s="3">
        <v>-3.86263763525676</v>
      </c>
      <c r="G8122" s="3">
        <v>3.6872522999999999</v>
      </c>
      <c r="H8122" s="3">
        <v>2.7523054150243</v>
      </c>
      <c r="I8122" s="3">
        <v>3.9177054999999998</v>
      </c>
      <c r="J8122" s="3">
        <v>3.9177046</v>
      </c>
      <c r="K8122" s="3">
        <v>3.5555637</v>
      </c>
      <c r="L8122" s="3">
        <v>2.7523054150243</v>
      </c>
    </row>
    <row r="8123" spans="1:12" ht="15" customHeight="1" x14ac:dyDescent="0.2">
      <c r="A8123" s="2">
        <v>34267</v>
      </c>
      <c r="B8123" s="3">
        <v>3.8353999000000001</v>
      </c>
      <c r="C8123" s="1">
        <v>1432178</v>
      </c>
      <c r="D8123" s="3">
        <v>0.18107039999999999</v>
      </c>
      <c r="E8123" s="3">
        <v>4.9549554849938904</v>
      </c>
      <c r="F8123" s="3">
        <v>4.9549554849938904</v>
      </c>
      <c r="G8123" s="3">
        <v>3.8353999000000001</v>
      </c>
      <c r="H8123" s="3">
        <v>6.8807203438597497</v>
      </c>
      <c r="I8123" s="3">
        <v>3.6214081999999999</v>
      </c>
      <c r="J8123" s="3">
        <v>3.9506264</v>
      </c>
      <c r="K8123" s="3">
        <v>3.4567983</v>
      </c>
      <c r="L8123" s="3">
        <v>6.8807203438597497</v>
      </c>
    </row>
    <row r="8124" spans="1:12" ht="15" customHeight="1" x14ac:dyDescent="0.2">
      <c r="A8124" s="2">
        <v>34264</v>
      </c>
      <c r="B8124" s="3">
        <v>3.6543294999999998</v>
      </c>
      <c r="C8124" s="1">
        <v>509539.43</v>
      </c>
      <c r="D8124" s="3">
        <v>-0.1646099</v>
      </c>
      <c r="E8124" s="3">
        <v>-4.3103564303743598</v>
      </c>
      <c r="F8124" s="3">
        <v>-4.3103564303743598</v>
      </c>
      <c r="G8124" s="3">
        <v>3.6543294999999998</v>
      </c>
      <c r="H8124" s="3">
        <v>1.8348489120565501</v>
      </c>
      <c r="I8124" s="3">
        <v>3.8189394000000001</v>
      </c>
      <c r="J8124" s="3">
        <v>3.8189394000000001</v>
      </c>
      <c r="K8124" s="3">
        <v>3.6214081999999999</v>
      </c>
      <c r="L8124" s="3">
        <v>1.8348489120565501</v>
      </c>
    </row>
    <row r="8125" spans="1:12" ht="15" customHeight="1" x14ac:dyDescent="0.2">
      <c r="A8125" s="2">
        <v>34263</v>
      </c>
      <c r="B8125" s="3">
        <v>3.8189394000000001</v>
      </c>
      <c r="C8125" s="1">
        <v>369814.7</v>
      </c>
      <c r="D8125" s="3">
        <v>-6.5843399999999802E-2</v>
      </c>
      <c r="E8125" s="3">
        <v>-1.6949055684657499</v>
      </c>
      <c r="F8125" s="3">
        <v>-1.6949055684657499</v>
      </c>
      <c r="G8125" s="3">
        <v>3.8189394000000001</v>
      </c>
      <c r="H8125" s="3">
        <v>6.4220171725893698</v>
      </c>
      <c r="I8125" s="3">
        <v>3.8518620000000001</v>
      </c>
      <c r="J8125" s="3">
        <v>3.9177046</v>
      </c>
      <c r="K8125" s="3">
        <v>3.8189394000000001</v>
      </c>
      <c r="L8125" s="3">
        <v>6.4220171725893698</v>
      </c>
    </row>
    <row r="8126" spans="1:12" ht="15" customHeight="1" x14ac:dyDescent="0.2">
      <c r="A8126" s="2">
        <v>34262</v>
      </c>
      <c r="B8126" s="3">
        <v>3.8847828</v>
      </c>
      <c r="C8126" s="1">
        <v>308305.53999999998</v>
      </c>
      <c r="D8126" s="3"/>
      <c r="E8126" s="3"/>
      <c r="F8126" s="3"/>
      <c r="G8126" s="3">
        <v>3.8847828</v>
      </c>
      <c r="H8126" s="3">
        <v>8.2568688713363194</v>
      </c>
      <c r="I8126" s="3">
        <v>3.8847836999999998</v>
      </c>
      <c r="J8126" s="3">
        <v>3.9506264</v>
      </c>
      <c r="K8126" s="3">
        <v>3.8189394000000001</v>
      </c>
      <c r="L8126" s="3">
        <v>8.2568688713363194</v>
      </c>
    </row>
    <row r="8127" spans="1:12" ht="15" customHeight="1" x14ac:dyDescent="0.2">
      <c r="A8127" s="2">
        <v>34261</v>
      </c>
      <c r="B8127" s="3">
        <v>3.8847828</v>
      </c>
      <c r="C8127" s="1">
        <v>549786.19999999995</v>
      </c>
      <c r="D8127" s="3">
        <v>-6.5843600000000002E-2</v>
      </c>
      <c r="E8127" s="3">
        <v>-1.66666227917678</v>
      </c>
      <c r="F8127" s="3">
        <v>-1.66666227917678</v>
      </c>
      <c r="G8127" s="3">
        <v>3.8847828</v>
      </c>
      <c r="H8127" s="3">
        <v>8.2568688713363194</v>
      </c>
      <c r="I8127" s="3">
        <v>3.9835498</v>
      </c>
      <c r="J8127" s="3">
        <v>3.9835482</v>
      </c>
      <c r="K8127" s="3">
        <v>3.8518612000000001</v>
      </c>
      <c r="L8127" s="3">
        <v>8.2568688713363194</v>
      </c>
    </row>
    <row r="8128" spans="1:12" ht="15" customHeight="1" x14ac:dyDescent="0.2">
      <c r="A8128" s="2">
        <v>34260</v>
      </c>
      <c r="B8128" s="3">
        <v>3.9506264</v>
      </c>
      <c r="C8128" s="1">
        <v>392596.07</v>
      </c>
      <c r="D8128" s="3">
        <v>0.230452399999999</v>
      </c>
      <c r="E8128" s="3">
        <v>6.1946672386829098</v>
      </c>
      <c r="F8128" s="3">
        <v>6.1946672386829098</v>
      </c>
      <c r="G8128" s="3">
        <v>3.9506264</v>
      </c>
      <c r="H8128" s="3">
        <v>10.091726143463999</v>
      </c>
      <c r="I8128" s="3">
        <v>3.7860185999999998</v>
      </c>
      <c r="J8128" s="3">
        <v>4.0164710000000001</v>
      </c>
      <c r="K8128" s="3">
        <v>3.7201740000000001</v>
      </c>
      <c r="L8128" s="3">
        <v>10.091726143463999</v>
      </c>
    </row>
    <row r="8129" spans="1:12" ht="15" customHeight="1" x14ac:dyDescent="0.2">
      <c r="A8129" s="2">
        <v>34257</v>
      </c>
      <c r="B8129" s="3">
        <v>3.7201740000000001</v>
      </c>
      <c r="C8129" s="1">
        <v>224774.52</v>
      </c>
      <c r="D8129" s="3">
        <v>-3.2921599999999801E-2</v>
      </c>
      <c r="E8129" s="3">
        <v>-0.87718522277983002</v>
      </c>
      <c r="F8129" s="3">
        <v>-0.87718522277983002</v>
      </c>
      <c r="G8129" s="3">
        <v>3.7201740000000001</v>
      </c>
      <c r="H8129" s="3">
        <v>3.6697312643977802</v>
      </c>
      <c r="I8129" s="3">
        <v>3.6872522999999999</v>
      </c>
      <c r="J8129" s="3">
        <v>3.7860174</v>
      </c>
      <c r="K8129" s="3">
        <v>3.6872522999999999</v>
      </c>
      <c r="L8129" s="3">
        <v>3.6697312643977802</v>
      </c>
    </row>
    <row r="8130" spans="1:12" ht="15" customHeight="1" x14ac:dyDescent="0.2">
      <c r="A8130" s="2">
        <v>34256</v>
      </c>
      <c r="B8130" s="3">
        <v>3.7530956</v>
      </c>
      <c r="C8130" s="1">
        <v>38728.034999999902</v>
      </c>
      <c r="D8130" s="3">
        <v>1.6461099999999802E-2</v>
      </c>
      <c r="E8130" s="3">
        <v>0.44053278424742698</v>
      </c>
      <c r="F8130" s="3">
        <v>0.44053278424742698</v>
      </c>
      <c r="G8130" s="3">
        <v>3.7530956</v>
      </c>
      <c r="H8130" s="3">
        <v>4.5871543270808601</v>
      </c>
      <c r="I8130" s="3">
        <v>3.7860185999999998</v>
      </c>
      <c r="J8130" s="3">
        <v>3.7860174</v>
      </c>
      <c r="K8130" s="3">
        <v>3.6872522999999999</v>
      </c>
      <c r="L8130" s="3">
        <v>4.5871543270808601</v>
      </c>
    </row>
    <row r="8131" spans="1:12" ht="15" customHeight="1" x14ac:dyDescent="0.2">
      <c r="A8131" s="2">
        <v>34255</v>
      </c>
      <c r="B8131" s="3">
        <v>3.7366345000000001</v>
      </c>
      <c r="C8131" s="1">
        <v>1055528.8</v>
      </c>
      <c r="D8131" s="3">
        <v>0.1152263</v>
      </c>
      <c r="E8131" s="3">
        <v>3.18180921996036</v>
      </c>
      <c r="F8131" s="3">
        <v>3.18180921996036</v>
      </c>
      <c r="G8131" s="3">
        <v>3.7366345000000001</v>
      </c>
      <c r="H8131" s="3">
        <v>4.1284344356681597</v>
      </c>
      <c r="I8131" s="3">
        <v>3.5884862000000002</v>
      </c>
      <c r="J8131" s="3">
        <v>3.7530956</v>
      </c>
      <c r="K8131" s="3">
        <v>3.5884862000000002</v>
      </c>
      <c r="L8131" s="3">
        <v>4.1284344356681597</v>
      </c>
    </row>
    <row r="8132" spans="1:12" ht="15" customHeight="1" x14ac:dyDescent="0.2">
      <c r="A8132" s="2">
        <v>34254</v>
      </c>
      <c r="B8132" s="3">
        <v>3.6214081999999999</v>
      </c>
      <c r="C8132" s="1">
        <v>476126.98</v>
      </c>
      <c r="D8132" s="3">
        <v>-3.2921299999999903E-2</v>
      </c>
      <c r="E8132" s="3">
        <v>-0.90088482716186302</v>
      </c>
      <c r="F8132" s="3">
        <v>-0.90088482716186302</v>
      </c>
      <c r="G8132" s="3">
        <v>3.6214081999999999</v>
      </c>
      <c r="H8132" s="3">
        <v>0.91743420944463006</v>
      </c>
      <c r="I8132" s="3">
        <v>3.6543304999999999</v>
      </c>
      <c r="J8132" s="3">
        <v>3.6543294999999998</v>
      </c>
      <c r="K8132" s="3">
        <v>3.5884862000000002</v>
      </c>
      <c r="L8132" s="3">
        <v>0.91743420944463006</v>
      </c>
    </row>
    <row r="8133" spans="1:12" ht="15" customHeight="1" x14ac:dyDescent="0.2">
      <c r="A8133" s="2">
        <v>34253</v>
      </c>
      <c r="B8133" s="3">
        <v>3.6543294999999998</v>
      </c>
      <c r="C8133" s="1">
        <v>236165.05</v>
      </c>
      <c r="D8133" s="3"/>
      <c r="E8133" s="3"/>
      <c r="F8133" s="3"/>
      <c r="G8133" s="3">
        <v>3.6543294999999998</v>
      </c>
      <c r="H8133" s="3">
        <v>1.8348489120565501</v>
      </c>
      <c r="I8133" s="3">
        <v>3.6543304999999999</v>
      </c>
      <c r="J8133" s="3">
        <v>3.6543294999999998</v>
      </c>
      <c r="K8133" s="3">
        <v>3.5226426000000002</v>
      </c>
      <c r="L8133" s="3">
        <v>1.8348489120565501</v>
      </c>
    </row>
    <row r="8134" spans="1:12" ht="15" customHeight="1" x14ac:dyDescent="0.2">
      <c r="A8134" s="2">
        <v>34250</v>
      </c>
      <c r="B8134" s="3">
        <v>3.6543294999999998</v>
      </c>
      <c r="C8134" s="1">
        <v>47081.13</v>
      </c>
      <c r="D8134" s="3">
        <v>3.2921299999999903E-2</v>
      </c>
      <c r="E8134" s="3">
        <v>0.90907454177631097</v>
      </c>
      <c r="F8134" s="3">
        <v>0.90907454177631097</v>
      </c>
      <c r="G8134" s="3">
        <v>3.6543294999999998</v>
      </c>
      <c r="H8134" s="3">
        <v>1.8348489120565501</v>
      </c>
      <c r="I8134" s="3">
        <v>3.5884862000000002</v>
      </c>
      <c r="J8134" s="3">
        <v>3.6543294999999998</v>
      </c>
      <c r="K8134" s="3">
        <v>3.5884862000000002</v>
      </c>
      <c r="L8134" s="3">
        <v>1.8348489120565501</v>
      </c>
    </row>
    <row r="8135" spans="1:12" ht="15" customHeight="1" x14ac:dyDescent="0.2">
      <c r="A8135" s="2">
        <v>34249</v>
      </c>
      <c r="B8135" s="3">
        <v>3.6214081999999999</v>
      </c>
      <c r="C8135" s="1">
        <v>643948.5</v>
      </c>
      <c r="D8135" s="3">
        <v>-0.19753119999999999</v>
      </c>
      <c r="E8135" s="3">
        <v>-5.1724099104583798</v>
      </c>
      <c r="F8135" s="3">
        <v>-5.1724099104583798</v>
      </c>
      <c r="G8135" s="3">
        <v>3.6214081999999999</v>
      </c>
      <c r="H8135" s="3">
        <v>0.91743420944463006</v>
      </c>
      <c r="I8135" s="3">
        <v>3.6543304999999999</v>
      </c>
      <c r="J8135" s="3">
        <v>3.6543294999999998</v>
      </c>
      <c r="K8135" s="3">
        <v>3.5226426000000002</v>
      </c>
      <c r="L8135" s="3">
        <v>0.91743420944463006</v>
      </c>
    </row>
    <row r="8136" spans="1:12" ht="15" customHeight="1" x14ac:dyDescent="0.2">
      <c r="A8136" s="2">
        <v>34248</v>
      </c>
      <c r="B8136" s="3">
        <v>3.8189394000000001</v>
      </c>
      <c r="C8136" s="1">
        <v>473089.48</v>
      </c>
      <c r="D8136" s="3"/>
      <c r="E8136" s="3"/>
      <c r="F8136" s="3"/>
      <c r="G8136" s="3">
        <v>3.8189394000000001</v>
      </c>
      <c r="H8136" s="3">
        <v>6.4220171725893698</v>
      </c>
      <c r="I8136" s="3">
        <v>3.7860185999999998</v>
      </c>
      <c r="J8136" s="3">
        <v>3.8847828</v>
      </c>
      <c r="K8136" s="3">
        <v>3.7201740000000001</v>
      </c>
      <c r="L8136" s="3">
        <v>6.4220171725893698</v>
      </c>
    </row>
    <row r="8137" spans="1:12" ht="15" customHeight="1" x14ac:dyDescent="0.2">
      <c r="A8137" s="2">
        <v>34247</v>
      </c>
      <c r="B8137" s="3">
        <v>3.8189394000000001</v>
      </c>
      <c r="C8137" s="1">
        <v>279449.3</v>
      </c>
      <c r="D8137" s="3">
        <v>-3.2921800000000001E-2</v>
      </c>
      <c r="E8137" s="3">
        <v>-0.85469850263555303</v>
      </c>
      <c r="F8137" s="3">
        <v>-0.85469850263555303</v>
      </c>
      <c r="G8137" s="3">
        <v>3.8189394000000001</v>
      </c>
      <c r="H8137" s="3">
        <v>6.4220171725893698</v>
      </c>
      <c r="I8137" s="3">
        <v>3.8518620000000001</v>
      </c>
      <c r="J8137" s="3">
        <v>3.8518612000000001</v>
      </c>
      <c r="K8137" s="3">
        <v>3.7860174</v>
      </c>
      <c r="L8137" s="3">
        <v>6.4220171725893698</v>
      </c>
    </row>
    <row r="8138" spans="1:12" ht="15" customHeight="1" x14ac:dyDescent="0.2">
      <c r="A8138" s="2">
        <v>34246</v>
      </c>
      <c r="B8138" s="3">
        <v>3.8518612000000001</v>
      </c>
      <c r="C8138" s="1">
        <v>372092.93</v>
      </c>
      <c r="D8138" s="3">
        <v>3.2921800000000001E-2</v>
      </c>
      <c r="E8138" s="3">
        <v>0.86206657272436205</v>
      </c>
      <c r="F8138" s="3">
        <v>0.86206657272436205</v>
      </c>
      <c r="G8138" s="3">
        <v>3.8518612000000001</v>
      </c>
      <c r="H8138" s="3">
        <v>7.3394458086532302</v>
      </c>
      <c r="I8138" s="3">
        <v>3.8518620000000001</v>
      </c>
      <c r="J8138" s="3">
        <v>3.8518612000000001</v>
      </c>
      <c r="K8138" s="3">
        <v>3.7860174</v>
      </c>
      <c r="L8138" s="3">
        <v>7.3394458086532302</v>
      </c>
    </row>
    <row r="8139" spans="1:12" ht="15" customHeight="1" x14ac:dyDescent="0.2">
      <c r="A8139" s="2">
        <v>34243</v>
      </c>
      <c r="B8139" s="3">
        <v>3.8189394000000001</v>
      </c>
      <c r="C8139" s="1">
        <v>191362.03</v>
      </c>
      <c r="D8139" s="3"/>
      <c r="E8139" s="3"/>
      <c r="F8139" s="3"/>
      <c r="G8139" s="3">
        <v>3.8189394000000001</v>
      </c>
      <c r="H8139" s="3">
        <v>6.4220171725893698</v>
      </c>
      <c r="I8139" s="3">
        <v>3.8847836999999998</v>
      </c>
      <c r="J8139" s="3">
        <v>3.8847828</v>
      </c>
      <c r="K8139" s="3">
        <v>3.7530956</v>
      </c>
      <c r="L8139" s="3">
        <v>6.4220171725893698</v>
      </c>
    </row>
    <row r="8140" spans="1:12" ht="15" customHeight="1" x14ac:dyDescent="0.2">
      <c r="A8140" s="2">
        <v>34242</v>
      </c>
      <c r="B8140" s="3">
        <v>3.8189394000000001</v>
      </c>
      <c r="C8140" s="1">
        <v>630279.69999999995</v>
      </c>
      <c r="D8140" s="3">
        <v>-1.6460499999999899E-2</v>
      </c>
      <c r="E8140" s="3">
        <v>-0.42917297880724598</v>
      </c>
      <c r="F8140" s="3">
        <v>-0.42917297880724598</v>
      </c>
      <c r="G8140" s="3">
        <v>3.8189394000000001</v>
      </c>
      <c r="H8140" s="3">
        <v>6.4220171725893698</v>
      </c>
      <c r="I8140" s="3">
        <v>3.8847836999999998</v>
      </c>
      <c r="J8140" s="3">
        <v>3.8847828</v>
      </c>
      <c r="K8140" s="3">
        <v>3.8189394000000001</v>
      </c>
      <c r="L8140" s="3">
        <v>6.4220171725893698</v>
      </c>
    </row>
    <row r="8141" spans="1:12" ht="15" customHeight="1" x14ac:dyDescent="0.2">
      <c r="A8141" s="2">
        <v>34241</v>
      </c>
      <c r="B8141" s="3">
        <v>3.8353999000000001</v>
      </c>
      <c r="C8141" s="1">
        <v>1144375.3999999999</v>
      </c>
      <c r="D8141" s="3">
        <v>0.18107039999999999</v>
      </c>
      <c r="E8141" s="3">
        <v>4.9549554849938904</v>
      </c>
      <c r="F8141" s="3">
        <v>4.9549554849938904</v>
      </c>
      <c r="G8141" s="3">
        <v>3.8353999000000001</v>
      </c>
      <c r="H8141" s="3">
        <v>6.8807203438597497</v>
      </c>
      <c r="I8141" s="3">
        <v>3.6872522999999999</v>
      </c>
      <c r="J8141" s="3">
        <v>3.8353999000000001</v>
      </c>
      <c r="K8141" s="3">
        <v>3.6214081999999999</v>
      </c>
      <c r="L8141" s="3">
        <v>6.8807203438597497</v>
      </c>
    </row>
    <row r="8142" spans="1:12" ht="15" customHeight="1" x14ac:dyDescent="0.2">
      <c r="A8142" s="2">
        <v>34240</v>
      </c>
      <c r="B8142" s="3">
        <v>3.6543294999999998</v>
      </c>
      <c r="C8142" s="1">
        <v>549026.799999999</v>
      </c>
      <c r="D8142" s="3">
        <v>3.2921299999999903E-2</v>
      </c>
      <c r="E8142" s="3">
        <v>0.90907454177631097</v>
      </c>
      <c r="F8142" s="3">
        <v>0.90907454177631097</v>
      </c>
      <c r="G8142" s="3">
        <v>3.6543294999999998</v>
      </c>
      <c r="H8142" s="3">
        <v>1.8348489120565501</v>
      </c>
      <c r="I8142" s="3">
        <v>3.6214081999999999</v>
      </c>
      <c r="J8142" s="3">
        <v>3.7860174</v>
      </c>
      <c r="K8142" s="3">
        <v>3.6214081999999999</v>
      </c>
      <c r="L8142" s="3">
        <v>1.8348489120565501</v>
      </c>
    </row>
    <row r="8143" spans="1:12" ht="15" customHeight="1" x14ac:dyDescent="0.2">
      <c r="A8143" s="2">
        <v>34239</v>
      </c>
      <c r="B8143" s="3">
        <v>3.6214081999999999</v>
      </c>
      <c r="C8143" s="1">
        <v>1490649.7</v>
      </c>
      <c r="D8143" s="3">
        <v>0.1975324</v>
      </c>
      <c r="E8143" s="3">
        <v>5.7692630088976999</v>
      </c>
      <c r="F8143" s="3">
        <v>5.7692630088976999</v>
      </c>
      <c r="G8143" s="3">
        <v>3.6214081999999999</v>
      </c>
      <c r="H8143" s="3">
        <v>0.91743420944463006</v>
      </c>
      <c r="I8143" s="3">
        <v>3.5226426000000002</v>
      </c>
      <c r="J8143" s="3">
        <v>3.6214081999999999</v>
      </c>
      <c r="K8143" s="3">
        <v>3.4567983</v>
      </c>
      <c r="L8143" s="3">
        <v>0.91743420944463006</v>
      </c>
    </row>
    <row r="8144" spans="1:12" ht="15" customHeight="1" x14ac:dyDescent="0.2">
      <c r="A8144" s="2">
        <v>34236</v>
      </c>
      <c r="B8144" s="3">
        <v>3.4238757999999998</v>
      </c>
      <c r="C8144" s="1">
        <v>5487990</v>
      </c>
      <c r="D8144" s="3">
        <v>-0.4115241</v>
      </c>
      <c r="E8144" s="3">
        <v>-10.7296269158269</v>
      </c>
      <c r="F8144" s="3">
        <v>-10.7296269158269</v>
      </c>
      <c r="G8144" s="3">
        <v>3.4238757999999998</v>
      </c>
      <c r="H8144" s="3">
        <v>-4.5871821939847601</v>
      </c>
      <c r="I8144" s="3">
        <v>3.6214081999999999</v>
      </c>
      <c r="J8144" s="3">
        <v>3.6872522999999999</v>
      </c>
      <c r="K8144" s="3">
        <v>3.3580325000000002</v>
      </c>
      <c r="L8144" s="3">
        <v>-4.5871821939847601</v>
      </c>
    </row>
    <row r="8145" spans="1:12" ht="15" customHeight="1" x14ac:dyDescent="0.2">
      <c r="A8145" s="2">
        <v>34235</v>
      </c>
      <c r="B8145" s="3">
        <v>3.8353999000000001</v>
      </c>
      <c r="C8145" s="1">
        <v>498148.8</v>
      </c>
      <c r="D8145" s="3">
        <v>0.34567959999999998</v>
      </c>
      <c r="E8145" s="3">
        <v>9.9056534702795407</v>
      </c>
      <c r="F8145" s="3">
        <v>9.9056534702795407</v>
      </c>
      <c r="G8145" s="3">
        <v>3.8353999000000001</v>
      </c>
      <c r="H8145" s="3">
        <v>6.8807203438597497</v>
      </c>
      <c r="I8145" s="3">
        <v>3.4897208000000002</v>
      </c>
      <c r="J8145" s="3">
        <v>3.9506264</v>
      </c>
      <c r="K8145" s="3">
        <v>3.4897203000000001</v>
      </c>
      <c r="L8145" s="3">
        <v>6.8807203438597497</v>
      </c>
    </row>
    <row r="8146" spans="1:12" ht="15" customHeight="1" x14ac:dyDescent="0.2">
      <c r="A8146" s="2">
        <v>34234</v>
      </c>
      <c r="B8146" s="3">
        <v>3.4897203000000001</v>
      </c>
      <c r="C8146" s="1">
        <v>19743.704000000002</v>
      </c>
      <c r="D8146" s="3">
        <v>-6.5843399999999802E-2</v>
      </c>
      <c r="E8146" s="3">
        <v>-1.85184138312582</v>
      </c>
      <c r="F8146" s="3">
        <v>-1.85184138312582</v>
      </c>
      <c r="G8146" s="3">
        <v>3.4897203000000001</v>
      </c>
      <c r="H8146" s="3">
        <v>-2.7522998416435298</v>
      </c>
      <c r="I8146" s="3">
        <v>3.5555648999999998</v>
      </c>
      <c r="J8146" s="3">
        <v>3.5555637</v>
      </c>
      <c r="K8146" s="3">
        <v>3.4897203000000001</v>
      </c>
      <c r="L8146" s="3">
        <v>-2.7522998416435298</v>
      </c>
    </row>
    <row r="8147" spans="1:12" ht="15" customHeight="1" x14ac:dyDescent="0.2">
      <c r="A8147" s="2">
        <v>34233</v>
      </c>
      <c r="B8147" s="3">
        <v>3.5555637</v>
      </c>
      <c r="C8147" s="1">
        <v>122259.09</v>
      </c>
      <c r="D8147" s="3"/>
      <c r="E8147" s="3"/>
      <c r="F8147" s="3"/>
      <c r="G8147" s="3">
        <v>3.5555637</v>
      </c>
      <c r="H8147" s="3">
        <v>-0.91744814289658305</v>
      </c>
      <c r="I8147" s="3">
        <v>3.6214081999999999</v>
      </c>
      <c r="J8147" s="3">
        <v>3.6214081999999999</v>
      </c>
      <c r="K8147" s="3">
        <v>3.4897203000000001</v>
      </c>
      <c r="L8147" s="3">
        <v>-0.91744814289658305</v>
      </c>
    </row>
    <row r="8148" spans="1:12" ht="15" customHeight="1" x14ac:dyDescent="0.2">
      <c r="A8148" s="2">
        <v>34232</v>
      </c>
      <c r="B8148" s="3">
        <v>3.5555637</v>
      </c>
      <c r="C8148" s="1">
        <v>50877.994999999901</v>
      </c>
      <c r="D8148" s="3">
        <v>-6.5844499999999806E-2</v>
      </c>
      <c r="E8148" s="3">
        <v>-1.818201549331</v>
      </c>
      <c r="F8148" s="3">
        <v>-1.818201549331</v>
      </c>
      <c r="G8148" s="3">
        <v>3.5555637</v>
      </c>
      <c r="H8148" s="3">
        <v>-0.91744814289658305</v>
      </c>
      <c r="I8148" s="3">
        <v>3.6543304999999999</v>
      </c>
      <c r="J8148" s="3">
        <v>3.6543294999999998</v>
      </c>
      <c r="K8148" s="3">
        <v>3.5555637</v>
      </c>
      <c r="L8148" s="3">
        <v>-0.91744814289658305</v>
      </c>
    </row>
    <row r="8149" spans="1:12" ht="15" customHeight="1" x14ac:dyDescent="0.2">
      <c r="A8149" s="2">
        <v>34229</v>
      </c>
      <c r="B8149" s="3">
        <v>3.6214081999999999</v>
      </c>
      <c r="C8149" s="1">
        <v>294636.79999999999</v>
      </c>
      <c r="D8149" s="3">
        <v>8.23049E-2</v>
      </c>
      <c r="E8149" s="3">
        <v>2.3255862579653899</v>
      </c>
      <c r="F8149" s="3">
        <v>2.3255862579653899</v>
      </c>
      <c r="G8149" s="3">
        <v>3.6214081999999999</v>
      </c>
      <c r="H8149" s="3">
        <v>0.91743420944463006</v>
      </c>
      <c r="I8149" s="3">
        <v>3.5391032999999998</v>
      </c>
      <c r="J8149" s="3">
        <v>3.6543294999999998</v>
      </c>
      <c r="K8149" s="3">
        <v>3.5061811999999999</v>
      </c>
      <c r="L8149" s="3">
        <v>0.91743420944463006</v>
      </c>
    </row>
    <row r="8150" spans="1:12" ht="15" customHeight="1" x14ac:dyDescent="0.2">
      <c r="A8150" s="2">
        <v>34228</v>
      </c>
      <c r="B8150" s="3">
        <v>3.5391032999999998</v>
      </c>
      <c r="C8150" s="1">
        <v>1474702.8</v>
      </c>
      <c r="D8150" s="3">
        <v>8.2304999999999795E-2</v>
      </c>
      <c r="E8150" s="3">
        <v>2.3809604396067798</v>
      </c>
      <c r="F8150" s="3">
        <v>2.3809604396067798</v>
      </c>
      <c r="G8150" s="3">
        <v>3.5391032999999998</v>
      </c>
      <c r="H8150" s="3">
        <v>-1.3761485274765799</v>
      </c>
      <c r="I8150" s="3">
        <v>3.5555648999999998</v>
      </c>
      <c r="J8150" s="3">
        <v>3.6214081999999999</v>
      </c>
      <c r="K8150" s="3">
        <v>3.4567983</v>
      </c>
      <c r="L8150" s="3">
        <v>-1.3761485274765799</v>
      </c>
    </row>
    <row r="8151" spans="1:12" ht="15" customHeight="1" x14ac:dyDescent="0.2">
      <c r="A8151" s="2">
        <v>34227</v>
      </c>
      <c r="B8151" s="3">
        <v>3.4567983</v>
      </c>
      <c r="C8151" s="1">
        <v>503464.45</v>
      </c>
      <c r="D8151" s="3">
        <v>-0.1316879</v>
      </c>
      <c r="E8151" s="3">
        <v>-3.66973405108818</v>
      </c>
      <c r="F8151" s="3">
        <v>-3.66973405108818</v>
      </c>
      <c r="G8151" s="3">
        <v>3.4567983</v>
      </c>
      <c r="H8151" s="3">
        <v>-3.6697340510881702</v>
      </c>
      <c r="I8151" s="3">
        <v>3.5226426000000002</v>
      </c>
      <c r="J8151" s="3">
        <v>3.5555637</v>
      </c>
      <c r="K8151" s="3">
        <v>3.4567983</v>
      </c>
      <c r="L8151" s="3">
        <v>-3.6697340510881702</v>
      </c>
    </row>
    <row r="8152" spans="1:12" ht="15" customHeight="1" x14ac:dyDescent="0.2">
      <c r="A8152" s="2">
        <v>34226</v>
      </c>
      <c r="B8152" s="3">
        <v>3.5884862000000002</v>
      </c>
      <c r="C8152" s="1">
        <v>350830.38</v>
      </c>
      <c r="D8152" s="3">
        <v>-6.5843299999999605E-2</v>
      </c>
      <c r="E8152" s="3">
        <v>-1.8017888096845001</v>
      </c>
      <c r="F8152" s="3">
        <v>-1.8017888096845001</v>
      </c>
      <c r="G8152" s="3">
        <v>3.5884862000000002</v>
      </c>
      <c r="H8152" s="3"/>
      <c r="I8152" s="3">
        <v>3.5555648999999998</v>
      </c>
      <c r="J8152" s="3">
        <v>3.6543294999999998</v>
      </c>
      <c r="K8152" s="3">
        <v>3.5226426000000002</v>
      </c>
      <c r="L8152" s="3"/>
    </row>
    <row r="8153" spans="1:12" ht="15" customHeight="1" x14ac:dyDescent="0.2">
      <c r="A8153" s="2">
        <v>34225</v>
      </c>
      <c r="B8153" s="3">
        <v>3.6543294999999998</v>
      </c>
      <c r="C8153" s="1">
        <v>171618.35</v>
      </c>
      <c r="D8153" s="3">
        <v>0.131686899999999</v>
      </c>
      <c r="E8153" s="3">
        <v>3.7382986284217199</v>
      </c>
      <c r="F8153" s="3">
        <v>3.7382986284217199</v>
      </c>
      <c r="G8153" s="3">
        <v>3.6543294999999998</v>
      </c>
      <c r="H8153" s="3">
        <v>1.8348489120565501</v>
      </c>
      <c r="I8153" s="3">
        <v>3.5884862000000002</v>
      </c>
      <c r="J8153" s="3">
        <v>3.6543294999999998</v>
      </c>
      <c r="K8153" s="3">
        <v>3.5720258</v>
      </c>
      <c r="L8153" s="3">
        <v>1.8348489120565501</v>
      </c>
    </row>
    <row r="8154" spans="1:12" ht="15" customHeight="1" x14ac:dyDescent="0.2">
      <c r="A8154" s="2">
        <v>34222</v>
      </c>
      <c r="B8154" s="3">
        <v>3.5226426000000002</v>
      </c>
      <c r="C8154" s="1">
        <v>1537730.6</v>
      </c>
      <c r="D8154" s="3">
        <v>-9.8765599999999606E-2</v>
      </c>
      <c r="E8154" s="3">
        <v>-2.7272705683937999</v>
      </c>
      <c r="F8154" s="3">
        <v>-2.7272705683937999</v>
      </c>
      <c r="G8154" s="3">
        <v>3.5226426000000002</v>
      </c>
      <c r="H8154" s="3">
        <v>-1.8348572721277201</v>
      </c>
      <c r="I8154" s="3">
        <v>3.6214081999999999</v>
      </c>
      <c r="J8154" s="3">
        <v>3.6214081999999999</v>
      </c>
      <c r="K8154" s="3">
        <v>3.3909539999999998</v>
      </c>
      <c r="L8154" s="3">
        <v>-1.8348572721277201</v>
      </c>
    </row>
    <row r="8155" spans="1:12" ht="15" customHeight="1" x14ac:dyDescent="0.2">
      <c r="A8155" s="2">
        <v>34221</v>
      </c>
      <c r="B8155" s="3">
        <v>3.6214081999999999</v>
      </c>
      <c r="C8155" s="1">
        <v>37209.281999999999</v>
      </c>
      <c r="D8155" s="3">
        <v>3.2921999999999597E-2</v>
      </c>
      <c r="E8155" s="3">
        <v>0.91743420944463405</v>
      </c>
      <c r="F8155" s="3">
        <v>0.91743420944463405</v>
      </c>
      <c r="G8155" s="3">
        <v>3.6214081999999999</v>
      </c>
      <c r="H8155" s="3">
        <v>0.91743420944463006</v>
      </c>
      <c r="I8155" s="3">
        <v>3.6214081999999999</v>
      </c>
      <c r="J8155" s="3">
        <v>3.6214081999999999</v>
      </c>
      <c r="K8155" s="3">
        <v>3.5555637</v>
      </c>
      <c r="L8155" s="3">
        <v>0.91743420944463006</v>
      </c>
    </row>
    <row r="8156" spans="1:12" ht="15" customHeight="1" x14ac:dyDescent="0.2">
      <c r="A8156" s="2">
        <v>34220</v>
      </c>
      <c r="B8156" s="3">
        <v>3.5884862000000002</v>
      </c>
      <c r="C8156" s="1">
        <v>990982.2</v>
      </c>
      <c r="D8156" s="3">
        <v>-0.181069799999999</v>
      </c>
      <c r="E8156" s="3">
        <v>-4.8034781815152696</v>
      </c>
      <c r="F8156" s="3">
        <v>-4.8034781815152696</v>
      </c>
      <c r="G8156" s="3">
        <v>3.5884862000000002</v>
      </c>
      <c r="H8156" s="3"/>
      <c r="I8156" s="3">
        <v>3.6872522999999999</v>
      </c>
      <c r="J8156" s="3">
        <v>3.6872522999999999</v>
      </c>
      <c r="K8156" s="3">
        <v>3.5555637</v>
      </c>
      <c r="L8156" s="3"/>
    </row>
    <row r="8157" spans="1:12" ht="15" customHeight="1" x14ac:dyDescent="0.2">
      <c r="A8157" s="2">
        <v>34219</v>
      </c>
      <c r="B8157" s="3">
        <v>3.7695560000000001</v>
      </c>
      <c r="C8157" s="1">
        <v>123777.82399999999</v>
      </c>
      <c r="D8157" s="3">
        <v>-0.14814859999999899</v>
      </c>
      <c r="E8157" s="3">
        <v>-3.7815153291547201</v>
      </c>
      <c r="F8157" s="3">
        <v>-3.7815153291547201</v>
      </c>
      <c r="G8157" s="3">
        <v>3.7695560000000001</v>
      </c>
      <c r="H8157" s="3">
        <v>5.0458547116608603</v>
      </c>
      <c r="I8157" s="3">
        <v>3.950628</v>
      </c>
      <c r="J8157" s="3">
        <v>3.9506264</v>
      </c>
      <c r="K8157" s="3">
        <v>3.7530956</v>
      </c>
      <c r="L8157" s="3">
        <v>5.0458547116608603</v>
      </c>
    </row>
    <row r="8158" spans="1:12" ht="15" customHeight="1" x14ac:dyDescent="0.2">
      <c r="A8158" s="2">
        <v>34215</v>
      </c>
      <c r="B8158" s="3">
        <v>3.9177046</v>
      </c>
      <c r="C8158" s="1">
        <v>178452.71</v>
      </c>
      <c r="D8158" s="3"/>
      <c r="E8158" s="3"/>
      <c r="F8158" s="3"/>
      <c r="G8158" s="3">
        <v>3.9177046</v>
      </c>
      <c r="H8158" s="3">
        <v>9.1742975074001905</v>
      </c>
      <c r="I8158" s="3">
        <v>3.9835498</v>
      </c>
      <c r="J8158" s="3">
        <v>3.9835482</v>
      </c>
      <c r="K8158" s="3">
        <v>3.9177046</v>
      </c>
      <c r="L8158" s="3">
        <v>9.1742975074001905</v>
      </c>
    </row>
    <row r="8159" spans="1:12" ht="15" customHeight="1" x14ac:dyDescent="0.2">
      <c r="A8159" s="2">
        <v>34214</v>
      </c>
      <c r="B8159" s="3">
        <v>3.9177046</v>
      </c>
      <c r="C8159" s="1">
        <v>42524.894999999997</v>
      </c>
      <c r="D8159" s="3"/>
      <c r="E8159" s="3"/>
      <c r="F8159" s="3"/>
      <c r="G8159" s="3">
        <v>3.9177046</v>
      </c>
      <c r="H8159" s="3">
        <v>9.1742975074001905</v>
      </c>
      <c r="I8159" s="3">
        <v>3.9835498</v>
      </c>
      <c r="J8159" s="3">
        <v>3.9835482</v>
      </c>
      <c r="K8159" s="3">
        <v>3.9177046</v>
      </c>
      <c r="L8159" s="3">
        <v>9.1742975074001905</v>
      </c>
    </row>
    <row r="8160" spans="1:12" ht="15" customHeight="1" x14ac:dyDescent="0.2">
      <c r="A8160" s="2">
        <v>34213</v>
      </c>
      <c r="B8160" s="3">
        <v>3.9177046</v>
      </c>
      <c r="C8160" s="1">
        <v>224015.14</v>
      </c>
      <c r="D8160" s="3">
        <v>3.2921800000000001E-2</v>
      </c>
      <c r="E8160" s="3">
        <v>0.84745535837935604</v>
      </c>
      <c r="F8160" s="3">
        <v>0.84745535837935604</v>
      </c>
      <c r="G8160" s="3">
        <v>3.9177046</v>
      </c>
      <c r="H8160" s="3">
        <v>9.1742975074001905</v>
      </c>
      <c r="I8160" s="3">
        <v>3.9835498</v>
      </c>
      <c r="J8160" s="3">
        <v>3.9835482</v>
      </c>
      <c r="K8160" s="3">
        <v>3.8518612000000001</v>
      </c>
      <c r="L8160" s="3">
        <v>9.1742975074001905</v>
      </c>
    </row>
    <row r="8161" spans="1:12" ht="15" customHeight="1" x14ac:dyDescent="0.2">
      <c r="A8161" s="2">
        <v>34212</v>
      </c>
      <c r="B8161" s="3">
        <v>3.8847828</v>
      </c>
      <c r="C8161" s="1">
        <v>417655.24</v>
      </c>
      <c r="D8161" s="3">
        <v>0.164608799999999</v>
      </c>
      <c r="E8161" s="3">
        <v>4.4247607773184798</v>
      </c>
      <c r="F8161" s="3">
        <v>4.4247607773184798</v>
      </c>
      <c r="G8161" s="3">
        <v>3.8847828</v>
      </c>
      <c r="H8161" s="3">
        <v>8.2568688713363194</v>
      </c>
      <c r="I8161" s="3">
        <v>3.8189394000000001</v>
      </c>
      <c r="J8161" s="3">
        <v>3.9506264</v>
      </c>
      <c r="K8161" s="3">
        <v>3.7530956</v>
      </c>
      <c r="L8161" s="3">
        <v>8.2568688713363194</v>
      </c>
    </row>
    <row r="8162" spans="1:12" ht="15" customHeight="1" x14ac:dyDescent="0.2">
      <c r="A8162" s="2">
        <v>34211</v>
      </c>
      <c r="B8162" s="3">
        <v>3.7201740000000001</v>
      </c>
      <c r="C8162" s="1">
        <v>233127.55</v>
      </c>
      <c r="D8162" s="3">
        <v>4.93836E-2</v>
      </c>
      <c r="E8162" s="3">
        <v>1.3453124427916101</v>
      </c>
      <c r="F8162" s="3">
        <v>1.3453124427916101</v>
      </c>
      <c r="G8162" s="3">
        <v>3.7201740000000001</v>
      </c>
      <c r="H8162" s="3">
        <v>3.6697312643977802</v>
      </c>
      <c r="I8162" s="3">
        <v>3.6872522999999999</v>
      </c>
      <c r="J8162" s="3">
        <v>3.8189394000000001</v>
      </c>
      <c r="K8162" s="3">
        <v>3.6872522999999999</v>
      </c>
      <c r="L8162" s="3">
        <v>3.6697312643977802</v>
      </c>
    </row>
    <row r="8163" spans="1:12" ht="15" customHeight="1" x14ac:dyDescent="0.2">
      <c r="A8163" s="2">
        <v>34208</v>
      </c>
      <c r="B8163" s="3">
        <v>3.6707904</v>
      </c>
      <c r="C8163" s="1">
        <v>150355.88</v>
      </c>
      <c r="D8163" s="3">
        <v>8.23041999999998E-2</v>
      </c>
      <c r="E8163" s="3">
        <v>2.2935632300884898</v>
      </c>
      <c r="F8163" s="3">
        <v>2.2935632300884898</v>
      </c>
      <c r="G8163" s="3">
        <v>3.6707904</v>
      </c>
      <c r="H8163" s="3">
        <v>2.2935632300884898</v>
      </c>
      <c r="I8163" s="3">
        <v>3.5884862000000002</v>
      </c>
      <c r="J8163" s="3">
        <v>3.7201740000000001</v>
      </c>
      <c r="K8163" s="3">
        <v>3.4897203000000001</v>
      </c>
      <c r="L8163" s="3">
        <v>2.2935632300884898</v>
      </c>
    </row>
    <row r="8164" spans="1:12" ht="15" customHeight="1" x14ac:dyDescent="0.2">
      <c r="A8164" s="2">
        <v>34207</v>
      </c>
      <c r="B8164" s="3">
        <v>3.5884862000000002</v>
      </c>
      <c r="C8164" s="1">
        <v>211105.74</v>
      </c>
      <c r="D8164" s="3">
        <v>3.2922500000000098E-2</v>
      </c>
      <c r="E8164" s="3">
        <v>0.92594319151138005</v>
      </c>
      <c r="F8164" s="3">
        <v>0.92594319151138005</v>
      </c>
      <c r="G8164" s="3">
        <v>3.5884862000000002</v>
      </c>
      <c r="H8164" s="3"/>
      <c r="I8164" s="3">
        <v>3.6214081999999999</v>
      </c>
      <c r="J8164" s="3">
        <v>3.6214081999999999</v>
      </c>
      <c r="K8164" s="3">
        <v>3.5226426000000002</v>
      </c>
      <c r="L8164" s="3"/>
    </row>
    <row r="8165" spans="1:12" ht="15" customHeight="1" x14ac:dyDescent="0.2">
      <c r="A8165" s="2">
        <v>34206</v>
      </c>
      <c r="B8165" s="3">
        <v>3.5555637</v>
      </c>
      <c r="C8165" s="1">
        <v>388039.64</v>
      </c>
      <c r="D8165" s="3">
        <v>-0.13168859999999899</v>
      </c>
      <c r="E8165" s="3">
        <v>-3.5714561761884198</v>
      </c>
      <c r="F8165" s="3">
        <v>-3.5714561761884198</v>
      </c>
      <c r="G8165" s="3">
        <v>3.5555637</v>
      </c>
      <c r="H8165" s="3">
        <v>-0.91744814289658305</v>
      </c>
      <c r="I8165" s="3">
        <v>3.5555648999999998</v>
      </c>
      <c r="J8165" s="3">
        <v>3.6872522999999999</v>
      </c>
      <c r="K8165" s="3">
        <v>3.5226426000000002</v>
      </c>
      <c r="L8165" s="3">
        <v>-0.91744814289658305</v>
      </c>
    </row>
    <row r="8166" spans="1:12" ht="15" customHeight="1" x14ac:dyDescent="0.2">
      <c r="A8166" s="2">
        <v>34205</v>
      </c>
      <c r="B8166" s="3">
        <v>3.6872522999999999</v>
      </c>
      <c r="C8166" s="1">
        <v>89606.05</v>
      </c>
      <c r="D8166" s="3">
        <v>0.164609699999999</v>
      </c>
      <c r="E8166" s="3">
        <v>4.67290380238971</v>
      </c>
      <c r="F8166" s="3">
        <v>4.67290380238971</v>
      </c>
      <c r="G8166" s="3">
        <v>3.6872522999999999</v>
      </c>
      <c r="H8166" s="3">
        <v>2.7523054150243</v>
      </c>
      <c r="I8166" s="3">
        <v>3.6214081999999999</v>
      </c>
      <c r="J8166" s="3">
        <v>3.6872522999999999</v>
      </c>
      <c r="K8166" s="3">
        <v>3.5226426000000002</v>
      </c>
      <c r="L8166" s="3">
        <v>2.7523054150243</v>
      </c>
    </row>
    <row r="8167" spans="1:12" ht="15" customHeight="1" x14ac:dyDescent="0.2">
      <c r="A8167" s="2">
        <v>34204</v>
      </c>
      <c r="B8167" s="3">
        <v>3.5226426000000002</v>
      </c>
      <c r="C8167" s="1">
        <v>27337.437000000002</v>
      </c>
      <c r="D8167" s="3">
        <v>-8.2304999999999795E-2</v>
      </c>
      <c r="E8167" s="3">
        <v>-2.28311224274105</v>
      </c>
      <c r="F8167" s="3">
        <v>-2.28311224274105</v>
      </c>
      <c r="G8167" s="3">
        <v>3.5226426000000002</v>
      </c>
      <c r="H8167" s="3">
        <v>-1.8348572721277201</v>
      </c>
      <c r="I8167" s="3">
        <v>3.5226426000000002</v>
      </c>
      <c r="J8167" s="3">
        <v>3.6214081999999999</v>
      </c>
      <c r="K8167" s="3">
        <v>3.5226426000000002</v>
      </c>
      <c r="L8167" s="3">
        <v>-1.8348572721277201</v>
      </c>
    </row>
    <row r="8168" spans="1:12" ht="15" customHeight="1" x14ac:dyDescent="0.2">
      <c r="A8168" s="2">
        <v>34201</v>
      </c>
      <c r="B8168" s="3">
        <v>3.6049476</v>
      </c>
      <c r="C8168" s="1">
        <v>317418</v>
      </c>
      <c r="D8168" s="3">
        <v>-0.148147999999999</v>
      </c>
      <c r="E8168" s="3">
        <v>-3.9473548182465699</v>
      </c>
      <c r="F8168" s="3">
        <v>-3.9473548182465699</v>
      </c>
      <c r="G8168" s="3">
        <v>3.6049476</v>
      </c>
      <c r="H8168" s="3">
        <v>0.45872825148386598</v>
      </c>
      <c r="I8168" s="3">
        <v>3.6543304999999999</v>
      </c>
      <c r="J8168" s="3">
        <v>3.7530956</v>
      </c>
      <c r="K8168" s="3">
        <v>3.5555637</v>
      </c>
      <c r="L8168" s="3">
        <v>0.45872825148386598</v>
      </c>
    </row>
    <row r="8169" spans="1:12" ht="15" customHeight="1" x14ac:dyDescent="0.2">
      <c r="A8169" s="2">
        <v>34200</v>
      </c>
      <c r="B8169" s="3">
        <v>3.7530956</v>
      </c>
      <c r="C8169" s="1">
        <v>225533.84</v>
      </c>
      <c r="D8169" s="3">
        <v>3.2921599999999801E-2</v>
      </c>
      <c r="E8169" s="3">
        <v>0.88494785458959002</v>
      </c>
      <c r="F8169" s="3">
        <v>0.88494785458959002</v>
      </c>
      <c r="G8169" s="3">
        <v>3.7530956</v>
      </c>
      <c r="H8169" s="3">
        <v>4.5871543270808601</v>
      </c>
      <c r="I8169" s="3">
        <v>3.7530960000000002</v>
      </c>
      <c r="J8169" s="3">
        <v>3.7860174</v>
      </c>
      <c r="K8169" s="3">
        <v>3.6543294999999998</v>
      </c>
      <c r="L8169" s="3">
        <v>4.5871543270808601</v>
      </c>
    </row>
    <row r="8170" spans="1:12" ht="15" customHeight="1" x14ac:dyDescent="0.2">
      <c r="A8170" s="2">
        <v>34199</v>
      </c>
      <c r="B8170" s="3">
        <v>3.7201740000000001</v>
      </c>
      <c r="C8170" s="1">
        <v>500426.94</v>
      </c>
      <c r="D8170" s="3">
        <v>6.5844500000000306E-2</v>
      </c>
      <c r="E8170" s="3">
        <v>1.8018216474458599</v>
      </c>
      <c r="F8170" s="3">
        <v>1.8018216474458599</v>
      </c>
      <c r="G8170" s="3">
        <v>3.7201740000000001</v>
      </c>
      <c r="H8170" s="3">
        <v>3.6697312643977802</v>
      </c>
      <c r="I8170" s="3">
        <v>3.5555648999999998</v>
      </c>
      <c r="J8170" s="3">
        <v>3.7530956</v>
      </c>
      <c r="K8170" s="3">
        <v>3.5555637</v>
      </c>
      <c r="L8170" s="3">
        <v>3.6697312643977802</v>
      </c>
    </row>
    <row r="8171" spans="1:12" ht="15" customHeight="1" x14ac:dyDescent="0.2">
      <c r="A8171" s="2">
        <v>34198</v>
      </c>
      <c r="B8171" s="3">
        <v>3.6543294999999998</v>
      </c>
      <c r="C8171" s="1">
        <v>337921.02</v>
      </c>
      <c r="D8171" s="3"/>
      <c r="E8171" s="3"/>
      <c r="F8171" s="3"/>
      <c r="G8171" s="3">
        <v>3.6543294999999998</v>
      </c>
      <c r="H8171" s="3">
        <v>1.8348489120565501</v>
      </c>
      <c r="I8171" s="3">
        <v>3.5555648999999998</v>
      </c>
      <c r="J8171" s="3">
        <v>3.6543294999999998</v>
      </c>
      <c r="K8171" s="3">
        <v>3.5555637</v>
      </c>
      <c r="L8171" s="3">
        <v>1.8348489120565501</v>
      </c>
    </row>
    <row r="8172" spans="1:12" ht="15" customHeight="1" x14ac:dyDescent="0.2">
      <c r="A8172" s="2">
        <v>34197</v>
      </c>
      <c r="B8172" s="3">
        <v>3.6543294999999998</v>
      </c>
      <c r="C8172" s="1">
        <v>247555.65</v>
      </c>
      <c r="D8172" s="3">
        <v>-3.2922800000000099E-2</v>
      </c>
      <c r="E8172" s="3">
        <v>-0.89288167234989801</v>
      </c>
      <c r="F8172" s="3">
        <v>-0.89288167234989801</v>
      </c>
      <c r="G8172" s="3">
        <v>3.6543294999999998</v>
      </c>
      <c r="H8172" s="3">
        <v>1.8348489120565501</v>
      </c>
      <c r="I8172" s="3">
        <v>3.6872522999999999</v>
      </c>
      <c r="J8172" s="3">
        <v>3.6872522999999999</v>
      </c>
      <c r="K8172" s="3">
        <v>3.5555637</v>
      </c>
      <c r="L8172" s="3">
        <v>1.8348489120565501</v>
      </c>
    </row>
    <row r="8173" spans="1:12" ht="15" customHeight="1" x14ac:dyDescent="0.2">
      <c r="A8173" s="2">
        <v>34194</v>
      </c>
      <c r="B8173" s="3">
        <v>3.6872522999999999</v>
      </c>
      <c r="C8173" s="1">
        <v>783673.4</v>
      </c>
      <c r="D8173" s="3">
        <v>0.21399290000000001</v>
      </c>
      <c r="E8173" s="3">
        <v>6.1611551385997796</v>
      </c>
      <c r="F8173" s="3">
        <v>6.1611551385997796</v>
      </c>
      <c r="G8173" s="3">
        <v>3.6872522999999999</v>
      </c>
      <c r="H8173" s="3">
        <v>2.7523054150243</v>
      </c>
      <c r="I8173" s="3">
        <v>3.3909549999999999</v>
      </c>
      <c r="J8173" s="3">
        <v>3.6872522999999999</v>
      </c>
      <c r="K8173" s="3">
        <v>3.3909539999999998</v>
      </c>
      <c r="L8173" s="3">
        <v>2.7523054150243</v>
      </c>
    </row>
    <row r="8174" spans="1:12" ht="15" customHeight="1" x14ac:dyDescent="0.2">
      <c r="A8174" s="2">
        <v>34193</v>
      </c>
      <c r="B8174" s="3">
        <v>3.4732593999999999</v>
      </c>
      <c r="C8174" s="1">
        <v>643948.5</v>
      </c>
      <c r="D8174" s="3">
        <v>-0.1152268</v>
      </c>
      <c r="E8174" s="3">
        <v>-3.2110141596754702</v>
      </c>
      <c r="F8174" s="3">
        <v>-3.2110141596754702</v>
      </c>
      <c r="G8174" s="3">
        <v>3.4732593999999999</v>
      </c>
      <c r="H8174" s="3">
        <v>-3.2110141596754702</v>
      </c>
      <c r="I8174" s="3">
        <v>3.4897208000000002</v>
      </c>
      <c r="J8174" s="3">
        <v>3.5555637</v>
      </c>
      <c r="K8174" s="3">
        <v>3.2592669999999999</v>
      </c>
      <c r="L8174" s="3">
        <v>-3.2110141596754702</v>
      </c>
    </row>
    <row r="8175" spans="1:12" ht="15" customHeight="1" x14ac:dyDescent="0.2">
      <c r="A8175" s="2">
        <v>34192</v>
      </c>
      <c r="B8175" s="3">
        <v>3.5884862000000002</v>
      </c>
      <c r="C8175" s="1">
        <v>9871.8520000000008</v>
      </c>
      <c r="D8175" s="3">
        <v>3.2922500000000098E-2</v>
      </c>
      <c r="E8175" s="3">
        <v>0.92594319151138005</v>
      </c>
      <c r="F8175" s="3">
        <v>0.92594319151138005</v>
      </c>
      <c r="G8175" s="3">
        <v>3.5884862000000002</v>
      </c>
      <c r="H8175" s="3"/>
      <c r="I8175" s="3">
        <v>3.5226426000000002</v>
      </c>
      <c r="J8175" s="3">
        <v>3.5884862000000002</v>
      </c>
      <c r="K8175" s="3">
        <v>3.5226426000000002</v>
      </c>
      <c r="L8175" s="3"/>
    </row>
    <row r="8176" spans="1:12" ht="15" customHeight="1" x14ac:dyDescent="0.2">
      <c r="A8176" s="2">
        <v>34191</v>
      </c>
      <c r="B8176" s="3">
        <v>3.5555637</v>
      </c>
      <c r="C8176" s="1">
        <v>476886.35</v>
      </c>
      <c r="D8176" s="3">
        <v>-3.2922500000000098E-2</v>
      </c>
      <c r="E8176" s="3">
        <v>-0.91744814289658105</v>
      </c>
      <c r="F8176" s="3">
        <v>-0.91744814289658105</v>
      </c>
      <c r="G8176" s="3">
        <v>3.5555637</v>
      </c>
      <c r="H8176" s="3">
        <v>-0.91744814289658305</v>
      </c>
      <c r="I8176" s="3">
        <v>3.5884862000000002</v>
      </c>
      <c r="J8176" s="3">
        <v>3.6214081999999999</v>
      </c>
      <c r="K8176" s="3">
        <v>3.4238757999999998</v>
      </c>
      <c r="L8176" s="3">
        <v>-0.91744814289658305</v>
      </c>
    </row>
    <row r="8177" spans="1:12" ht="15" customHeight="1" x14ac:dyDescent="0.2">
      <c r="A8177" s="2">
        <v>34190</v>
      </c>
      <c r="B8177" s="3">
        <v>3.5884862000000002</v>
      </c>
      <c r="C8177" s="1">
        <v>463976.96000000002</v>
      </c>
      <c r="D8177" s="3">
        <v>-9.8766099999999704E-2</v>
      </c>
      <c r="E8177" s="3">
        <v>-2.67858263997827</v>
      </c>
      <c r="F8177" s="3">
        <v>-2.67858263997827</v>
      </c>
      <c r="G8177" s="3">
        <v>3.5884862000000002</v>
      </c>
      <c r="H8177" s="3"/>
      <c r="I8177" s="3">
        <v>3.7201743</v>
      </c>
      <c r="J8177" s="3">
        <v>3.7201740000000001</v>
      </c>
      <c r="K8177" s="3">
        <v>3.5884862000000002</v>
      </c>
      <c r="L8177" s="3"/>
    </row>
    <row r="8178" spans="1:12" ht="15" customHeight="1" x14ac:dyDescent="0.2">
      <c r="A8178" s="2">
        <v>34187</v>
      </c>
      <c r="B8178" s="3">
        <v>3.6872522999999999</v>
      </c>
      <c r="C8178" s="1">
        <v>104034.13</v>
      </c>
      <c r="D8178" s="3">
        <v>-3.2921700000000102E-2</v>
      </c>
      <c r="E8178" s="3">
        <v>-0.884950542635909</v>
      </c>
      <c r="F8178" s="3">
        <v>-0.884950542635909</v>
      </c>
      <c r="G8178" s="3">
        <v>3.6872522999999999</v>
      </c>
      <c r="H8178" s="3">
        <v>2.7523054150243</v>
      </c>
      <c r="I8178" s="3">
        <v>3.6543304999999999</v>
      </c>
      <c r="J8178" s="3">
        <v>3.7201740000000001</v>
      </c>
      <c r="K8178" s="3">
        <v>3.6543294999999998</v>
      </c>
      <c r="L8178" s="3">
        <v>2.7523054150243</v>
      </c>
    </row>
    <row r="8179" spans="1:12" ht="15" customHeight="1" x14ac:dyDescent="0.2">
      <c r="A8179" s="2">
        <v>34186</v>
      </c>
      <c r="B8179" s="3">
        <v>3.7201740000000001</v>
      </c>
      <c r="C8179" s="1">
        <v>1063881.8</v>
      </c>
      <c r="D8179" s="3">
        <v>0.13168779999999899</v>
      </c>
      <c r="E8179" s="3">
        <v>3.66973126439777</v>
      </c>
      <c r="F8179" s="3">
        <v>3.66973126439777</v>
      </c>
      <c r="G8179" s="3">
        <v>3.7201740000000001</v>
      </c>
      <c r="H8179" s="3">
        <v>3.6697312643977802</v>
      </c>
      <c r="I8179" s="3">
        <v>3.5555648999999998</v>
      </c>
      <c r="J8179" s="3">
        <v>3.7201740000000001</v>
      </c>
      <c r="K8179" s="3">
        <v>3.5555637</v>
      </c>
      <c r="L8179" s="3">
        <v>3.6697312643977802</v>
      </c>
    </row>
    <row r="8180" spans="1:12" ht="15" customHeight="1" x14ac:dyDescent="0.2">
      <c r="A8180" s="2">
        <v>34185</v>
      </c>
      <c r="B8180" s="3">
        <v>3.5884862000000002</v>
      </c>
      <c r="C8180" s="1">
        <v>1129947.3</v>
      </c>
      <c r="D8180" s="3">
        <v>-3.2921999999999597E-2</v>
      </c>
      <c r="E8180" s="3">
        <v>-0.90909387127360297</v>
      </c>
      <c r="F8180" s="3">
        <v>-0.90909387127360297</v>
      </c>
      <c r="G8180" s="3">
        <v>3.5884862000000002</v>
      </c>
      <c r="H8180" s="3"/>
      <c r="I8180" s="3">
        <v>3.6543304999999999</v>
      </c>
      <c r="J8180" s="3">
        <v>3.6543294999999998</v>
      </c>
      <c r="K8180" s="3">
        <v>3.3580325000000002</v>
      </c>
      <c r="L8180" s="3"/>
    </row>
    <row r="8181" spans="1:12" ht="15" customHeight="1" x14ac:dyDescent="0.2">
      <c r="A8181" s="2">
        <v>34184</v>
      </c>
      <c r="B8181" s="3">
        <v>3.6214081999999999</v>
      </c>
      <c r="C8181" s="1">
        <v>173137.1</v>
      </c>
      <c r="D8181" s="3">
        <v>-6.5844100000000003E-2</v>
      </c>
      <c r="E8181" s="3">
        <v>-1.78572266400105</v>
      </c>
      <c r="F8181" s="3">
        <v>-1.78572266400105</v>
      </c>
      <c r="G8181" s="3">
        <v>3.6214081999999999</v>
      </c>
      <c r="H8181" s="3">
        <v>0.91743420944463006</v>
      </c>
      <c r="I8181" s="3">
        <v>3.7530960000000002</v>
      </c>
      <c r="J8181" s="3">
        <v>3.7530956</v>
      </c>
      <c r="K8181" s="3">
        <v>3.6214081999999999</v>
      </c>
      <c r="L8181" s="3">
        <v>0.91743420944463006</v>
      </c>
    </row>
    <row r="8182" spans="1:12" ht="15" customHeight="1" x14ac:dyDescent="0.2">
      <c r="A8182" s="2">
        <v>34183</v>
      </c>
      <c r="B8182" s="3">
        <v>3.6872522999999999</v>
      </c>
      <c r="C8182" s="1">
        <v>146559.04000000001</v>
      </c>
      <c r="D8182" s="3">
        <v>0.13168859999999899</v>
      </c>
      <c r="E8182" s="3">
        <v>3.7037333911356898</v>
      </c>
      <c r="F8182" s="3">
        <v>3.7037333911356898</v>
      </c>
      <c r="G8182" s="3">
        <v>3.6872522999999999</v>
      </c>
      <c r="H8182" s="3">
        <v>2.7523054150243</v>
      </c>
      <c r="I8182" s="3">
        <v>3.6543304999999999</v>
      </c>
      <c r="J8182" s="3">
        <v>3.7530956</v>
      </c>
      <c r="K8182" s="3">
        <v>3.5884862000000002</v>
      </c>
      <c r="L8182" s="3">
        <v>2.7523054150243</v>
      </c>
    </row>
    <row r="8183" spans="1:12" ht="15" customHeight="1" x14ac:dyDescent="0.2">
      <c r="A8183" s="2">
        <v>34180</v>
      </c>
      <c r="B8183" s="3">
        <v>3.5555637</v>
      </c>
      <c r="C8183" s="1">
        <v>261983.76</v>
      </c>
      <c r="D8183" s="3">
        <v>0.1316879</v>
      </c>
      <c r="E8183" s="3">
        <v>3.8461646301539401</v>
      </c>
      <c r="F8183" s="3">
        <v>3.8461646301539401</v>
      </c>
      <c r="G8183" s="3">
        <v>3.5555637</v>
      </c>
      <c r="H8183" s="3">
        <v>-0.91744814289658305</v>
      </c>
      <c r="I8183" s="3">
        <v>3.4238767999999999</v>
      </c>
      <c r="J8183" s="3">
        <v>3.5884862000000002</v>
      </c>
      <c r="K8183" s="3">
        <v>3.3909539999999998</v>
      </c>
      <c r="L8183" s="3">
        <v>-0.91744814289658305</v>
      </c>
    </row>
    <row r="8184" spans="1:12" ht="15" customHeight="1" x14ac:dyDescent="0.2">
      <c r="A8184" s="2">
        <v>34179</v>
      </c>
      <c r="B8184" s="3">
        <v>3.4238757999999998</v>
      </c>
      <c r="C8184" s="1">
        <v>117702.834999999</v>
      </c>
      <c r="D8184" s="3"/>
      <c r="E8184" s="3"/>
      <c r="F8184" s="3"/>
      <c r="G8184" s="3">
        <v>3.4238757999999998</v>
      </c>
      <c r="H8184" s="3">
        <v>-4.5871821939847601</v>
      </c>
      <c r="I8184" s="3">
        <v>3.4567993000000001</v>
      </c>
      <c r="J8184" s="3">
        <v>3.4567983</v>
      </c>
      <c r="K8184" s="3">
        <v>3.3580325000000002</v>
      </c>
      <c r="L8184" s="3">
        <v>-4.5871821939847601</v>
      </c>
    </row>
    <row r="8185" spans="1:12" ht="15" customHeight="1" x14ac:dyDescent="0.2">
      <c r="A8185" s="2">
        <v>34178</v>
      </c>
      <c r="B8185" s="3">
        <v>3.4238757999999998</v>
      </c>
      <c r="C8185" s="1">
        <v>682676.45</v>
      </c>
      <c r="D8185" s="3"/>
      <c r="E8185" s="3"/>
      <c r="F8185" s="3"/>
      <c r="G8185" s="3">
        <v>3.4238757999999998</v>
      </c>
      <c r="H8185" s="3">
        <v>-4.5871821939847601</v>
      </c>
      <c r="I8185" s="3">
        <v>3.3909549999999999</v>
      </c>
      <c r="J8185" s="3">
        <v>3.4238757999999998</v>
      </c>
      <c r="K8185" s="3">
        <v>3.3580325000000002</v>
      </c>
      <c r="L8185" s="3">
        <v>-4.5871821939847601</v>
      </c>
    </row>
    <row r="8186" spans="1:12" ht="15" customHeight="1" x14ac:dyDescent="0.2">
      <c r="A8186" s="2">
        <v>34177</v>
      </c>
      <c r="B8186" s="3">
        <v>3.4238757999999998</v>
      </c>
      <c r="C8186" s="1">
        <v>247555.65</v>
      </c>
      <c r="D8186" s="3">
        <v>-1.6460400000000101E-2</v>
      </c>
      <c r="E8186" s="3">
        <v>-0.47845323954095398</v>
      </c>
      <c r="F8186" s="3">
        <v>-0.47845323954095398</v>
      </c>
      <c r="G8186" s="3">
        <v>3.4238757999999998</v>
      </c>
      <c r="H8186" s="3">
        <v>-4.5871821939847601</v>
      </c>
      <c r="I8186" s="3">
        <v>3.4567993000000001</v>
      </c>
      <c r="J8186" s="3">
        <v>3.4567983</v>
      </c>
      <c r="K8186" s="3">
        <v>3.3909539999999998</v>
      </c>
      <c r="L8186" s="3">
        <v>-4.5871821939847601</v>
      </c>
    </row>
    <row r="8187" spans="1:12" ht="15" customHeight="1" x14ac:dyDescent="0.2">
      <c r="A8187" s="2">
        <v>34176</v>
      </c>
      <c r="B8187" s="3">
        <v>3.4403362</v>
      </c>
      <c r="C8187" s="1">
        <v>1139059.7</v>
      </c>
      <c r="D8187" s="3">
        <v>-1.64621E-2</v>
      </c>
      <c r="E8187" s="3">
        <v>-0.47622390927466401</v>
      </c>
      <c r="F8187" s="3">
        <v>-0.47622390927466401</v>
      </c>
      <c r="G8187" s="3">
        <v>3.4403362</v>
      </c>
      <c r="H8187" s="3">
        <v>-4.12848180940476</v>
      </c>
      <c r="I8187" s="3">
        <v>3.4897208000000002</v>
      </c>
      <c r="J8187" s="3">
        <v>3.4897203000000001</v>
      </c>
      <c r="K8187" s="3">
        <v>3.3580325000000002</v>
      </c>
      <c r="L8187" s="3">
        <v>-4.12848180940476</v>
      </c>
    </row>
    <row r="8188" spans="1:12" ht="15" customHeight="1" x14ac:dyDescent="0.2">
      <c r="A8188" s="2">
        <v>34173</v>
      </c>
      <c r="B8188" s="3">
        <v>3.4567983</v>
      </c>
      <c r="C8188" s="1">
        <v>1063122.5999999901</v>
      </c>
      <c r="D8188" s="3">
        <v>-0.1316879</v>
      </c>
      <c r="E8188" s="3">
        <v>-3.66973405108818</v>
      </c>
      <c r="F8188" s="3">
        <v>-3.66973405108818</v>
      </c>
      <c r="G8188" s="3">
        <v>3.4567983</v>
      </c>
      <c r="H8188" s="3">
        <v>-3.6697340510881702</v>
      </c>
      <c r="I8188" s="3">
        <v>3.5884862000000002</v>
      </c>
      <c r="J8188" s="3">
        <v>3.5884862000000002</v>
      </c>
      <c r="K8188" s="3">
        <v>3.4238757999999998</v>
      </c>
      <c r="L8188" s="3">
        <v>-3.6697340510881702</v>
      </c>
    </row>
    <row r="8189" spans="1:12" ht="15" customHeight="1" x14ac:dyDescent="0.2">
      <c r="A8189" s="2">
        <v>34172</v>
      </c>
      <c r="B8189" s="3">
        <v>3.5884862000000002</v>
      </c>
      <c r="C8189" s="1">
        <v>530801.9</v>
      </c>
      <c r="D8189" s="3">
        <v>3.2922500000000098E-2</v>
      </c>
      <c r="E8189" s="3">
        <v>0.92594319151138005</v>
      </c>
      <c r="F8189" s="3">
        <v>0.92594319151138005</v>
      </c>
      <c r="G8189" s="3">
        <v>3.5884862000000002</v>
      </c>
      <c r="H8189" s="3"/>
      <c r="I8189" s="3">
        <v>3.5884862000000002</v>
      </c>
      <c r="J8189" s="3">
        <v>3.6214081999999999</v>
      </c>
      <c r="K8189" s="3">
        <v>3.5226426000000002</v>
      </c>
      <c r="L8189" s="3"/>
    </row>
    <row r="8190" spans="1:12" ht="15" customHeight="1" x14ac:dyDescent="0.2">
      <c r="A8190" s="2">
        <v>34171</v>
      </c>
      <c r="B8190" s="3">
        <v>3.5555637</v>
      </c>
      <c r="C8190" s="1">
        <v>810251.1</v>
      </c>
      <c r="D8190" s="3">
        <v>-8.2305400000000001E-2</v>
      </c>
      <c r="E8190" s="3">
        <v>-2.2624618351441002</v>
      </c>
      <c r="F8190" s="3">
        <v>-2.2624618351441002</v>
      </c>
      <c r="G8190" s="3">
        <v>3.5555637</v>
      </c>
      <c r="H8190" s="3">
        <v>-0.91744814289658305</v>
      </c>
      <c r="I8190" s="3">
        <v>3.6214081999999999</v>
      </c>
      <c r="J8190" s="3">
        <v>3.6872522999999999</v>
      </c>
      <c r="K8190" s="3">
        <v>3.5226426000000002</v>
      </c>
      <c r="L8190" s="3">
        <v>-0.91744814289658305</v>
      </c>
    </row>
    <row r="8191" spans="1:12" ht="15" customHeight="1" x14ac:dyDescent="0.2">
      <c r="A8191" s="2">
        <v>34170</v>
      </c>
      <c r="B8191" s="3">
        <v>3.6378691000000001</v>
      </c>
      <c r="C8191" s="1">
        <v>1408637.3</v>
      </c>
      <c r="D8191" s="3">
        <v>-0.14814829999999901</v>
      </c>
      <c r="E8191" s="3">
        <v>-3.9130380119224899</v>
      </c>
      <c r="F8191" s="3">
        <v>-3.9130380119224899</v>
      </c>
      <c r="G8191" s="3">
        <v>3.6378691000000001</v>
      </c>
      <c r="H8191" s="3">
        <v>1.3761485274765599</v>
      </c>
      <c r="I8191" s="3">
        <v>3.7860185999999998</v>
      </c>
      <c r="J8191" s="3">
        <v>3.7860174</v>
      </c>
      <c r="K8191" s="3">
        <v>3.3909539999999998</v>
      </c>
      <c r="L8191" s="3">
        <v>1.3761485274765599</v>
      </c>
    </row>
    <row r="8192" spans="1:12" ht="15" customHeight="1" x14ac:dyDescent="0.2">
      <c r="A8192" s="2">
        <v>34169</v>
      </c>
      <c r="B8192" s="3">
        <v>3.7860174</v>
      </c>
      <c r="C8192" s="1">
        <v>889226</v>
      </c>
      <c r="D8192" s="3">
        <v>-8.2304600000000006E-2</v>
      </c>
      <c r="E8192" s="3">
        <v>-2.1276563843444198</v>
      </c>
      <c r="F8192" s="3">
        <v>-2.1276563843444198</v>
      </c>
      <c r="G8192" s="3">
        <v>3.7860174</v>
      </c>
      <c r="H8192" s="3">
        <v>5.5045829631447303</v>
      </c>
      <c r="I8192" s="3">
        <v>3.9177054999999998</v>
      </c>
      <c r="J8192" s="3">
        <v>3.9177046</v>
      </c>
      <c r="K8192" s="3">
        <v>3.7201740000000001</v>
      </c>
      <c r="L8192" s="3">
        <v>5.5045829631447303</v>
      </c>
    </row>
    <row r="8193" spans="1:12" ht="15" customHeight="1" x14ac:dyDescent="0.2">
      <c r="A8193" s="2">
        <v>34166</v>
      </c>
      <c r="B8193" s="3">
        <v>3.868322</v>
      </c>
      <c r="C8193" s="1">
        <v>312102.39999999898</v>
      </c>
      <c r="D8193" s="3">
        <v>-0.115226199999999</v>
      </c>
      <c r="E8193" s="3">
        <v>-2.8925519214252202</v>
      </c>
      <c r="F8193" s="3">
        <v>-2.8925519214252202</v>
      </c>
      <c r="G8193" s="3">
        <v>3.868322</v>
      </c>
      <c r="H8193" s="3">
        <v>7.7981573399947797</v>
      </c>
      <c r="I8193" s="3">
        <v>3.9177054999999998</v>
      </c>
      <c r="J8193" s="3">
        <v>3.9835482</v>
      </c>
      <c r="K8193" s="3">
        <v>3.8518612000000001</v>
      </c>
      <c r="L8193" s="3">
        <v>7.7981573399947797</v>
      </c>
    </row>
    <row r="8194" spans="1:12" ht="15" customHeight="1" x14ac:dyDescent="0.2">
      <c r="A8194" s="2">
        <v>34165</v>
      </c>
      <c r="B8194" s="3">
        <v>3.9835482</v>
      </c>
      <c r="C8194" s="1">
        <v>593829.799999999</v>
      </c>
      <c r="D8194" s="3">
        <v>0.19753080000000001</v>
      </c>
      <c r="E8194" s="3">
        <v>5.2173769724354697</v>
      </c>
      <c r="F8194" s="3">
        <v>5.2173769724354697</v>
      </c>
      <c r="G8194" s="3">
        <v>3.9835482</v>
      </c>
      <c r="H8194" s="3">
        <v>11.009154779527901</v>
      </c>
      <c r="I8194" s="3">
        <v>3.9177054999999998</v>
      </c>
      <c r="J8194" s="3">
        <v>3.9835482</v>
      </c>
      <c r="K8194" s="3">
        <v>3.8518612000000001</v>
      </c>
      <c r="L8194" s="3">
        <v>11.009154779527901</v>
      </c>
    </row>
    <row r="8195" spans="1:12" ht="15" customHeight="1" x14ac:dyDescent="0.2">
      <c r="A8195" s="2">
        <v>34164</v>
      </c>
      <c r="B8195" s="3">
        <v>3.7860174</v>
      </c>
      <c r="C8195" s="1">
        <v>737351.4</v>
      </c>
      <c r="D8195" s="3">
        <v>-0.19753080000000001</v>
      </c>
      <c r="E8195" s="3">
        <v>-4.9586647401429698</v>
      </c>
      <c r="F8195" s="3">
        <v>-4.9586647401429698</v>
      </c>
      <c r="G8195" s="3">
        <v>3.7860174</v>
      </c>
      <c r="H8195" s="3">
        <v>5.5045829631447303</v>
      </c>
      <c r="I8195" s="3">
        <v>4.0164710000000001</v>
      </c>
      <c r="J8195" s="3">
        <v>4.0164710000000001</v>
      </c>
      <c r="K8195" s="3">
        <v>3.7366345000000001</v>
      </c>
      <c r="L8195" s="3">
        <v>5.5045829631447303</v>
      </c>
    </row>
    <row r="8196" spans="1:12" ht="15" customHeight="1" x14ac:dyDescent="0.2">
      <c r="A8196" s="2">
        <v>34163</v>
      </c>
      <c r="B8196" s="3">
        <v>3.9835482</v>
      </c>
      <c r="C8196" s="1">
        <v>37209.281999999999</v>
      </c>
      <c r="D8196" s="3">
        <v>3.2921800000000001E-2</v>
      </c>
      <c r="E8196" s="3">
        <v>0.833331139588389</v>
      </c>
      <c r="F8196" s="3">
        <v>0.833331139588389</v>
      </c>
      <c r="G8196" s="3">
        <v>3.9835482</v>
      </c>
      <c r="H8196" s="3">
        <v>11.009154779527901</v>
      </c>
      <c r="I8196" s="3">
        <v>3.950628</v>
      </c>
      <c r="J8196" s="3">
        <v>4.0164710000000001</v>
      </c>
      <c r="K8196" s="3">
        <v>3.8518612000000001</v>
      </c>
      <c r="L8196" s="3">
        <v>11.009154779527901</v>
      </c>
    </row>
    <row r="8197" spans="1:12" ht="15" customHeight="1" x14ac:dyDescent="0.2">
      <c r="A8197" s="2">
        <v>34162</v>
      </c>
      <c r="B8197" s="3">
        <v>3.9506264</v>
      </c>
      <c r="C8197" s="1">
        <v>747982.5</v>
      </c>
      <c r="D8197" s="3"/>
      <c r="E8197" s="3"/>
      <c r="F8197" s="3"/>
      <c r="G8197" s="3">
        <v>3.9506264</v>
      </c>
      <c r="H8197" s="3">
        <v>10.091726143463999</v>
      </c>
      <c r="I8197" s="3">
        <v>3.8847836999999998</v>
      </c>
      <c r="J8197" s="3">
        <v>3.9506264</v>
      </c>
      <c r="K8197" s="3">
        <v>3.8189394000000001</v>
      </c>
      <c r="L8197" s="3">
        <v>10.091726143463999</v>
      </c>
    </row>
    <row r="8198" spans="1:12" ht="15" customHeight="1" x14ac:dyDescent="0.2">
      <c r="A8198" s="2">
        <v>34159</v>
      </c>
      <c r="B8198" s="3">
        <v>3.9506264</v>
      </c>
      <c r="C8198" s="1">
        <v>208068.25</v>
      </c>
      <c r="D8198" s="3">
        <v>6.5843600000000002E-2</v>
      </c>
      <c r="E8198" s="3">
        <v>1.6949107167587301</v>
      </c>
      <c r="F8198" s="3">
        <v>1.6949107167587301</v>
      </c>
      <c r="G8198" s="3">
        <v>3.9506264</v>
      </c>
      <c r="H8198" s="3">
        <v>10.091726143463999</v>
      </c>
      <c r="I8198" s="3">
        <v>3.950628</v>
      </c>
      <c r="J8198" s="3">
        <v>3.9506264</v>
      </c>
      <c r="K8198" s="3">
        <v>3.8847828</v>
      </c>
      <c r="L8198" s="3">
        <v>10.091726143463999</v>
      </c>
    </row>
    <row r="8199" spans="1:12" ht="15" customHeight="1" x14ac:dyDescent="0.2">
      <c r="A8199" s="2">
        <v>34158</v>
      </c>
      <c r="B8199" s="3">
        <v>3.8847828</v>
      </c>
      <c r="C8199" s="1">
        <v>178452.71</v>
      </c>
      <c r="D8199" s="3">
        <v>-3.2921800000000001E-2</v>
      </c>
      <c r="E8199" s="3">
        <v>-0.84033390368432004</v>
      </c>
      <c r="F8199" s="3">
        <v>-0.84033390368432004</v>
      </c>
      <c r="G8199" s="3">
        <v>3.8847828</v>
      </c>
      <c r="H8199" s="3">
        <v>8.2568688713363194</v>
      </c>
      <c r="I8199" s="3">
        <v>3.8518620000000001</v>
      </c>
      <c r="J8199" s="3">
        <v>3.9506264</v>
      </c>
      <c r="K8199" s="3">
        <v>3.8518612000000001</v>
      </c>
      <c r="L8199" s="3">
        <v>8.2568688713363194</v>
      </c>
    </row>
    <row r="8200" spans="1:12" ht="15" customHeight="1" x14ac:dyDescent="0.2">
      <c r="A8200" s="2">
        <v>34157</v>
      </c>
      <c r="B8200" s="3">
        <v>3.9177046</v>
      </c>
      <c r="C8200" s="1">
        <v>1018319.5</v>
      </c>
      <c r="D8200" s="3">
        <v>-9.8766400000000101E-2</v>
      </c>
      <c r="E8200" s="3">
        <v>-2.4590343114639701</v>
      </c>
      <c r="F8200" s="3">
        <v>-2.4590343114639701</v>
      </c>
      <c r="G8200" s="3">
        <v>3.9177046</v>
      </c>
      <c r="H8200" s="3">
        <v>9.1742975074001905</v>
      </c>
      <c r="I8200" s="3">
        <v>3.950628</v>
      </c>
      <c r="J8200" s="3">
        <v>4.0164710000000001</v>
      </c>
      <c r="K8200" s="3">
        <v>3.8518612000000001</v>
      </c>
      <c r="L8200" s="3">
        <v>9.1742975074001905</v>
      </c>
    </row>
    <row r="8201" spans="1:12" ht="15" customHeight="1" x14ac:dyDescent="0.2">
      <c r="A8201" s="2">
        <v>34156</v>
      </c>
      <c r="B8201" s="3">
        <v>4.0164710000000001</v>
      </c>
      <c r="C8201" s="1">
        <v>59990.482000000004</v>
      </c>
      <c r="D8201" s="3">
        <v>3.2922800000000099E-2</v>
      </c>
      <c r="E8201" s="3">
        <v>0.82646922660556399</v>
      </c>
      <c r="F8201" s="3">
        <v>0.82646922660556399</v>
      </c>
      <c r="G8201" s="3">
        <v>4.0164710000000001</v>
      </c>
      <c r="H8201" s="3">
        <v>11.9266112824956</v>
      </c>
      <c r="I8201" s="3">
        <v>4.0823150000000004</v>
      </c>
      <c r="J8201" s="3">
        <v>4.0823144999999998</v>
      </c>
      <c r="K8201" s="3">
        <v>3.9835482</v>
      </c>
      <c r="L8201" s="3">
        <v>11.9266112824956</v>
      </c>
    </row>
    <row r="8202" spans="1:12" ht="15" customHeight="1" x14ac:dyDescent="0.2">
      <c r="A8202" s="2">
        <v>34152</v>
      </c>
      <c r="B8202" s="3">
        <v>3.9835482</v>
      </c>
      <c r="C8202" s="1">
        <v>120740.33</v>
      </c>
      <c r="D8202" s="3">
        <v>-3.2922800000000099E-2</v>
      </c>
      <c r="E8202" s="3">
        <v>-0.81969470214026097</v>
      </c>
      <c r="F8202" s="3">
        <v>-0.81969470214026097</v>
      </c>
      <c r="G8202" s="3">
        <v>3.9835482</v>
      </c>
      <c r="H8202" s="3">
        <v>11.009154779527901</v>
      </c>
      <c r="I8202" s="3">
        <v>4.0823150000000004</v>
      </c>
      <c r="J8202" s="3">
        <v>4.0823144999999998</v>
      </c>
      <c r="K8202" s="3">
        <v>3.9835482</v>
      </c>
      <c r="L8202" s="3">
        <v>11.009154779527901</v>
      </c>
    </row>
    <row r="8203" spans="1:12" ht="15" customHeight="1" x14ac:dyDescent="0.2">
      <c r="A8203" s="2">
        <v>34151</v>
      </c>
      <c r="B8203" s="3">
        <v>4.0164710000000001</v>
      </c>
      <c r="C8203" s="1">
        <v>356146.06</v>
      </c>
      <c r="D8203" s="3">
        <v>6.58446000000001E-2</v>
      </c>
      <c r="E8203" s="3">
        <v>1.6666875916183801</v>
      </c>
      <c r="F8203" s="3">
        <v>1.6666875916183801</v>
      </c>
      <c r="G8203" s="3">
        <v>4.0164710000000001</v>
      </c>
      <c r="H8203" s="3">
        <v>11.9266112824956</v>
      </c>
      <c r="I8203" s="3">
        <v>4.0164710000000001</v>
      </c>
      <c r="J8203" s="3">
        <v>4.1152360000000003</v>
      </c>
      <c r="K8203" s="3">
        <v>3.9506264</v>
      </c>
      <c r="L8203" s="3">
        <v>11.9266112824956</v>
      </c>
    </row>
    <row r="8204" spans="1:12" ht="15" customHeight="1" x14ac:dyDescent="0.2">
      <c r="A8204" s="2">
        <v>34150</v>
      </c>
      <c r="B8204" s="3">
        <v>3.9506264</v>
      </c>
      <c r="C8204" s="1">
        <v>16706.210999999999</v>
      </c>
      <c r="D8204" s="3">
        <v>-6.58446000000001E-2</v>
      </c>
      <c r="E8204" s="3">
        <v>-1.6393645068021201</v>
      </c>
      <c r="F8204" s="3">
        <v>-1.6393645068021201</v>
      </c>
      <c r="G8204" s="3">
        <v>3.9506264</v>
      </c>
      <c r="H8204" s="3">
        <v>10.091726143463999</v>
      </c>
      <c r="I8204" s="3">
        <v>3.950628</v>
      </c>
      <c r="J8204" s="3">
        <v>3.9835482</v>
      </c>
      <c r="K8204" s="3">
        <v>3.9506264</v>
      </c>
      <c r="L8204" s="3">
        <v>10.091726143463999</v>
      </c>
    </row>
    <row r="8205" spans="1:12" ht="15" customHeight="1" x14ac:dyDescent="0.2">
      <c r="A8205" s="2">
        <v>34149</v>
      </c>
      <c r="B8205" s="3">
        <v>4.0164710000000001</v>
      </c>
      <c r="C8205" s="1">
        <v>523967.5</v>
      </c>
      <c r="D8205" s="3">
        <v>3.2922800000000099E-2</v>
      </c>
      <c r="E8205" s="3">
        <v>0.82646922660556399</v>
      </c>
      <c r="F8205" s="3">
        <v>0.82646922660556399</v>
      </c>
      <c r="G8205" s="3">
        <v>4.0164710000000001</v>
      </c>
      <c r="H8205" s="3">
        <v>11.9266112824956</v>
      </c>
      <c r="I8205" s="3">
        <v>4.0164710000000001</v>
      </c>
      <c r="J8205" s="3">
        <v>4.0164710000000001</v>
      </c>
      <c r="K8205" s="3">
        <v>3.9506264</v>
      </c>
      <c r="L8205" s="3">
        <v>11.9266112824956</v>
      </c>
    </row>
    <row r="8206" spans="1:12" ht="15" customHeight="1" x14ac:dyDescent="0.2">
      <c r="A8206" s="2">
        <v>34148</v>
      </c>
      <c r="B8206" s="3">
        <v>3.9835482</v>
      </c>
      <c r="C8206" s="1">
        <v>432083.37</v>
      </c>
      <c r="D8206" s="3">
        <v>0.263374199999999</v>
      </c>
      <c r="E8206" s="3">
        <v>7.0796204693651399</v>
      </c>
      <c r="F8206" s="3">
        <v>7.0796204693651399</v>
      </c>
      <c r="G8206" s="3">
        <v>3.9835482</v>
      </c>
      <c r="H8206" s="3">
        <v>11.009154779527901</v>
      </c>
      <c r="I8206" s="3">
        <v>3.7860185999999998</v>
      </c>
      <c r="J8206" s="3">
        <v>3.9835482</v>
      </c>
      <c r="K8206" s="3">
        <v>3.7530956</v>
      </c>
      <c r="L8206" s="3">
        <v>11.009154779527901</v>
      </c>
    </row>
    <row r="8207" spans="1:12" ht="15" customHeight="1" x14ac:dyDescent="0.2">
      <c r="A8207" s="2">
        <v>34145</v>
      </c>
      <c r="B8207" s="3">
        <v>3.7201740000000001</v>
      </c>
      <c r="C8207" s="1">
        <v>246796.28</v>
      </c>
      <c r="D8207" s="3"/>
      <c r="E8207" s="3"/>
      <c r="F8207" s="3"/>
      <c r="G8207" s="3">
        <v>3.7201740000000001</v>
      </c>
      <c r="H8207" s="3">
        <v>3.6697312643977802</v>
      </c>
      <c r="I8207" s="3">
        <v>3.7201743</v>
      </c>
      <c r="J8207" s="3">
        <v>3.7860174</v>
      </c>
      <c r="K8207" s="3">
        <v>3.6872522999999999</v>
      </c>
      <c r="L8207" s="3">
        <v>3.6697312643977802</v>
      </c>
    </row>
    <row r="8208" spans="1:12" ht="15" customHeight="1" x14ac:dyDescent="0.2">
      <c r="A8208" s="2">
        <v>34144</v>
      </c>
      <c r="B8208" s="3">
        <v>3.7201740000000001</v>
      </c>
      <c r="C8208" s="1">
        <v>699382.75</v>
      </c>
      <c r="D8208" s="3">
        <v>-6.5843399999999802E-2</v>
      </c>
      <c r="E8208" s="3">
        <v>-1.7391203748825801</v>
      </c>
      <c r="F8208" s="3">
        <v>-1.7391203748825801</v>
      </c>
      <c r="G8208" s="3">
        <v>3.7201740000000001</v>
      </c>
      <c r="H8208" s="3">
        <v>3.6697312643977802</v>
      </c>
      <c r="I8208" s="3">
        <v>3.7860185999999998</v>
      </c>
      <c r="J8208" s="3">
        <v>3.7860174</v>
      </c>
      <c r="K8208" s="3">
        <v>3.6872522999999999</v>
      </c>
      <c r="L8208" s="3">
        <v>3.6697312643977802</v>
      </c>
    </row>
    <row r="8209" spans="1:12" ht="15" customHeight="1" x14ac:dyDescent="0.2">
      <c r="A8209" s="2">
        <v>34143</v>
      </c>
      <c r="B8209" s="3">
        <v>3.7860174</v>
      </c>
      <c r="C8209" s="1">
        <v>277930.59999999998</v>
      </c>
      <c r="D8209" s="3">
        <v>1.64613999999998E-2</v>
      </c>
      <c r="E8209" s="3">
        <v>0.43669334001139498</v>
      </c>
      <c r="F8209" s="3">
        <v>0.43669334001139498</v>
      </c>
      <c r="G8209" s="3">
        <v>3.7860174</v>
      </c>
      <c r="H8209" s="3">
        <v>5.5045829631447303</v>
      </c>
      <c r="I8209" s="3">
        <v>3.7530960000000002</v>
      </c>
      <c r="J8209" s="3">
        <v>3.8518612000000001</v>
      </c>
      <c r="K8209" s="3">
        <v>3.7201740000000001</v>
      </c>
      <c r="L8209" s="3">
        <v>5.5045829631447303</v>
      </c>
    </row>
    <row r="8210" spans="1:12" ht="15" customHeight="1" x14ac:dyDescent="0.2">
      <c r="A8210" s="2">
        <v>34142</v>
      </c>
      <c r="B8210" s="3">
        <v>3.7695560000000001</v>
      </c>
      <c r="C8210" s="1">
        <v>763170.2</v>
      </c>
      <c r="D8210" s="3">
        <v>-4.9383399999999897E-2</v>
      </c>
      <c r="E8210" s="3">
        <v>-1.2931181887829899</v>
      </c>
      <c r="F8210" s="3">
        <v>-1.2931181887829899</v>
      </c>
      <c r="G8210" s="3">
        <v>3.7695560000000001</v>
      </c>
      <c r="H8210" s="3">
        <v>5.0458547116608603</v>
      </c>
      <c r="I8210" s="3">
        <v>3.8518620000000001</v>
      </c>
      <c r="J8210" s="3">
        <v>3.8518612000000001</v>
      </c>
      <c r="K8210" s="3">
        <v>3.7530956</v>
      </c>
      <c r="L8210" s="3">
        <v>5.0458547116608603</v>
      </c>
    </row>
    <row r="8211" spans="1:12" ht="15" customHeight="1" x14ac:dyDescent="0.2">
      <c r="A8211" s="2">
        <v>34141</v>
      </c>
      <c r="B8211" s="3">
        <v>3.8189394000000001</v>
      </c>
      <c r="C8211" s="1">
        <v>1510393.7</v>
      </c>
      <c r="D8211" s="3">
        <v>-0.246914199999999</v>
      </c>
      <c r="E8211" s="3">
        <v>-6.0728748324828796</v>
      </c>
      <c r="F8211" s="3">
        <v>-6.0728748324828796</v>
      </c>
      <c r="G8211" s="3">
        <v>3.8189394000000001</v>
      </c>
      <c r="H8211" s="3">
        <v>6.4220171725893698</v>
      </c>
      <c r="I8211" s="3">
        <v>4.1152376999999998</v>
      </c>
      <c r="J8211" s="3">
        <v>4.1810799999999997</v>
      </c>
      <c r="K8211" s="3">
        <v>3.7201740000000001</v>
      </c>
      <c r="L8211" s="3">
        <v>6.4220171725893698</v>
      </c>
    </row>
    <row r="8212" spans="1:12" ht="15" customHeight="1" x14ac:dyDescent="0.2">
      <c r="A8212" s="2">
        <v>34138</v>
      </c>
      <c r="B8212" s="3">
        <v>4.0658535999999996</v>
      </c>
      <c r="C8212" s="1">
        <v>847460.5</v>
      </c>
      <c r="D8212" s="3">
        <v>-0.31275740000000002</v>
      </c>
      <c r="E8212" s="3">
        <v>-7.1428450711881197</v>
      </c>
      <c r="F8212" s="3">
        <v>-7.1428450711881197</v>
      </c>
      <c r="G8212" s="3">
        <v>4.0658535999999996</v>
      </c>
      <c r="H8212" s="3">
        <v>13.302751449901001</v>
      </c>
      <c r="I8212" s="3">
        <v>4.3786125</v>
      </c>
      <c r="J8212" s="3">
        <v>4.4773769999999997</v>
      </c>
      <c r="K8212" s="3">
        <v>4.0493917000000001</v>
      </c>
      <c r="L8212" s="3">
        <v>13.302751449901001</v>
      </c>
    </row>
    <row r="8213" spans="1:12" ht="15" customHeight="1" x14ac:dyDescent="0.2">
      <c r="A8213" s="2">
        <v>34137</v>
      </c>
      <c r="B8213" s="3">
        <v>4.3786110000000003</v>
      </c>
      <c r="C8213" s="1">
        <v>751779.36</v>
      </c>
      <c r="D8213" s="3">
        <v>0.13168759999999999</v>
      </c>
      <c r="E8213" s="3">
        <v>3.1007764350070501</v>
      </c>
      <c r="F8213" s="3">
        <v>3.1007764350070501</v>
      </c>
      <c r="G8213" s="3">
        <v>4.3786110000000003</v>
      </c>
      <c r="H8213" s="3">
        <v>22.0183318525789</v>
      </c>
      <c r="I8213" s="3">
        <v>4.2469250000000001</v>
      </c>
      <c r="J8213" s="3">
        <v>4.4115330000000004</v>
      </c>
      <c r="K8213" s="3">
        <v>3.9506264</v>
      </c>
      <c r="L8213" s="3">
        <v>22.0183318525789</v>
      </c>
    </row>
    <row r="8214" spans="1:12" ht="15" customHeight="1" x14ac:dyDescent="0.2">
      <c r="A8214" s="2">
        <v>34136</v>
      </c>
      <c r="B8214" s="3">
        <v>4.2469234</v>
      </c>
      <c r="C8214" s="1">
        <v>28856.178</v>
      </c>
      <c r="D8214" s="3"/>
      <c r="E8214" s="3"/>
      <c r="F8214" s="3"/>
      <c r="G8214" s="3">
        <v>4.2469234</v>
      </c>
      <c r="H8214" s="3">
        <v>18.3486061615619</v>
      </c>
      <c r="I8214" s="3">
        <v>4.2469250000000001</v>
      </c>
      <c r="J8214" s="3">
        <v>4.2469234</v>
      </c>
      <c r="K8214" s="3">
        <v>4.1810799999999997</v>
      </c>
      <c r="L8214" s="3">
        <v>18.3486061615619</v>
      </c>
    </row>
    <row r="8215" spans="1:12" ht="15" customHeight="1" x14ac:dyDescent="0.2">
      <c r="A8215" s="2">
        <v>34135</v>
      </c>
      <c r="B8215" s="3">
        <v>4.2469234</v>
      </c>
      <c r="C8215" s="1">
        <v>59231.106</v>
      </c>
      <c r="D8215" s="3">
        <v>6.5843400000000302E-2</v>
      </c>
      <c r="E8215" s="3">
        <v>1.5747940723449501</v>
      </c>
      <c r="F8215" s="3">
        <v>1.5747940723449501</v>
      </c>
      <c r="G8215" s="3">
        <v>4.2469234</v>
      </c>
      <c r="H8215" s="3">
        <v>18.3486061615619</v>
      </c>
      <c r="I8215" s="3">
        <v>4.1810809999999998</v>
      </c>
      <c r="J8215" s="3">
        <v>4.2469234</v>
      </c>
      <c r="K8215" s="3">
        <v>4.1810799999999997</v>
      </c>
      <c r="L8215" s="3">
        <v>18.3486061615619</v>
      </c>
    </row>
    <row r="8216" spans="1:12" ht="15" customHeight="1" x14ac:dyDescent="0.2">
      <c r="A8216" s="2">
        <v>34134</v>
      </c>
      <c r="B8216" s="3">
        <v>4.1810799999999997</v>
      </c>
      <c r="C8216" s="1">
        <v>85049.79</v>
      </c>
      <c r="D8216" s="3">
        <v>-6.5843400000000302E-2</v>
      </c>
      <c r="E8216" s="3">
        <v>-1.5503787989206499</v>
      </c>
      <c r="F8216" s="3">
        <v>-1.5503787989206499</v>
      </c>
      <c r="G8216" s="3">
        <v>4.1810799999999997</v>
      </c>
      <c r="H8216" s="3">
        <v>16.513754462814902</v>
      </c>
      <c r="I8216" s="3">
        <v>4.2469250000000001</v>
      </c>
      <c r="J8216" s="3">
        <v>4.2469234</v>
      </c>
      <c r="K8216" s="3">
        <v>4.1481586000000004</v>
      </c>
      <c r="L8216" s="3">
        <v>16.513754462814902</v>
      </c>
    </row>
    <row r="8217" spans="1:12" ht="15" customHeight="1" x14ac:dyDescent="0.2">
      <c r="A8217" s="2">
        <v>34131</v>
      </c>
      <c r="B8217" s="3">
        <v>4.2469234</v>
      </c>
      <c r="C8217" s="1">
        <v>87327.92</v>
      </c>
      <c r="D8217" s="3"/>
      <c r="E8217" s="3"/>
      <c r="F8217" s="3"/>
      <c r="G8217" s="3">
        <v>4.2469234</v>
      </c>
      <c r="H8217" s="3">
        <v>18.3486061615619</v>
      </c>
      <c r="I8217" s="3">
        <v>4.279846</v>
      </c>
      <c r="J8217" s="3">
        <v>4.2798457000000001</v>
      </c>
      <c r="K8217" s="3">
        <v>4.1810799999999997</v>
      </c>
      <c r="L8217" s="3">
        <v>18.3486061615619</v>
      </c>
    </row>
    <row r="8218" spans="1:12" ht="15" customHeight="1" x14ac:dyDescent="0.2">
      <c r="A8218" s="2">
        <v>34130</v>
      </c>
      <c r="B8218" s="3">
        <v>4.2469234</v>
      </c>
      <c r="C8218" s="1">
        <v>809491.76</v>
      </c>
      <c r="D8218" s="3">
        <v>6.5843400000000302E-2</v>
      </c>
      <c r="E8218" s="3">
        <v>1.5747940723449501</v>
      </c>
      <c r="F8218" s="3">
        <v>1.5747940723449501</v>
      </c>
      <c r="G8218" s="3">
        <v>4.2469234</v>
      </c>
      <c r="H8218" s="3">
        <v>18.3486061615619</v>
      </c>
      <c r="I8218" s="3">
        <v>4.0823150000000004</v>
      </c>
      <c r="J8218" s="3">
        <v>4.2798457000000001</v>
      </c>
      <c r="K8218" s="3">
        <v>4.0823144999999998</v>
      </c>
      <c r="L8218" s="3">
        <v>18.3486061615619</v>
      </c>
    </row>
    <row r="8219" spans="1:12" ht="15" customHeight="1" x14ac:dyDescent="0.2">
      <c r="A8219" s="2">
        <v>34129</v>
      </c>
      <c r="B8219" s="3">
        <v>4.1810799999999997</v>
      </c>
      <c r="C8219" s="1">
        <v>233887.01</v>
      </c>
      <c r="D8219" s="3">
        <v>0.16460899999999901</v>
      </c>
      <c r="E8219" s="3">
        <v>4.0983490233092503</v>
      </c>
      <c r="F8219" s="3">
        <v>4.0983490233092503</v>
      </c>
      <c r="G8219" s="3">
        <v>4.1810799999999997</v>
      </c>
      <c r="H8219" s="3">
        <v>16.513754462814902</v>
      </c>
      <c r="I8219" s="3">
        <v>3.9835498</v>
      </c>
      <c r="J8219" s="3">
        <v>4.1810799999999997</v>
      </c>
      <c r="K8219" s="3">
        <v>3.9835482</v>
      </c>
      <c r="L8219" s="3">
        <v>16.513754462814902</v>
      </c>
    </row>
    <row r="8220" spans="1:12" ht="15" customHeight="1" x14ac:dyDescent="0.2">
      <c r="A8220" s="2">
        <v>34128</v>
      </c>
      <c r="B8220" s="3">
        <v>4.0164710000000001</v>
      </c>
      <c r="C8220" s="1">
        <v>201993.25999999899</v>
      </c>
      <c r="D8220" s="3">
        <v>-3.2920699999999997E-2</v>
      </c>
      <c r="E8220" s="3">
        <v>-0.81297889754651198</v>
      </c>
      <c r="F8220" s="3">
        <v>-0.81297889754651198</v>
      </c>
      <c r="G8220" s="3">
        <v>4.0164710000000001</v>
      </c>
      <c r="H8220" s="3">
        <v>11.9266112824956</v>
      </c>
      <c r="I8220" s="3">
        <v>4.0823150000000004</v>
      </c>
      <c r="J8220" s="3">
        <v>4.0823144999999998</v>
      </c>
      <c r="K8220" s="3">
        <v>4.0164710000000001</v>
      </c>
      <c r="L8220" s="3">
        <v>11.9266112824956</v>
      </c>
    </row>
    <row r="8221" spans="1:12" ht="15" customHeight="1" x14ac:dyDescent="0.2">
      <c r="A8221" s="2">
        <v>34127</v>
      </c>
      <c r="B8221" s="3">
        <v>4.0493917000000001</v>
      </c>
      <c r="C8221" s="1">
        <v>487517.7</v>
      </c>
      <c r="D8221" s="3">
        <v>-0.24691589999999899</v>
      </c>
      <c r="E8221" s="3">
        <v>-5.7471653100443501</v>
      </c>
      <c r="F8221" s="3">
        <v>-5.7471653100443501</v>
      </c>
      <c r="G8221" s="3">
        <v>4.0493917000000001</v>
      </c>
      <c r="H8221" s="3">
        <v>12.8440092649652</v>
      </c>
      <c r="I8221" s="3">
        <v>4.3456900000000003</v>
      </c>
      <c r="J8221" s="3">
        <v>4.3456900000000003</v>
      </c>
      <c r="K8221" s="3">
        <v>4.0164710000000001</v>
      </c>
      <c r="L8221" s="3">
        <v>12.8440092649652</v>
      </c>
    </row>
    <row r="8222" spans="1:12" ht="15" customHeight="1" x14ac:dyDescent="0.2">
      <c r="A8222" s="2">
        <v>34124</v>
      </c>
      <c r="B8222" s="3">
        <v>4.2963075999999996</v>
      </c>
      <c r="C8222" s="1">
        <v>159468.37</v>
      </c>
      <c r="D8222" s="3">
        <v>-8.2303400000000596E-2</v>
      </c>
      <c r="E8222" s="3">
        <v>-1.87966914622013</v>
      </c>
      <c r="F8222" s="3">
        <v>-1.87966914622013</v>
      </c>
      <c r="G8222" s="3">
        <v>4.2963075999999996</v>
      </c>
      <c r="H8222" s="3">
        <v>19.7247909160135</v>
      </c>
      <c r="I8222" s="3">
        <v>4.3786125</v>
      </c>
      <c r="J8222" s="3">
        <v>4.3786110000000003</v>
      </c>
      <c r="K8222" s="3">
        <v>4.2469234</v>
      </c>
      <c r="L8222" s="3">
        <v>19.7247909160135</v>
      </c>
    </row>
    <row r="8223" spans="1:12" ht="15" customHeight="1" x14ac:dyDescent="0.2">
      <c r="A8223" s="2">
        <v>34123</v>
      </c>
      <c r="B8223" s="3">
        <v>4.3786110000000003</v>
      </c>
      <c r="C8223" s="1">
        <v>134409.06</v>
      </c>
      <c r="D8223" s="3">
        <v>6.5843000000000096E-2</v>
      </c>
      <c r="E8223" s="3">
        <v>1.5266993262795501</v>
      </c>
      <c r="F8223" s="3">
        <v>1.5266993262795501</v>
      </c>
      <c r="G8223" s="3">
        <v>4.3786110000000003</v>
      </c>
      <c r="H8223" s="3">
        <v>22.0183318525789</v>
      </c>
      <c r="I8223" s="3">
        <v>4.3456900000000003</v>
      </c>
      <c r="J8223" s="3">
        <v>4.3786110000000003</v>
      </c>
      <c r="K8223" s="3">
        <v>4.3127680000000002</v>
      </c>
      <c r="L8223" s="3">
        <v>22.0183318525789</v>
      </c>
    </row>
    <row r="8224" spans="1:12" ht="15" customHeight="1" x14ac:dyDescent="0.2">
      <c r="A8224" s="2">
        <v>34122</v>
      </c>
      <c r="B8224" s="3">
        <v>4.3127680000000002</v>
      </c>
      <c r="C8224" s="1">
        <v>108590.379999999</v>
      </c>
      <c r="D8224" s="3">
        <v>8.2304999999999795E-2</v>
      </c>
      <c r="E8224" s="3">
        <v>1.94553173021487</v>
      </c>
      <c r="F8224" s="3">
        <v>1.94553173021487</v>
      </c>
      <c r="G8224" s="3">
        <v>4.3127680000000002</v>
      </c>
      <c r="H8224" s="3">
        <v>20.183491300593499</v>
      </c>
      <c r="I8224" s="3">
        <v>4.279846</v>
      </c>
      <c r="J8224" s="3">
        <v>4.3127680000000002</v>
      </c>
      <c r="K8224" s="3">
        <v>4.2140016999999999</v>
      </c>
      <c r="L8224" s="3">
        <v>20.183491300593499</v>
      </c>
    </row>
    <row r="8225" spans="1:12" ht="15" customHeight="1" x14ac:dyDescent="0.2">
      <c r="A8225" s="2">
        <v>34121</v>
      </c>
      <c r="B8225" s="3">
        <v>4.2304630000000003</v>
      </c>
      <c r="C8225" s="1">
        <v>132890.32</v>
      </c>
      <c r="D8225" s="3">
        <v>-4.9382699999999703E-2</v>
      </c>
      <c r="E8225" s="3">
        <v>-1.15384299952682</v>
      </c>
      <c r="F8225" s="3">
        <v>-1.15384299952682</v>
      </c>
      <c r="G8225" s="3">
        <v>4.2304630000000003</v>
      </c>
      <c r="H8225" s="3">
        <v>17.889905776981902</v>
      </c>
      <c r="I8225" s="3">
        <v>4.1810809999999998</v>
      </c>
      <c r="J8225" s="3">
        <v>4.2798457000000001</v>
      </c>
      <c r="K8225" s="3">
        <v>4.1481586000000004</v>
      </c>
      <c r="L8225" s="3">
        <v>17.889905776981902</v>
      </c>
    </row>
    <row r="8226" spans="1:12" ht="15" customHeight="1" x14ac:dyDescent="0.2">
      <c r="A8226" s="2">
        <v>34117</v>
      </c>
      <c r="B8226" s="3">
        <v>4.2798457000000001</v>
      </c>
      <c r="C8226" s="1">
        <v>302230.5</v>
      </c>
      <c r="D8226" s="3"/>
      <c r="E8226" s="3"/>
      <c r="F8226" s="3"/>
      <c r="G8226" s="3">
        <v>4.2798457000000001</v>
      </c>
      <c r="H8226" s="3">
        <v>19.266048731077699</v>
      </c>
      <c r="I8226" s="3">
        <v>4.3786125</v>
      </c>
      <c r="J8226" s="3">
        <v>4.3786110000000003</v>
      </c>
      <c r="K8226" s="3">
        <v>4.1810799999999997</v>
      </c>
      <c r="L8226" s="3">
        <v>19.266048731077699</v>
      </c>
    </row>
    <row r="8227" spans="1:12" ht="15" customHeight="1" x14ac:dyDescent="0.2">
      <c r="A8227" s="2">
        <v>34116</v>
      </c>
      <c r="B8227" s="3">
        <v>4.2798457000000001</v>
      </c>
      <c r="C8227" s="1">
        <v>135168.43</v>
      </c>
      <c r="D8227" s="3">
        <v>-3.2922300000000002E-2</v>
      </c>
      <c r="E8227" s="3">
        <v>-0.763368212711657</v>
      </c>
      <c r="F8227" s="3">
        <v>-0.763368212711657</v>
      </c>
      <c r="G8227" s="3">
        <v>4.2798457000000001</v>
      </c>
      <c r="H8227" s="3">
        <v>19.266048731077699</v>
      </c>
      <c r="I8227" s="3">
        <v>4.279846</v>
      </c>
      <c r="J8227" s="3">
        <v>4.3786110000000003</v>
      </c>
      <c r="K8227" s="3">
        <v>4.2798457000000001</v>
      </c>
      <c r="L8227" s="3">
        <v>19.266048731077699</v>
      </c>
    </row>
    <row r="8228" spans="1:12" ht="15" customHeight="1" x14ac:dyDescent="0.2">
      <c r="A8228" s="2">
        <v>34115</v>
      </c>
      <c r="B8228" s="3">
        <v>4.3127680000000002</v>
      </c>
      <c r="C8228" s="1">
        <v>462458.22</v>
      </c>
      <c r="D8228" s="3">
        <v>6.58446000000001E-2</v>
      </c>
      <c r="E8228" s="3">
        <v>1.5504070546692601</v>
      </c>
      <c r="F8228" s="3">
        <v>1.5504070546692601</v>
      </c>
      <c r="G8228" s="3">
        <v>4.3127680000000002</v>
      </c>
      <c r="H8228" s="3">
        <v>20.183491300593499</v>
      </c>
      <c r="I8228" s="3">
        <v>4.3127684999999998</v>
      </c>
      <c r="J8228" s="3">
        <v>4.3127680000000002</v>
      </c>
      <c r="K8228" s="3">
        <v>4.1810799999999997</v>
      </c>
      <c r="L8228" s="3">
        <v>20.183491300593499</v>
      </c>
    </row>
    <row r="8229" spans="1:12" ht="15" customHeight="1" x14ac:dyDescent="0.2">
      <c r="A8229" s="2">
        <v>34114</v>
      </c>
      <c r="B8229" s="3">
        <v>4.2469234</v>
      </c>
      <c r="C8229" s="1">
        <v>183768.31</v>
      </c>
      <c r="D8229" s="3">
        <v>-0.13168759999999999</v>
      </c>
      <c r="E8229" s="3">
        <v>-3.0075199646645898</v>
      </c>
      <c r="F8229" s="3">
        <v>-3.0075199646645898</v>
      </c>
      <c r="G8229" s="3">
        <v>4.2469234</v>
      </c>
      <c r="H8229" s="3">
        <v>18.3486061615619</v>
      </c>
      <c r="I8229" s="3">
        <v>4.3786125</v>
      </c>
      <c r="J8229" s="3">
        <v>4.3786110000000003</v>
      </c>
      <c r="K8229" s="3">
        <v>4.1975410000000002</v>
      </c>
      <c r="L8229" s="3">
        <v>18.3486061615619</v>
      </c>
    </row>
    <row r="8230" spans="1:12" ht="15" customHeight="1" x14ac:dyDescent="0.2">
      <c r="A8230" s="2">
        <v>34113</v>
      </c>
      <c r="B8230" s="3">
        <v>4.3786110000000003</v>
      </c>
      <c r="C8230" s="1">
        <v>356905.43</v>
      </c>
      <c r="D8230" s="3">
        <v>-3.2922000000000097E-2</v>
      </c>
      <c r="E8230" s="3">
        <v>-0.74627119416311705</v>
      </c>
      <c r="F8230" s="3">
        <v>-0.74627119416311705</v>
      </c>
      <c r="G8230" s="3">
        <v>4.3786110000000003</v>
      </c>
      <c r="H8230" s="3">
        <v>22.0183318525789</v>
      </c>
      <c r="I8230" s="3">
        <v>4.3786125</v>
      </c>
      <c r="J8230" s="3">
        <v>4.3786110000000003</v>
      </c>
      <c r="K8230" s="3">
        <v>4.2140016999999999</v>
      </c>
      <c r="L8230" s="3">
        <v>22.0183318525789</v>
      </c>
    </row>
    <row r="8231" spans="1:12" ht="15" customHeight="1" x14ac:dyDescent="0.2">
      <c r="A8231" s="2">
        <v>34110</v>
      </c>
      <c r="B8231" s="3">
        <v>4.4115330000000004</v>
      </c>
      <c r="C8231" s="1">
        <v>571808</v>
      </c>
      <c r="D8231" s="3"/>
      <c r="E8231" s="3"/>
      <c r="F8231" s="3"/>
      <c r="G8231" s="3">
        <v>4.4115330000000004</v>
      </c>
      <c r="H8231" s="3">
        <v>22.9357660620235</v>
      </c>
      <c r="I8231" s="3">
        <v>4.4115339999999996</v>
      </c>
      <c r="J8231" s="3">
        <v>4.4773769999999997</v>
      </c>
      <c r="K8231" s="3">
        <v>4.3127680000000002</v>
      </c>
      <c r="L8231" s="3">
        <v>22.9357660620235</v>
      </c>
    </row>
    <row r="8232" spans="1:12" ht="15" customHeight="1" x14ac:dyDescent="0.2">
      <c r="A8232" s="2">
        <v>34109</v>
      </c>
      <c r="B8232" s="3">
        <v>4.4115330000000004</v>
      </c>
      <c r="C8232" s="1">
        <v>1516468.1</v>
      </c>
      <c r="D8232" s="3">
        <v>0.19753129999999999</v>
      </c>
      <c r="E8232" s="3">
        <v>4.6874992955033798</v>
      </c>
      <c r="F8232" s="3">
        <v>4.6874992955033798</v>
      </c>
      <c r="G8232" s="3">
        <v>4.4115330000000004</v>
      </c>
      <c r="H8232" s="3">
        <v>22.9357660620235</v>
      </c>
      <c r="I8232" s="3">
        <v>4.1152376999999998</v>
      </c>
      <c r="J8232" s="3">
        <v>4.4444540000000003</v>
      </c>
      <c r="K8232" s="3">
        <v>4.1152360000000003</v>
      </c>
      <c r="L8232" s="3">
        <v>22.9357660620235</v>
      </c>
    </row>
    <row r="8233" spans="1:12" ht="15" customHeight="1" x14ac:dyDescent="0.2">
      <c r="A8233" s="2">
        <v>34108</v>
      </c>
      <c r="B8233" s="3">
        <v>4.2140016999999999</v>
      </c>
      <c r="C8233" s="1">
        <v>822401.1</v>
      </c>
      <c r="D8233" s="3">
        <v>9.8765699999999498E-2</v>
      </c>
      <c r="E8233" s="3">
        <v>2.4000008747979198</v>
      </c>
      <c r="F8233" s="3">
        <v>2.4000008747979198</v>
      </c>
      <c r="G8233" s="3">
        <v>4.2140016999999999</v>
      </c>
      <c r="H8233" s="3">
        <v>17.431180312188399</v>
      </c>
      <c r="I8233" s="3">
        <v>4.0823150000000004</v>
      </c>
      <c r="J8233" s="3">
        <v>4.2140016999999999</v>
      </c>
      <c r="K8233" s="3">
        <v>4.0493917000000001</v>
      </c>
      <c r="L8233" s="3">
        <v>17.431180312188399</v>
      </c>
    </row>
    <row r="8234" spans="1:12" ht="15" customHeight="1" x14ac:dyDescent="0.2">
      <c r="A8234" s="2">
        <v>34107</v>
      </c>
      <c r="B8234" s="3">
        <v>4.1152360000000003</v>
      </c>
      <c r="C8234" s="1">
        <v>673563.96</v>
      </c>
      <c r="D8234" s="3">
        <v>8.2305000000000697E-2</v>
      </c>
      <c r="E8234" s="3">
        <v>2.0408234110625898</v>
      </c>
      <c r="F8234" s="3">
        <v>2.0408234110625898</v>
      </c>
      <c r="G8234" s="3">
        <v>4.1152360000000003</v>
      </c>
      <c r="H8234" s="3">
        <v>14.678886043925701</v>
      </c>
      <c r="I8234" s="3">
        <v>4.0493930000000002</v>
      </c>
      <c r="J8234" s="3">
        <v>4.1481586000000004</v>
      </c>
      <c r="K8234" s="3">
        <v>4.0493917000000001</v>
      </c>
      <c r="L8234" s="3">
        <v>14.678886043925701</v>
      </c>
    </row>
    <row r="8235" spans="1:12" ht="15" customHeight="1" x14ac:dyDescent="0.2">
      <c r="A8235" s="2">
        <v>34106</v>
      </c>
      <c r="B8235" s="3">
        <v>4.0329309999999996</v>
      </c>
      <c r="C8235" s="1">
        <v>650023.5</v>
      </c>
      <c r="D8235" s="3">
        <v>1.6459999999999399E-2</v>
      </c>
      <c r="E8235" s="3">
        <v>0.40981249460034702</v>
      </c>
      <c r="F8235" s="3">
        <v>0.40981249460034702</v>
      </c>
      <c r="G8235" s="3">
        <v>4.0329309999999996</v>
      </c>
      <c r="H8235" s="3">
        <v>12.385300520314001</v>
      </c>
      <c r="I8235" s="3">
        <v>3.9835498</v>
      </c>
      <c r="J8235" s="3">
        <v>4.0493917000000001</v>
      </c>
      <c r="K8235" s="3">
        <v>3.9177046</v>
      </c>
      <c r="L8235" s="3">
        <v>12.385300520314001</v>
      </c>
    </row>
    <row r="8236" spans="1:12" ht="15" customHeight="1" x14ac:dyDescent="0.2">
      <c r="A8236" s="2">
        <v>34103</v>
      </c>
      <c r="B8236" s="3">
        <v>4.0164710000000001</v>
      </c>
      <c r="C8236" s="1">
        <v>792785.5</v>
      </c>
      <c r="D8236" s="3">
        <v>-1.6459999999999399E-2</v>
      </c>
      <c r="E8236" s="3">
        <v>-0.40813988635063297</v>
      </c>
      <c r="F8236" s="3">
        <v>-0.40813988635063297</v>
      </c>
      <c r="G8236" s="3">
        <v>4.0164710000000001</v>
      </c>
      <c r="H8236" s="3">
        <v>11.9266112824956</v>
      </c>
      <c r="I8236" s="3">
        <v>4.1152376999999998</v>
      </c>
      <c r="J8236" s="3">
        <v>4.1152360000000003</v>
      </c>
      <c r="K8236" s="3">
        <v>3.8847828</v>
      </c>
      <c r="L8236" s="3">
        <v>11.9266112824956</v>
      </c>
    </row>
    <row r="8237" spans="1:12" ht="15" customHeight="1" x14ac:dyDescent="0.2">
      <c r="A8237" s="2">
        <v>34102</v>
      </c>
      <c r="B8237" s="3">
        <v>4.0329309999999996</v>
      </c>
      <c r="C8237" s="1">
        <v>1219553.3</v>
      </c>
      <c r="D8237" s="3">
        <v>-4.9383500000000198E-2</v>
      </c>
      <c r="E8237" s="3">
        <v>-1.2096936676485901</v>
      </c>
      <c r="F8237" s="3">
        <v>-1.2096936676485901</v>
      </c>
      <c r="G8237" s="3">
        <v>4.0329309999999996</v>
      </c>
      <c r="H8237" s="3">
        <v>12.385300520314001</v>
      </c>
      <c r="I8237" s="3">
        <v>4.1152376999999998</v>
      </c>
      <c r="J8237" s="3">
        <v>4.2469234</v>
      </c>
      <c r="K8237" s="3">
        <v>4.0164710000000001</v>
      </c>
      <c r="L8237" s="3">
        <v>12.385300520314001</v>
      </c>
    </row>
    <row r="8238" spans="1:12" ht="15" customHeight="1" x14ac:dyDescent="0.2">
      <c r="A8238" s="2">
        <v>34101</v>
      </c>
      <c r="B8238" s="3">
        <v>4.0823144999999998</v>
      </c>
      <c r="C8238" s="1">
        <v>1666064.5999999901</v>
      </c>
      <c r="D8238" s="3">
        <v>9.8766299999999793E-2</v>
      </c>
      <c r="E8238" s="3">
        <v>2.4793549629950502</v>
      </c>
      <c r="F8238" s="3">
        <v>2.4793549629950502</v>
      </c>
      <c r="G8238" s="3">
        <v>4.0823144999999998</v>
      </c>
      <c r="H8238" s="3">
        <v>13.761465767932901</v>
      </c>
      <c r="I8238" s="3">
        <v>3.950628</v>
      </c>
      <c r="J8238" s="3">
        <v>4.1481586000000004</v>
      </c>
      <c r="K8238" s="3">
        <v>3.8189394000000001</v>
      </c>
      <c r="L8238" s="3">
        <v>13.761465767932901</v>
      </c>
    </row>
    <row r="8239" spans="1:12" ht="15" customHeight="1" x14ac:dyDescent="0.2">
      <c r="A8239" s="2">
        <v>34100</v>
      </c>
      <c r="B8239" s="3">
        <v>3.9835482</v>
      </c>
      <c r="C8239" s="1">
        <v>979591.429999999</v>
      </c>
      <c r="D8239" s="3">
        <v>6.5843600000000002E-2</v>
      </c>
      <c r="E8239" s="3">
        <v>1.6806678073686401</v>
      </c>
      <c r="F8239" s="3">
        <v>1.6806678073686401</v>
      </c>
      <c r="G8239" s="3">
        <v>3.9835482</v>
      </c>
      <c r="H8239" s="3">
        <v>11.009154779527901</v>
      </c>
      <c r="I8239" s="3">
        <v>3.9177054999999998</v>
      </c>
      <c r="J8239" s="3">
        <v>4.0000090000000004</v>
      </c>
      <c r="K8239" s="3">
        <v>3.8518612000000001</v>
      </c>
      <c r="L8239" s="3">
        <v>11.009154779527901</v>
      </c>
    </row>
    <row r="8240" spans="1:12" ht="15" customHeight="1" x14ac:dyDescent="0.2">
      <c r="A8240" s="2">
        <v>34099</v>
      </c>
      <c r="B8240" s="3">
        <v>3.9177046</v>
      </c>
      <c r="C8240" s="1">
        <v>814047.9</v>
      </c>
      <c r="D8240" s="3">
        <v>0.197530599999999</v>
      </c>
      <c r="E8240" s="3">
        <v>5.3097140080006797</v>
      </c>
      <c r="F8240" s="3">
        <v>5.3097140080006797</v>
      </c>
      <c r="G8240" s="3">
        <v>3.9177046</v>
      </c>
      <c r="H8240" s="3">
        <v>9.1742975074001905</v>
      </c>
      <c r="I8240" s="3">
        <v>3.7530960000000002</v>
      </c>
      <c r="J8240" s="3">
        <v>3.9177046</v>
      </c>
      <c r="K8240" s="3">
        <v>3.7530956</v>
      </c>
      <c r="L8240" s="3">
        <v>9.1742975074001905</v>
      </c>
    </row>
    <row r="8241" spans="1:12" ht="15" customHeight="1" x14ac:dyDescent="0.2">
      <c r="A8241" s="2">
        <v>34096</v>
      </c>
      <c r="B8241" s="3">
        <v>3.7201740000000001</v>
      </c>
      <c r="C8241" s="1">
        <v>4551683.5999999996</v>
      </c>
      <c r="D8241" s="3">
        <v>-1.6460499999999899E-2</v>
      </c>
      <c r="E8241" s="3">
        <v>-0.44051672701731398</v>
      </c>
      <c r="F8241" s="3">
        <v>-0.44051672701731398</v>
      </c>
      <c r="G8241" s="3">
        <v>3.7201740000000001</v>
      </c>
      <c r="H8241" s="3">
        <v>3.6697312643977802</v>
      </c>
      <c r="I8241" s="3">
        <v>3.7860185999999998</v>
      </c>
      <c r="J8241" s="3">
        <v>3.8024779999999998</v>
      </c>
      <c r="K8241" s="3">
        <v>3.6872522999999999</v>
      </c>
      <c r="L8241" s="3">
        <v>3.6697312643977802</v>
      </c>
    </row>
    <row r="8242" spans="1:12" ht="15" customHeight="1" x14ac:dyDescent="0.2">
      <c r="A8242" s="2">
        <v>34095</v>
      </c>
      <c r="B8242" s="3">
        <v>3.7366345000000001</v>
      </c>
      <c r="C8242" s="1">
        <v>1095016.1000000001</v>
      </c>
      <c r="D8242" s="3">
        <v>0.1152263</v>
      </c>
      <c r="E8242" s="3">
        <v>3.18180921996036</v>
      </c>
      <c r="F8242" s="3">
        <v>3.18180921996036</v>
      </c>
      <c r="G8242" s="3">
        <v>3.7366345000000001</v>
      </c>
      <c r="H8242" s="3">
        <v>4.1284344356681597</v>
      </c>
      <c r="I8242" s="3">
        <v>3.6872522999999999</v>
      </c>
      <c r="J8242" s="3">
        <v>3.7860174</v>
      </c>
      <c r="K8242" s="3">
        <v>3.6378691000000001</v>
      </c>
      <c r="L8242" s="3">
        <v>4.1284344356681597</v>
      </c>
    </row>
    <row r="8243" spans="1:12" ht="15" customHeight="1" x14ac:dyDescent="0.2">
      <c r="A8243" s="2">
        <v>34094</v>
      </c>
      <c r="B8243" s="3">
        <v>3.6214081999999999</v>
      </c>
      <c r="C8243" s="1">
        <v>757095</v>
      </c>
      <c r="D8243" s="3">
        <v>-6.5844100000000003E-2</v>
      </c>
      <c r="E8243" s="3">
        <v>-1.78572266400105</v>
      </c>
      <c r="F8243" s="3">
        <v>-1.78572266400105</v>
      </c>
      <c r="G8243" s="3">
        <v>3.6214081999999999</v>
      </c>
      <c r="H8243" s="3">
        <v>0.91743420944463006</v>
      </c>
      <c r="I8243" s="3">
        <v>3.7530960000000002</v>
      </c>
      <c r="J8243" s="3">
        <v>3.7530956</v>
      </c>
      <c r="K8243" s="3">
        <v>3.5884862000000002</v>
      </c>
      <c r="L8243" s="3">
        <v>0.91743420944463006</v>
      </c>
    </row>
    <row r="8244" spans="1:12" ht="15" customHeight="1" x14ac:dyDescent="0.2">
      <c r="A8244" s="2">
        <v>34093</v>
      </c>
      <c r="B8244" s="3">
        <v>3.6872522999999999</v>
      </c>
      <c r="C8244" s="1">
        <v>2219648.2000000002</v>
      </c>
      <c r="D8244" s="3">
        <v>3.2922800000000099E-2</v>
      </c>
      <c r="E8244" s="3">
        <v>0.90092587436354499</v>
      </c>
      <c r="F8244" s="3">
        <v>0.90092587436354499</v>
      </c>
      <c r="G8244" s="3">
        <v>3.6872522999999999</v>
      </c>
      <c r="H8244" s="3">
        <v>2.7523054150243</v>
      </c>
      <c r="I8244" s="3">
        <v>3.6214081999999999</v>
      </c>
      <c r="J8244" s="3">
        <v>3.7530956</v>
      </c>
      <c r="K8244" s="3">
        <v>3.6214081999999999</v>
      </c>
      <c r="L8244" s="3">
        <v>2.7523054150243</v>
      </c>
    </row>
    <row r="8245" spans="1:12" ht="15" customHeight="1" x14ac:dyDescent="0.2">
      <c r="A8245" s="2">
        <v>34092</v>
      </c>
      <c r="B8245" s="3">
        <v>3.6543294999999998</v>
      </c>
      <c r="C8245" s="1">
        <v>1009207</v>
      </c>
      <c r="D8245" s="3">
        <v>3.2921299999999903E-2</v>
      </c>
      <c r="E8245" s="3">
        <v>0.90907454177631097</v>
      </c>
      <c r="F8245" s="3">
        <v>0.90907454177631097</v>
      </c>
      <c r="G8245" s="3">
        <v>3.6543294999999998</v>
      </c>
      <c r="H8245" s="3">
        <v>1.8348489120565501</v>
      </c>
      <c r="I8245" s="3">
        <v>3.6543304999999999</v>
      </c>
      <c r="J8245" s="3">
        <v>3.6872522999999999</v>
      </c>
      <c r="K8245" s="3">
        <v>3.5884862000000002</v>
      </c>
      <c r="L8245" s="3">
        <v>1.8348489120565501</v>
      </c>
    </row>
    <row r="8246" spans="1:12" ht="15" customHeight="1" x14ac:dyDescent="0.2">
      <c r="A8246" s="2">
        <v>34089</v>
      </c>
      <c r="B8246" s="3">
        <v>3.6214081999999999</v>
      </c>
      <c r="C8246" s="1">
        <v>771523.13</v>
      </c>
      <c r="D8246" s="3">
        <v>9.8765599999999606E-2</v>
      </c>
      <c r="E8246" s="3">
        <v>2.80373603612242</v>
      </c>
      <c r="F8246" s="3">
        <v>2.80373603612242</v>
      </c>
      <c r="G8246" s="3">
        <v>3.6214081999999999</v>
      </c>
      <c r="H8246" s="3">
        <v>0.91743420944463006</v>
      </c>
      <c r="I8246" s="3">
        <v>3.5226426000000002</v>
      </c>
      <c r="J8246" s="3">
        <v>3.7201740000000001</v>
      </c>
      <c r="K8246" s="3">
        <v>3.4897203000000001</v>
      </c>
      <c r="L8246" s="3">
        <v>0.91743420944463006</v>
      </c>
    </row>
    <row r="8247" spans="1:12" ht="15" customHeight="1" x14ac:dyDescent="0.2">
      <c r="A8247" s="2">
        <v>34088</v>
      </c>
      <c r="B8247" s="3">
        <v>3.5226426000000002</v>
      </c>
      <c r="C8247" s="1">
        <v>183008.94</v>
      </c>
      <c r="D8247" s="3">
        <v>-3.2921099999999801E-2</v>
      </c>
      <c r="E8247" s="3">
        <v>-0.92590381660156895</v>
      </c>
      <c r="F8247" s="3">
        <v>-0.92590381660156895</v>
      </c>
      <c r="G8247" s="3">
        <v>3.5226426000000002</v>
      </c>
      <c r="H8247" s="3">
        <v>-1.8348572721277201</v>
      </c>
      <c r="I8247" s="3">
        <v>3.4897208000000002</v>
      </c>
      <c r="J8247" s="3">
        <v>3.5555637</v>
      </c>
      <c r="K8247" s="3">
        <v>3.4567983</v>
      </c>
      <c r="L8247" s="3">
        <v>-1.8348572721277201</v>
      </c>
    </row>
    <row r="8248" spans="1:12" ht="15" customHeight="1" x14ac:dyDescent="0.2">
      <c r="A8248" s="2">
        <v>34087</v>
      </c>
      <c r="B8248" s="3">
        <v>3.5555637</v>
      </c>
      <c r="C8248" s="1">
        <v>5315.6120000000001</v>
      </c>
      <c r="D8248" s="3"/>
      <c r="E8248" s="3"/>
      <c r="F8248" s="3"/>
      <c r="G8248" s="3">
        <v>3.5555637</v>
      </c>
      <c r="H8248" s="3">
        <v>-0.91744814289658305</v>
      </c>
      <c r="I8248" s="3">
        <v>3.5555648999999998</v>
      </c>
      <c r="J8248" s="3">
        <v>3.5555637</v>
      </c>
      <c r="K8248" s="3">
        <v>3.4897203000000001</v>
      </c>
      <c r="L8248" s="3">
        <v>-0.91744814289658305</v>
      </c>
    </row>
    <row r="8249" spans="1:12" ht="15" customHeight="1" x14ac:dyDescent="0.2">
      <c r="A8249" s="2">
        <v>34086</v>
      </c>
      <c r="B8249" s="3">
        <v>3.5555637</v>
      </c>
      <c r="C8249" s="1">
        <v>397911.5</v>
      </c>
      <c r="D8249" s="3">
        <v>4.93825000000001E-2</v>
      </c>
      <c r="E8249" s="3">
        <v>1.4084411838155999</v>
      </c>
      <c r="F8249" s="3">
        <v>1.4084411838155999</v>
      </c>
      <c r="G8249" s="3">
        <v>3.5555637</v>
      </c>
      <c r="H8249" s="3">
        <v>-0.91744814289658305</v>
      </c>
      <c r="I8249" s="3">
        <v>3.4567993000000001</v>
      </c>
      <c r="J8249" s="3">
        <v>3.5555637</v>
      </c>
      <c r="K8249" s="3">
        <v>3.4567983</v>
      </c>
      <c r="L8249" s="3">
        <v>-0.91744814289658305</v>
      </c>
    </row>
    <row r="8250" spans="1:12" ht="15" customHeight="1" x14ac:dyDescent="0.2">
      <c r="A8250" s="2">
        <v>34085</v>
      </c>
      <c r="B8250" s="3">
        <v>3.5061811999999999</v>
      </c>
      <c r="C8250" s="1">
        <v>40246.78</v>
      </c>
      <c r="D8250" s="3">
        <v>-4.93825000000001E-2</v>
      </c>
      <c r="E8250" s="3">
        <v>-1.3888796310975899</v>
      </c>
      <c r="F8250" s="3">
        <v>-1.3888796310975899</v>
      </c>
      <c r="G8250" s="3">
        <v>3.5061811999999999</v>
      </c>
      <c r="H8250" s="3">
        <v>-2.2935855236116001</v>
      </c>
      <c r="I8250" s="3">
        <v>3.5555648999999998</v>
      </c>
      <c r="J8250" s="3">
        <v>3.5555637</v>
      </c>
      <c r="K8250" s="3">
        <v>3.4567983</v>
      </c>
      <c r="L8250" s="3">
        <v>-2.2935855236116001</v>
      </c>
    </row>
    <row r="8251" spans="1:12" ht="15" customHeight="1" x14ac:dyDescent="0.2">
      <c r="A8251" s="2">
        <v>34082</v>
      </c>
      <c r="B8251" s="3">
        <v>3.5555637</v>
      </c>
      <c r="C8251" s="1">
        <v>25059.312999999998</v>
      </c>
      <c r="D8251" s="3"/>
      <c r="E8251" s="3"/>
      <c r="F8251" s="3"/>
      <c r="G8251" s="3">
        <v>3.5555637</v>
      </c>
      <c r="H8251" s="3">
        <v>-0.91744814289658305</v>
      </c>
      <c r="I8251" s="3">
        <v>3.4567993000000001</v>
      </c>
      <c r="J8251" s="3">
        <v>3.5555637</v>
      </c>
      <c r="K8251" s="3">
        <v>3.4567983</v>
      </c>
      <c r="L8251" s="3">
        <v>-0.91744814289658305</v>
      </c>
    </row>
    <row r="8252" spans="1:12" ht="15" customHeight="1" x14ac:dyDescent="0.2">
      <c r="A8252" s="2">
        <v>34081</v>
      </c>
      <c r="B8252" s="3">
        <v>3.5555637</v>
      </c>
      <c r="C8252" s="1">
        <v>35690.54</v>
      </c>
      <c r="D8252" s="3">
        <v>3.2921099999999801E-2</v>
      </c>
      <c r="E8252" s="3">
        <v>0.93455691474348901</v>
      </c>
      <c r="F8252" s="3">
        <v>0.93455691474348901</v>
      </c>
      <c r="G8252" s="3">
        <v>3.5555637</v>
      </c>
      <c r="H8252" s="3">
        <v>-0.91744814289658305</v>
      </c>
      <c r="I8252" s="3">
        <v>3.5555648999999998</v>
      </c>
      <c r="J8252" s="3">
        <v>3.5555637</v>
      </c>
      <c r="K8252" s="3">
        <v>3.4567983</v>
      </c>
      <c r="L8252" s="3">
        <v>-0.91744814289658305</v>
      </c>
    </row>
    <row r="8253" spans="1:12" ht="15" customHeight="1" x14ac:dyDescent="0.2">
      <c r="A8253" s="2">
        <v>34080</v>
      </c>
      <c r="B8253" s="3">
        <v>3.5226426000000002</v>
      </c>
      <c r="C8253" s="1">
        <v>143521.54999999999</v>
      </c>
      <c r="D8253" s="3">
        <v>-3.2921099999999801E-2</v>
      </c>
      <c r="E8253" s="3">
        <v>-0.92590381660156895</v>
      </c>
      <c r="F8253" s="3">
        <v>-0.92590381660156895</v>
      </c>
      <c r="G8253" s="3">
        <v>3.5226426000000002</v>
      </c>
      <c r="H8253" s="3">
        <v>-1.8348572721277201</v>
      </c>
      <c r="I8253" s="3">
        <v>3.6214081999999999</v>
      </c>
      <c r="J8253" s="3">
        <v>3.6214081999999999</v>
      </c>
      <c r="K8253" s="3">
        <v>3.4897203000000001</v>
      </c>
      <c r="L8253" s="3">
        <v>-1.8348572721277201</v>
      </c>
    </row>
    <row r="8254" spans="1:12" ht="15" customHeight="1" x14ac:dyDescent="0.2">
      <c r="A8254" s="2">
        <v>34079</v>
      </c>
      <c r="B8254" s="3">
        <v>3.5555637</v>
      </c>
      <c r="C8254" s="1">
        <v>104793.5</v>
      </c>
      <c r="D8254" s="3">
        <v>-8.2305400000000001E-2</v>
      </c>
      <c r="E8254" s="3">
        <v>-2.2624618351441002</v>
      </c>
      <c r="F8254" s="3">
        <v>-2.2624618351441002</v>
      </c>
      <c r="G8254" s="3">
        <v>3.5555637</v>
      </c>
      <c r="H8254" s="3">
        <v>-0.91744814289658305</v>
      </c>
      <c r="I8254" s="3">
        <v>3.5884862000000002</v>
      </c>
      <c r="J8254" s="3">
        <v>3.6543294999999998</v>
      </c>
      <c r="K8254" s="3">
        <v>3.5226426000000002</v>
      </c>
      <c r="L8254" s="3">
        <v>-0.91744814289658305</v>
      </c>
    </row>
    <row r="8255" spans="1:12" ht="15" customHeight="1" x14ac:dyDescent="0.2">
      <c r="A8255" s="2">
        <v>34078</v>
      </c>
      <c r="B8255" s="3">
        <v>3.6378691000000001</v>
      </c>
      <c r="C8255" s="1">
        <v>107071.59</v>
      </c>
      <c r="D8255" s="3">
        <v>8.2305400000000001E-2</v>
      </c>
      <c r="E8255" s="3">
        <v>2.31483407258319</v>
      </c>
      <c r="F8255" s="3">
        <v>2.31483407258319</v>
      </c>
      <c r="G8255" s="3">
        <v>3.6378691000000001</v>
      </c>
      <c r="H8255" s="3">
        <v>1.3761485274765599</v>
      </c>
      <c r="I8255" s="3">
        <v>3.5555648999999998</v>
      </c>
      <c r="J8255" s="3">
        <v>3.6543294999999998</v>
      </c>
      <c r="K8255" s="3">
        <v>3.5555637</v>
      </c>
      <c r="L8255" s="3">
        <v>1.3761485274765599</v>
      </c>
    </row>
    <row r="8256" spans="1:12" ht="15" customHeight="1" x14ac:dyDescent="0.2">
      <c r="A8256" s="2">
        <v>34075</v>
      </c>
      <c r="B8256" s="3">
        <v>3.5555637</v>
      </c>
      <c r="C8256" s="1">
        <v>416895.87</v>
      </c>
      <c r="D8256" s="3">
        <v>-8.2305400000000001E-2</v>
      </c>
      <c r="E8256" s="3">
        <v>-2.2624618351441002</v>
      </c>
      <c r="F8256" s="3">
        <v>-2.2624618351441002</v>
      </c>
      <c r="G8256" s="3">
        <v>3.5555637</v>
      </c>
      <c r="H8256" s="3">
        <v>-0.91744814289658305</v>
      </c>
      <c r="I8256" s="3">
        <v>3.6872522999999999</v>
      </c>
      <c r="J8256" s="3">
        <v>3.6872522999999999</v>
      </c>
      <c r="K8256" s="3">
        <v>3.5555637</v>
      </c>
      <c r="L8256" s="3">
        <v>-0.91744814289658305</v>
      </c>
    </row>
    <row r="8257" spans="1:12" ht="15" customHeight="1" x14ac:dyDescent="0.2">
      <c r="A8257" s="2">
        <v>34074</v>
      </c>
      <c r="B8257" s="3">
        <v>3.6378691000000001</v>
      </c>
      <c r="C8257" s="1">
        <v>1205884.5</v>
      </c>
      <c r="D8257" s="3">
        <v>1.6460900000000198E-2</v>
      </c>
      <c r="E8257" s="3">
        <v>0.454544174280058</v>
      </c>
      <c r="F8257" s="3">
        <v>0.454544174280058</v>
      </c>
      <c r="G8257" s="3">
        <v>3.6378691000000001</v>
      </c>
      <c r="H8257" s="3">
        <v>1.3761485274765599</v>
      </c>
      <c r="I8257" s="3">
        <v>3.6543304999999999</v>
      </c>
      <c r="J8257" s="3">
        <v>3.6872522999999999</v>
      </c>
      <c r="K8257" s="3">
        <v>3.5884862000000002</v>
      </c>
      <c r="L8257" s="3">
        <v>1.3761485274765599</v>
      </c>
    </row>
    <row r="8258" spans="1:12" ht="15" customHeight="1" x14ac:dyDescent="0.2">
      <c r="A8258" s="2">
        <v>34073</v>
      </c>
      <c r="B8258" s="3">
        <v>3.6214081999999999</v>
      </c>
      <c r="C8258" s="1">
        <v>995538.27</v>
      </c>
      <c r="D8258" s="3">
        <v>6.5844499999999806E-2</v>
      </c>
      <c r="E8258" s="3">
        <v>1.8518723205549701</v>
      </c>
      <c r="F8258" s="3">
        <v>1.8518723205549701</v>
      </c>
      <c r="G8258" s="3">
        <v>3.6214081999999999</v>
      </c>
      <c r="H8258" s="3">
        <v>0.91743420944463006</v>
      </c>
      <c r="I8258" s="3">
        <v>3.5884862000000002</v>
      </c>
      <c r="J8258" s="3">
        <v>3.7530956</v>
      </c>
      <c r="K8258" s="3">
        <v>3.5555637</v>
      </c>
      <c r="L8258" s="3">
        <v>0.91743420944463006</v>
      </c>
    </row>
    <row r="8259" spans="1:12" ht="15" customHeight="1" x14ac:dyDescent="0.2">
      <c r="A8259" s="2">
        <v>34072</v>
      </c>
      <c r="B8259" s="3">
        <v>3.5555637</v>
      </c>
      <c r="C8259" s="1">
        <v>204271.35999999999</v>
      </c>
      <c r="D8259" s="3">
        <v>0.1316879</v>
      </c>
      <c r="E8259" s="3">
        <v>3.8461646301539401</v>
      </c>
      <c r="F8259" s="3">
        <v>3.8461646301539401</v>
      </c>
      <c r="G8259" s="3">
        <v>3.5555637</v>
      </c>
      <c r="H8259" s="3">
        <v>-0.91744814289658305</v>
      </c>
      <c r="I8259" s="3">
        <v>3.4567993000000001</v>
      </c>
      <c r="J8259" s="3">
        <v>3.5555637</v>
      </c>
      <c r="K8259" s="3">
        <v>3.3909539999999998</v>
      </c>
      <c r="L8259" s="3">
        <v>-0.91744814289658305</v>
      </c>
    </row>
    <row r="8260" spans="1:12" ht="15" customHeight="1" x14ac:dyDescent="0.2">
      <c r="A8260" s="2">
        <v>34071</v>
      </c>
      <c r="B8260" s="3">
        <v>3.4238757999999998</v>
      </c>
      <c r="C8260" s="1">
        <v>159468.37</v>
      </c>
      <c r="D8260" s="3">
        <v>0.13168679999999899</v>
      </c>
      <c r="E8260" s="3">
        <v>3.9999769150555999</v>
      </c>
      <c r="F8260" s="3">
        <v>3.9999769150555999</v>
      </c>
      <c r="G8260" s="3">
        <v>3.4238757999999998</v>
      </c>
      <c r="H8260" s="3">
        <v>-4.5871821939847601</v>
      </c>
      <c r="I8260" s="3">
        <v>3.3909549999999999</v>
      </c>
      <c r="J8260" s="3">
        <v>3.4403362</v>
      </c>
      <c r="K8260" s="3">
        <v>3.292189</v>
      </c>
      <c r="L8260" s="3">
        <v>-4.5871821939847601</v>
      </c>
    </row>
    <row r="8261" spans="1:12" ht="15" customHeight="1" x14ac:dyDescent="0.2">
      <c r="A8261" s="2">
        <v>34067</v>
      </c>
      <c r="B8261" s="3">
        <v>3.292189</v>
      </c>
      <c r="C8261" s="1">
        <v>23540.564999999999</v>
      </c>
      <c r="D8261" s="3">
        <v>-3.2921700000000102E-2</v>
      </c>
      <c r="E8261" s="3">
        <v>-0.99009335238072704</v>
      </c>
      <c r="F8261" s="3">
        <v>-0.99009335238072704</v>
      </c>
      <c r="G8261" s="3">
        <v>3.292189</v>
      </c>
      <c r="H8261" s="3">
        <v>-8.2568855914786603</v>
      </c>
      <c r="I8261" s="3">
        <v>3.3580331999999999</v>
      </c>
      <c r="J8261" s="3">
        <v>3.3909539999999998</v>
      </c>
      <c r="K8261" s="3">
        <v>3.2592669999999999</v>
      </c>
      <c r="L8261" s="3">
        <v>-8.2568855914786603</v>
      </c>
    </row>
    <row r="8262" spans="1:12" ht="15" customHeight="1" x14ac:dyDescent="0.2">
      <c r="A8262" s="2">
        <v>34066</v>
      </c>
      <c r="B8262" s="3">
        <v>3.3251107000000002</v>
      </c>
      <c r="C8262" s="1">
        <v>660654.6</v>
      </c>
      <c r="D8262" s="3">
        <v>-9.8765099999999606E-2</v>
      </c>
      <c r="E8262" s="3">
        <v>-2.8845993771152401</v>
      </c>
      <c r="F8262" s="3">
        <v>-2.8845993771152401</v>
      </c>
      <c r="G8262" s="3">
        <v>3.3251107000000002</v>
      </c>
      <c r="H8262" s="3">
        <v>-7.3394597421051797</v>
      </c>
      <c r="I8262" s="3">
        <v>3.4238767999999999</v>
      </c>
      <c r="J8262" s="3">
        <v>3.4238757999999998</v>
      </c>
      <c r="K8262" s="3">
        <v>3.2592669999999999</v>
      </c>
      <c r="L8262" s="3">
        <v>-7.3394597421051797</v>
      </c>
    </row>
    <row r="8263" spans="1:12" ht="15" customHeight="1" x14ac:dyDescent="0.2">
      <c r="A8263" s="2">
        <v>34065</v>
      </c>
      <c r="B8263" s="3">
        <v>3.4238757999999998</v>
      </c>
      <c r="C8263" s="1">
        <v>172377.72</v>
      </c>
      <c r="D8263" s="3">
        <v>-4.93836E-2</v>
      </c>
      <c r="E8263" s="3">
        <v>-1.4218229712413699</v>
      </c>
      <c r="F8263" s="3">
        <v>-1.4218229712413699</v>
      </c>
      <c r="G8263" s="3">
        <v>3.4238757999999998</v>
      </c>
      <c r="H8263" s="3">
        <v>-4.5871821939847601</v>
      </c>
      <c r="I8263" s="3">
        <v>3.5226426000000002</v>
      </c>
      <c r="J8263" s="3">
        <v>3.5226426000000002</v>
      </c>
      <c r="K8263" s="3">
        <v>3.3415720000000002</v>
      </c>
      <c r="L8263" s="3">
        <v>-4.5871821939847601</v>
      </c>
    </row>
    <row r="8264" spans="1:12" ht="15" customHeight="1" x14ac:dyDescent="0.2">
      <c r="A8264" s="2">
        <v>34064</v>
      </c>
      <c r="B8264" s="3">
        <v>3.4732593999999999</v>
      </c>
      <c r="C8264" s="1">
        <v>140484.01999999999</v>
      </c>
      <c r="D8264" s="3">
        <v>1.6461099999999802E-2</v>
      </c>
      <c r="E8264" s="3">
        <v>0.47619498077164901</v>
      </c>
      <c r="F8264" s="3">
        <v>0.47619498077164901</v>
      </c>
      <c r="G8264" s="3">
        <v>3.4732593999999999</v>
      </c>
      <c r="H8264" s="3">
        <v>-3.2110141596754702</v>
      </c>
      <c r="I8264" s="3">
        <v>3.4567993000000001</v>
      </c>
      <c r="J8264" s="3">
        <v>3.5226426000000002</v>
      </c>
      <c r="K8264" s="3">
        <v>3.3909539999999998</v>
      </c>
      <c r="L8264" s="3">
        <v>-3.2110141596754702</v>
      </c>
    </row>
    <row r="8265" spans="1:12" ht="15" customHeight="1" x14ac:dyDescent="0.2">
      <c r="A8265" s="2">
        <v>34061</v>
      </c>
      <c r="B8265" s="3">
        <v>3.4567983</v>
      </c>
      <c r="C8265" s="1">
        <v>312861.76</v>
      </c>
      <c r="D8265" s="3">
        <v>-3.2922000000000097E-2</v>
      </c>
      <c r="E8265" s="3">
        <v>-0.943399389343613</v>
      </c>
      <c r="F8265" s="3">
        <v>-0.943399389343613</v>
      </c>
      <c r="G8265" s="3">
        <v>3.4567983</v>
      </c>
      <c r="H8265" s="3">
        <v>-3.6697340510881702</v>
      </c>
      <c r="I8265" s="3">
        <v>3.5884862000000002</v>
      </c>
      <c r="J8265" s="3">
        <v>3.5884862000000002</v>
      </c>
      <c r="K8265" s="3">
        <v>3.4238757999999998</v>
      </c>
      <c r="L8265" s="3">
        <v>-3.6697340510881702</v>
      </c>
    </row>
    <row r="8266" spans="1:12" ht="15" customHeight="1" x14ac:dyDescent="0.2">
      <c r="A8266" s="2">
        <v>34060</v>
      </c>
      <c r="B8266" s="3">
        <v>3.4897203000000001</v>
      </c>
      <c r="C8266" s="1">
        <v>1767821</v>
      </c>
      <c r="D8266" s="3">
        <v>-0.23045369999999901</v>
      </c>
      <c r="E8266" s="3">
        <v>-6.1947021832849698</v>
      </c>
      <c r="F8266" s="3">
        <v>-6.1947021832849698</v>
      </c>
      <c r="G8266" s="3">
        <v>3.4897203000000001</v>
      </c>
      <c r="H8266" s="3">
        <v>-2.7522998416435298</v>
      </c>
      <c r="I8266" s="3">
        <v>3.7201743</v>
      </c>
      <c r="J8266" s="3">
        <v>3.7201740000000001</v>
      </c>
      <c r="K8266" s="3">
        <v>3.3251107000000002</v>
      </c>
      <c r="L8266" s="3">
        <v>-2.7522998416435298</v>
      </c>
    </row>
    <row r="8267" spans="1:12" ht="15" customHeight="1" x14ac:dyDescent="0.2">
      <c r="A8267" s="2">
        <v>34059</v>
      </c>
      <c r="B8267" s="3">
        <v>3.7201740000000001</v>
      </c>
      <c r="C8267" s="1">
        <v>410821.04</v>
      </c>
      <c r="D8267" s="3">
        <v>9.8765800000000195E-2</v>
      </c>
      <c r="E8267" s="3">
        <v>2.7272760911073202</v>
      </c>
      <c r="F8267" s="3">
        <v>2.7272760911073202</v>
      </c>
      <c r="G8267" s="3">
        <v>3.7201740000000001</v>
      </c>
      <c r="H8267" s="3">
        <v>3.6697312643977802</v>
      </c>
      <c r="I8267" s="3">
        <v>3.6543304999999999</v>
      </c>
      <c r="J8267" s="3">
        <v>3.7860174</v>
      </c>
      <c r="K8267" s="3">
        <v>3.6214081999999999</v>
      </c>
      <c r="L8267" s="3">
        <v>3.6697312643977802</v>
      </c>
    </row>
    <row r="8268" spans="1:12" ht="15" customHeight="1" x14ac:dyDescent="0.2">
      <c r="A8268" s="2">
        <v>34058</v>
      </c>
      <c r="B8268" s="3">
        <v>3.6214081999999999</v>
      </c>
      <c r="C8268" s="1">
        <v>241480.67</v>
      </c>
      <c r="D8268" s="3">
        <v>9.8765599999999606E-2</v>
      </c>
      <c r="E8268" s="3">
        <v>2.80373603612242</v>
      </c>
      <c r="F8268" s="3">
        <v>2.80373603612242</v>
      </c>
      <c r="G8268" s="3">
        <v>3.6214081999999999</v>
      </c>
      <c r="H8268" s="3">
        <v>0.91743420944463006</v>
      </c>
      <c r="I8268" s="3">
        <v>3.5884862000000002</v>
      </c>
      <c r="J8268" s="3">
        <v>3.6543294999999998</v>
      </c>
      <c r="K8268" s="3">
        <v>3.5555637</v>
      </c>
      <c r="L8268" s="3">
        <v>0.91743420944463006</v>
      </c>
    </row>
    <row r="8269" spans="1:12" ht="15" customHeight="1" x14ac:dyDescent="0.2">
      <c r="A8269" s="2">
        <v>34057</v>
      </c>
      <c r="B8269" s="3">
        <v>3.5226426000000002</v>
      </c>
      <c r="C8269" s="1">
        <v>425249</v>
      </c>
      <c r="D8269" s="3">
        <v>6.5844300000000106E-2</v>
      </c>
      <c r="E8269" s="3">
        <v>1.9047770302363201</v>
      </c>
      <c r="F8269" s="3">
        <v>1.9047770302363201</v>
      </c>
      <c r="G8269" s="3">
        <v>3.5226426000000002</v>
      </c>
      <c r="H8269" s="3">
        <v>-1.8348572721277201</v>
      </c>
      <c r="I8269" s="3">
        <v>3.4897208000000002</v>
      </c>
      <c r="J8269" s="3">
        <v>3.5884862000000002</v>
      </c>
      <c r="K8269" s="3">
        <v>3.3909539999999998</v>
      </c>
      <c r="L8269" s="3">
        <v>-1.8348572721277201</v>
      </c>
    </row>
    <row r="8270" spans="1:12" ht="15" customHeight="1" x14ac:dyDescent="0.2">
      <c r="A8270" s="2">
        <v>34054</v>
      </c>
      <c r="B8270" s="3">
        <v>3.4567983</v>
      </c>
      <c r="C8270" s="1">
        <v>19743.704000000002</v>
      </c>
      <c r="D8270" s="3"/>
      <c r="E8270" s="3"/>
      <c r="F8270" s="3"/>
      <c r="G8270" s="3">
        <v>3.4567983</v>
      </c>
      <c r="H8270" s="3">
        <v>-3.6697340510881702</v>
      </c>
      <c r="I8270" s="3">
        <v>3.4567993000000001</v>
      </c>
      <c r="J8270" s="3">
        <v>3.4567983</v>
      </c>
      <c r="K8270" s="3">
        <v>3.3580325000000002</v>
      </c>
      <c r="L8270" s="3">
        <v>-3.6697340510881702</v>
      </c>
    </row>
    <row r="8271" spans="1:12" ht="15" customHeight="1" x14ac:dyDescent="0.2">
      <c r="A8271" s="2">
        <v>34053</v>
      </c>
      <c r="B8271" s="3">
        <v>3.4567983</v>
      </c>
      <c r="C8271" s="1">
        <v>49359.25</v>
      </c>
      <c r="D8271" s="3"/>
      <c r="E8271" s="3"/>
      <c r="F8271" s="3"/>
      <c r="G8271" s="3">
        <v>3.4567983</v>
      </c>
      <c r="H8271" s="3">
        <v>-3.6697340510881702</v>
      </c>
      <c r="I8271" s="3">
        <v>3.4567993000000001</v>
      </c>
      <c r="J8271" s="3">
        <v>3.4567983</v>
      </c>
      <c r="K8271" s="3">
        <v>3.3580325000000002</v>
      </c>
      <c r="L8271" s="3">
        <v>-3.6697340510881702</v>
      </c>
    </row>
    <row r="8272" spans="1:12" ht="15" customHeight="1" x14ac:dyDescent="0.2">
      <c r="A8272" s="2">
        <v>34052</v>
      </c>
      <c r="B8272" s="3">
        <v>3.4567983</v>
      </c>
      <c r="C8272" s="1">
        <v>18984.330000000002</v>
      </c>
      <c r="D8272" s="3">
        <v>3.2922500000000098E-2</v>
      </c>
      <c r="E8272" s="3">
        <v>0.96155649103861696</v>
      </c>
      <c r="F8272" s="3">
        <v>0.96155649103861696</v>
      </c>
      <c r="G8272" s="3">
        <v>3.4567983</v>
      </c>
      <c r="H8272" s="3">
        <v>-3.6697340510881702</v>
      </c>
      <c r="I8272" s="3">
        <v>3.4567993000000001</v>
      </c>
      <c r="J8272" s="3">
        <v>3.4567983</v>
      </c>
      <c r="K8272" s="3">
        <v>3.3580325000000002</v>
      </c>
      <c r="L8272" s="3">
        <v>-3.6697340510881702</v>
      </c>
    </row>
    <row r="8273" spans="1:12" ht="15" customHeight="1" x14ac:dyDescent="0.2">
      <c r="A8273" s="2">
        <v>34051</v>
      </c>
      <c r="B8273" s="3">
        <v>3.4238757999999998</v>
      </c>
      <c r="C8273" s="1">
        <v>53156.123999999902</v>
      </c>
      <c r="D8273" s="3">
        <v>-3.2922500000000098E-2</v>
      </c>
      <c r="E8273" s="3">
        <v>-0.95239864009422004</v>
      </c>
      <c r="F8273" s="3">
        <v>-0.95239864009422004</v>
      </c>
      <c r="G8273" s="3">
        <v>3.4238757999999998</v>
      </c>
      <c r="H8273" s="3">
        <v>-4.5871821939847601</v>
      </c>
      <c r="I8273" s="3">
        <v>3.3580331999999999</v>
      </c>
      <c r="J8273" s="3">
        <v>3.4567983</v>
      </c>
      <c r="K8273" s="3">
        <v>3.3580325000000002</v>
      </c>
      <c r="L8273" s="3">
        <v>-4.5871821939847601</v>
      </c>
    </row>
    <row r="8274" spans="1:12" ht="15" customHeight="1" x14ac:dyDescent="0.2">
      <c r="A8274" s="2">
        <v>34050</v>
      </c>
      <c r="B8274" s="3">
        <v>3.4567983</v>
      </c>
      <c r="C8274" s="1">
        <v>106312.25</v>
      </c>
      <c r="D8274" s="3">
        <v>1.64621E-2</v>
      </c>
      <c r="E8274" s="3">
        <v>0.47850265331625902</v>
      </c>
      <c r="F8274" s="3">
        <v>0.47850265331625902</v>
      </c>
      <c r="G8274" s="3">
        <v>3.4567983</v>
      </c>
      <c r="H8274" s="3">
        <v>-3.6697340510881702</v>
      </c>
      <c r="I8274" s="3">
        <v>3.4238767999999999</v>
      </c>
      <c r="J8274" s="3">
        <v>3.4567983</v>
      </c>
      <c r="K8274" s="3">
        <v>3.3580325000000002</v>
      </c>
      <c r="L8274" s="3">
        <v>-3.6697340510881702</v>
      </c>
    </row>
    <row r="8275" spans="1:12" ht="15" customHeight="1" x14ac:dyDescent="0.2">
      <c r="A8275" s="2">
        <v>34047</v>
      </c>
      <c r="B8275" s="3">
        <v>3.4403362</v>
      </c>
      <c r="C8275" s="1">
        <v>238443.18</v>
      </c>
      <c r="D8275" s="3">
        <v>1.6460400000000101E-2</v>
      </c>
      <c r="E8275" s="3">
        <v>0.48075341985243097</v>
      </c>
      <c r="F8275" s="3">
        <v>0.48075341985243097</v>
      </c>
      <c r="G8275" s="3">
        <v>3.4403362</v>
      </c>
      <c r="H8275" s="3">
        <v>-4.12848180940476</v>
      </c>
      <c r="I8275" s="3">
        <v>3.4897208000000002</v>
      </c>
      <c r="J8275" s="3">
        <v>3.4897203000000001</v>
      </c>
      <c r="K8275" s="3">
        <v>3.3580325000000002</v>
      </c>
      <c r="L8275" s="3">
        <v>-4.12848180940476</v>
      </c>
    </row>
    <row r="8276" spans="1:12" ht="15" customHeight="1" x14ac:dyDescent="0.2">
      <c r="A8276" s="2">
        <v>34046</v>
      </c>
      <c r="B8276" s="3">
        <v>3.4238757999999998</v>
      </c>
      <c r="C8276" s="1">
        <v>227052.6</v>
      </c>
      <c r="D8276" s="3">
        <v>-3.2922500000000098E-2</v>
      </c>
      <c r="E8276" s="3">
        <v>-0.95239864009422004</v>
      </c>
      <c r="F8276" s="3">
        <v>-0.95239864009422004</v>
      </c>
      <c r="G8276" s="3">
        <v>3.4238757999999998</v>
      </c>
      <c r="H8276" s="3">
        <v>-4.5871821939847601</v>
      </c>
      <c r="I8276" s="3">
        <v>3.5226426000000002</v>
      </c>
      <c r="J8276" s="3">
        <v>3.5226426000000002</v>
      </c>
      <c r="K8276" s="3">
        <v>3.3909539999999998</v>
      </c>
      <c r="L8276" s="3">
        <v>-4.5871821939847601</v>
      </c>
    </row>
    <row r="8277" spans="1:12" ht="15" customHeight="1" x14ac:dyDescent="0.2">
      <c r="A8277" s="2">
        <v>34045</v>
      </c>
      <c r="B8277" s="3">
        <v>3.4567983</v>
      </c>
      <c r="C8277" s="1">
        <v>170099.58</v>
      </c>
      <c r="D8277" s="3">
        <v>-9.8765400000000003E-2</v>
      </c>
      <c r="E8277" s="3">
        <v>-2.7777705121694098</v>
      </c>
      <c r="F8277" s="3">
        <v>-2.7777705121694098</v>
      </c>
      <c r="G8277" s="3">
        <v>3.4567983</v>
      </c>
      <c r="H8277" s="3">
        <v>-3.6697340510881702</v>
      </c>
      <c r="I8277" s="3">
        <v>3.6214081999999999</v>
      </c>
      <c r="J8277" s="3">
        <v>3.6214081999999999</v>
      </c>
      <c r="K8277" s="3">
        <v>3.4567983</v>
      </c>
      <c r="L8277" s="3">
        <v>-3.6697340510881702</v>
      </c>
    </row>
    <row r="8278" spans="1:12" ht="15" customHeight="1" x14ac:dyDescent="0.2">
      <c r="A8278" s="2">
        <v>34044</v>
      </c>
      <c r="B8278" s="3">
        <v>3.5555637</v>
      </c>
      <c r="C8278" s="1">
        <v>164024.6</v>
      </c>
      <c r="D8278" s="3">
        <v>-3.2922500000000098E-2</v>
      </c>
      <c r="E8278" s="3">
        <v>-0.91744814289658105</v>
      </c>
      <c r="F8278" s="3">
        <v>-0.91744814289658105</v>
      </c>
      <c r="G8278" s="3">
        <v>3.5555637</v>
      </c>
      <c r="H8278" s="3">
        <v>-0.91744814289658305</v>
      </c>
      <c r="I8278" s="3">
        <v>3.5884862000000002</v>
      </c>
      <c r="J8278" s="3">
        <v>3.6543294999999998</v>
      </c>
      <c r="K8278" s="3">
        <v>3.5226426000000002</v>
      </c>
      <c r="L8278" s="3">
        <v>-0.91744814289658305</v>
      </c>
    </row>
    <row r="8279" spans="1:12" ht="15" customHeight="1" x14ac:dyDescent="0.2">
      <c r="A8279" s="2">
        <v>34043</v>
      </c>
      <c r="B8279" s="3">
        <v>3.5884862000000002</v>
      </c>
      <c r="C8279" s="1">
        <v>273374.32999999903</v>
      </c>
      <c r="D8279" s="3"/>
      <c r="E8279" s="3"/>
      <c r="F8279" s="3"/>
      <c r="G8279" s="3">
        <v>3.5884862000000002</v>
      </c>
      <c r="H8279" s="3"/>
      <c r="I8279" s="3">
        <v>3.6543304999999999</v>
      </c>
      <c r="J8279" s="3">
        <v>3.6543294999999998</v>
      </c>
      <c r="K8279" s="3">
        <v>3.4897203000000001</v>
      </c>
      <c r="L8279" s="3"/>
    </row>
    <row r="8280" spans="1:12" ht="15" customHeight="1" x14ac:dyDescent="0.2">
      <c r="A8280" s="2">
        <v>34040</v>
      </c>
      <c r="B8280" s="3">
        <v>3.5884862000000002</v>
      </c>
      <c r="C8280" s="1">
        <v>369055.3</v>
      </c>
      <c r="D8280" s="3">
        <v>-0.16460939999999899</v>
      </c>
      <c r="E8280" s="3">
        <v>-4.3859634164394699</v>
      </c>
      <c r="F8280" s="3">
        <v>-4.3859634164394699</v>
      </c>
      <c r="G8280" s="3">
        <v>3.5884862000000002</v>
      </c>
      <c r="H8280" s="3"/>
      <c r="I8280" s="3">
        <v>3.7201743</v>
      </c>
      <c r="J8280" s="3">
        <v>3.7530956</v>
      </c>
      <c r="K8280" s="3">
        <v>3.5884862000000002</v>
      </c>
      <c r="L8280" s="3"/>
    </row>
    <row r="8281" spans="1:12" ht="15" customHeight="1" x14ac:dyDescent="0.2">
      <c r="A8281" s="2">
        <v>34039</v>
      </c>
      <c r="B8281" s="3">
        <v>3.7530956</v>
      </c>
      <c r="C8281" s="1">
        <v>1247650.1000000001</v>
      </c>
      <c r="D8281" s="3">
        <v>9.8766100000000107E-2</v>
      </c>
      <c r="E8281" s="3">
        <v>2.70271468404805</v>
      </c>
      <c r="F8281" s="3">
        <v>2.70271468404805</v>
      </c>
      <c r="G8281" s="3">
        <v>3.7530956</v>
      </c>
      <c r="H8281" s="3">
        <v>4.5871543270808601</v>
      </c>
      <c r="I8281" s="3">
        <v>3.6872522999999999</v>
      </c>
      <c r="J8281" s="3">
        <v>3.8189394000000001</v>
      </c>
      <c r="K8281" s="3">
        <v>3.6214081999999999</v>
      </c>
      <c r="L8281" s="3">
        <v>4.5871543270808601</v>
      </c>
    </row>
    <row r="8282" spans="1:12" ht="15" customHeight="1" x14ac:dyDescent="0.2">
      <c r="A8282" s="2">
        <v>34038</v>
      </c>
      <c r="B8282" s="3">
        <v>3.6543294999999998</v>
      </c>
      <c r="C8282" s="1">
        <v>836829.2</v>
      </c>
      <c r="D8282" s="3">
        <v>0.16460919999999901</v>
      </c>
      <c r="E8282" s="3">
        <v>4.7169740222446901</v>
      </c>
      <c r="F8282" s="3">
        <v>4.7169740222446901</v>
      </c>
      <c r="G8282" s="3">
        <v>3.6543294999999998</v>
      </c>
      <c r="H8282" s="3">
        <v>1.8348489120565501</v>
      </c>
      <c r="I8282" s="3">
        <v>3.5226426000000002</v>
      </c>
      <c r="J8282" s="3">
        <v>3.6872522999999999</v>
      </c>
      <c r="K8282" s="3">
        <v>3.5226426000000002</v>
      </c>
      <c r="L8282" s="3">
        <v>1.8348489120565501</v>
      </c>
    </row>
    <row r="8283" spans="1:12" ht="15" customHeight="1" x14ac:dyDescent="0.2">
      <c r="A8283" s="2">
        <v>34037</v>
      </c>
      <c r="B8283" s="3">
        <v>3.4897203000000001</v>
      </c>
      <c r="C8283" s="1">
        <v>757854.4</v>
      </c>
      <c r="D8283" s="3"/>
      <c r="E8283" s="3"/>
      <c r="F8283" s="3"/>
      <c r="G8283" s="3">
        <v>3.4897203000000001</v>
      </c>
      <c r="H8283" s="3">
        <v>-2.7522998416435298</v>
      </c>
      <c r="I8283" s="3">
        <v>3.4567993000000001</v>
      </c>
      <c r="J8283" s="3">
        <v>3.5555637</v>
      </c>
      <c r="K8283" s="3">
        <v>3.3909539999999998</v>
      </c>
      <c r="L8283" s="3">
        <v>-2.7522998416435298</v>
      </c>
    </row>
    <row r="8284" spans="1:12" ht="15" customHeight="1" x14ac:dyDescent="0.2">
      <c r="A8284" s="2">
        <v>34036</v>
      </c>
      <c r="B8284" s="3">
        <v>3.4897203000000001</v>
      </c>
      <c r="C8284" s="1">
        <v>1185381.3</v>
      </c>
      <c r="D8284" s="3">
        <v>0.19753129999999999</v>
      </c>
      <c r="E8284" s="3">
        <v>5.9999987850029202</v>
      </c>
      <c r="F8284" s="3">
        <v>5.9999987850029202</v>
      </c>
      <c r="G8284" s="3">
        <v>3.4897203000000001</v>
      </c>
      <c r="H8284" s="3">
        <v>-2.7522998416435298</v>
      </c>
      <c r="I8284" s="3">
        <v>3.292189</v>
      </c>
      <c r="J8284" s="3">
        <v>3.5555637</v>
      </c>
      <c r="K8284" s="3">
        <v>3.292189</v>
      </c>
      <c r="L8284" s="3">
        <v>-2.7522998416435298</v>
      </c>
    </row>
    <row r="8285" spans="1:12" ht="15" customHeight="1" x14ac:dyDescent="0.2">
      <c r="A8285" s="2">
        <v>34033</v>
      </c>
      <c r="B8285" s="3">
        <v>3.292189</v>
      </c>
      <c r="C8285" s="1">
        <v>61509.228000000003</v>
      </c>
      <c r="D8285" s="3">
        <v>3.2922000000000097E-2</v>
      </c>
      <c r="E8285" s="3">
        <v>1.01010441918383</v>
      </c>
      <c r="F8285" s="3">
        <v>1.01010441918383</v>
      </c>
      <c r="G8285" s="3">
        <v>3.292189</v>
      </c>
      <c r="H8285" s="3">
        <v>-8.2568855914786603</v>
      </c>
      <c r="I8285" s="3">
        <v>3.1934235000000002</v>
      </c>
      <c r="J8285" s="3">
        <v>3.292189</v>
      </c>
      <c r="K8285" s="3">
        <v>3.1934235000000002</v>
      </c>
      <c r="L8285" s="3">
        <v>-8.2568855914786603</v>
      </c>
    </row>
    <row r="8286" spans="1:12" ht="15" customHeight="1" x14ac:dyDescent="0.2">
      <c r="A8286" s="2">
        <v>34032</v>
      </c>
      <c r="B8286" s="3">
        <v>3.2592669999999999</v>
      </c>
      <c r="C8286" s="1">
        <v>542951.80000000005</v>
      </c>
      <c r="D8286" s="3">
        <v>4.9382999999999698E-2</v>
      </c>
      <c r="E8286" s="3">
        <v>1.5384668106386199</v>
      </c>
      <c r="F8286" s="3">
        <v>1.5384668106386199</v>
      </c>
      <c r="G8286" s="3">
        <v>3.2592669999999999</v>
      </c>
      <c r="H8286" s="3">
        <v>-9.1743198009232998</v>
      </c>
      <c r="I8286" s="3">
        <v>3.292189</v>
      </c>
      <c r="J8286" s="3">
        <v>3.3251107000000002</v>
      </c>
      <c r="K8286" s="3">
        <v>3.1934235000000002</v>
      </c>
      <c r="L8286" s="3">
        <v>-9.1743198009232998</v>
      </c>
    </row>
    <row r="8287" spans="1:12" ht="15" customHeight="1" x14ac:dyDescent="0.2">
      <c r="A8287" s="2">
        <v>34031</v>
      </c>
      <c r="B8287" s="3">
        <v>3.2098840000000002</v>
      </c>
      <c r="C8287" s="1">
        <v>431324</v>
      </c>
      <c r="D8287" s="3">
        <v>0.14814769999999999</v>
      </c>
      <c r="E8287" s="3">
        <v>4.83868254754662</v>
      </c>
      <c r="F8287" s="3">
        <v>4.83868254754662</v>
      </c>
      <c r="G8287" s="3">
        <v>3.2098840000000002</v>
      </c>
      <c r="H8287" s="3">
        <v>-10.5504711150902</v>
      </c>
      <c r="I8287" s="3">
        <v>3.1934235000000002</v>
      </c>
      <c r="J8287" s="3">
        <v>3.2592669999999999</v>
      </c>
      <c r="K8287" s="3">
        <v>3.0781963000000001</v>
      </c>
      <c r="L8287" s="3">
        <v>-10.5504711150902</v>
      </c>
    </row>
    <row r="8288" spans="1:12" ht="15" customHeight="1" x14ac:dyDescent="0.2">
      <c r="A8288" s="2">
        <v>34030</v>
      </c>
      <c r="B8288" s="3">
        <v>3.0617363000000002</v>
      </c>
      <c r="C8288" s="1">
        <v>1111722.3999999999</v>
      </c>
      <c r="D8288" s="3">
        <v>9.8767300000000002E-2</v>
      </c>
      <c r="E8288" s="3">
        <v>3.3333895832187102</v>
      </c>
      <c r="F8288" s="3">
        <v>3.3333895832187102</v>
      </c>
      <c r="G8288" s="3">
        <v>3.0617363000000002</v>
      </c>
      <c r="H8288" s="3">
        <v>-14.678888830616</v>
      </c>
      <c r="I8288" s="3">
        <v>2.9958923</v>
      </c>
      <c r="J8288" s="3">
        <v>3.1605015000000001</v>
      </c>
      <c r="K8288" s="3">
        <v>2.9629690000000002</v>
      </c>
      <c r="L8288" s="3">
        <v>-14.678888830616</v>
      </c>
    </row>
    <row r="8289" spans="1:12" ht="15" customHeight="1" x14ac:dyDescent="0.2">
      <c r="A8289" s="2">
        <v>34029</v>
      </c>
      <c r="B8289" s="3">
        <v>2.9629690000000002</v>
      </c>
      <c r="C8289" s="1">
        <v>273374.32999999903</v>
      </c>
      <c r="D8289" s="3"/>
      <c r="E8289" s="3"/>
      <c r="F8289" s="3"/>
      <c r="G8289" s="3">
        <v>2.9629690000000002</v>
      </c>
      <c r="H8289" s="3">
        <v>-17.431227685924998</v>
      </c>
      <c r="I8289" s="3">
        <v>2.8971266999999998</v>
      </c>
      <c r="J8289" s="3">
        <v>2.9958917999999999</v>
      </c>
      <c r="K8289" s="3">
        <v>2.8971262000000002</v>
      </c>
      <c r="L8289" s="3">
        <v>-17.431227685924998</v>
      </c>
    </row>
    <row r="8290" spans="1:12" ht="15" customHeight="1" x14ac:dyDescent="0.2">
      <c r="A8290" s="2">
        <v>34026</v>
      </c>
      <c r="B8290" s="3">
        <v>2.9629690000000002</v>
      </c>
      <c r="C8290" s="1">
        <v>169340.21</v>
      </c>
      <c r="D8290" s="3">
        <v>6.5842799999999896E-2</v>
      </c>
      <c r="E8290" s="3">
        <v>2.2726935402399699</v>
      </c>
      <c r="F8290" s="3">
        <v>2.2726935402399699</v>
      </c>
      <c r="G8290" s="3">
        <v>2.9629690000000002</v>
      </c>
      <c r="H8290" s="3">
        <v>-17.431227685924998</v>
      </c>
      <c r="I8290" s="3">
        <v>2.9300487</v>
      </c>
      <c r="J8290" s="3">
        <v>2.9629690000000002</v>
      </c>
      <c r="K8290" s="3">
        <v>2.8971262000000002</v>
      </c>
      <c r="L8290" s="3">
        <v>-17.431227685924998</v>
      </c>
    </row>
    <row r="8291" spans="1:12" ht="15" customHeight="1" x14ac:dyDescent="0.2">
      <c r="A8291" s="2">
        <v>34025</v>
      </c>
      <c r="B8291" s="3">
        <v>2.8971262000000002</v>
      </c>
      <c r="C8291" s="1">
        <v>110109.12</v>
      </c>
      <c r="D8291" s="3">
        <v>6.5843800000000105E-2</v>
      </c>
      <c r="E8291" s="3">
        <v>2.3255822167368398</v>
      </c>
      <c r="F8291" s="3">
        <v>2.3255822167368398</v>
      </c>
      <c r="G8291" s="3">
        <v>2.8971262000000002</v>
      </c>
      <c r="H8291" s="3">
        <v>-19.266062664529599</v>
      </c>
      <c r="I8291" s="3">
        <v>2.8312832999999999</v>
      </c>
      <c r="J8291" s="3">
        <v>2.8971262000000002</v>
      </c>
      <c r="K8291" s="3">
        <v>2.8312824000000001</v>
      </c>
      <c r="L8291" s="3">
        <v>-19.266062664529599</v>
      </c>
    </row>
    <row r="8292" spans="1:12" ht="15" customHeight="1" x14ac:dyDescent="0.2">
      <c r="A8292" s="2">
        <v>34024</v>
      </c>
      <c r="B8292" s="3">
        <v>2.8312824000000001</v>
      </c>
      <c r="C8292" s="1">
        <v>388039.64</v>
      </c>
      <c r="D8292" s="3"/>
      <c r="E8292" s="3"/>
      <c r="F8292" s="3"/>
      <c r="G8292" s="3">
        <v>2.8312824000000001</v>
      </c>
      <c r="H8292" s="3">
        <v>-21.100925510038099</v>
      </c>
      <c r="I8292" s="3">
        <v>2.7983612999999998</v>
      </c>
      <c r="J8292" s="3">
        <v>2.8971262000000002</v>
      </c>
      <c r="K8292" s="3">
        <v>2.7983612999999998</v>
      </c>
      <c r="L8292" s="3">
        <v>-21.100925510038099</v>
      </c>
    </row>
    <row r="8293" spans="1:12" ht="15" customHeight="1" x14ac:dyDescent="0.2">
      <c r="A8293" s="2">
        <v>34023</v>
      </c>
      <c r="B8293" s="3">
        <v>2.8312824000000001</v>
      </c>
      <c r="C8293" s="1">
        <v>468533.42</v>
      </c>
      <c r="D8293" s="3">
        <v>-0.13168659999999999</v>
      </c>
      <c r="E8293" s="3">
        <v>-4.44441369450709</v>
      </c>
      <c r="F8293" s="3">
        <v>-4.44441369450709</v>
      </c>
      <c r="G8293" s="3">
        <v>2.8312824000000001</v>
      </c>
      <c r="H8293" s="3">
        <v>-21.100925510038099</v>
      </c>
      <c r="I8293" s="3">
        <v>2.9958923</v>
      </c>
      <c r="J8293" s="3">
        <v>3.0288138</v>
      </c>
      <c r="K8293" s="3">
        <v>2.8312824000000001</v>
      </c>
      <c r="L8293" s="3">
        <v>-21.100925510038099</v>
      </c>
    </row>
    <row r="8294" spans="1:12" ht="15" customHeight="1" x14ac:dyDescent="0.2">
      <c r="A8294" s="2">
        <v>34022</v>
      </c>
      <c r="B8294" s="3">
        <v>2.9629690000000002</v>
      </c>
      <c r="C8294" s="1">
        <v>267299.38</v>
      </c>
      <c r="D8294" s="3">
        <v>-6.5844799999999801E-2</v>
      </c>
      <c r="E8294" s="3">
        <v>-2.1739467774479801</v>
      </c>
      <c r="F8294" s="3">
        <v>-2.1739467774479801</v>
      </c>
      <c r="G8294" s="3">
        <v>2.9629690000000002</v>
      </c>
      <c r="H8294" s="3">
        <v>-17.431227685924998</v>
      </c>
      <c r="I8294" s="3">
        <v>3.0288148000000001</v>
      </c>
      <c r="J8294" s="3">
        <v>3.0288138</v>
      </c>
      <c r="K8294" s="3">
        <v>2.9629690000000002</v>
      </c>
      <c r="L8294" s="3">
        <v>-17.431227685924998</v>
      </c>
    </row>
    <row r="8295" spans="1:12" ht="15" customHeight="1" x14ac:dyDescent="0.2">
      <c r="A8295" s="2">
        <v>34019</v>
      </c>
      <c r="B8295" s="3">
        <v>3.0288138</v>
      </c>
      <c r="C8295" s="1">
        <v>113905.98</v>
      </c>
      <c r="D8295" s="3">
        <v>8.2304699999999897E-2</v>
      </c>
      <c r="E8295" s="3">
        <v>2.7932952930639101</v>
      </c>
      <c r="F8295" s="3">
        <v>2.7932952930639101</v>
      </c>
      <c r="G8295" s="3">
        <v>3.0288138</v>
      </c>
      <c r="H8295" s="3">
        <v>-15.596336973512599</v>
      </c>
      <c r="I8295" s="3">
        <v>3.0288148000000001</v>
      </c>
      <c r="J8295" s="3">
        <v>3.0288138</v>
      </c>
      <c r="K8295" s="3">
        <v>2.9629690000000002</v>
      </c>
      <c r="L8295" s="3">
        <v>-15.596336973512599</v>
      </c>
    </row>
    <row r="8296" spans="1:12" ht="15" customHeight="1" x14ac:dyDescent="0.2">
      <c r="A8296" s="2">
        <v>34018</v>
      </c>
      <c r="B8296" s="3">
        <v>2.9465091000000001</v>
      </c>
      <c r="C8296" s="1">
        <v>315899.26</v>
      </c>
      <c r="D8296" s="3">
        <v>-3.2921599999999801E-2</v>
      </c>
      <c r="E8296" s="3">
        <v>-1.1049627702366001</v>
      </c>
      <c r="F8296" s="3">
        <v>-1.1049627702366001</v>
      </c>
      <c r="G8296" s="3">
        <v>2.9465091000000001</v>
      </c>
      <c r="H8296" s="3">
        <v>-17.889914137053101</v>
      </c>
      <c r="I8296" s="3">
        <v>3.0617363000000002</v>
      </c>
      <c r="J8296" s="3">
        <v>3.0617363000000002</v>
      </c>
      <c r="K8296" s="3">
        <v>2.8971262000000002</v>
      </c>
      <c r="L8296" s="3">
        <v>-17.889914137053101</v>
      </c>
    </row>
    <row r="8297" spans="1:12" ht="15" customHeight="1" x14ac:dyDescent="0.2">
      <c r="A8297" s="2">
        <v>34017</v>
      </c>
      <c r="B8297" s="3">
        <v>2.9794307</v>
      </c>
      <c r="C8297" s="1">
        <v>924916.44</v>
      </c>
      <c r="D8297" s="3">
        <v>0.115226499999999</v>
      </c>
      <c r="E8297" s="3">
        <v>4.02298481372243</v>
      </c>
      <c r="F8297" s="3">
        <v>4.02298481372243</v>
      </c>
      <c r="G8297" s="3">
        <v>2.9794307</v>
      </c>
      <c r="H8297" s="3">
        <v>-16.972491074370001</v>
      </c>
      <c r="I8297" s="3">
        <v>2.8642050000000001</v>
      </c>
      <c r="J8297" s="3">
        <v>3.0617363000000002</v>
      </c>
      <c r="K8297" s="3">
        <v>2.8642042000000001</v>
      </c>
      <c r="L8297" s="3">
        <v>-16.972491074370001</v>
      </c>
    </row>
    <row r="8298" spans="1:12" ht="15" customHeight="1" x14ac:dyDescent="0.2">
      <c r="A8298" s="2">
        <v>34016</v>
      </c>
      <c r="B8298" s="3">
        <v>2.8642042000000001</v>
      </c>
      <c r="C8298" s="1">
        <v>836829.2</v>
      </c>
      <c r="D8298" s="3">
        <v>9.8765400000000003E-2</v>
      </c>
      <c r="E8298" s="3">
        <v>3.5714187564013402</v>
      </c>
      <c r="F8298" s="3">
        <v>3.5714187564013402</v>
      </c>
      <c r="G8298" s="3">
        <v>2.8642042000000001</v>
      </c>
      <c r="H8298" s="3">
        <v>-20.183496873974299</v>
      </c>
      <c r="I8298" s="3">
        <v>2.8312832999999999</v>
      </c>
      <c r="J8298" s="3">
        <v>2.8971262000000002</v>
      </c>
      <c r="K8298" s="3">
        <v>2.7325165</v>
      </c>
      <c r="L8298" s="3">
        <v>-20.183496873974299</v>
      </c>
    </row>
    <row r="8299" spans="1:12" ht="15" customHeight="1" x14ac:dyDescent="0.2">
      <c r="A8299" s="2">
        <v>34012</v>
      </c>
      <c r="B8299" s="3">
        <v>2.7654388000000001</v>
      </c>
      <c r="C8299" s="1">
        <v>873279.24</v>
      </c>
      <c r="D8299" s="3">
        <v>-0.16460900000000001</v>
      </c>
      <c r="E8299" s="3">
        <v>-5.6179629560992002</v>
      </c>
      <c r="F8299" s="3">
        <v>-5.6179629560992002</v>
      </c>
      <c r="G8299" s="3">
        <v>2.7654388000000001</v>
      </c>
      <c r="H8299" s="3">
        <v>-22.935782782165901</v>
      </c>
      <c r="I8299" s="3">
        <v>2.8971266999999998</v>
      </c>
      <c r="J8299" s="3">
        <v>2.9300478000000001</v>
      </c>
      <c r="K8299" s="3">
        <v>2.7325165</v>
      </c>
      <c r="L8299" s="3">
        <v>-22.935782782165901</v>
      </c>
    </row>
    <row r="8300" spans="1:12" ht="15" customHeight="1" x14ac:dyDescent="0.2">
      <c r="A8300" s="2">
        <v>34011</v>
      </c>
      <c r="B8300" s="3">
        <v>2.9300478000000001</v>
      </c>
      <c r="C8300" s="1">
        <v>521689.39999999898</v>
      </c>
      <c r="D8300" s="3">
        <v>-8.2305400000000001E-2</v>
      </c>
      <c r="E8300" s="3">
        <v>-2.7322626045312299</v>
      </c>
      <c r="F8300" s="3">
        <v>-2.7322626045312299</v>
      </c>
      <c r="G8300" s="3">
        <v>2.9300478000000001</v>
      </c>
      <c r="H8300" s="3">
        <v>-18.3486396018466</v>
      </c>
      <c r="I8300" s="3">
        <v>3.0617363000000002</v>
      </c>
      <c r="J8300" s="3">
        <v>3.12758</v>
      </c>
      <c r="K8300" s="3">
        <v>2.8971262000000002</v>
      </c>
      <c r="L8300" s="3">
        <v>-18.3486396018466</v>
      </c>
    </row>
    <row r="8301" spans="1:12" ht="15" customHeight="1" x14ac:dyDescent="0.2">
      <c r="A8301" s="2">
        <v>34010</v>
      </c>
      <c r="B8301" s="3">
        <v>3.0123532000000002</v>
      </c>
      <c r="C8301" s="1">
        <v>568770.5</v>
      </c>
      <c r="D8301" s="3">
        <v>-6.5843099999999904E-2</v>
      </c>
      <c r="E8301" s="3">
        <v>-2.1390156306795598</v>
      </c>
      <c r="F8301" s="3">
        <v>-2.1390156306795598</v>
      </c>
      <c r="G8301" s="3">
        <v>3.0123532000000002</v>
      </c>
      <c r="H8301" s="3">
        <v>-16.055042931473402</v>
      </c>
      <c r="I8301" s="3">
        <v>3.0288148000000001</v>
      </c>
      <c r="J8301" s="3">
        <v>3.0946574</v>
      </c>
      <c r="K8301" s="3">
        <v>2.9300478000000001</v>
      </c>
      <c r="L8301" s="3">
        <v>-16.055042931473402</v>
      </c>
    </row>
    <row r="8302" spans="1:12" ht="15" customHeight="1" x14ac:dyDescent="0.2">
      <c r="A8302" s="2">
        <v>34009</v>
      </c>
      <c r="B8302" s="3">
        <v>3.0781963000000001</v>
      </c>
      <c r="C8302" s="1">
        <v>489795.72</v>
      </c>
      <c r="D8302" s="3">
        <v>-0.14814919999999901</v>
      </c>
      <c r="E8302" s="3">
        <v>-4.5918578775893497</v>
      </c>
      <c r="F8302" s="3">
        <v>-4.5918578775893497</v>
      </c>
      <c r="G8302" s="3">
        <v>3.0781963000000001</v>
      </c>
      <c r="H8302" s="3">
        <v>-14.2201995927976</v>
      </c>
      <c r="I8302" s="3">
        <v>3.1605017000000002</v>
      </c>
      <c r="J8302" s="3">
        <v>3.2263454999999999</v>
      </c>
      <c r="K8302" s="3">
        <v>3.0617363000000002</v>
      </c>
      <c r="L8302" s="3">
        <v>-14.2201995927976</v>
      </c>
    </row>
    <row r="8303" spans="1:12" ht="15" customHeight="1" x14ac:dyDescent="0.2">
      <c r="A8303" s="2">
        <v>34008</v>
      </c>
      <c r="B8303" s="3">
        <v>3.2263454999999999</v>
      </c>
      <c r="C8303" s="1">
        <v>523967.5</v>
      </c>
      <c r="D8303" s="3">
        <v>-4.9382700000000203E-2</v>
      </c>
      <c r="E8303" s="3">
        <v>-1.5075335004900601</v>
      </c>
      <c r="F8303" s="3">
        <v>-1.5075335004900601</v>
      </c>
      <c r="G8303" s="3">
        <v>3.2263454999999999</v>
      </c>
      <c r="H8303" s="3">
        <v>-10.091740076916</v>
      </c>
      <c r="I8303" s="3">
        <v>3.3251113999999999</v>
      </c>
      <c r="J8303" s="3">
        <v>3.3251107000000002</v>
      </c>
      <c r="K8303" s="3">
        <v>3.1605015000000001</v>
      </c>
      <c r="L8303" s="3">
        <v>-10.091740076916</v>
      </c>
    </row>
    <row r="8304" spans="1:12" ht="15" customHeight="1" x14ac:dyDescent="0.2">
      <c r="A8304" s="2">
        <v>34005</v>
      </c>
      <c r="B8304" s="3">
        <v>3.2757282000000001</v>
      </c>
      <c r="C8304" s="1">
        <v>295396.12</v>
      </c>
      <c r="D8304" s="3">
        <v>1.6461200000000099E-2</v>
      </c>
      <c r="E8304" s="3">
        <v>0.50505834594098897</v>
      </c>
      <c r="F8304" s="3">
        <v>0.50505834594098897</v>
      </c>
      <c r="G8304" s="3">
        <v>3.2757282000000001</v>
      </c>
      <c r="H8304" s="3">
        <v>-8.7155971228201992</v>
      </c>
      <c r="I8304" s="3">
        <v>3.2592680000000001</v>
      </c>
      <c r="J8304" s="3">
        <v>3.3580325000000002</v>
      </c>
      <c r="K8304" s="3">
        <v>3.2592669999999999</v>
      </c>
      <c r="L8304" s="3">
        <v>-8.7155971228201992</v>
      </c>
    </row>
    <row r="8305" spans="1:12" ht="15" customHeight="1" x14ac:dyDescent="0.2">
      <c r="A8305" s="2">
        <v>34004</v>
      </c>
      <c r="B8305" s="3">
        <v>3.2592669999999999</v>
      </c>
      <c r="C8305" s="1">
        <v>400189.64</v>
      </c>
      <c r="D8305" s="3">
        <v>-0.164608799999999</v>
      </c>
      <c r="E8305" s="3">
        <v>-4.8076743905254897</v>
      </c>
      <c r="F8305" s="3">
        <v>-4.8076743905254897</v>
      </c>
      <c r="G8305" s="3">
        <v>3.2592669999999999</v>
      </c>
      <c r="H8305" s="3">
        <v>-9.1743198009232998</v>
      </c>
      <c r="I8305" s="3">
        <v>3.4238767999999999</v>
      </c>
      <c r="J8305" s="3">
        <v>3.4897203000000001</v>
      </c>
      <c r="K8305" s="3">
        <v>3.2592669999999999</v>
      </c>
      <c r="L8305" s="3">
        <v>-9.1743198009232998</v>
      </c>
    </row>
    <row r="8306" spans="1:12" ht="15" customHeight="1" x14ac:dyDescent="0.2">
      <c r="A8306" s="2">
        <v>34003</v>
      </c>
      <c r="B8306" s="3">
        <v>3.4238757999999998</v>
      </c>
      <c r="C8306" s="1">
        <v>1198290.8</v>
      </c>
      <c r="D8306" s="3">
        <v>6.5843299999999605E-2</v>
      </c>
      <c r="E8306" s="3">
        <v>1.96077018313549</v>
      </c>
      <c r="F8306" s="3">
        <v>1.96077018313549</v>
      </c>
      <c r="G8306" s="3">
        <v>3.4238757999999998</v>
      </c>
      <c r="H8306" s="3">
        <v>-4.5871821939847601</v>
      </c>
      <c r="I8306" s="3">
        <v>3.4238767999999999</v>
      </c>
      <c r="J8306" s="3">
        <v>3.5555637</v>
      </c>
      <c r="K8306" s="3">
        <v>3.3580325000000002</v>
      </c>
      <c r="L8306" s="3">
        <v>-4.5871821939847601</v>
      </c>
    </row>
    <row r="8307" spans="1:12" ht="15" customHeight="1" x14ac:dyDescent="0.2">
      <c r="A8307" s="2">
        <v>34002</v>
      </c>
      <c r="B8307" s="3">
        <v>3.3580325000000002</v>
      </c>
      <c r="C8307" s="1">
        <v>1057047.5</v>
      </c>
      <c r="D8307" s="3">
        <v>-3.2921499999999597E-2</v>
      </c>
      <c r="E8307" s="3">
        <v>-0.97086247704921602</v>
      </c>
      <c r="F8307" s="3">
        <v>-0.97086247704921602</v>
      </c>
      <c r="G8307" s="3">
        <v>3.3580325000000002</v>
      </c>
      <c r="H8307" s="3">
        <v>-6.4220311060413104</v>
      </c>
      <c r="I8307" s="3">
        <v>3.4567993000000001</v>
      </c>
      <c r="J8307" s="3">
        <v>3.5226426000000002</v>
      </c>
      <c r="K8307" s="3">
        <v>3.3580325000000002</v>
      </c>
      <c r="L8307" s="3">
        <v>-6.4220311060413104</v>
      </c>
    </row>
    <row r="8308" spans="1:12" ht="15" customHeight="1" x14ac:dyDescent="0.2">
      <c r="A8308" s="2">
        <v>34001</v>
      </c>
      <c r="B8308" s="3">
        <v>3.3909539999999998</v>
      </c>
      <c r="C8308" s="1">
        <v>508020.69999999902</v>
      </c>
      <c r="D8308" s="3">
        <v>0.263373999999999</v>
      </c>
      <c r="E8308" s="3">
        <v>8.4210156095127804</v>
      </c>
      <c r="F8308" s="3">
        <v>8.4210156095127804</v>
      </c>
      <c r="G8308" s="3">
        <v>3.3909539999999998</v>
      </c>
      <c r="H8308" s="3">
        <v>-5.5046108300486196</v>
      </c>
      <c r="I8308" s="3">
        <v>3.1769623999999999</v>
      </c>
      <c r="J8308" s="3">
        <v>3.4567983</v>
      </c>
      <c r="K8308" s="3">
        <v>3.1769620999999999</v>
      </c>
      <c r="L8308" s="3">
        <v>-5.5046108300486196</v>
      </c>
    </row>
    <row r="8309" spans="1:12" ht="15" customHeight="1" x14ac:dyDescent="0.2">
      <c r="A8309" s="2">
        <v>33998</v>
      </c>
      <c r="B8309" s="3">
        <v>3.12758</v>
      </c>
      <c r="C8309" s="1">
        <v>115424.71</v>
      </c>
      <c r="D8309" s="3">
        <v>-6.5843500000000096E-2</v>
      </c>
      <c r="E8309" s="3">
        <v>-2.0618467923217798</v>
      </c>
      <c r="F8309" s="3">
        <v>-2.0618467923217798</v>
      </c>
      <c r="G8309" s="3">
        <v>3.12758</v>
      </c>
      <c r="H8309" s="3">
        <v>-12.8440287717979</v>
      </c>
      <c r="I8309" s="3">
        <v>3.1934235000000002</v>
      </c>
      <c r="J8309" s="3">
        <v>3.292189</v>
      </c>
      <c r="K8309" s="3">
        <v>3.12758</v>
      </c>
      <c r="L8309" s="3">
        <v>-12.8440287717979</v>
      </c>
    </row>
    <row r="8310" spans="1:12" ht="15" customHeight="1" x14ac:dyDescent="0.2">
      <c r="A8310" s="2">
        <v>33997</v>
      </c>
      <c r="B8310" s="3">
        <v>3.1934235000000002</v>
      </c>
      <c r="C8310" s="1">
        <v>173137.1</v>
      </c>
      <c r="D8310" s="3">
        <v>-0.1316872</v>
      </c>
      <c r="E8310" s="3">
        <v>-3.9603854391975499</v>
      </c>
      <c r="F8310" s="3">
        <v>-3.9603854391975499</v>
      </c>
      <c r="G8310" s="3">
        <v>3.1934235000000002</v>
      </c>
      <c r="H8310" s="3">
        <v>-11.009174286360601</v>
      </c>
      <c r="I8310" s="3">
        <v>3.3251113999999999</v>
      </c>
      <c r="J8310" s="3">
        <v>3.3251107000000002</v>
      </c>
      <c r="K8310" s="3">
        <v>3.1934235000000002</v>
      </c>
      <c r="L8310" s="3">
        <v>-11.009174286360601</v>
      </c>
    </row>
    <row r="8311" spans="1:12" ht="15" customHeight="1" x14ac:dyDescent="0.2">
      <c r="A8311" s="2">
        <v>33996</v>
      </c>
      <c r="B8311" s="3">
        <v>3.3251107000000002</v>
      </c>
      <c r="C8311" s="1">
        <v>568770.5</v>
      </c>
      <c r="D8311" s="3">
        <v>0.2304533</v>
      </c>
      <c r="E8311" s="3">
        <v>7.4468113982504303</v>
      </c>
      <c r="F8311" s="3">
        <v>7.4468113982504303</v>
      </c>
      <c r="G8311" s="3">
        <v>3.3251107000000002</v>
      </c>
      <c r="H8311" s="3">
        <v>-7.3394597421051797</v>
      </c>
      <c r="I8311" s="3">
        <v>3.12758</v>
      </c>
      <c r="J8311" s="3">
        <v>3.3251107000000002</v>
      </c>
      <c r="K8311" s="3">
        <v>3.0946574</v>
      </c>
      <c r="L8311" s="3">
        <v>-7.3394597421051797</v>
      </c>
    </row>
    <row r="8312" spans="1:12" ht="15" customHeight="1" x14ac:dyDescent="0.2">
      <c r="A8312" s="2">
        <v>33995</v>
      </c>
      <c r="B8312" s="3">
        <v>3.0946574</v>
      </c>
      <c r="C8312" s="1">
        <v>1508874.4</v>
      </c>
      <c r="D8312" s="3"/>
      <c r="E8312" s="3"/>
      <c r="F8312" s="3"/>
      <c r="G8312" s="3">
        <v>3.0946574</v>
      </c>
      <c r="H8312" s="3">
        <v>-13.7614797013849</v>
      </c>
      <c r="I8312" s="3">
        <v>3.0946581000000002</v>
      </c>
      <c r="J8312" s="3">
        <v>3.12758</v>
      </c>
      <c r="K8312" s="3">
        <v>2.9300478000000001</v>
      </c>
      <c r="L8312" s="3">
        <v>-13.7614797013849</v>
      </c>
    </row>
    <row r="8313" spans="1:12" ht="15" customHeight="1" x14ac:dyDescent="0.2">
      <c r="A8313" s="2">
        <v>33994</v>
      </c>
      <c r="B8313" s="3">
        <v>3.0946574</v>
      </c>
      <c r="C8313" s="1">
        <v>91884.154999999999</v>
      </c>
      <c r="D8313" s="3">
        <v>-6.5844100000000003E-2</v>
      </c>
      <c r="E8313" s="3">
        <v>-2.08334341875806</v>
      </c>
      <c r="F8313" s="3">
        <v>-2.08334341875806</v>
      </c>
      <c r="G8313" s="3">
        <v>3.0946574</v>
      </c>
      <c r="H8313" s="3">
        <v>-13.7614797013849</v>
      </c>
      <c r="I8313" s="3">
        <v>3.1605017000000002</v>
      </c>
      <c r="J8313" s="3">
        <v>3.1605015000000001</v>
      </c>
      <c r="K8313" s="3">
        <v>3.0288138</v>
      </c>
      <c r="L8313" s="3">
        <v>-13.7614797013849</v>
      </c>
    </row>
    <row r="8314" spans="1:12" ht="15" customHeight="1" x14ac:dyDescent="0.2">
      <c r="A8314" s="2">
        <v>33991</v>
      </c>
      <c r="B8314" s="3">
        <v>3.1605015000000001</v>
      </c>
      <c r="C8314" s="1">
        <v>75177.94</v>
      </c>
      <c r="D8314" s="3">
        <v>9.8765199999999803E-2</v>
      </c>
      <c r="E8314" s="3">
        <v>3.2257905424448001</v>
      </c>
      <c r="F8314" s="3">
        <v>3.2257905424448001</v>
      </c>
      <c r="G8314" s="3">
        <v>3.1605015000000001</v>
      </c>
      <c r="H8314" s="3">
        <v>-11.926608495805199</v>
      </c>
      <c r="I8314" s="3">
        <v>3.1605017000000002</v>
      </c>
      <c r="J8314" s="3">
        <v>3.1605015000000001</v>
      </c>
      <c r="K8314" s="3">
        <v>3.0617363000000002</v>
      </c>
      <c r="L8314" s="3">
        <v>-11.926608495805199</v>
      </c>
    </row>
    <row r="8315" spans="1:12" ht="15" customHeight="1" x14ac:dyDescent="0.2">
      <c r="A8315" s="2">
        <v>33990</v>
      </c>
      <c r="B8315" s="3">
        <v>3.0617363000000002</v>
      </c>
      <c r="C8315" s="1">
        <v>937066.83</v>
      </c>
      <c r="D8315" s="3">
        <v>-9.8765199999999803E-2</v>
      </c>
      <c r="E8315" s="3">
        <v>-3.1249850696163199</v>
      </c>
      <c r="F8315" s="3">
        <v>-3.1249850696163199</v>
      </c>
      <c r="G8315" s="3">
        <v>3.0617363000000002</v>
      </c>
      <c r="H8315" s="3">
        <v>-14.678888830616</v>
      </c>
      <c r="I8315" s="3">
        <v>3.0617363000000002</v>
      </c>
      <c r="J8315" s="3">
        <v>3.1605015000000001</v>
      </c>
      <c r="K8315" s="3">
        <v>3.0617363000000002</v>
      </c>
      <c r="L8315" s="3">
        <v>-14.678888830616</v>
      </c>
    </row>
    <row r="8316" spans="1:12" ht="15" customHeight="1" x14ac:dyDescent="0.2">
      <c r="A8316" s="2">
        <v>33989</v>
      </c>
      <c r="B8316" s="3">
        <v>3.1605015000000001</v>
      </c>
      <c r="C8316" s="1">
        <v>115424.71</v>
      </c>
      <c r="D8316" s="3">
        <v>-1.6460599999999801E-2</v>
      </c>
      <c r="E8316" s="3">
        <v>-0.51812390207612802</v>
      </c>
      <c r="F8316" s="3">
        <v>-0.51812390207612802</v>
      </c>
      <c r="G8316" s="3">
        <v>3.1605015000000001</v>
      </c>
      <c r="H8316" s="3">
        <v>-11.926608495805199</v>
      </c>
      <c r="I8316" s="3">
        <v>3.2263454999999999</v>
      </c>
      <c r="J8316" s="3">
        <v>3.2263454999999999</v>
      </c>
      <c r="K8316" s="3">
        <v>3.12758</v>
      </c>
      <c r="L8316" s="3">
        <v>-11.926608495805199</v>
      </c>
    </row>
    <row r="8317" spans="1:12" ht="15" customHeight="1" x14ac:dyDescent="0.2">
      <c r="A8317" s="2">
        <v>33988</v>
      </c>
      <c r="B8317" s="3">
        <v>3.1769620999999999</v>
      </c>
      <c r="C8317" s="1">
        <v>258186.9</v>
      </c>
      <c r="D8317" s="3">
        <v>-1.6461400000000199E-2</v>
      </c>
      <c r="E8317" s="3">
        <v>-0.51547813811729704</v>
      </c>
      <c r="F8317" s="3">
        <v>-0.51547813811729704</v>
      </c>
      <c r="G8317" s="3">
        <v>3.1769620999999999</v>
      </c>
      <c r="H8317" s="3">
        <v>-11.4679025378445</v>
      </c>
      <c r="I8317" s="3">
        <v>3.2592680000000001</v>
      </c>
      <c r="J8317" s="3">
        <v>3.2592669999999999</v>
      </c>
      <c r="K8317" s="3">
        <v>3.1605015000000001</v>
      </c>
      <c r="L8317" s="3">
        <v>-11.4679025378445</v>
      </c>
    </row>
    <row r="8318" spans="1:12" ht="15" customHeight="1" x14ac:dyDescent="0.2">
      <c r="A8318" s="2">
        <v>33987</v>
      </c>
      <c r="B8318" s="3">
        <v>3.1934235000000002</v>
      </c>
      <c r="C8318" s="1">
        <v>506501.92</v>
      </c>
      <c r="D8318" s="3">
        <v>-0.1316872</v>
      </c>
      <c r="E8318" s="3">
        <v>-3.9603854391975499</v>
      </c>
      <c r="F8318" s="3">
        <v>-3.9603854391975499</v>
      </c>
      <c r="G8318" s="3">
        <v>3.1934235000000002</v>
      </c>
      <c r="H8318" s="3">
        <v>-11.009174286360601</v>
      </c>
      <c r="I8318" s="3">
        <v>3.3251113999999999</v>
      </c>
      <c r="J8318" s="3">
        <v>3.3251107000000002</v>
      </c>
      <c r="K8318" s="3">
        <v>3.1605015000000001</v>
      </c>
      <c r="L8318" s="3">
        <v>-11.009174286360601</v>
      </c>
    </row>
    <row r="8319" spans="1:12" ht="15" customHeight="1" x14ac:dyDescent="0.2">
      <c r="A8319" s="2">
        <v>33984</v>
      </c>
      <c r="B8319" s="3">
        <v>3.3251107000000002</v>
      </c>
      <c r="C8319" s="1">
        <v>285524.32</v>
      </c>
      <c r="D8319" s="3">
        <v>6.5843700000000199E-2</v>
      </c>
      <c r="E8319" s="3">
        <v>2.02019963384405</v>
      </c>
      <c r="F8319" s="3">
        <v>2.02019963384405</v>
      </c>
      <c r="G8319" s="3">
        <v>3.3251107000000002</v>
      </c>
      <c r="H8319" s="3">
        <v>-7.3394597421051797</v>
      </c>
      <c r="I8319" s="3">
        <v>3.292189</v>
      </c>
      <c r="J8319" s="3">
        <v>3.3251107000000002</v>
      </c>
      <c r="K8319" s="3">
        <v>3.2263454999999999</v>
      </c>
      <c r="L8319" s="3">
        <v>-7.3394597421051797</v>
      </c>
    </row>
    <row r="8320" spans="1:12" ht="15" customHeight="1" x14ac:dyDescent="0.2">
      <c r="A8320" s="2">
        <v>33983</v>
      </c>
      <c r="B8320" s="3">
        <v>3.2592669999999999</v>
      </c>
      <c r="C8320" s="1">
        <v>1150450.3999999999</v>
      </c>
      <c r="D8320" s="3">
        <v>0.32921919999999899</v>
      </c>
      <c r="E8320" s="3">
        <v>11.235966867161601</v>
      </c>
      <c r="F8320" s="3">
        <v>11.235966867161601</v>
      </c>
      <c r="G8320" s="3">
        <v>3.2592669999999999</v>
      </c>
      <c r="H8320" s="3">
        <v>-9.1743198009232998</v>
      </c>
      <c r="I8320" s="3">
        <v>3.0617363000000002</v>
      </c>
      <c r="J8320" s="3">
        <v>3.3251107000000002</v>
      </c>
      <c r="K8320" s="3">
        <v>3.0617363000000002</v>
      </c>
      <c r="L8320" s="3">
        <v>-9.1743198009232998</v>
      </c>
    </row>
    <row r="8321" spans="1:12" ht="15" customHeight="1" x14ac:dyDescent="0.2">
      <c r="A8321" s="2">
        <v>33982</v>
      </c>
      <c r="B8321" s="3">
        <v>2.9300478000000001</v>
      </c>
      <c r="C8321" s="1">
        <v>131371.56999999899</v>
      </c>
      <c r="D8321" s="3">
        <v>3.2921599999999801E-2</v>
      </c>
      <c r="E8321" s="3">
        <v>1.13635367351272</v>
      </c>
      <c r="F8321" s="3">
        <v>1.13635367351272</v>
      </c>
      <c r="G8321" s="3">
        <v>2.9300478000000001</v>
      </c>
      <c r="H8321" s="3">
        <v>-18.3486396018466</v>
      </c>
      <c r="I8321" s="3">
        <v>2.962971</v>
      </c>
      <c r="J8321" s="3">
        <v>2.9958917999999999</v>
      </c>
      <c r="K8321" s="3">
        <v>2.8971262000000002</v>
      </c>
      <c r="L8321" s="3">
        <v>-18.3486396018466</v>
      </c>
    </row>
    <row r="8322" spans="1:12" ht="15" customHeight="1" x14ac:dyDescent="0.2">
      <c r="A8322" s="2">
        <v>33981</v>
      </c>
      <c r="B8322" s="3">
        <v>2.8971262000000002</v>
      </c>
      <c r="C8322" s="1">
        <v>173137.1</v>
      </c>
      <c r="D8322" s="3">
        <v>-6.5842799999999896E-2</v>
      </c>
      <c r="E8322" s="3">
        <v>-2.2221899722879299</v>
      </c>
      <c r="F8322" s="3">
        <v>-2.2221899722879299</v>
      </c>
      <c r="G8322" s="3">
        <v>2.8971262000000002</v>
      </c>
      <c r="H8322" s="3">
        <v>-19.266062664529599</v>
      </c>
      <c r="I8322" s="3">
        <v>2.9958923</v>
      </c>
      <c r="J8322" s="3">
        <v>2.9958917999999999</v>
      </c>
      <c r="K8322" s="3">
        <v>2.8971262000000002</v>
      </c>
      <c r="L8322" s="3">
        <v>-19.266062664529599</v>
      </c>
    </row>
    <row r="8323" spans="1:12" ht="15" customHeight="1" x14ac:dyDescent="0.2">
      <c r="A8323" s="2">
        <v>33980</v>
      </c>
      <c r="B8323" s="3">
        <v>2.9629690000000002</v>
      </c>
      <c r="C8323" s="1">
        <v>2103463.9</v>
      </c>
      <c r="D8323" s="3">
        <v>0.1646077</v>
      </c>
      <c r="E8323" s="3">
        <v>5.88228903823107</v>
      </c>
      <c r="F8323" s="3">
        <v>5.88228903823107</v>
      </c>
      <c r="G8323" s="3">
        <v>2.9629690000000002</v>
      </c>
      <c r="H8323" s="3">
        <v>-17.431227685924998</v>
      </c>
      <c r="I8323" s="3">
        <v>2.8312832999999999</v>
      </c>
      <c r="J8323" s="3">
        <v>2.9958917999999999</v>
      </c>
      <c r="K8323" s="3">
        <v>2.7654388000000001</v>
      </c>
      <c r="L8323" s="3">
        <v>-17.431227685924998</v>
      </c>
    </row>
    <row r="8324" spans="1:12" ht="15" customHeight="1" x14ac:dyDescent="0.2">
      <c r="A8324" s="2">
        <v>33977</v>
      </c>
      <c r="B8324" s="3">
        <v>2.7983612999999998</v>
      </c>
      <c r="C8324" s="1">
        <v>1298528.2</v>
      </c>
      <c r="D8324" s="3">
        <v>-3.2921100000000203E-2</v>
      </c>
      <c r="E8324" s="3">
        <v>-1.16276285262113</v>
      </c>
      <c r="F8324" s="3">
        <v>-1.16276285262113</v>
      </c>
      <c r="G8324" s="3">
        <v>2.7983612999999998</v>
      </c>
      <c r="H8324" s="3">
        <v>-22.018334639269298</v>
      </c>
      <c r="I8324" s="3">
        <v>2.8312832999999999</v>
      </c>
      <c r="J8324" s="3">
        <v>2.8312824000000001</v>
      </c>
      <c r="K8324" s="3">
        <v>2.7818995000000002</v>
      </c>
      <c r="L8324" s="3">
        <v>-22.018334639269298</v>
      </c>
    </row>
    <row r="8325" spans="1:12" ht="15" customHeight="1" x14ac:dyDescent="0.2">
      <c r="A8325" s="2">
        <v>33976</v>
      </c>
      <c r="B8325" s="3">
        <v>2.8312824000000001</v>
      </c>
      <c r="C8325" s="1">
        <v>2140673.2999999998</v>
      </c>
      <c r="D8325" s="3">
        <v>-0.16460939999999899</v>
      </c>
      <c r="E8325" s="3">
        <v>-5.4945041740158898</v>
      </c>
      <c r="F8325" s="3">
        <v>-5.4945041740158898</v>
      </c>
      <c r="G8325" s="3">
        <v>2.8312824000000001</v>
      </c>
      <c r="H8325" s="3">
        <v>-21.100925510038099</v>
      </c>
      <c r="I8325" s="3">
        <v>2.9958923</v>
      </c>
      <c r="J8325" s="3">
        <v>3.0288138</v>
      </c>
      <c r="K8325" s="3">
        <v>2.7325165</v>
      </c>
      <c r="L8325" s="3">
        <v>-21.100925510038099</v>
      </c>
    </row>
    <row r="8326" spans="1:12" ht="15" customHeight="1" x14ac:dyDescent="0.2">
      <c r="A8326" s="2">
        <v>33975</v>
      </c>
      <c r="B8326" s="3">
        <v>2.9958917999999999</v>
      </c>
      <c r="C8326" s="1">
        <v>691029.6</v>
      </c>
      <c r="D8326" s="3">
        <v>-0.1975317</v>
      </c>
      <c r="E8326" s="3">
        <v>-6.1855779541924303</v>
      </c>
      <c r="F8326" s="3">
        <v>-6.1855779541924303</v>
      </c>
      <c r="G8326" s="3">
        <v>2.9958917999999999</v>
      </c>
      <c r="H8326" s="3">
        <v>-16.513771182957299</v>
      </c>
      <c r="I8326" s="3">
        <v>3.12758</v>
      </c>
      <c r="J8326" s="3">
        <v>3.1934235000000002</v>
      </c>
      <c r="K8326" s="3">
        <v>2.9958917999999999</v>
      </c>
      <c r="L8326" s="3">
        <v>-16.513771182957299</v>
      </c>
    </row>
    <row r="8327" spans="1:12" ht="15" customHeight="1" x14ac:dyDescent="0.2">
      <c r="A8327" s="2">
        <v>33974</v>
      </c>
      <c r="B8327" s="3">
        <v>3.1934235000000002</v>
      </c>
      <c r="C8327" s="1">
        <v>530042.5</v>
      </c>
      <c r="D8327" s="3">
        <v>-1.6460499999999899E-2</v>
      </c>
      <c r="E8327" s="3">
        <v>-0.51280669332598405</v>
      </c>
      <c r="F8327" s="3">
        <v>-0.51280669332598405</v>
      </c>
      <c r="G8327" s="3">
        <v>3.1934235000000002</v>
      </c>
      <c r="H8327" s="3">
        <v>-11.009174286360601</v>
      </c>
      <c r="I8327" s="3">
        <v>3.2592680000000001</v>
      </c>
      <c r="J8327" s="3">
        <v>3.2592669999999999</v>
      </c>
      <c r="K8327" s="3">
        <v>3.1605015000000001</v>
      </c>
      <c r="L8327" s="3">
        <v>-11.009174286360601</v>
      </c>
    </row>
    <row r="8328" spans="1:12" ht="15" customHeight="1" x14ac:dyDescent="0.2">
      <c r="A8328" s="2">
        <v>33973</v>
      </c>
      <c r="B8328" s="3">
        <v>3.2098840000000002</v>
      </c>
      <c r="C8328" s="1">
        <v>1013763.24</v>
      </c>
      <c r="D8328" s="3">
        <v>4.93825000000001E-2</v>
      </c>
      <c r="E8328" s="3">
        <v>1.5624893707533301</v>
      </c>
      <c r="F8328" s="3">
        <v>1.5624893707533301</v>
      </c>
      <c r="G8328" s="3">
        <v>3.2098840000000002</v>
      </c>
      <c r="H8328" s="3">
        <v>-10.5504711150902</v>
      </c>
      <c r="I8328" s="3">
        <v>3.1605017000000002</v>
      </c>
      <c r="J8328" s="3">
        <v>3.292189</v>
      </c>
      <c r="K8328" s="3">
        <v>3.0617363000000002</v>
      </c>
      <c r="L8328" s="3">
        <v>-10.5504711150902</v>
      </c>
    </row>
    <row r="8329" spans="1:12" ht="15" customHeight="1" x14ac:dyDescent="0.2">
      <c r="A8329" s="2">
        <v>33969</v>
      </c>
      <c r="B8329" s="3">
        <v>3.1605015000000001</v>
      </c>
      <c r="C8329" s="1">
        <v>173137.1</v>
      </c>
      <c r="D8329" s="3">
        <v>9.8765199999999803E-2</v>
      </c>
      <c r="E8329" s="3">
        <v>3.2257905424448001</v>
      </c>
      <c r="F8329" s="3">
        <v>3.2257905424448001</v>
      </c>
      <c r="G8329" s="3">
        <v>3.1605015000000001</v>
      </c>
      <c r="H8329" s="3">
        <v>-11.926608495805199</v>
      </c>
      <c r="I8329" s="3">
        <v>3.1605017000000002</v>
      </c>
      <c r="J8329" s="3">
        <v>3.1605015000000001</v>
      </c>
      <c r="K8329" s="3">
        <v>3.0617363000000002</v>
      </c>
      <c r="L8329" s="3">
        <v>-11.926608495805199</v>
      </c>
    </row>
    <row r="8330" spans="1:12" ht="15" customHeight="1" x14ac:dyDescent="0.2">
      <c r="A8330" s="2">
        <v>33968</v>
      </c>
      <c r="B8330" s="3">
        <v>3.0617363000000002</v>
      </c>
      <c r="C8330" s="1">
        <v>614332.94999999995</v>
      </c>
      <c r="D8330" s="3">
        <v>9.8767300000000002E-2</v>
      </c>
      <c r="E8330" s="3">
        <v>3.3333895832187102</v>
      </c>
      <c r="F8330" s="3">
        <v>3.3333895832187102</v>
      </c>
      <c r="G8330" s="3">
        <v>3.0617363000000002</v>
      </c>
      <c r="H8330" s="3">
        <v>-14.678888830616</v>
      </c>
      <c r="I8330" s="3">
        <v>2.962971</v>
      </c>
      <c r="J8330" s="3">
        <v>3.12758</v>
      </c>
      <c r="K8330" s="3">
        <v>2.9629690000000002</v>
      </c>
      <c r="L8330" s="3">
        <v>-14.678888830616</v>
      </c>
    </row>
    <row r="8331" spans="1:12" ht="15" customHeight="1" x14ac:dyDescent="0.2">
      <c r="A8331" s="2">
        <v>33967</v>
      </c>
      <c r="B8331" s="3">
        <v>2.9629690000000002</v>
      </c>
      <c r="C8331" s="1">
        <v>1435974.9</v>
      </c>
      <c r="D8331" s="3">
        <v>9.8764800000000097E-2</v>
      </c>
      <c r="E8331" s="3">
        <v>3.4482457640415398</v>
      </c>
      <c r="F8331" s="3">
        <v>3.4482457640415398</v>
      </c>
      <c r="G8331" s="3">
        <v>2.9629690000000002</v>
      </c>
      <c r="H8331" s="3">
        <v>-17.431227685924998</v>
      </c>
      <c r="I8331" s="3">
        <v>2.9300487</v>
      </c>
      <c r="J8331" s="3">
        <v>3.0617363000000002</v>
      </c>
      <c r="K8331" s="3">
        <v>2.8312824000000001</v>
      </c>
      <c r="L8331" s="3">
        <v>-17.431227685924998</v>
      </c>
    </row>
    <row r="8332" spans="1:12" ht="15" customHeight="1" x14ac:dyDescent="0.2">
      <c r="A8332" s="2">
        <v>33966</v>
      </c>
      <c r="B8332" s="3">
        <v>2.8642042000000001</v>
      </c>
      <c r="C8332" s="1">
        <v>4367155.3</v>
      </c>
      <c r="D8332" s="3">
        <v>-0.5102894</v>
      </c>
      <c r="E8332" s="3">
        <v>-15.1219548912464</v>
      </c>
      <c r="F8332" s="3">
        <v>-15.1219548912464</v>
      </c>
      <c r="G8332" s="3">
        <v>2.8642042000000001</v>
      </c>
      <c r="H8332" s="3">
        <v>-20.183496873974299</v>
      </c>
      <c r="I8332" s="3">
        <v>3.2263454999999999</v>
      </c>
      <c r="J8332" s="3">
        <v>3.2263454999999999</v>
      </c>
      <c r="K8332" s="3">
        <v>2.8312824000000001</v>
      </c>
      <c r="L8332" s="3">
        <v>-20.183496873974299</v>
      </c>
    </row>
    <row r="8333" spans="1:12" ht="15" customHeight="1" x14ac:dyDescent="0.2">
      <c r="A8333" s="2">
        <v>33962</v>
      </c>
      <c r="B8333" s="3">
        <v>3.3744936000000001</v>
      </c>
      <c r="C8333" s="1">
        <v>62268.6</v>
      </c>
      <c r="D8333" s="3">
        <v>1.6461099999999802E-2</v>
      </c>
      <c r="E8333" s="3">
        <v>0.490200735103063</v>
      </c>
      <c r="F8333" s="3">
        <v>0.490200735103063</v>
      </c>
      <c r="G8333" s="3">
        <v>3.3744936000000001</v>
      </c>
      <c r="H8333" s="3">
        <v>-5.96331121462861</v>
      </c>
      <c r="I8333" s="3">
        <v>3.4238767999999999</v>
      </c>
      <c r="J8333" s="3">
        <v>3.4567983</v>
      </c>
      <c r="K8333" s="3">
        <v>3.3580325000000002</v>
      </c>
      <c r="L8333" s="3">
        <v>-5.96331121462861</v>
      </c>
    </row>
    <row r="8334" spans="1:12" ht="15" customHeight="1" x14ac:dyDescent="0.2">
      <c r="A8334" s="2">
        <v>33961</v>
      </c>
      <c r="B8334" s="3">
        <v>3.3580325000000002</v>
      </c>
      <c r="C8334" s="1">
        <v>392596.07</v>
      </c>
      <c r="D8334" s="3">
        <v>-0.13168779999999899</v>
      </c>
      <c r="E8334" s="3">
        <v>-3.7735918262561001</v>
      </c>
      <c r="F8334" s="3">
        <v>-3.7735918262561001</v>
      </c>
      <c r="G8334" s="3">
        <v>3.3580325000000002</v>
      </c>
      <c r="H8334" s="3">
        <v>-6.4220311060413104</v>
      </c>
      <c r="I8334" s="3">
        <v>3.4567993000000001</v>
      </c>
      <c r="J8334" s="3">
        <v>3.4897203000000001</v>
      </c>
      <c r="K8334" s="3">
        <v>3.3580325000000002</v>
      </c>
      <c r="L8334" s="3">
        <v>-6.4220311060413104</v>
      </c>
    </row>
    <row r="8335" spans="1:12" ht="15" customHeight="1" x14ac:dyDescent="0.2">
      <c r="A8335" s="2">
        <v>33960</v>
      </c>
      <c r="B8335" s="3">
        <v>3.4897203000000001</v>
      </c>
      <c r="C8335" s="1">
        <v>195158.97</v>
      </c>
      <c r="D8335" s="3">
        <v>-6.5843399999999802E-2</v>
      </c>
      <c r="E8335" s="3">
        <v>-1.85184138312582</v>
      </c>
      <c r="F8335" s="3">
        <v>-1.85184138312582</v>
      </c>
      <c r="G8335" s="3">
        <v>3.4897203000000001</v>
      </c>
      <c r="H8335" s="3">
        <v>-2.7522998416435298</v>
      </c>
      <c r="I8335" s="3">
        <v>3.5555648999999998</v>
      </c>
      <c r="J8335" s="3">
        <v>3.6543294999999998</v>
      </c>
      <c r="K8335" s="3">
        <v>3.4567983</v>
      </c>
      <c r="L8335" s="3">
        <v>-2.7522998416435298</v>
      </c>
    </row>
    <row r="8336" spans="1:12" ht="15" customHeight="1" x14ac:dyDescent="0.2">
      <c r="A8336" s="2">
        <v>33959</v>
      </c>
      <c r="B8336" s="3">
        <v>3.5555637</v>
      </c>
      <c r="C8336" s="1">
        <v>31893.674999999999</v>
      </c>
      <c r="D8336" s="3"/>
      <c r="E8336" s="3"/>
      <c r="F8336" s="3"/>
      <c r="G8336" s="3">
        <v>3.5555637</v>
      </c>
      <c r="H8336" s="3">
        <v>-0.91744814289658305</v>
      </c>
      <c r="I8336" s="3">
        <v>3.5555648999999998</v>
      </c>
      <c r="J8336" s="3">
        <v>3.6214081999999999</v>
      </c>
      <c r="K8336" s="3">
        <v>3.5555637</v>
      </c>
      <c r="L8336" s="3">
        <v>-0.91744814289658305</v>
      </c>
    </row>
    <row r="8337" spans="1:12" ht="15" customHeight="1" x14ac:dyDescent="0.2">
      <c r="A8337" s="2">
        <v>33956</v>
      </c>
      <c r="B8337" s="3">
        <v>3.5555637</v>
      </c>
      <c r="C8337" s="1">
        <v>214143.16999999899</v>
      </c>
      <c r="D8337" s="3">
        <v>-6.5844499999999806E-2</v>
      </c>
      <c r="E8337" s="3">
        <v>-1.818201549331</v>
      </c>
      <c r="F8337" s="3">
        <v>-1.818201549331</v>
      </c>
      <c r="G8337" s="3">
        <v>3.5555637</v>
      </c>
      <c r="H8337" s="3">
        <v>-0.91744814289658305</v>
      </c>
      <c r="I8337" s="3">
        <v>3.6214081999999999</v>
      </c>
      <c r="J8337" s="3">
        <v>3.6872522999999999</v>
      </c>
      <c r="K8337" s="3">
        <v>3.5555637</v>
      </c>
      <c r="L8337" s="3">
        <v>-0.91744814289658305</v>
      </c>
    </row>
    <row r="8338" spans="1:12" ht="15" customHeight="1" x14ac:dyDescent="0.2">
      <c r="A8338" s="2">
        <v>33955</v>
      </c>
      <c r="B8338" s="3">
        <v>3.6214081999999999</v>
      </c>
      <c r="C8338" s="1">
        <v>580161.19999999995</v>
      </c>
      <c r="D8338" s="3">
        <v>0.26337569999999899</v>
      </c>
      <c r="E8338" s="3">
        <v>7.8431551808983304</v>
      </c>
      <c r="F8338" s="3">
        <v>7.8431551808983304</v>
      </c>
      <c r="G8338" s="3">
        <v>3.6214081999999999</v>
      </c>
      <c r="H8338" s="3">
        <v>0.91743420944463006</v>
      </c>
      <c r="I8338" s="3">
        <v>3.4238767999999999</v>
      </c>
      <c r="J8338" s="3">
        <v>3.6214081999999999</v>
      </c>
      <c r="K8338" s="3">
        <v>3.4238757999999998</v>
      </c>
      <c r="L8338" s="3">
        <v>0.91743420944463006</v>
      </c>
    </row>
    <row r="8339" spans="1:12" ht="15" customHeight="1" x14ac:dyDescent="0.2">
      <c r="A8339" s="2">
        <v>33954</v>
      </c>
      <c r="B8339" s="3">
        <v>3.3580325000000002</v>
      </c>
      <c r="C8339" s="1">
        <v>575604.9</v>
      </c>
      <c r="D8339" s="3">
        <v>3.2921800000000001E-2</v>
      </c>
      <c r="E8339" s="3">
        <v>0.99009635979938604</v>
      </c>
      <c r="F8339" s="3">
        <v>0.99009635979938604</v>
      </c>
      <c r="G8339" s="3">
        <v>3.3580325000000002</v>
      </c>
      <c r="H8339" s="3">
        <v>-6.4220311060413104</v>
      </c>
      <c r="I8339" s="3">
        <v>3.3251113999999999</v>
      </c>
      <c r="J8339" s="3">
        <v>3.3580325000000002</v>
      </c>
      <c r="K8339" s="3">
        <v>3.2263454999999999</v>
      </c>
      <c r="L8339" s="3">
        <v>-6.4220311060413104</v>
      </c>
    </row>
    <row r="8340" spans="1:12" ht="15" customHeight="1" x14ac:dyDescent="0.2">
      <c r="A8340" s="2">
        <v>33953</v>
      </c>
      <c r="B8340" s="3">
        <v>3.3251107000000002</v>
      </c>
      <c r="C8340" s="1">
        <v>587754.9</v>
      </c>
      <c r="D8340" s="3">
        <v>-9.8765099999999606E-2</v>
      </c>
      <c r="E8340" s="3">
        <v>-2.8845993771152401</v>
      </c>
      <c r="F8340" s="3">
        <v>-2.8845993771152401</v>
      </c>
      <c r="G8340" s="3">
        <v>3.3251107000000002</v>
      </c>
      <c r="H8340" s="3">
        <v>-7.3394597421051797</v>
      </c>
      <c r="I8340" s="3">
        <v>3.4238767999999999</v>
      </c>
      <c r="J8340" s="3">
        <v>3.4567983</v>
      </c>
      <c r="K8340" s="3">
        <v>3.2592669999999999</v>
      </c>
      <c r="L8340" s="3">
        <v>-7.3394597421051797</v>
      </c>
    </row>
    <row r="8341" spans="1:12" ht="15" customHeight="1" x14ac:dyDescent="0.2">
      <c r="A8341" s="2">
        <v>33952</v>
      </c>
      <c r="B8341" s="3">
        <v>3.4238757999999998</v>
      </c>
      <c r="C8341" s="1">
        <v>378167.82</v>
      </c>
      <c r="D8341" s="3">
        <v>-0.1316879</v>
      </c>
      <c r="E8341" s="3">
        <v>-3.7037137036807999</v>
      </c>
      <c r="F8341" s="3">
        <v>-3.7037137036807999</v>
      </c>
      <c r="G8341" s="3">
        <v>3.4238757999999998</v>
      </c>
      <c r="H8341" s="3">
        <v>-4.5871821939847601</v>
      </c>
      <c r="I8341" s="3">
        <v>3.5555648999999998</v>
      </c>
      <c r="J8341" s="3">
        <v>3.5555637</v>
      </c>
      <c r="K8341" s="3">
        <v>3.4238757999999998</v>
      </c>
      <c r="L8341" s="3">
        <v>-4.5871821939847601</v>
      </c>
    </row>
    <row r="8342" spans="1:12" ht="15" customHeight="1" x14ac:dyDescent="0.2">
      <c r="A8342" s="2">
        <v>33949</v>
      </c>
      <c r="B8342" s="3">
        <v>3.5555637</v>
      </c>
      <c r="C8342" s="1">
        <v>31134.3</v>
      </c>
      <c r="D8342" s="3">
        <v>9.8765400000000003E-2</v>
      </c>
      <c r="E8342" s="3">
        <v>2.8571351704263299</v>
      </c>
      <c r="F8342" s="3">
        <v>2.8571351704263299</v>
      </c>
      <c r="G8342" s="3">
        <v>3.5555637</v>
      </c>
      <c r="H8342" s="3">
        <v>-0.91744814289658305</v>
      </c>
      <c r="I8342" s="3">
        <v>3.4567993000000001</v>
      </c>
      <c r="J8342" s="3">
        <v>3.5555637</v>
      </c>
      <c r="K8342" s="3">
        <v>3.4567983</v>
      </c>
      <c r="L8342" s="3">
        <v>-0.91744814289658305</v>
      </c>
    </row>
    <row r="8343" spans="1:12" ht="15" customHeight="1" x14ac:dyDescent="0.2">
      <c r="A8343" s="2">
        <v>33948</v>
      </c>
      <c r="B8343" s="3">
        <v>3.4567983</v>
      </c>
      <c r="C8343" s="1">
        <v>143521.54999999999</v>
      </c>
      <c r="D8343" s="3">
        <v>-3.2922000000000097E-2</v>
      </c>
      <c r="E8343" s="3">
        <v>-0.943399389343613</v>
      </c>
      <c r="F8343" s="3">
        <v>-0.943399389343613</v>
      </c>
      <c r="G8343" s="3">
        <v>3.4567983</v>
      </c>
      <c r="H8343" s="3">
        <v>-3.6697340510881702</v>
      </c>
      <c r="I8343" s="3">
        <v>3.5226426000000002</v>
      </c>
      <c r="J8343" s="3">
        <v>3.5226426000000002</v>
      </c>
      <c r="K8343" s="3">
        <v>3.4238757999999998</v>
      </c>
      <c r="L8343" s="3">
        <v>-3.6697340510881702</v>
      </c>
    </row>
    <row r="8344" spans="1:12" ht="15" customHeight="1" x14ac:dyDescent="0.2">
      <c r="A8344" s="2">
        <v>33947</v>
      </c>
      <c r="B8344" s="3">
        <v>3.4897203000000001</v>
      </c>
      <c r="C8344" s="1">
        <v>272614.96000000002</v>
      </c>
      <c r="D8344" s="3">
        <v>-0.16460919999999901</v>
      </c>
      <c r="E8344" s="3">
        <v>-4.5044980207723402</v>
      </c>
      <c r="F8344" s="3">
        <v>-4.5044980207723402</v>
      </c>
      <c r="G8344" s="3">
        <v>3.4897203000000001</v>
      </c>
      <c r="H8344" s="3">
        <v>-2.7522998416435298</v>
      </c>
      <c r="I8344" s="3">
        <v>3.6214081999999999</v>
      </c>
      <c r="J8344" s="3">
        <v>3.6872522999999999</v>
      </c>
      <c r="K8344" s="3">
        <v>3.4567983</v>
      </c>
      <c r="L8344" s="3">
        <v>-2.7522998416435298</v>
      </c>
    </row>
    <row r="8345" spans="1:12" ht="15" customHeight="1" x14ac:dyDescent="0.2">
      <c r="A8345" s="2">
        <v>33946</v>
      </c>
      <c r="B8345" s="3">
        <v>3.6543294999999998</v>
      </c>
      <c r="C8345" s="1">
        <v>129852.81</v>
      </c>
      <c r="D8345" s="3">
        <v>-9.8766100000000107E-2</v>
      </c>
      <c r="E8345" s="3">
        <v>-2.6315903064126598</v>
      </c>
      <c r="F8345" s="3">
        <v>-2.6315903064126598</v>
      </c>
      <c r="G8345" s="3">
        <v>3.6543294999999998</v>
      </c>
      <c r="H8345" s="3">
        <v>1.8348489120565501</v>
      </c>
      <c r="I8345" s="3">
        <v>3.7530960000000002</v>
      </c>
      <c r="J8345" s="3">
        <v>3.7530956</v>
      </c>
      <c r="K8345" s="3">
        <v>3.6543294999999998</v>
      </c>
      <c r="L8345" s="3">
        <v>1.8348489120565501</v>
      </c>
    </row>
    <row r="8346" spans="1:12" ht="15" customHeight="1" x14ac:dyDescent="0.2">
      <c r="A8346" s="2">
        <v>33945</v>
      </c>
      <c r="B8346" s="3">
        <v>3.7530956</v>
      </c>
      <c r="C8346" s="1">
        <v>286283.7</v>
      </c>
      <c r="D8346" s="3">
        <v>0.13168740000000001</v>
      </c>
      <c r="E8346" s="3">
        <v>3.6363589169538999</v>
      </c>
      <c r="F8346" s="3">
        <v>3.6363589169538999</v>
      </c>
      <c r="G8346" s="3">
        <v>3.7530956</v>
      </c>
      <c r="H8346" s="3">
        <v>4.5871543270808601</v>
      </c>
      <c r="I8346" s="3">
        <v>3.6543304999999999</v>
      </c>
      <c r="J8346" s="3">
        <v>3.7530956</v>
      </c>
      <c r="K8346" s="3">
        <v>3.5555637</v>
      </c>
      <c r="L8346" s="3">
        <v>4.5871543270808601</v>
      </c>
    </row>
    <row r="8347" spans="1:12" ht="15" customHeight="1" x14ac:dyDescent="0.2">
      <c r="A8347" s="2">
        <v>33942</v>
      </c>
      <c r="B8347" s="3">
        <v>3.6214081999999999</v>
      </c>
      <c r="C8347" s="1">
        <v>382724.06</v>
      </c>
      <c r="D8347" s="3">
        <v>-3.2921299999999903E-2</v>
      </c>
      <c r="E8347" s="3">
        <v>-0.90088482716186302</v>
      </c>
      <c r="F8347" s="3">
        <v>-0.90088482716186302</v>
      </c>
      <c r="G8347" s="3">
        <v>3.6214081999999999</v>
      </c>
      <c r="H8347" s="3">
        <v>0.91743420944463006</v>
      </c>
      <c r="I8347" s="3">
        <v>3.6214081999999999</v>
      </c>
      <c r="J8347" s="3">
        <v>3.6543294999999998</v>
      </c>
      <c r="K8347" s="3">
        <v>3.5226426000000002</v>
      </c>
      <c r="L8347" s="3">
        <v>0.91743420944463006</v>
      </c>
    </row>
    <row r="8348" spans="1:12" ht="15" customHeight="1" x14ac:dyDescent="0.2">
      <c r="A8348" s="2">
        <v>33941</v>
      </c>
      <c r="B8348" s="3">
        <v>3.6543294999999998</v>
      </c>
      <c r="C8348" s="1">
        <v>649264.1</v>
      </c>
      <c r="D8348" s="3">
        <v>-0.1975317</v>
      </c>
      <c r="E8348" s="3">
        <v>-5.1282143811412597</v>
      </c>
      <c r="F8348" s="3">
        <v>-5.1282143811412597</v>
      </c>
      <c r="G8348" s="3">
        <v>3.6543294999999998</v>
      </c>
      <c r="H8348" s="3">
        <v>1.8348489120565501</v>
      </c>
      <c r="I8348" s="3">
        <v>3.7860185999999998</v>
      </c>
      <c r="J8348" s="3">
        <v>3.8189394000000001</v>
      </c>
      <c r="K8348" s="3">
        <v>3.6214081999999999</v>
      </c>
      <c r="L8348" s="3">
        <v>1.8348489120565501</v>
      </c>
    </row>
    <row r="8349" spans="1:12" ht="15" customHeight="1" x14ac:dyDescent="0.2">
      <c r="A8349" s="2">
        <v>33940</v>
      </c>
      <c r="B8349" s="3">
        <v>3.8518612000000001</v>
      </c>
      <c r="C8349" s="1">
        <v>375130.3</v>
      </c>
      <c r="D8349" s="3">
        <v>-9.8765199999999803E-2</v>
      </c>
      <c r="E8349" s="3">
        <v>-2.4999883562768601</v>
      </c>
      <c r="F8349" s="3">
        <v>-2.4999883562768601</v>
      </c>
      <c r="G8349" s="3">
        <v>3.8518612000000001</v>
      </c>
      <c r="H8349" s="3">
        <v>7.3394458086532302</v>
      </c>
      <c r="I8349" s="3">
        <v>3.950628</v>
      </c>
      <c r="J8349" s="3">
        <v>3.9506264</v>
      </c>
      <c r="K8349" s="3">
        <v>3.7860174</v>
      </c>
      <c r="L8349" s="3">
        <v>7.3394458086532302</v>
      </c>
    </row>
    <row r="8350" spans="1:12" ht="15" customHeight="1" x14ac:dyDescent="0.2">
      <c r="A8350" s="2">
        <v>33939</v>
      </c>
      <c r="B8350" s="3">
        <v>3.9506264</v>
      </c>
      <c r="C8350" s="1">
        <v>444992.68</v>
      </c>
      <c r="D8350" s="3">
        <v>-9.8765300000000097E-2</v>
      </c>
      <c r="E8350" s="3">
        <v>-2.4390157168544602</v>
      </c>
      <c r="F8350" s="3">
        <v>-2.4390157168544602</v>
      </c>
      <c r="G8350" s="3">
        <v>3.9506264</v>
      </c>
      <c r="H8350" s="3">
        <v>10.091726143463999</v>
      </c>
      <c r="I8350" s="3">
        <v>4.0493930000000002</v>
      </c>
      <c r="J8350" s="3">
        <v>4.0493917000000001</v>
      </c>
      <c r="K8350" s="3">
        <v>3.8847828</v>
      </c>
      <c r="L8350" s="3">
        <v>10.091726143463999</v>
      </c>
    </row>
    <row r="8351" spans="1:12" ht="15" customHeight="1" x14ac:dyDescent="0.2">
      <c r="A8351" s="2">
        <v>33938</v>
      </c>
      <c r="B8351" s="3">
        <v>4.0493917000000001</v>
      </c>
      <c r="C8351" s="1">
        <v>1202087.6000000001</v>
      </c>
      <c r="D8351" s="3">
        <v>8.2304000000000099E-2</v>
      </c>
      <c r="E8351" s="3">
        <v>2.0746705448432698</v>
      </c>
      <c r="F8351" s="3">
        <v>2.0746705448432698</v>
      </c>
      <c r="G8351" s="3">
        <v>4.0493917000000001</v>
      </c>
      <c r="H8351" s="3">
        <v>12.8440092649652</v>
      </c>
      <c r="I8351" s="3">
        <v>4.0164710000000001</v>
      </c>
      <c r="J8351" s="3">
        <v>4.1152360000000003</v>
      </c>
      <c r="K8351" s="3">
        <v>3.9177046</v>
      </c>
      <c r="L8351" s="3">
        <v>12.8440092649652</v>
      </c>
    </row>
    <row r="8352" spans="1:12" ht="15" customHeight="1" x14ac:dyDescent="0.2">
      <c r="A8352" s="2">
        <v>33935</v>
      </c>
      <c r="B8352" s="3">
        <v>3.9670877</v>
      </c>
      <c r="C8352" s="1">
        <v>565733</v>
      </c>
      <c r="D8352" s="3">
        <v>0.18107029999999999</v>
      </c>
      <c r="E8352" s="3">
        <v>4.78260612325764</v>
      </c>
      <c r="F8352" s="3">
        <v>4.78260612325764</v>
      </c>
      <c r="G8352" s="3">
        <v>3.9670877</v>
      </c>
      <c r="H8352" s="3">
        <v>10.5504516082575</v>
      </c>
      <c r="I8352" s="3">
        <v>3.8847836999999998</v>
      </c>
      <c r="J8352" s="3">
        <v>4.0823144999999998</v>
      </c>
      <c r="K8352" s="3">
        <v>3.8518612000000001</v>
      </c>
      <c r="L8352" s="3">
        <v>10.5504516082575</v>
      </c>
    </row>
    <row r="8353" spans="1:12" ht="15" customHeight="1" x14ac:dyDescent="0.2">
      <c r="A8353" s="2">
        <v>33933</v>
      </c>
      <c r="B8353" s="3">
        <v>3.7860174</v>
      </c>
      <c r="C8353" s="1">
        <v>1502040</v>
      </c>
      <c r="D8353" s="3">
        <v>6.5843399999999802E-2</v>
      </c>
      <c r="E8353" s="3">
        <v>1.76990108527181</v>
      </c>
      <c r="F8353" s="3">
        <v>1.76990108527181</v>
      </c>
      <c r="G8353" s="3">
        <v>3.7860174</v>
      </c>
      <c r="H8353" s="3">
        <v>5.5045829631447303</v>
      </c>
      <c r="I8353" s="3">
        <v>3.7201743</v>
      </c>
      <c r="J8353" s="3">
        <v>3.8847828</v>
      </c>
      <c r="K8353" s="3">
        <v>3.6543294999999998</v>
      </c>
      <c r="L8353" s="3">
        <v>5.5045829631447303</v>
      </c>
    </row>
    <row r="8354" spans="1:12" ht="15" customHeight="1" x14ac:dyDescent="0.2">
      <c r="A8354" s="2">
        <v>33932</v>
      </c>
      <c r="B8354" s="3">
        <v>3.7201740000000001</v>
      </c>
      <c r="C8354" s="1">
        <v>185287.03</v>
      </c>
      <c r="D8354" s="3"/>
      <c r="E8354" s="3"/>
      <c r="F8354" s="3"/>
      <c r="G8354" s="3">
        <v>3.7201740000000001</v>
      </c>
      <c r="H8354" s="3">
        <v>3.6697312643977802</v>
      </c>
      <c r="I8354" s="3">
        <v>3.7201743</v>
      </c>
      <c r="J8354" s="3">
        <v>3.7201740000000001</v>
      </c>
      <c r="K8354" s="3">
        <v>3.6543294999999998</v>
      </c>
      <c r="L8354" s="3">
        <v>3.6697312643977802</v>
      </c>
    </row>
    <row r="8355" spans="1:12" ht="15" customHeight="1" x14ac:dyDescent="0.2">
      <c r="A8355" s="2">
        <v>33931</v>
      </c>
      <c r="B8355" s="3">
        <v>3.7201740000000001</v>
      </c>
      <c r="C8355" s="1">
        <v>343236.7</v>
      </c>
      <c r="D8355" s="3"/>
      <c r="E8355" s="3"/>
      <c r="F8355" s="3"/>
      <c r="G8355" s="3">
        <v>3.7201740000000001</v>
      </c>
      <c r="H8355" s="3">
        <v>3.6697312643977802</v>
      </c>
      <c r="I8355" s="3">
        <v>3.7201743</v>
      </c>
      <c r="J8355" s="3">
        <v>3.7201740000000001</v>
      </c>
      <c r="K8355" s="3">
        <v>3.6214081999999999</v>
      </c>
      <c r="L8355" s="3">
        <v>3.6697312643977802</v>
      </c>
    </row>
    <row r="8356" spans="1:12" ht="15" customHeight="1" x14ac:dyDescent="0.2">
      <c r="A8356" s="2">
        <v>33928</v>
      </c>
      <c r="B8356" s="3">
        <v>3.7201740000000001</v>
      </c>
      <c r="C8356" s="1">
        <v>782154.6</v>
      </c>
      <c r="D8356" s="3">
        <v>9.8765800000000195E-2</v>
      </c>
      <c r="E8356" s="3">
        <v>2.7272760911073202</v>
      </c>
      <c r="F8356" s="3">
        <v>2.7272760911073202</v>
      </c>
      <c r="G8356" s="3">
        <v>3.7201740000000001</v>
      </c>
      <c r="H8356" s="3">
        <v>3.6697312643977802</v>
      </c>
      <c r="I8356" s="3">
        <v>3.6214081999999999</v>
      </c>
      <c r="J8356" s="3">
        <v>3.7201740000000001</v>
      </c>
      <c r="K8356" s="3">
        <v>3.6214081999999999</v>
      </c>
      <c r="L8356" s="3">
        <v>3.6697312643977802</v>
      </c>
    </row>
    <row r="8357" spans="1:12" ht="15" customHeight="1" x14ac:dyDescent="0.2">
      <c r="A8357" s="2">
        <v>33927</v>
      </c>
      <c r="B8357" s="3">
        <v>3.6214081999999999</v>
      </c>
      <c r="C8357" s="1">
        <v>606739.19999999995</v>
      </c>
      <c r="D8357" s="3"/>
      <c r="E8357" s="3"/>
      <c r="F8357" s="3"/>
      <c r="G8357" s="3">
        <v>3.6214081999999999</v>
      </c>
      <c r="H8357" s="3">
        <v>0.91743420944463006</v>
      </c>
      <c r="I8357" s="3">
        <v>3.6214081999999999</v>
      </c>
      <c r="J8357" s="3">
        <v>3.6872522999999999</v>
      </c>
      <c r="K8357" s="3">
        <v>3.5555637</v>
      </c>
      <c r="L8357" s="3">
        <v>0.91743420944463006</v>
      </c>
    </row>
    <row r="8358" spans="1:12" ht="15" customHeight="1" x14ac:dyDescent="0.2">
      <c r="A8358" s="2">
        <v>33926</v>
      </c>
      <c r="B8358" s="3">
        <v>3.6214081999999999</v>
      </c>
      <c r="C8358" s="1">
        <v>238443.18</v>
      </c>
      <c r="D8358" s="3">
        <v>0.115226999999999</v>
      </c>
      <c r="E8358" s="3">
        <v>3.2863960368049301</v>
      </c>
      <c r="F8358" s="3">
        <v>3.2863960368049301</v>
      </c>
      <c r="G8358" s="3">
        <v>3.6214081999999999</v>
      </c>
      <c r="H8358" s="3">
        <v>0.91743420944463006</v>
      </c>
      <c r="I8358" s="3">
        <v>3.5555648999999998</v>
      </c>
      <c r="J8358" s="3">
        <v>3.6214081999999999</v>
      </c>
      <c r="K8358" s="3">
        <v>3.4897203000000001</v>
      </c>
      <c r="L8358" s="3">
        <v>0.91743420944463006</v>
      </c>
    </row>
    <row r="8359" spans="1:12" ht="15" customHeight="1" x14ac:dyDescent="0.2">
      <c r="A8359" s="2">
        <v>33925</v>
      </c>
      <c r="B8359" s="3">
        <v>3.5061811999999999</v>
      </c>
      <c r="C8359" s="1">
        <v>217940.12</v>
      </c>
      <c r="D8359" s="3">
        <v>-1.6461400000000199E-2</v>
      </c>
      <c r="E8359" s="3">
        <v>-0.46730258698399701</v>
      </c>
      <c r="F8359" s="3">
        <v>-0.46730258698399701</v>
      </c>
      <c r="G8359" s="3">
        <v>3.5061811999999999</v>
      </c>
      <c r="H8359" s="3">
        <v>-2.2935855236116001</v>
      </c>
      <c r="I8359" s="3">
        <v>3.5555648999999998</v>
      </c>
      <c r="J8359" s="3">
        <v>3.5555637</v>
      </c>
      <c r="K8359" s="3">
        <v>3.4897203000000001</v>
      </c>
      <c r="L8359" s="3">
        <v>-2.2935855236116001</v>
      </c>
    </row>
    <row r="8360" spans="1:12" ht="15" customHeight="1" x14ac:dyDescent="0.2">
      <c r="A8360" s="2">
        <v>33924</v>
      </c>
      <c r="B8360" s="3">
        <v>3.5226426000000002</v>
      </c>
      <c r="C8360" s="1">
        <v>256668.15</v>
      </c>
      <c r="D8360" s="3"/>
      <c r="E8360" s="3"/>
      <c r="F8360" s="3"/>
      <c r="G8360" s="3">
        <v>3.5226426000000002</v>
      </c>
      <c r="H8360" s="3">
        <v>-1.8348572721277201</v>
      </c>
      <c r="I8360" s="3">
        <v>3.5555648999999998</v>
      </c>
      <c r="J8360" s="3">
        <v>3.5555637</v>
      </c>
      <c r="K8360" s="3">
        <v>3.4897203000000001</v>
      </c>
      <c r="L8360" s="3">
        <v>-1.8348572721277201</v>
      </c>
    </row>
    <row r="8361" spans="1:12" ht="15" customHeight="1" x14ac:dyDescent="0.2">
      <c r="A8361" s="2">
        <v>33921</v>
      </c>
      <c r="B8361" s="3">
        <v>3.5226426000000002</v>
      </c>
      <c r="C8361" s="1">
        <v>366777.25</v>
      </c>
      <c r="D8361" s="3">
        <v>6.5844300000000106E-2</v>
      </c>
      <c r="E8361" s="3">
        <v>1.9047770302363201</v>
      </c>
      <c r="F8361" s="3">
        <v>1.9047770302363201</v>
      </c>
      <c r="G8361" s="3">
        <v>3.5226426000000002</v>
      </c>
      <c r="H8361" s="3">
        <v>-1.8348572721277201</v>
      </c>
      <c r="I8361" s="3">
        <v>3.5226426000000002</v>
      </c>
      <c r="J8361" s="3">
        <v>3.5226426000000002</v>
      </c>
      <c r="K8361" s="3">
        <v>3.4567983</v>
      </c>
      <c r="L8361" s="3">
        <v>-1.8348572721277201</v>
      </c>
    </row>
    <row r="8362" spans="1:12" ht="15" customHeight="1" x14ac:dyDescent="0.2">
      <c r="A8362" s="2">
        <v>33920</v>
      </c>
      <c r="B8362" s="3">
        <v>3.4567983</v>
      </c>
      <c r="C8362" s="1">
        <v>558898.6</v>
      </c>
      <c r="D8362" s="3">
        <v>3.2922500000000098E-2</v>
      </c>
      <c r="E8362" s="3">
        <v>0.96155649103861696</v>
      </c>
      <c r="F8362" s="3">
        <v>0.96155649103861696</v>
      </c>
      <c r="G8362" s="3">
        <v>3.4567983</v>
      </c>
      <c r="H8362" s="3">
        <v>-3.6697340510881702</v>
      </c>
      <c r="I8362" s="3">
        <v>3.4238767999999999</v>
      </c>
      <c r="J8362" s="3">
        <v>3.4897203000000001</v>
      </c>
      <c r="K8362" s="3">
        <v>3.3909539999999998</v>
      </c>
      <c r="L8362" s="3">
        <v>-3.6697340510881702</v>
      </c>
    </row>
    <row r="8363" spans="1:12" ht="15" customHeight="1" x14ac:dyDescent="0.2">
      <c r="A8363" s="2">
        <v>33919</v>
      </c>
      <c r="B8363" s="3">
        <v>3.4238757999999998</v>
      </c>
      <c r="C8363" s="1">
        <v>208827.62</v>
      </c>
      <c r="D8363" s="3"/>
      <c r="E8363" s="3"/>
      <c r="F8363" s="3"/>
      <c r="G8363" s="3">
        <v>3.4238757999999998</v>
      </c>
      <c r="H8363" s="3">
        <v>-4.5871821939847601</v>
      </c>
      <c r="I8363" s="3">
        <v>3.4238767999999999</v>
      </c>
      <c r="J8363" s="3">
        <v>3.4238757999999998</v>
      </c>
      <c r="K8363" s="3">
        <v>3.3251107000000002</v>
      </c>
      <c r="L8363" s="3">
        <v>-4.5871821939847601</v>
      </c>
    </row>
    <row r="8364" spans="1:12" ht="15" customHeight="1" x14ac:dyDescent="0.2">
      <c r="A8364" s="2">
        <v>33918</v>
      </c>
      <c r="B8364" s="3">
        <v>3.4238757999999998</v>
      </c>
      <c r="C8364" s="1">
        <v>570289.25</v>
      </c>
      <c r="D8364" s="3">
        <v>-6.5844500000000306E-2</v>
      </c>
      <c r="E8364" s="3">
        <v>-1.88681310648306</v>
      </c>
      <c r="F8364" s="3">
        <v>-1.88681310648306</v>
      </c>
      <c r="G8364" s="3">
        <v>3.4238757999999998</v>
      </c>
      <c r="H8364" s="3">
        <v>-4.5871821939847601</v>
      </c>
      <c r="I8364" s="3">
        <v>3.5555648999999998</v>
      </c>
      <c r="J8364" s="3">
        <v>3.5555637</v>
      </c>
      <c r="K8364" s="3">
        <v>3.3580325000000002</v>
      </c>
      <c r="L8364" s="3">
        <v>-4.5871821939847601</v>
      </c>
    </row>
    <row r="8365" spans="1:12" ht="15" customHeight="1" x14ac:dyDescent="0.2">
      <c r="A8365" s="2">
        <v>33917</v>
      </c>
      <c r="B8365" s="3">
        <v>3.4897203000000001</v>
      </c>
      <c r="C8365" s="1">
        <v>226293.21</v>
      </c>
      <c r="D8365" s="3">
        <v>3.2922000000000097E-2</v>
      </c>
      <c r="E8365" s="3">
        <v>0.95238417584271295</v>
      </c>
      <c r="F8365" s="3">
        <v>0.95238417584271295</v>
      </c>
      <c r="G8365" s="3">
        <v>3.4897203000000001</v>
      </c>
      <c r="H8365" s="3">
        <v>-2.7522998416435298</v>
      </c>
      <c r="I8365" s="3">
        <v>3.4238767999999999</v>
      </c>
      <c r="J8365" s="3">
        <v>3.5555637</v>
      </c>
      <c r="K8365" s="3">
        <v>3.4238757999999998</v>
      </c>
      <c r="L8365" s="3">
        <v>-2.7522998416435298</v>
      </c>
    </row>
    <row r="8366" spans="1:12" ht="15" customHeight="1" x14ac:dyDescent="0.2">
      <c r="A8366" s="2">
        <v>33914</v>
      </c>
      <c r="B8366" s="3">
        <v>3.4567983</v>
      </c>
      <c r="C8366" s="1">
        <v>201233.87</v>
      </c>
      <c r="D8366" s="3"/>
      <c r="E8366" s="3"/>
      <c r="F8366" s="3"/>
      <c r="G8366" s="3">
        <v>3.4567983</v>
      </c>
      <c r="H8366" s="3">
        <v>-3.6697340510881702</v>
      </c>
      <c r="I8366" s="3">
        <v>3.3909549999999999</v>
      </c>
      <c r="J8366" s="3">
        <v>3.5226426000000002</v>
      </c>
      <c r="K8366" s="3">
        <v>3.3909539999999998</v>
      </c>
      <c r="L8366" s="3">
        <v>-3.6697340510881702</v>
      </c>
    </row>
    <row r="8367" spans="1:12" ht="15" customHeight="1" x14ac:dyDescent="0.2">
      <c r="A8367" s="2">
        <v>33913</v>
      </c>
      <c r="B8367" s="3">
        <v>3.4567983</v>
      </c>
      <c r="C8367" s="1">
        <v>334124.3</v>
      </c>
      <c r="D8367" s="3">
        <v>0.23045280000000001</v>
      </c>
      <c r="E8367" s="3">
        <v>7.1428431951878704</v>
      </c>
      <c r="F8367" s="3">
        <v>7.1428431951878704</v>
      </c>
      <c r="G8367" s="3">
        <v>3.4567983</v>
      </c>
      <c r="H8367" s="3">
        <v>-3.6697340510881702</v>
      </c>
      <c r="I8367" s="3">
        <v>3.292189</v>
      </c>
      <c r="J8367" s="3">
        <v>3.4567983</v>
      </c>
      <c r="K8367" s="3">
        <v>3.1934235000000002</v>
      </c>
      <c r="L8367" s="3">
        <v>-3.6697340510881702</v>
      </c>
    </row>
    <row r="8368" spans="1:12" ht="15" customHeight="1" x14ac:dyDescent="0.2">
      <c r="A8368" s="2">
        <v>33912</v>
      </c>
      <c r="B8368" s="3">
        <v>3.2263454999999999</v>
      </c>
      <c r="C8368" s="1">
        <v>66824.843999999997</v>
      </c>
      <c r="D8368" s="3">
        <v>-6.5843500000000096E-2</v>
      </c>
      <c r="E8368" s="3">
        <v>-1.99999149502049</v>
      </c>
      <c r="F8368" s="3">
        <v>-1.99999149502049</v>
      </c>
      <c r="G8368" s="3">
        <v>3.2263454999999999</v>
      </c>
      <c r="H8368" s="3">
        <v>-10.091740076916</v>
      </c>
      <c r="I8368" s="3">
        <v>3.1605017000000002</v>
      </c>
      <c r="J8368" s="3">
        <v>3.2592669999999999</v>
      </c>
      <c r="K8368" s="3">
        <v>3.1605015000000001</v>
      </c>
      <c r="L8368" s="3">
        <v>-10.091740076916</v>
      </c>
    </row>
    <row r="8369" spans="1:12" ht="15" customHeight="1" x14ac:dyDescent="0.2">
      <c r="A8369" s="2">
        <v>33911</v>
      </c>
      <c r="B8369" s="3">
        <v>3.292189</v>
      </c>
      <c r="C8369" s="1">
        <v>810251.1</v>
      </c>
      <c r="D8369" s="3">
        <v>1.6460799999999901E-2</v>
      </c>
      <c r="E8369" s="3">
        <v>0.50250811407368501</v>
      </c>
      <c r="F8369" s="3">
        <v>0.50250811407368501</v>
      </c>
      <c r="G8369" s="3">
        <v>3.292189</v>
      </c>
      <c r="H8369" s="3">
        <v>-8.2568855914786603</v>
      </c>
      <c r="I8369" s="3">
        <v>3.3251113999999999</v>
      </c>
      <c r="J8369" s="3">
        <v>3.3251107000000002</v>
      </c>
      <c r="K8369" s="3">
        <v>3.2263454999999999</v>
      </c>
      <c r="L8369" s="3">
        <v>-8.2568855914786603</v>
      </c>
    </row>
    <row r="8370" spans="1:12" ht="15" customHeight="1" x14ac:dyDescent="0.2">
      <c r="A8370" s="2">
        <v>33910</v>
      </c>
      <c r="B8370" s="3">
        <v>3.2757282000000001</v>
      </c>
      <c r="C8370" s="1">
        <v>1007688.23</v>
      </c>
      <c r="D8370" s="3">
        <v>3.2921800000000001E-2</v>
      </c>
      <c r="E8370" s="3">
        <v>1.01522557745044</v>
      </c>
      <c r="F8370" s="3">
        <v>1.01522557745044</v>
      </c>
      <c r="G8370" s="3">
        <v>3.2757282000000001</v>
      </c>
      <c r="H8370" s="3">
        <v>-8.7155971228201992</v>
      </c>
      <c r="I8370" s="3">
        <v>3.3251113999999999</v>
      </c>
      <c r="J8370" s="3">
        <v>3.4567983</v>
      </c>
      <c r="K8370" s="3">
        <v>3.2592669999999999</v>
      </c>
      <c r="L8370" s="3">
        <v>-8.7155971228201992</v>
      </c>
    </row>
    <row r="8371" spans="1:12" ht="15" customHeight="1" x14ac:dyDescent="0.2">
      <c r="A8371" s="2">
        <v>33907</v>
      </c>
      <c r="B8371" s="3">
        <v>3.2428064000000001</v>
      </c>
      <c r="C8371" s="1">
        <v>615092.30000000005</v>
      </c>
      <c r="D8371" s="3">
        <v>-0.21399189999999901</v>
      </c>
      <c r="E8371" s="3">
        <v>-6.1904653216243499</v>
      </c>
      <c r="F8371" s="3">
        <v>-6.1904653216243499</v>
      </c>
      <c r="G8371" s="3">
        <v>3.2428064000000001</v>
      </c>
      <c r="H8371" s="3">
        <v>-9.6330257588840595</v>
      </c>
      <c r="I8371" s="3">
        <v>3.3909549999999999</v>
      </c>
      <c r="J8371" s="3">
        <v>3.4567983</v>
      </c>
      <c r="K8371" s="3">
        <v>3.1934235000000002</v>
      </c>
      <c r="L8371" s="3">
        <v>-9.6330257588840595</v>
      </c>
    </row>
    <row r="8372" spans="1:12" ht="15" customHeight="1" x14ac:dyDescent="0.2">
      <c r="A8372" s="2">
        <v>33906</v>
      </c>
      <c r="B8372" s="3">
        <v>3.4567983</v>
      </c>
      <c r="C8372" s="1">
        <v>376649.05</v>
      </c>
      <c r="D8372" s="3">
        <v>-0.1152275</v>
      </c>
      <c r="E8372" s="3">
        <v>-3.2258305637098101</v>
      </c>
      <c r="F8372" s="3">
        <v>-3.2258305637098101</v>
      </c>
      <c r="G8372" s="3">
        <v>3.4567983</v>
      </c>
      <c r="H8372" s="3">
        <v>-3.6697340510881702</v>
      </c>
      <c r="I8372" s="3">
        <v>3.5555648999999998</v>
      </c>
      <c r="J8372" s="3">
        <v>3.5884862000000002</v>
      </c>
      <c r="K8372" s="3">
        <v>3.3580325000000002</v>
      </c>
      <c r="L8372" s="3">
        <v>-3.6697340510881702</v>
      </c>
    </row>
    <row r="8373" spans="1:12" ht="15" customHeight="1" x14ac:dyDescent="0.2">
      <c r="A8373" s="2">
        <v>33905</v>
      </c>
      <c r="B8373" s="3">
        <v>3.5720258</v>
      </c>
      <c r="C8373" s="1">
        <v>540673.69999999995</v>
      </c>
      <c r="D8373" s="3">
        <v>0.14815</v>
      </c>
      <c r="E8373" s="3">
        <v>4.3269677013401102</v>
      </c>
      <c r="F8373" s="3">
        <v>4.3269677013401102</v>
      </c>
      <c r="G8373" s="3">
        <v>3.5720258</v>
      </c>
      <c r="H8373" s="3">
        <v>-0.45870038457999701</v>
      </c>
      <c r="I8373" s="3">
        <v>3.4238767999999999</v>
      </c>
      <c r="J8373" s="3">
        <v>3.5884862000000002</v>
      </c>
      <c r="K8373" s="3">
        <v>3.3909539999999998</v>
      </c>
      <c r="L8373" s="3">
        <v>-0.45870038457999701</v>
      </c>
    </row>
    <row r="8374" spans="1:12" ht="15" customHeight="1" x14ac:dyDescent="0.2">
      <c r="A8374" s="2">
        <v>33904</v>
      </c>
      <c r="B8374" s="3">
        <v>3.4238757999999998</v>
      </c>
      <c r="C8374" s="1">
        <v>169340.21</v>
      </c>
      <c r="D8374" s="3">
        <v>-9.8766800000000293E-2</v>
      </c>
      <c r="E8374" s="3">
        <v>-2.8037701014573702</v>
      </c>
      <c r="F8374" s="3">
        <v>-2.8037701014573702</v>
      </c>
      <c r="G8374" s="3">
        <v>3.4238757999999998</v>
      </c>
      <c r="H8374" s="3">
        <v>-4.5871821939847601</v>
      </c>
      <c r="I8374" s="3">
        <v>3.5226426000000002</v>
      </c>
      <c r="J8374" s="3">
        <v>3.5226426000000002</v>
      </c>
      <c r="K8374" s="3">
        <v>3.3251107000000002</v>
      </c>
      <c r="L8374" s="3">
        <v>-4.5871821939847601</v>
      </c>
    </row>
    <row r="8375" spans="1:12" ht="15" customHeight="1" x14ac:dyDescent="0.2">
      <c r="A8375" s="2">
        <v>33903</v>
      </c>
      <c r="B8375" s="3">
        <v>3.5226426000000002</v>
      </c>
      <c r="C8375" s="1">
        <v>183768.31</v>
      </c>
      <c r="D8375" s="3">
        <v>-3.2921099999999801E-2</v>
      </c>
      <c r="E8375" s="3">
        <v>-0.92590381660156895</v>
      </c>
      <c r="F8375" s="3">
        <v>-0.92590381660156895</v>
      </c>
      <c r="G8375" s="3">
        <v>3.5226426000000002</v>
      </c>
      <c r="H8375" s="3">
        <v>-1.8348572721277201</v>
      </c>
      <c r="I8375" s="3">
        <v>3.5226426000000002</v>
      </c>
      <c r="J8375" s="3">
        <v>3.5226426000000002</v>
      </c>
      <c r="K8375" s="3">
        <v>3.3909539999999998</v>
      </c>
      <c r="L8375" s="3">
        <v>-1.8348572721277201</v>
      </c>
    </row>
    <row r="8376" spans="1:12" ht="15" customHeight="1" x14ac:dyDescent="0.2">
      <c r="A8376" s="2">
        <v>33900</v>
      </c>
      <c r="B8376" s="3">
        <v>3.5555637</v>
      </c>
      <c r="C8376" s="1">
        <v>454864.56</v>
      </c>
      <c r="D8376" s="3">
        <v>6.5843399999999802E-2</v>
      </c>
      <c r="E8376" s="3">
        <v>1.8867815853321901</v>
      </c>
      <c r="F8376" s="3">
        <v>1.8867815853321901</v>
      </c>
      <c r="G8376" s="3">
        <v>3.5555637</v>
      </c>
      <c r="H8376" s="3">
        <v>-0.91744814289658305</v>
      </c>
      <c r="I8376" s="3">
        <v>3.4238767999999999</v>
      </c>
      <c r="J8376" s="3">
        <v>3.5555637</v>
      </c>
      <c r="K8376" s="3">
        <v>3.4238757999999998</v>
      </c>
      <c r="L8376" s="3">
        <v>-0.91744814289658305</v>
      </c>
    </row>
    <row r="8377" spans="1:12" ht="15" customHeight="1" x14ac:dyDescent="0.2">
      <c r="A8377" s="2">
        <v>33899</v>
      </c>
      <c r="B8377" s="3">
        <v>3.4897203000000001</v>
      </c>
      <c r="C8377" s="1">
        <v>313621.12</v>
      </c>
      <c r="D8377" s="3">
        <v>-0.16460919999999901</v>
      </c>
      <c r="E8377" s="3">
        <v>-4.5044980207723402</v>
      </c>
      <c r="F8377" s="3">
        <v>-4.5044980207723402</v>
      </c>
      <c r="G8377" s="3">
        <v>3.4897203000000001</v>
      </c>
      <c r="H8377" s="3">
        <v>-2.7522998416435298</v>
      </c>
      <c r="I8377" s="3">
        <v>3.5555648999999998</v>
      </c>
      <c r="J8377" s="3">
        <v>3.6214081999999999</v>
      </c>
      <c r="K8377" s="3">
        <v>3.3909539999999998</v>
      </c>
      <c r="L8377" s="3">
        <v>-2.7522998416435298</v>
      </c>
    </row>
    <row r="8378" spans="1:12" ht="15" customHeight="1" x14ac:dyDescent="0.2">
      <c r="A8378" s="2">
        <v>33898</v>
      </c>
      <c r="B8378" s="3">
        <v>3.6543294999999998</v>
      </c>
      <c r="C8378" s="1">
        <v>196677.63</v>
      </c>
      <c r="D8378" s="3">
        <v>3.2921299999999903E-2</v>
      </c>
      <c r="E8378" s="3">
        <v>0.90907454177631097</v>
      </c>
      <c r="F8378" s="3">
        <v>0.90907454177631097</v>
      </c>
      <c r="G8378" s="3">
        <v>3.6543294999999998</v>
      </c>
      <c r="H8378" s="3">
        <v>1.8348489120565501</v>
      </c>
      <c r="I8378" s="3">
        <v>3.6214081999999999</v>
      </c>
      <c r="J8378" s="3">
        <v>3.7201740000000001</v>
      </c>
      <c r="K8378" s="3">
        <v>3.5555637</v>
      </c>
      <c r="L8378" s="3">
        <v>1.8348489120565501</v>
      </c>
    </row>
    <row r="8379" spans="1:12" ht="15" customHeight="1" x14ac:dyDescent="0.2">
      <c r="A8379" s="2">
        <v>33897</v>
      </c>
      <c r="B8379" s="3">
        <v>3.6214081999999999</v>
      </c>
      <c r="C8379" s="1">
        <v>1098813</v>
      </c>
      <c r="D8379" s="3">
        <v>6.5844499999999806E-2</v>
      </c>
      <c r="E8379" s="3">
        <v>1.8518723205549701</v>
      </c>
      <c r="F8379" s="3">
        <v>1.8518723205549701</v>
      </c>
      <c r="G8379" s="3">
        <v>3.6214081999999999</v>
      </c>
      <c r="H8379" s="3">
        <v>0.91743420944463006</v>
      </c>
      <c r="I8379" s="3">
        <v>3.5555648999999998</v>
      </c>
      <c r="J8379" s="3">
        <v>3.7201740000000001</v>
      </c>
      <c r="K8379" s="3">
        <v>3.5555637</v>
      </c>
      <c r="L8379" s="3">
        <v>0.91743420944463006</v>
      </c>
    </row>
    <row r="8380" spans="1:12" ht="15" customHeight="1" x14ac:dyDescent="0.2">
      <c r="A8380" s="2">
        <v>33896</v>
      </c>
      <c r="B8380" s="3">
        <v>3.5555637</v>
      </c>
      <c r="C8380" s="1">
        <v>1201328.2</v>
      </c>
      <c r="D8380" s="3">
        <v>0.1316879</v>
      </c>
      <c r="E8380" s="3">
        <v>3.8461646301539401</v>
      </c>
      <c r="F8380" s="3">
        <v>3.8461646301539401</v>
      </c>
      <c r="G8380" s="3">
        <v>3.5555637</v>
      </c>
      <c r="H8380" s="3">
        <v>-0.91744814289658305</v>
      </c>
      <c r="I8380" s="3">
        <v>3.4897208000000002</v>
      </c>
      <c r="J8380" s="3">
        <v>3.6214081999999999</v>
      </c>
      <c r="K8380" s="3">
        <v>3.3909539999999998</v>
      </c>
      <c r="L8380" s="3">
        <v>-0.91744814289658305</v>
      </c>
    </row>
    <row r="8381" spans="1:12" ht="15" customHeight="1" x14ac:dyDescent="0.2">
      <c r="A8381" s="2">
        <v>33893</v>
      </c>
      <c r="B8381" s="3">
        <v>3.4238757999999998</v>
      </c>
      <c r="C8381" s="1">
        <v>373611.56999999902</v>
      </c>
      <c r="D8381" s="3">
        <v>6.5843299999999605E-2</v>
      </c>
      <c r="E8381" s="3">
        <v>1.96077018313549</v>
      </c>
      <c r="F8381" s="3">
        <v>1.96077018313549</v>
      </c>
      <c r="G8381" s="3">
        <v>3.4238757999999998</v>
      </c>
      <c r="H8381" s="3">
        <v>-4.5871821939847601</v>
      </c>
      <c r="I8381" s="3">
        <v>3.3415727999999998</v>
      </c>
      <c r="J8381" s="3">
        <v>3.4897203000000001</v>
      </c>
      <c r="K8381" s="3">
        <v>3.292189</v>
      </c>
      <c r="L8381" s="3">
        <v>-4.5871821939847601</v>
      </c>
    </row>
    <row r="8382" spans="1:12" ht="15" customHeight="1" x14ac:dyDescent="0.2">
      <c r="A8382" s="2">
        <v>33892</v>
      </c>
      <c r="B8382" s="3">
        <v>3.3580325000000002</v>
      </c>
      <c r="C8382" s="1">
        <v>430564.73</v>
      </c>
      <c r="D8382" s="3">
        <v>0.131687</v>
      </c>
      <c r="E8382" s="3">
        <v>4.0816149417351699</v>
      </c>
      <c r="F8382" s="3">
        <v>4.0816149417351699</v>
      </c>
      <c r="G8382" s="3">
        <v>3.3580325000000002</v>
      </c>
      <c r="H8382" s="3">
        <v>-6.4220311060413104</v>
      </c>
      <c r="I8382" s="3">
        <v>3.2263454999999999</v>
      </c>
      <c r="J8382" s="3">
        <v>3.3580325000000002</v>
      </c>
      <c r="K8382" s="3">
        <v>3.1605015000000001</v>
      </c>
      <c r="L8382" s="3">
        <v>-6.4220311060413104</v>
      </c>
    </row>
    <row r="8383" spans="1:12" ht="15" customHeight="1" x14ac:dyDescent="0.2">
      <c r="A8383" s="2">
        <v>33891</v>
      </c>
      <c r="B8383" s="3">
        <v>3.2263454999999999</v>
      </c>
      <c r="C8383" s="1">
        <v>628761</v>
      </c>
      <c r="D8383" s="3">
        <v>0.131688099999999</v>
      </c>
      <c r="E8383" s="3">
        <v>4.25533695587756</v>
      </c>
      <c r="F8383" s="3">
        <v>4.25533695587756</v>
      </c>
      <c r="G8383" s="3">
        <v>3.2263454999999999</v>
      </c>
      <c r="H8383" s="3">
        <v>-10.091740076916</v>
      </c>
      <c r="I8383" s="3">
        <v>3.12758</v>
      </c>
      <c r="J8383" s="3">
        <v>3.2263454999999999</v>
      </c>
      <c r="K8383" s="3">
        <v>3.0617363000000002</v>
      </c>
      <c r="L8383" s="3">
        <v>-10.091740076916</v>
      </c>
    </row>
    <row r="8384" spans="1:12" ht="15" customHeight="1" x14ac:dyDescent="0.2">
      <c r="A8384" s="2">
        <v>33890</v>
      </c>
      <c r="B8384" s="3">
        <v>3.0946574</v>
      </c>
      <c r="C8384" s="1">
        <v>344755.43</v>
      </c>
      <c r="D8384" s="3">
        <v>-0.131688099999999</v>
      </c>
      <c r="E8384" s="3">
        <v>-4.0816490360378204</v>
      </c>
      <c r="F8384" s="3">
        <v>-4.0816490360378204</v>
      </c>
      <c r="G8384" s="3">
        <v>3.0946574</v>
      </c>
      <c r="H8384" s="3">
        <v>-13.7614797013849</v>
      </c>
      <c r="I8384" s="3">
        <v>3.2263454999999999</v>
      </c>
      <c r="J8384" s="3">
        <v>3.292189</v>
      </c>
      <c r="K8384" s="3">
        <v>3.0781963000000001</v>
      </c>
      <c r="L8384" s="3">
        <v>-13.7614797013849</v>
      </c>
    </row>
    <row r="8385" spans="1:12" ht="15" customHeight="1" x14ac:dyDescent="0.2">
      <c r="A8385" s="2">
        <v>33889</v>
      </c>
      <c r="B8385" s="3">
        <v>3.2263454999999999</v>
      </c>
      <c r="C8385" s="1">
        <v>88087.31</v>
      </c>
      <c r="D8385" s="3"/>
      <c r="E8385" s="3"/>
      <c r="F8385" s="3"/>
      <c r="G8385" s="3">
        <v>3.2263454999999999</v>
      </c>
      <c r="H8385" s="3">
        <v>-10.091740076916</v>
      </c>
      <c r="I8385" s="3">
        <v>3.292189</v>
      </c>
      <c r="J8385" s="3">
        <v>3.292189</v>
      </c>
      <c r="K8385" s="3">
        <v>3.1934235000000002</v>
      </c>
      <c r="L8385" s="3">
        <v>-10.091740076916</v>
      </c>
    </row>
    <row r="8386" spans="1:12" ht="15" customHeight="1" x14ac:dyDescent="0.2">
      <c r="A8386" s="2">
        <v>33886</v>
      </c>
      <c r="B8386" s="3">
        <v>3.2263454999999999</v>
      </c>
      <c r="C8386" s="1">
        <v>1073753.8</v>
      </c>
      <c r="D8386" s="3">
        <v>-8.2304500000000197E-2</v>
      </c>
      <c r="E8386" s="3">
        <v>-2.4875553473471101</v>
      </c>
      <c r="F8386" s="3">
        <v>-2.4875553473471101</v>
      </c>
      <c r="G8386" s="3">
        <v>3.2263454999999999</v>
      </c>
      <c r="H8386" s="3">
        <v>-10.091740076916</v>
      </c>
      <c r="I8386" s="3">
        <v>3.2757285</v>
      </c>
      <c r="J8386" s="3">
        <v>3.4238757999999998</v>
      </c>
      <c r="K8386" s="3">
        <v>3.2263454999999999</v>
      </c>
      <c r="L8386" s="3">
        <v>-10.091740076916</v>
      </c>
    </row>
    <row r="8387" spans="1:12" ht="15" customHeight="1" x14ac:dyDescent="0.2">
      <c r="A8387" s="2">
        <v>33885</v>
      </c>
      <c r="B8387" s="3">
        <v>3.3086500000000001</v>
      </c>
      <c r="C8387" s="1">
        <v>820123.299999999</v>
      </c>
      <c r="D8387" s="3">
        <v>4.93830000000001E-2</v>
      </c>
      <c r="E8387" s="3">
        <v>1.5151566287757401</v>
      </c>
      <c r="F8387" s="3">
        <v>1.5151566287757401</v>
      </c>
      <c r="G8387" s="3">
        <v>3.3086500000000001</v>
      </c>
      <c r="H8387" s="3">
        <v>-7.7981684867563397</v>
      </c>
      <c r="I8387" s="3">
        <v>3.292189</v>
      </c>
      <c r="J8387" s="3">
        <v>3.3251107000000002</v>
      </c>
      <c r="K8387" s="3">
        <v>3.1934235000000002</v>
      </c>
      <c r="L8387" s="3">
        <v>-7.7981684867563397</v>
      </c>
    </row>
    <row r="8388" spans="1:12" ht="15" customHeight="1" x14ac:dyDescent="0.2">
      <c r="A8388" s="2">
        <v>33884</v>
      </c>
      <c r="B8388" s="3">
        <v>3.2592669999999999</v>
      </c>
      <c r="C8388" s="1">
        <v>780635.86</v>
      </c>
      <c r="D8388" s="3">
        <v>0.164609599999999</v>
      </c>
      <c r="E8388" s="3">
        <v>5.3191542301257604</v>
      </c>
      <c r="F8388" s="3">
        <v>5.3191542301257604</v>
      </c>
      <c r="G8388" s="3">
        <v>3.2592669999999999</v>
      </c>
      <c r="H8388" s="3">
        <v>-9.1743198009232998</v>
      </c>
      <c r="I8388" s="3">
        <v>3.0946581000000002</v>
      </c>
      <c r="J8388" s="3">
        <v>3.292189</v>
      </c>
      <c r="K8388" s="3">
        <v>3.0946574</v>
      </c>
      <c r="L8388" s="3">
        <v>-9.1743198009232998</v>
      </c>
    </row>
    <row r="8389" spans="1:12" ht="15" customHeight="1" x14ac:dyDescent="0.2">
      <c r="A8389" s="2">
        <v>33883</v>
      </c>
      <c r="B8389" s="3">
        <v>3.0946574</v>
      </c>
      <c r="C8389" s="1">
        <v>615851.69999999995</v>
      </c>
      <c r="D8389" s="3">
        <v>0.164609599999999</v>
      </c>
      <c r="E8389" s="3">
        <v>5.6179834335808403</v>
      </c>
      <c r="F8389" s="3">
        <v>5.6179834335808403</v>
      </c>
      <c r="G8389" s="3">
        <v>3.0946574</v>
      </c>
      <c r="H8389" s="3">
        <v>-13.7614797013849</v>
      </c>
      <c r="I8389" s="3">
        <v>2.962971</v>
      </c>
      <c r="J8389" s="3">
        <v>3.0946574</v>
      </c>
      <c r="K8389" s="3">
        <v>2.9300478000000001</v>
      </c>
      <c r="L8389" s="3">
        <v>-13.7614797013849</v>
      </c>
    </row>
    <row r="8390" spans="1:12" ht="15" customHeight="1" x14ac:dyDescent="0.2">
      <c r="A8390" s="2">
        <v>33882</v>
      </c>
      <c r="B8390" s="3">
        <v>2.9300478000000001</v>
      </c>
      <c r="C8390" s="1">
        <v>3342001.5</v>
      </c>
      <c r="D8390" s="3">
        <v>-0.13168850000000001</v>
      </c>
      <c r="E8390" s="3">
        <v>-4.30110522581582</v>
      </c>
      <c r="F8390" s="3">
        <v>-4.30110522581582</v>
      </c>
      <c r="G8390" s="3">
        <v>2.9300478000000001</v>
      </c>
      <c r="H8390" s="3">
        <v>-18.3486396018466</v>
      </c>
      <c r="I8390" s="3">
        <v>2.9958923</v>
      </c>
      <c r="J8390" s="3">
        <v>3.0288138</v>
      </c>
      <c r="K8390" s="3">
        <v>2.8312824000000001</v>
      </c>
      <c r="L8390" s="3">
        <v>-18.3486396018466</v>
      </c>
    </row>
    <row r="8391" spans="1:12" ht="15" customHeight="1" x14ac:dyDescent="0.2">
      <c r="A8391" s="2">
        <v>33879</v>
      </c>
      <c r="B8391" s="3">
        <v>3.0617363000000002</v>
      </c>
      <c r="C8391" s="1">
        <v>1432937.4</v>
      </c>
      <c r="D8391" s="3">
        <v>-0.16460919999999901</v>
      </c>
      <c r="E8391" s="3">
        <v>-5.10203262483821</v>
      </c>
      <c r="F8391" s="3">
        <v>-5.10203262483821</v>
      </c>
      <c r="G8391" s="3">
        <v>3.0617363000000002</v>
      </c>
      <c r="H8391" s="3">
        <v>-14.678888830616</v>
      </c>
      <c r="I8391" s="3">
        <v>3.292189</v>
      </c>
      <c r="J8391" s="3">
        <v>3.292189</v>
      </c>
      <c r="K8391" s="3">
        <v>3.0288138</v>
      </c>
      <c r="L8391" s="3">
        <v>-14.678888830616</v>
      </c>
    </row>
    <row r="8392" spans="1:12" ht="15" customHeight="1" x14ac:dyDescent="0.2">
      <c r="A8392" s="2">
        <v>33878</v>
      </c>
      <c r="B8392" s="3">
        <v>3.2263454999999999</v>
      </c>
      <c r="C8392" s="1">
        <v>910488.34</v>
      </c>
      <c r="D8392" s="3">
        <v>-6.5843500000000096E-2</v>
      </c>
      <c r="E8392" s="3">
        <v>-1.99999149502049</v>
      </c>
      <c r="F8392" s="3">
        <v>-1.99999149502049</v>
      </c>
      <c r="G8392" s="3">
        <v>3.2263454999999999</v>
      </c>
      <c r="H8392" s="3">
        <v>-10.091740076916</v>
      </c>
      <c r="I8392" s="3">
        <v>3.292189</v>
      </c>
      <c r="J8392" s="3">
        <v>3.3251107000000002</v>
      </c>
      <c r="K8392" s="3">
        <v>3.2263454999999999</v>
      </c>
      <c r="L8392" s="3">
        <v>-10.091740076916</v>
      </c>
    </row>
    <row r="8393" spans="1:12" ht="15" customHeight="1" x14ac:dyDescent="0.2">
      <c r="A8393" s="2">
        <v>33877</v>
      </c>
      <c r="B8393" s="3">
        <v>3.292189</v>
      </c>
      <c r="C8393" s="1">
        <v>1030469.49999999</v>
      </c>
      <c r="D8393" s="3">
        <v>9.8765499999999798E-2</v>
      </c>
      <c r="E8393" s="3">
        <v>3.0927780170716401</v>
      </c>
      <c r="F8393" s="3">
        <v>3.0927780170716401</v>
      </c>
      <c r="G8393" s="3">
        <v>3.292189</v>
      </c>
      <c r="H8393" s="3">
        <v>-8.2568855914786603</v>
      </c>
      <c r="I8393" s="3">
        <v>3.1934235000000002</v>
      </c>
      <c r="J8393" s="3">
        <v>3.292189</v>
      </c>
      <c r="K8393" s="3">
        <v>3.12758</v>
      </c>
      <c r="L8393" s="3">
        <v>-8.2568855914786603</v>
      </c>
    </row>
    <row r="8394" spans="1:12" ht="15" customHeight="1" x14ac:dyDescent="0.2">
      <c r="A8394" s="2">
        <v>33876</v>
      </c>
      <c r="B8394" s="3">
        <v>3.1934235000000002</v>
      </c>
      <c r="C8394" s="1">
        <v>1395728</v>
      </c>
      <c r="D8394" s="3">
        <v>6.5843500000000096E-2</v>
      </c>
      <c r="E8394" s="3">
        <v>2.1052539023782102</v>
      </c>
      <c r="F8394" s="3">
        <v>2.1052539023782102</v>
      </c>
      <c r="G8394" s="3">
        <v>3.1934235000000002</v>
      </c>
      <c r="H8394" s="3">
        <v>-11.009174286360601</v>
      </c>
      <c r="I8394" s="3">
        <v>3.12758</v>
      </c>
      <c r="J8394" s="3">
        <v>3.1934235000000002</v>
      </c>
      <c r="K8394" s="3">
        <v>3.12758</v>
      </c>
      <c r="L8394" s="3">
        <v>-11.009174286360601</v>
      </c>
    </row>
    <row r="8395" spans="1:12" ht="15" customHeight="1" x14ac:dyDescent="0.2">
      <c r="A8395" s="2">
        <v>33875</v>
      </c>
      <c r="B8395" s="3">
        <v>3.12758</v>
      </c>
      <c r="C8395" s="1">
        <v>473848.85</v>
      </c>
      <c r="D8395" s="3">
        <v>-9.8765499999999798E-2</v>
      </c>
      <c r="E8395" s="3">
        <v>-3.0612189550065101</v>
      </c>
      <c r="F8395" s="3">
        <v>-3.0612189550065101</v>
      </c>
      <c r="G8395" s="3">
        <v>3.12758</v>
      </c>
      <c r="H8395" s="3">
        <v>-12.8440287717979</v>
      </c>
      <c r="I8395" s="3">
        <v>3.2263454999999999</v>
      </c>
      <c r="J8395" s="3">
        <v>3.2263454999999999</v>
      </c>
      <c r="K8395" s="3">
        <v>3.12758</v>
      </c>
      <c r="L8395" s="3">
        <v>-12.8440287717979</v>
      </c>
    </row>
    <row r="8396" spans="1:12" ht="15" customHeight="1" x14ac:dyDescent="0.2">
      <c r="A8396" s="2">
        <v>33872</v>
      </c>
      <c r="B8396" s="3">
        <v>3.2263454999999999</v>
      </c>
      <c r="C8396" s="1">
        <v>1214997.1000000001</v>
      </c>
      <c r="D8396" s="3">
        <v>-9.8765200000000303E-2</v>
      </c>
      <c r="E8396" s="3">
        <v>-2.97028306456084</v>
      </c>
      <c r="F8396" s="3">
        <v>-2.97028306456084</v>
      </c>
      <c r="G8396" s="3">
        <v>3.2263454999999999</v>
      </c>
      <c r="H8396" s="3">
        <v>-10.091740076916</v>
      </c>
      <c r="I8396" s="3">
        <v>3.3251113999999999</v>
      </c>
      <c r="J8396" s="3">
        <v>3.3580325000000002</v>
      </c>
      <c r="K8396" s="3">
        <v>3.1605015000000001</v>
      </c>
      <c r="L8396" s="3">
        <v>-10.091740076916</v>
      </c>
    </row>
    <row r="8397" spans="1:12" ht="15" customHeight="1" x14ac:dyDescent="0.2">
      <c r="A8397" s="2">
        <v>33871</v>
      </c>
      <c r="B8397" s="3">
        <v>3.3251107000000002</v>
      </c>
      <c r="C8397" s="1">
        <v>962885.2</v>
      </c>
      <c r="D8397" s="3">
        <v>8.2304300000000094E-2</v>
      </c>
      <c r="E8397" s="3">
        <v>2.5380577761287202</v>
      </c>
      <c r="F8397" s="3">
        <v>2.5380577761287202</v>
      </c>
      <c r="G8397" s="3">
        <v>3.3251107000000002</v>
      </c>
      <c r="H8397" s="3">
        <v>-7.3394597421051797</v>
      </c>
      <c r="I8397" s="3">
        <v>3.2263454999999999</v>
      </c>
      <c r="J8397" s="3">
        <v>3.3580325000000002</v>
      </c>
      <c r="K8397" s="3">
        <v>3.2263454999999999</v>
      </c>
      <c r="L8397" s="3">
        <v>-7.3394597421051797</v>
      </c>
    </row>
    <row r="8398" spans="1:12" ht="15" customHeight="1" x14ac:dyDescent="0.2">
      <c r="A8398" s="2">
        <v>33870</v>
      </c>
      <c r="B8398" s="3">
        <v>3.2428064000000001</v>
      </c>
      <c r="C8398" s="1">
        <v>939344.54</v>
      </c>
      <c r="D8398" s="3">
        <v>-4.9382599999999902E-2</v>
      </c>
      <c r="E8398" s="3">
        <v>-1.4999928618921901</v>
      </c>
      <c r="F8398" s="3">
        <v>-1.4999928618921901</v>
      </c>
      <c r="G8398" s="3">
        <v>3.2428064000000001</v>
      </c>
      <c r="H8398" s="3">
        <v>-9.6330257588840595</v>
      </c>
      <c r="I8398" s="3">
        <v>3.2592680000000001</v>
      </c>
      <c r="J8398" s="3">
        <v>3.3251107000000002</v>
      </c>
      <c r="K8398" s="3">
        <v>3.2263454999999999</v>
      </c>
      <c r="L8398" s="3">
        <v>-9.6330257588840595</v>
      </c>
    </row>
    <row r="8399" spans="1:12" ht="15" customHeight="1" x14ac:dyDescent="0.2">
      <c r="A8399" s="2">
        <v>33869</v>
      </c>
      <c r="B8399" s="3">
        <v>3.292189</v>
      </c>
      <c r="C8399" s="1">
        <v>2240150.6</v>
      </c>
      <c r="D8399" s="3">
        <v>-0.19753129999999999</v>
      </c>
      <c r="E8399" s="3">
        <v>-5.6603762771474804</v>
      </c>
      <c r="F8399" s="3">
        <v>-5.6603762771474804</v>
      </c>
      <c r="G8399" s="3">
        <v>3.292189</v>
      </c>
      <c r="H8399" s="3">
        <v>-8.2568855914786603</v>
      </c>
      <c r="I8399" s="3">
        <v>3.4897208000000002</v>
      </c>
      <c r="J8399" s="3">
        <v>3.4897203000000001</v>
      </c>
      <c r="K8399" s="3">
        <v>3.2592669999999999</v>
      </c>
      <c r="L8399" s="3">
        <v>-8.2568855914786603</v>
      </c>
    </row>
    <row r="8400" spans="1:12" ht="15" customHeight="1" x14ac:dyDescent="0.2">
      <c r="A8400" s="2">
        <v>33868</v>
      </c>
      <c r="B8400" s="3">
        <v>3.4897203000000001</v>
      </c>
      <c r="C8400" s="1">
        <v>3912290.8</v>
      </c>
      <c r="D8400" s="3">
        <v>-9.8765900000000004E-2</v>
      </c>
      <c r="E8400" s="3">
        <v>-2.7522998416435298</v>
      </c>
      <c r="F8400" s="3">
        <v>-2.7522998416435298</v>
      </c>
      <c r="G8400" s="3">
        <v>3.4897203000000001</v>
      </c>
      <c r="H8400" s="3">
        <v>-2.7522998416435298</v>
      </c>
      <c r="I8400" s="3">
        <v>3.4897208000000002</v>
      </c>
      <c r="J8400" s="3">
        <v>3.5884862000000002</v>
      </c>
      <c r="K8400" s="3">
        <v>3.4238757999999998</v>
      </c>
      <c r="L8400" s="3">
        <v>-2.7522998416435298</v>
      </c>
    </row>
    <row r="8401" spans="1:12" ht="15" customHeight="1" x14ac:dyDescent="0.2">
      <c r="A8401" s="2">
        <v>33865</v>
      </c>
      <c r="B8401" s="3">
        <v>3.5884862000000002</v>
      </c>
      <c r="C8401" s="1">
        <v>24816318</v>
      </c>
      <c r="D8401" s="3"/>
      <c r="E8401" s="3"/>
      <c r="F8401" s="3"/>
      <c r="G8401" s="3">
        <v>3.5884862000000002</v>
      </c>
      <c r="H8401" s="3"/>
      <c r="I8401" s="3"/>
      <c r="J8401" s="3">
        <v>3.6543294999999998</v>
      </c>
      <c r="K8401" s="3">
        <v>3.4238757999999998</v>
      </c>
      <c r="L8401" s="3"/>
    </row>
  </sheetData>
  <pageMargins left="0.7" right="0.7" top="0.75" bottom="0.75" header="0.3" footer="0.3"/>
  <pageSetup scale="17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13B7-3CD8-0C4F-B51C-434389D3AFA6}">
  <sheetPr>
    <tabColor theme="4" tint="0.79998168889431442"/>
  </sheetPr>
  <dimension ref="A1:K94"/>
  <sheetViews>
    <sheetView showGridLines="0" view="pageBreakPreview" zoomScaleNormal="100" zoomScaleSheetLayoutView="100" workbookViewId="0"/>
  </sheetViews>
  <sheetFormatPr baseColWidth="10" defaultColWidth="9.1640625" defaultRowHeight="16" outlineLevelRow="3" x14ac:dyDescent="0.2"/>
  <cols>
    <col min="1" max="1" width="65.83203125" style="118" customWidth="1"/>
    <col min="2" max="11" width="8.83203125" style="118" bestFit="1" customWidth="1"/>
  </cols>
  <sheetData>
    <row r="1" spans="1:11" ht="15" customHeight="1" x14ac:dyDescent="0.2">
      <c r="A1" s="4" t="s">
        <v>310</v>
      </c>
    </row>
    <row r="2" spans="1:11" ht="15" customHeight="1" x14ac:dyDescent="0.2">
      <c r="A2" s="119" t="s">
        <v>311</v>
      </c>
    </row>
    <row r="3" spans="1:11" ht="15" customHeight="1" x14ac:dyDescent="0.2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</row>
    <row r="4" spans="1:11" ht="15" customHeight="1" x14ac:dyDescent="0.2"/>
    <row r="5" spans="1:11" ht="15" customHeight="1" x14ac:dyDescent="0.2">
      <c r="A5" s="121" t="s">
        <v>312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</row>
    <row r="6" spans="1:11" ht="15" hidden="1" customHeight="1" x14ac:dyDescent="0.2">
      <c r="A6" s="121" t="s">
        <v>313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</row>
    <row r="7" spans="1:11" ht="15" hidden="1" customHeight="1" x14ac:dyDescent="0.2">
      <c r="A7" s="121" t="s">
        <v>314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</row>
    <row r="8" spans="1:11" ht="15" customHeight="1" x14ac:dyDescent="0.2">
      <c r="A8" s="121"/>
      <c r="B8" s="121" t="s">
        <v>316</v>
      </c>
      <c r="C8" s="121" t="s">
        <v>317</v>
      </c>
      <c r="D8" s="121" t="s">
        <v>318</v>
      </c>
      <c r="E8" s="121" t="s">
        <v>319</v>
      </c>
      <c r="F8" s="121" t="s">
        <v>320</v>
      </c>
      <c r="G8" s="121" t="s">
        <v>321</v>
      </c>
      <c r="H8" s="121" t="s">
        <v>322</v>
      </c>
      <c r="I8" s="121" t="s">
        <v>323</v>
      </c>
      <c r="J8" s="121" t="s">
        <v>324</v>
      </c>
      <c r="K8" s="121" t="s">
        <v>325</v>
      </c>
    </row>
    <row r="9" spans="1:11" ht="15" hidden="1" customHeight="1" x14ac:dyDescent="0.2">
      <c r="A9" s="122" t="s">
        <v>0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</row>
    <row r="10" spans="1:11" ht="15" hidden="1" customHeight="1" x14ac:dyDescent="0.2">
      <c r="A10" s="123" t="s">
        <v>1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</row>
    <row r="11" spans="1:11" ht="15" hidden="1" customHeight="1" outlineLevel="1" x14ac:dyDescent="0.2">
      <c r="A11" s="124" t="s">
        <v>2</v>
      </c>
      <c r="B11" s="137">
        <v>84.176000000000002</v>
      </c>
      <c r="C11" s="137">
        <v>56.29</v>
      </c>
      <c r="D11" s="137">
        <v>114.777</v>
      </c>
      <c r="E11" s="137">
        <v>189.62700000000001</v>
      </c>
      <c r="F11" s="137">
        <v>154.08500000000001</v>
      </c>
      <c r="G11" s="137">
        <v>58.415999999999997</v>
      </c>
      <c r="H11" s="137">
        <v>26.577999999999999</v>
      </c>
      <c r="I11" s="137">
        <v>6.008</v>
      </c>
      <c r="J11" s="137">
        <v>53.838999999999999</v>
      </c>
      <c r="K11" s="137">
        <v>43.853999999999999</v>
      </c>
    </row>
    <row r="12" spans="1:11" ht="15" hidden="1" customHeight="1" outlineLevel="2" x14ac:dyDescent="0.2">
      <c r="A12" s="125" t="s">
        <v>3</v>
      </c>
      <c r="B12" s="138">
        <v>84.176000000000002</v>
      </c>
      <c r="C12" s="138">
        <v>56.29</v>
      </c>
      <c r="D12" s="138">
        <v>114.777</v>
      </c>
      <c r="E12" s="138">
        <v>189.62700000000001</v>
      </c>
      <c r="F12" s="138">
        <v>154.08500000000001</v>
      </c>
      <c r="G12" s="138">
        <v>58.415999999999997</v>
      </c>
      <c r="H12" s="138">
        <v>26.577999999999999</v>
      </c>
      <c r="I12" s="138">
        <v>6.008</v>
      </c>
      <c r="J12" s="138">
        <v>53.838999999999999</v>
      </c>
      <c r="K12" s="138">
        <v>43.853999999999999</v>
      </c>
    </row>
    <row r="13" spans="1:11" ht="15" hidden="1" customHeight="1" outlineLevel="1" x14ac:dyDescent="0.2">
      <c r="A13" s="124" t="s">
        <v>4</v>
      </c>
      <c r="B13" s="137">
        <v>148.36699999999999</v>
      </c>
      <c r="C13" s="137">
        <v>142.875</v>
      </c>
      <c r="D13" s="137">
        <v>146.91900000000001</v>
      </c>
      <c r="E13" s="137">
        <v>155.14500000000001</v>
      </c>
      <c r="F13" s="137">
        <v>130.631</v>
      </c>
      <c r="G13" s="137">
        <v>118.1</v>
      </c>
      <c r="H13" s="137">
        <v>89.120999999999995</v>
      </c>
      <c r="I13" s="137">
        <v>102.399</v>
      </c>
      <c r="J13" s="137">
        <v>80.224000000000004</v>
      </c>
      <c r="K13" s="137">
        <v>105.556</v>
      </c>
    </row>
    <row r="14" spans="1:11" ht="15" hidden="1" customHeight="1" outlineLevel="2" x14ac:dyDescent="0.2">
      <c r="A14" s="126" t="s">
        <v>5</v>
      </c>
      <c r="B14" s="139">
        <v>112.503</v>
      </c>
      <c r="C14" s="139">
        <v>103.09399999999999</v>
      </c>
      <c r="D14" s="139">
        <v>105.511</v>
      </c>
      <c r="E14" s="139">
        <v>100.504</v>
      </c>
      <c r="F14" s="139">
        <v>75.787000000000006</v>
      </c>
      <c r="G14" s="139">
        <v>25.619</v>
      </c>
      <c r="H14" s="139">
        <v>62.923999999999999</v>
      </c>
      <c r="I14" s="139">
        <v>60.838000000000001</v>
      </c>
      <c r="J14" s="139">
        <v>58.350999999999999</v>
      </c>
      <c r="K14" s="139">
        <v>54.404000000000003</v>
      </c>
    </row>
    <row r="15" spans="1:11" ht="15" hidden="1" customHeight="1" outlineLevel="3" x14ac:dyDescent="0.2">
      <c r="A15" s="127" t="s">
        <v>6</v>
      </c>
      <c r="B15" s="140">
        <v>112.503</v>
      </c>
      <c r="C15" s="140">
        <v>103.09399999999999</v>
      </c>
      <c r="D15" s="140">
        <v>105.511</v>
      </c>
      <c r="E15" s="140">
        <v>100.504</v>
      </c>
      <c r="F15" s="140">
        <v>75.787000000000006</v>
      </c>
      <c r="G15" s="140">
        <v>25.619</v>
      </c>
      <c r="H15" s="140">
        <v>62.923999999999999</v>
      </c>
      <c r="I15" s="140">
        <v>60.838000000000001</v>
      </c>
      <c r="J15" s="140">
        <v>58.350999999999999</v>
      </c>
      <c r="K15" s="140">
        <v>54.404000000000003</v>
      </c>
    </row>
    <row r="16" spans="1:11" ht="15" hidden="1" customHeight="1" outlineLevel="2" x14ac:dyDescent="0.2">
      <c r="A16" s="125" t="s">
        <v>7</v>
      </c>
      <c r="B16" s="138">
        <v>35.863999999999997</v>
      </c>
      <c r="C16" s="138">
        <v>39.780999999999999</v>
      </c>
      <c r="D16" s="138">
        <v>41.408000000000001</v>
      </c>
      <c r="E16" s="138">
        <v>54.640999999999998</v>
      </c>
      <c r="F16" s="138">
        <v>54.844000000000001</v>
      </c>
      <c r="G16" s="138">
        <v>92.480999999999995</v>
      </c>
      <c r="H16" s="138">
        <v>26.196999999999999</v>
      </c>
      <c r="I16" s="138">
        <v>41.561</v>
      </c>
      <c r="J16" s="138">
        <v>21.873000000000001</v>
      </c>
      <c r="K16" s="138">
        <v>51.152000000000001</v>
      </c>
    </row>
    <row r="17" spans="1:11" ht="15" hidden="1" customHeight="1" outlineLevel="1" x14ac:dyDescent="0.2">
      <c r="A17" s="124" t="s">
        <v>8</v>
      </c>
      <c r="B17" s="137">
        <v>64.525999999999996</v>
      </c>
      <c r="C17" s="137">
        <v>57.654000000000003</v>
      </c>
      <c r="D17" s="137">
        <v>55.558999999999997</v>
      </c>
      <c r="E17" s="137">
        <v>42.838999999999999</v>
      </c>
      <c r="F17" s="137">
        <v>39.287999999999997</v>
      </c>
      <c r="G17" s="137">
        <v>47.225000000000001</v>
      </c>
      <c r="H17" s="137">
        <v>38.886000000000003</v>
      </c>
      <c r="I17" s="137">
        <v>42.56</v>
      </c>
      <c r="J17" s="137">
        <v>34.926000000000002</v>
      </c>
      <c r="K17" s="137">
        <v>34.01</v>
      </c>
    </row>
    <row r="18" spans="1:11" ht="15" hidden="1" customHeight="1" outlineLevel="2" x14ac:dyDescent="0.2">
      <c r="A18" s="125" t="s">
        <v>9</v>
      </c>
      <c r="B18" s="138">
        <v>55.350999999999999</v>
      </c>
      <c r="C18" s="138">
        <v>48.512999999999998</v>
      </c>
      <c r="D18" s="138">
        <v>48.033000000000001</v>
      </c>
      <c r="E18" s="138">
        <v>35.828000000000003</v>
      </c>
      <c r="F18" s="138">
        <v>32.143000000000001</v>
      </c>
      <c r="G18" s="138">
        <v>41.057000000000002</v>
      </c>
      <c r="H18" s="138">
        <v>32.207000000000001</v>
      </c>
      <c r="I18" s="138">
        <v>36.83</v>
      </c>
      <c r="J18" s="138">
        <v>28.675999999999998</v>
      </c>
      <c r="K18" s="138">
        <v>28.231000000000002</v>
      </c>
    </row>
    <row r="19" spans="1:11" ht="15" hidden="1" customHeight="1" outlineLevel="2" x14ac:dyDescent="0.2">
      <c r="A19" s="128" t="s">
        <v>336</v>
      </c>
      <c r="B19" s="140">
        <v>9.1750000000000007</v>
      </c>
      <c r="C19" s="140">
        <v>9.141</v>
      </c>
      <c r="D19" s="140">
        <v>7.5259999999999998</v>
      </c>
      <c r="E19" s="140">
        <v>7.0110000000000001</v>
      </c>
      <c r="F19" s="140">
        <v>7.1449999999999996</v>
      </c>
      <c r="G19" s="140">
        <v>6.1680000000000001</v>
      </c>
      <c r="H19" s="140">
        <v>6.6790000000000003</v>
      </c>
      <c r="I19" s="140">
        <v>5.73</v>
      </c>
      <c r="J19" s="140">
        <v>6.25</v>
      </c>
      <c r="K19" s="140">
        <v>5.7789999999999999</v>
      </c>
    </row>
    <row r="20" spans="1:11" ht="15" hidden="1" customHeight="1" outlineLevel="1" x14ac:dyDescent="0.2">
      <c r="A20" s="129" t="s">
        <v>10</v>
      </c>
      <c r="B20" s="139">
        <v>36.244</v>
      </c>
      <c r="C20" s="139">
        <v>43.978999999999999</v>
      </c>
      <c r="D20" s="139">
        <v>28.513000000000002</v>
      </c>
      <c r="E20" s="139">
        <v>17.978000000000002</v>
      </c>
      <c r="F20" s="139">
        <v>17.355</v>
      </c>
      <c r="G20" s="139">
        <v>20.774000000000001</v>
      </c>
      <c r="H20" s="139">
        <v>40.645000000000003</v>
      </c>
      <c r="I20" s="139">
        <v>57.665999999999997</v>
      </c>
      <c r="J20" s="139">
        <v>52.438000000000002</v>
      </c>
      <c r="K20" s="139">
        <v>41.975999999999999</v>
      </c>
    </row>
    <row r="21" spans="1:11" ht="15" hidden="1" customHeight="1" outlineLevel="2" x14ac:dyDescent="0.2">
      <c r="A21" s="128" t="s">
        <v>11</v>
      </c>
      <c r="B21" s="140">
        <v>36.244</v>
      </c>
      <c r="C21" s="140">
        <v>43.978999999999999</v>
      </c>
      <c r="D21" s="140">
        <v>28.513000000000002</v>
      </c>
      <c r="E21" s="140">
        <v>17.978000000000002</v>
      </c>
      <c r="F21" s="140">
        <v>17.355</v>
      </c>
      <c r="G21" s="140">
        <v>20.774000000000001</v>
      </c>
      <c r="H21" s="140">
        <v>40.645000000000003</v>
      </c>
      <c r="I21" s="140">
        <v>57.665999999999997</v>
      </c>
      <c r="J21" s="140">
        <v>52.438000000000002</v>
      </c>
      <c r="K21" s="140">
        <v>41.975999999999999</v>
      </c>
    </row>
    <row r="22" spans="1:11" ht="15" hidden="1" customHeight="1" outlineLevel="1" x14ac:dyDescent="0.2">
      <c r="A22" s="130" t="s">
        <v>12</v>
      </c>
      <c r="B22" s="138">
        <v>333.31299999999999</v>
      </c>
      <c r="C22" s="138">
        <v>300.798</v>
      </c>
      <c r="D22" s="138">
        <v>345.76799999999997</v>
      </c>
      <c r="E22" s="138">
        <v>405.589</v>
      </c>
      <c r="F22" s="138">
        <v>341.35899999999998</v>
      </c>
      <c r="G22" s="138">
        <v>244.51499999999999</v>
      </c>
      <c r="H22" s="138">
        <v>195.23</v>
      </c>
      <c r="I22" s="138">
        <v>208.63300000000001</v>
      </c>
      <c r="J22" s="138">
        <v>221.42699999999999</v>
      </c>
      <c r="K22" s="138">
        <v>225.39599999999999</v>
      </c>
    </row>
    <row r="23" spans="1:11" ht="15" hidden="1" customHeight="1" outlineLevel="1" x14ac:dyDescent="0.2">
      <c r="A23" s="124" t="s">
        <v>13</v>
      </c>
      <c r="B23" s="137">
        <v>2241.1239999999998</v>
      </c>
      <c r="C23" s="137">
        <v>2093.2429999999999</v>
      </c>
      <c r="D23" s="137">
        <v>2015.037</v>
      </c>
      <c r="E23" s="137">
        <v>1982.9829999999999</v>
      </c>
      <c r="F23" s="137">
        <v>2025.164</v>
      </c>
      <c r="G23" s="137">
        <v>2072.5749999999998</v>
      </c>
      <c r="H23" s="137">
        <v>913.27499999999998</v>
      </c>
      <c r="I23" s="137">
        <v>935.04499999999996</v>
      </c>
      <c r="J23" s="137">
        <v>910.13400000000001</v>
      </c>
      <c r="K23" s="137">
        <v>892.19100000000003</v>
      </c>
    </row>
    <row r="24" spans="1:11" ht="15" hidden="1" customHeight="1" outlineLevel="2" x14ac:dyDescent="0.2">
      <c r="A24" s="126" t="s">
        <v>14</v>
      </c>
      <c r="B24" s="139">
        <v>3622.1439999999998</v>
      </c>
      <c r="C24" s="139">
        <v>3433.518</v>
      </c>
      <c r="D24" s="139">
        <v>3273.79</v>
      </c>
      <c r="E24" s="139">
        <v>3165.6109999999999</v>
      </c>
      <c r="F24" s="139">
        <v>3128.1149999999998</v>
      </c>
      <c r="G24" s="139">
        <v>3121.4180000000001</v>
      </c>
      <c r="H24" s="139">
        <v>1923.8489999999999</v>
      </c>
      <c r="I24" s="139">
        <v>1872.87</v>
      </c>
      <c r="J24" s="139">
        <v>1768.89</v>
      </c>
      <c r="K24" s="139">
        <v>1676.7819999999999</v>
      </c>
    </row>
    <row r="25" spans="1:11" ht="15" hidden="1" customHeight="1" outlineLevel="3" x14ac:dyDescent="0.2">
      <c r="A25" s="127" t="s">
        <v>15</v>
      </c>
      <c r="B25" s="140">
        <v>44.531999999999996</v>
      </c>
      <c r="C25" s="140">
        <v>44.179000000000002</v>
      </c>
      <c r="D25" s="140">
        <v>44.137999999999998</v>
      </c>
      <c r="E25" s="140">
        <v>44.048999999999999</v>
      </c>
      <c r="F25" s="140">
        <v>44.048999999999999</v>
      </c>
      <c r="G25" s="140">
        <v>44.048999999999999</v>
      </c>
      <c r="H25" s="140">
        <v>44.036000000000001</v>
      </c>
      <c r="I25" s="140">
        <v>37.633000000000003</v>
      </c>
      <c r="J25" s="140">
        <v>37.606999999999999</v>
      </c>
      <c r="K25" s="140">
        <v>20.61</v>
      </c>
    </row>
    <row r="26" spans="1:11" ht="15" hidden="1" customHeight="1" outlineLevel="3" x14ac:dyDescent="0.2">
      <c r="A26" s="131" t="s">
        <v>16</v>
      </c>
      <c r="B26" s="138">
        <v>17.303000000000001</v>
      </c>
      <c r="C26" s="138">
        <v>15.852</v>
      </c>
      <c r="D26" s="138">
        <v>15.852</v>
      </c>
      <c r="E26" s="138">
        <v>15.852</v>
      </c>
      <c r="F26" s="138">
        <v>15.852</v>
      </c>
      <c r="G26" s="138">
        <v>15.852</v>
      </c>
      <c r="H26" s="138">
        <v>15.852</v>
      </c>
      <c r="I26" s="138">
        <v>15.852</v>
      </c>
      <c r="J26" s="138">
        <v>15.852</v>
      </c>
      <c r="K26" s="138">
        <v>15.852</v>
      </c>
    </row>
    <row r="27" spans="1:11" ht="15" hidden="1" customHeight="1" outlineLevel="3" x14ac:dyDescent="0.2">
      <c r="A27" s="127" t="s">
        <v>17</v>
      </c>
      <c r="B27" s="140">
        <v>75.429000000000002</v>
      </c>
      <c r="C27" s="140">
        <v>58.067</v>
      </c>
      <c r="D27" s="140">
        <v>36.674999999999997</v>
      </c>
      <c r="E27" s="140">
        <v>35.070999999999998</v>
      </c>
      <c r="F27" s="140">
        <v>46.485999999999997</v>
      </c>
      <c r="G27" s="140">
        <v>23.731999999999999</v>
      </c>
      <c r="H27" s="140">
        <v>27.975000000000001</v>
      </c>
      <c r="I27" s="140">
        <v>23.452999999999999</v>
      </c>
      <c r="J27" s="140">
        <v>20.835999999999999</v>
      </c>
      <c r="K27" s="140">
        <v>28.731999999999999</v>
      </c>
    </row>
    <row r="28" spans="1:11" ht="15" hidden="1" customHeight="1" outlineLevel="3" x14ac:dyDescent="0.2">
      <c r="A28" s="131" t="s">
        <v>18</v>
      </c>
      <c r="B28" s="138">
        <v>55.667000000000002</v>
      </c>
      <c r="C28" s="138">
        <v>57.951999999999998</v>
      </c>
      <c r="D28" s="138">
        <v>60.860999999999997</v>
      </c>
      <c r="E28" s="138">
        <v>54.853000000000002</v>
      </c>
      <c r="F28" s="138">
        <v>51.677999999999997</v>
      </c>
      <c r="G28" s="138">
        <v>55.613999999999997</v>
      </c>
      <c r="H28" s="138">
        <v>55.433999999999997</v>
      </c>
      <c r="I28" s="138">
        <v>52.164999999999999</v>
      </c>
      <c r="J28" s="138">
        <v>49.49</v>
      </c>
      <c r="K28" s="138">
        <v>49.917000000000002</v>
      </c>
    </row>
    <row r="29" spans="1:11" ht="15" hidden="1" customHeight="1" outlineLevel="3" x14ac:dyDescent="0.2">
      <c r="A29" s="127" t="s">
        <v>19</v>
      </c>
      <c r="B29" s="140">
        <v>2028.8620000000001</v>
      </c>
      <c r="C29" s="140">
        <v>1955.318</v>
      </c>
      <c r="D29" s="140">
        <v>1847.278</v>
      </c>
      <c r="E29" s="140">
        <v>1774.549</v>
      </c>
      <c r="F29" s="140">
        <v>1719.0229999999999</v>
      </c>
      <c r="G29" s="140">
        <v>1741.1949999999999</v>
      </c>
      <c r="H29" s="140">
        <v>1780.5519999999999</v>
      </c>
      <c r="I29" s="140">
        <v>1743.7670000000001</v>
      </c>
      <c r="J29" s="140">
        <v>1645.105</v>
      </c>
      <c r="K29" s="140">
        <v>1561.671</v>
      </c>
    </row>
    <row r="30" spans="1:11" ht="15" hidden="1" customHeight="1" outlineLevel="3" x14ac:dyDescent="0.2">
      <c r="A30" s="131" t="s">
        <v>20</v>
      </c>
      <c r="B30" s="138">
        <v>1400.3510000000001</v>
      </c>
      <c r="C30" s="138">
        <v>1302.1500000000001</v>
      </c>
      <c r="D30" s="138">
        <v>1268.9860000000001</v>
      </c>
      <c r="E30" s="138">
        <v>1241.2370000000001</v>
      </c>
      <c r="F30" s="138">
        <v>1251.027</v>
      </c>
      <c r="G30" s="138">
        <v>1240.9760000000001</v>
      </c>
      <c r="H30" s="141"/>
      <c r="I30" s="141"/>
      <c r="J30" s="141"/>
      <c r="K30" s="141"/>
    </row>
    <row r="31" spans="1:11" ht="15" hidden="1" customHeight="1" outlineLevel="2" x14ac:dyDescent="0.2">
      <c r="A31" s="128" t="s">
        <v>21</v>
      </c>
      <c r="B31" s="140">
        <v>1381.02</v>
      </c>
      <c r="C31" s="140">
        <v>1340.2750000000001</v>
      </c>
      <c r="D31" s="140">
        <v>1258.7529999999999</v>
      </c>
      <c r="E31" s="140">
        <v>1182.6279999999999</v>
      </c>
      <c r="F31" s="140">
        <v>1102.951</v>
      </c>
      <c r="G31" s="140">
        <v>1048.8430000000001</v>
      </c>
      <c r="H31" s="140">
        <v>1010.574</v>
      </c>
      <c r="I31" s="140">
        <v>937.82500000000005</v>
      </c>
      <c r="J31" s="140">
        <v>858.75599999999997</v>
      </c>
      <c r="K31" s="140">
        <v>784.59100000000001</v>
      </c>
    </row>
    <row r="32" spans="1:11" ht="15" hidden="1" customHeight="1" outlineLevel="1" x14ac:dyDescent="0.2">
      <c r="A32" s="129" t="s">
        <v>337</v>
      </c>
      <c r="B32" s="139">
        <v>0</v>
      </c>
      <c r="C32" s="139">
        <v>0</v>
      </c>
      <c r="D32" s="139">
        <v>0</v>
      </c>
      <c r="E32" s="139">
        <v>0</v>
      </c>
      <c r="F32" s="139">
        <v>0</v>
      </c>
      <c r="G32" s="139">
        <v>0</v>
      </c>
      <c r="H32" s="139">
        <v>79.766999999999996</v>
      </c>
      <c r="I32" s="139">
        <v>59.521000000000001</v>
      </c>
      <c r="J32" s="139">
        <v>42</v>
      </c>
      <c r="K32" s="139">
        <v>0</v>
      </c>
    </row>
    <row r="33" spans="1:11" ht="15" hidden="1" customHeight="1" outlineLevel="2" x14ac:dyDescent="0.2">
      <c r="A33" s="128" t="s">
        <v>338</v>
      </c>
      <c r="B33" s="140">
        <v>0</v>
      </c>
      <c r="C33" s="140">
        <v>0</v>
      </c>
      <c r="D33" s="140">
        <v>0</v>
      </c>
      <c r="E33" s="140">
        <v>0</v>
      </c>
      <c r="F33" s="140">
        <v>0</v>
      </c>
      <c r="G33" s="140">
        <v>0</v>
      </c>
      <c r="H33" s="140">
        <v>79.766999999999996</v>
      </c>
      <c r="I33" s="140">
        <v>59.521000000000001</v>
      </c>
      <c r="J33" s="140">
        <v>42</v>
      </c>
      <c r="K33" s="140">
        <v>0</v>
      </c>
    </row>
    <row r="34" spans="1:11" ht="15" hidden="1" customHeight="1" outlineLevel="1" x14ac:dyDescent="0.2">
      <c r="A34" s="129" t="s">
        <v>22</v>
      </c>
      <c r="B34" s="139">
        <v>251.78899999999999</v>
      </c>
      <c r="C34" s="139">
        <v>251.727</v>
      </c>
      <c r="D34" s="139">
        <v>251.524</v>
      </c>
      <c r="E34" s="139">
        <v>251.70099999999999</v>
      </c>
      <c r="F34" s="139">
        <v>253.16</v>
      </c>
      <c r="G34" s="139">
        <v>437.20699999999999</v>
      </c>
      <c r="H34" s="139">
        <v>26.209</v>
      </c>
      <c r="I34" s="139">
        <v>24.065000000000001</v>
      </c>
      <c r="J34" s="139">
        <v>23.053999999999998</v>
      </c>
      <c r="K34" s="139">
        <v>21.972000000000001</v>
      </c>
    </row>
    <row r="35" spans="1:11" ht="15" hidden="1" customHeight="1" outlineLevel="2" x14ac:dyDescent="0.2">
      <c r="A35" s="128" t="s">
        <v>23</v>
      </c>
      <c r="B35" s="140">
        <v>1.4510000000000001</v>
      </c>
      <c r="C35" s="140">
        <v>1.4510000000000001</v>
      </c>
      <c r="D35" s="140">
        <v>1.4510000000000001</v>
      </c>
      <c r="E35" s="140">
        <v>1.4510000000000001</v>
      </c>
      <c r="F35" s="140">
        <v>1.4510000000000001</v>
      </c>
      <c r="G35" s="140">
        <v>78.355000000000004</v>
      </c>
      <c r="H35" s="140">
        <v>0</v>
      </c>
      <c r="I35" s="140">
        <v>0</v>
      </c>
      <c r="J35" s="140">
        <v>0</v>
      </c>
      <c r="K35" s="140">
        <v>0</v>
      </c>
    </row>
    <row r="36" spans="1:11" ht="15" hidden="1" customHeight="1" outlineLevel="2" x14ac:dyDescent="0.2">
      <c r="A36" s="125" t="s">
        <v>24</v>
      </c>
      <c r="B36" s="138">
        <v>250.33799999999999</v>
      </c>
      <c r="C36" s="138">
        <v>250.27600000000001</v>
      </c>
      <c r="D36" s="138">
        <v>250.07300000000001</v>
      </c>
      <c r="E36" s="138">
        <v>250.25</v>
      </c>
      <c r="F36" s="138">
        <v>251.709</v>
      </c>
      <c r="G36" s="138">
        <v>358.85199999999998</v>
      </c>
      <c r="H36" s="138">
        <v>26.209</v>
      </c>
      <c r="I36" s="138">
        <v>24.065000000000001</v>
      </c>
      <c r="J36" s="138">
        <v>23.053999999999998</v>
      </c>
      <c r="K36" s="138">
        <v>21.972000000000001</v>
      </c>
    </row>
    <row r="37" spans="1:11" ht="15" hidden="1" customHeight="1" outlineLevel="1" x14ac:dyDescent="0.2">
      <c r="A37" s="133" t="s">
        <v>25</v>
      </c>
      <c r="B37" s="140">
        <v>543.73699999999997</v>
      </c>
      <c r="C37" s="140">
        <v>91.944000000000003</v>
      </c>
      <c r="D37" s="140">
        <v>76.245000000000005</v>
      </c>
      <c r="E37" s="140">
        <v>57.634</v>
      </c>
      <c r="F37" s="140">
        <v>37.884999999999998</v>
      </c>
      <c r="G37" s="140">
        <v>3.375</v>
      </c>
      <c r="H37" s="140">
        <v>1.597</v>
      </c>
      <c r="I37" s="140">
        <v>72.084000000000003</v>
      </c>
      <c r="J37" s="140">
        <v>106.313</v>
      </c>
      <c r="K37" s="140">
        <v>100.13500000000001</v>
      </c>
    </row>
    <row r="38" spans="1:11" ht="15" hidden="1" customHeight="1" outlineLevel="1" x14ac:dyDescent="0.2">
      <c r="A38" s="129" t="s">
        <v>26</v>
      </c>
      <c r="B38" s="139">
        <v>117.684</v>
      </c>
      <c r="C38" s="139">
        <v>102.67100000000001</v>
      </c>
      <c r="D38" s="139">
        <v>86.646000000000001</v>
      </c>
      <c r="E38" s="139">
        <v>100.218</v>
      </c>
      <c r="F38" s="139">
        <v>89.486000000000004</v>
      </c>
      <c r="G38" s="139">
        <v>82.921000000000006</v>
      </c>
      <c r="H38" s="139">
        <v>98.055000000000007</v>
      </c>
      <c r="I38" s="139">
        <v>105.79600000000001</v>
      </c>
      <c r="J38" s="139">
        <v>96.703999999999994</v>
      </c>
      <c r="K38" s="139">
        <v>93.787000000000006</v>
      </c>
    </row>
    <row r="39" spans="1:11" ht="15" hidden="1" customHeight="1" outlineLevel="2" x14ac:dyDescent="0.2">
      <c r="A39" s="128" t="s">
        <v>27</v>
      </c>
      <c r="B39" s="142"/>
      <c r="C39" s="142"/>
      <c r="D39" s="142"/>
      <c r="E39" s="142"/>
      <c r="F39" s="142"/>
      <c r="G39" s="142"/>
      <c r="H39" s="140">
        <v>34.960999999999999</v>
      </c>
      <c r="I39" s="140">
        <v>39.399000000000001</v>
      </c>
      <c r="J39" s="140">
        <v>42.161999999999999</v>
      </c>
      <c r="K39" s="140">
        <v>46.881</v>
      </c>
    </row>
    <row r="40" spans="1:11" ht="15" hidden="1" customHeight="1" outlineLevel="2" x14ac:dyDescent="0.2">
      <c r="A40" s="125" t="s">
        <v>28</v>
      </c>
      <c r="B40" s="138">
        <v>117.684</v>
      </c>
      <c r="C40" s="138">
        <v>102.67100000000001</v>
      </c>
      <c r="D40" s="138">
        <v>86.646000000000001</v>
      </c>
      <c r="E40" s="138">
        <v>100.218</v>
      </c>
      <c r="F40" s="138">
        <v>89.486000000000004</v>
      </c>
      <c r="G40" s="138">
        <v>82.921000000000006</v>
      </c>
      <c r="H40" s="138">
        <v>63.094000000000001</v>
      </c>
      <c r="I40" s="138">
        <v>66.397000000000006</v>
      </c>
      <c r="J40" s="138">
        <v>54.542000000000002</v>
      </c>
      <c r="K40" s="138">
        <v>46.905999999999999</v>
      </c>
    </row>
    <row r="41" spans="1:11" ht="15" hidden="1" customHeight="1" outlineLevel="1" x14ac:dyDescent="0.2">
      <c r="A41" s="133" t="s">
        <v>29</v>
      </c>
      <c r="B41" s="140">
        <v>3487.6469999999999</v>
      </c>
      <c r="C41" s="140">
        <v>2840.3829999999998</v>
      </c>
      <c r="D41" s="140">
        <v>2775.22</v>
      </c>
      <c r="E41" s="140">
        <v>2798.125</v>
      </c>
      <c r="F41" s="140">
        <v>2747.0540000000001</v>
      </c>
      <c r="G41" s="140">
        <v>2840.5929999999998</v>
      </c>
      <c r="H41" s="140">
        <v>1314.133</v>
      </c>
      <c r="I41" s="140">
        <v>1405.144</v>
      </c>
      <c r="J41" s="140">
        <v>1399.6320000000001</v>
      </c>
      <c r="K41" s="140">
        <v>1333.481</v>
      </c>
    </row>
    <row r="42" spans="1:11" ht="15" customHeight="1" collapsed="1" x14ac:dyDescent="0.2">
      <c r="A42" s="123" t="s">
        <v>30</v>
      </c>
      <c r="B42" s="143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11" ht="15" hidden="1" customHeight="1" outlineLevel="1" x14ac:dyDescent="0.2">
      <c r="A43" s="124" t="s">
        <v>31</v>
      </c>
      <c r="B43" s="144"/>
      <c r="C43" s="144"/>
      <c r="D43" s="144"/>
      <c r="E43" s="144"/>
      <c r="F43" s="144"/>
      <c r="G43" s="144"/>
      <c r="H43" s="144"/>
      <c r="I43" s="144"/>
      <c r="J43" s="144"/>
      <c r="K43" s="144"/>
    </row>
    <row r="44" spans="1:11" ht="15" hidden="1" customHeight="1" outlineLevel="2" x14ac:dyDescent="0.2">
      <c r="A44" s="125" t="s">
        <v>32</v>
      </c>
      <c r="B44" s="138">
        <v>157.13800000000001</v>
      </c>
      <c r="C44" s="138">
        <v>134.905</v>
      </c>
      <c r="D44" s="138">
        <v>139.09899999999999</v>
      </c>
      <c r="E44" s="138">
        <v>131.81800000000001</v>
      </c>
      <c r="F44" s="138">
        <v>132.51900000000001</v>
      </c>
      <c r="G44" s="138">
        <v>128.08099999999999</v>
      </c>
      <c r="H44" s="138">
        <v>0</v>
      </c>
      <c r="I44" s="138">
        <v>0</v>
      </c>
      <c r="J44" s="138">
        <v>0</v>
      </c>
      <c r="K44" s="138">
        <v>0</v>
      </c>
    </row>
    <row r="45" spans="1:11" ht="15" hidden="1" customHeight="1" outlineLevel="2" x14ac:dyDescent="0.2">
      <c r="A45" s="128" t="s">
        <v>33</v>
      </c>
      <c r="B45" s="140">
        <v>62.091999999999999</v>
      </c>
      <c r="C45" s="140">
        <v>63.152000000000001</v>
      </c>
      <c r="D45" s="140">
        <v>66.638000000000005</v>
      </c>
      <c r="E45" s="140">
        <v>54.085999999999999</v>
      </c>
      <c r="F45" s="140">
        <v>58.432000000000002</v>
      </c>
      <c r="G45" s="140">
        <v>61.945999999999998</v>
      </c>
      <c r="H45" s="140">
        <v>49.070999999999998</v>
      </c>
      <c r="I45" s="140">
        <v>50.984000000000002</v>
      </c>
      <c r="J45" s="140">
        <v>41.564</v>
      </c>
      <c r="K45" s="140">
        <v>47.77</v>
      </c>
    </row>
    <row r="46" spans="1:11" ht="15" hidden="1" customHeight="1" outlineLevel="2" x14ac:dyDescent="0.2">
      <c r="A46" s="125" t="s">
        <v>34</v>
      </c>
      <c r="B46" s="141"/>
      <c r="C46" s="141"/>
      <c r="D46" s="141"/>
      <c r="E46" s="141"/>
      <c r="F46" s="141"/>
      <c r="G46" s="138">
        <v>0</v>
      </c>
      <c r="H46" s="138">
        <v>0.71199999999999997</v>
      </c>
      <c r="I46" s="138">
        <v>0</v>
      </c>
      <c r="J46" s="138">
        <v>2.2989999999999999</v>
      </c>
      <c r="K46" s="141"/>
    </row>
    <row r="47" spans="1:11" ht="15" hidden="1" customHeight="1" outlineLevel="2" x14ac:dyDescent="0.2">
      <c r="A47" s="135" t="s">
        <v>35</v>
      </c>
      <c r="B47" s="137">
        <v>492.19</v>
      </c>
      <c r="C47" s="137">
        <v>462.61399999999998</v>
      </c>
      <c r="D47" s="137">
        <v>450.94099999999997</v>
      </c>
      <c r="E47" s="137">
        <v>450.36900000000003</v>
      </c>
      <c r="F47" s="137">
        <v>395.11599999999999</v>
      </c>
      <c r="G47" s="137">
        <v>424.56</v>
      </c>
      <c r="H47" s="137">
        <v>366.71699999999998</v>
      </c>
      <c r="I47" s="137">
        <v>346.96699999999998</v>
      </c>
      <c r="J47" s="137">
        <v>332.66300000000001</v>
      </c>
      <c r="K47" s="137">
        <v>302.45600000000002</v>
      </c>
    </row>
    <row r="48" spans="1:11" ht="15" hidden="1" customHeight="1" outlineLevel="3" x14ac:dyDescent="0.2">
      <c r="A48" s="131" t="s">
        <v>36</v>
      </c>
      <c r="B48" s="138">
        <v>84.134</v>
      </c>
      <c r="C48" s="138">
        <v>79.991</v>
      </c>
      <c r="D48" s="138">
        <v>81.484999999999999</v>
      </c>
      <c r="E48" s="138">
        <v>107.22799999999999</v>
      </c>
      <c r="F48" s="138">
        <v>80.55</v>
      </c>
      <c r="G48" s="138">
        <v>98.558000000000007</v>
      </c>
      <c r="H48" s="138">
        <v>77.731999999999999</v>
      </c>
      <c r="I48" s="138">
        <v>54.896000000000001</v>
      </c>
      <c r="J48" s="138">
        <v>60.008000000000003</v>
      </c>
      <c r="K48" s="138">
        <v>51.55</v>
      </c>
    </row>
    <row r="49" spans="1:11" ht="15" hidden="1" customHeight="1" outlineLevel="3" x14ac:dyDescent="0.2">
      <c r="A49" s="127" t="s">
        <v>37</v>
      </c>
      <c r="B49" s="140">
        <v>408.05599999999998</v>
      </c>
      <c r="C49" s="140">
        <v>382.62299999999999</v>
      </c>
      <c r="D49" s="140">
        <v>369.45600000000002</v>
      </c>
      <c r="E49" s="140">
        <v>343.14100000000002</v>
      </c>
      <c r="F49" s="140">
        <v>314.56599999999997</v>
      </c>
      <c r="G49" s="140">
        <v>326.00200000000001</v>
      </c>
      <c r="H49" s="140">
        <v>288.98500000000001</v>
      </c>
      <c r="I49" s="140">
        <v>292.07100000000003</v>
      </c>
      <c r="J49" s="140">
        <v>272.65499999999997</v>
      </c>
      <c r="K49" s="140">
        <v>250.90600000000001</v>
      </c>
    </row>
    <row r="50" spans="1:11" ht="15" hidden="1" customHeight="1" outlineLevel="2" x14ac:dyDescent="0.2">
      <c r="A50" s="125" t="s">
        <v>38</v>
      </c>
      <c r="B50" s="138">
        <v>711.42</v>
      </c>
      <c r="C50" s="138">
        <v>660.67100000000005</v>
      </c>
      <c r="D50" s="138">
        <v>656.678</v>
      </c>
      <c r="E50" s="138">
        <v>636.27300000000002</v>
      </c>
      <c r="F50" s="138">
        <v>586.06700000000001</v>
      </c>
      <c r="G50" s="138">
        <v>614.58699999999999</v>
      </c>
      <c r="H50" s="138">
        <v>416.5</v>
      </c>
      <c r="I50" s="138">
        <v>397.95100000000002</v>
      </c>
      <c r="J50" s="138">
        <v>376.52600000000001</v>
      </c>
      <c r="K50" s="138">
        <v>350.226</v>
      </c>
    </row>
    <row r="51" spans="1:11" ht="15" hidden="1" customHeight="1" outlineLevel="1" x14ac:dyDescent="0.2">
      <c r="A51" s="124" t="s">
        <v>39</v>
      </c>
      <c r="B51" s="144"/>
      <c r="C51" s="144"/>
      <c r="D51" s="144"/>
      <c r="E51" s="144"/>
      <c r="F51" s="144"/>
      <c r="G51" s="144"/>
      <c r="H51" s="144"/>
      <c r="I51" s="144"/>
      <c r="J51" s="144"/>
      <c r="K51" s="144"/>
    </row>
    <row r="52" spans="1:11" ht="15" hidden="1" customHeight="1" outlineLevel="2" x14ac:dyDescent="0.2">
      <c r="A52" s="126" t="s">
        <v>40</v>
      </c>
      <c r="B52" s="139">
        <v>1751.0820000000001</v>
      </c>
      <c r="C52" s="139">
        <v>1725.002</v>
      </c>
      <c r="D52" s="139">
        <v>1701.529</v>
      </c>
      <c r="E52" s="139">
        <v>1684.2860000000001</v>
      </c>
      <c r="F52" s="139">
        <v>1504.3209999999999</v>
      </c>
      <c r="G52" s="139">
        <v>1479.8689999999999</v>
      </c>
      <c r="H52" s="139">
        <v>123.095</v>
      </c>
      <c r="I52" s="139">
        <v>118.627</v>
      </c>
      <c r="J52" s="139">
        <v>100.57599999999999</v>
      </c>
      <c r="K52" s="139">
        <v>87.840999999999994</v>
      </c>
    </row>
    <row r="53" spans="1:11" ht="15" hidden="1" customHeight="1" outlineLevel="3" x14ac:dyDescent="0.2">
      <c r="A53" s="127" t="s">
        <v>339</v>
      </c>
      <c r="B53" s="140">
        <v>452.06200000000001</v>
      </c>
      <c r="C53" s="140">
        <v>470.04700000000003</v>
      </c>
      <c r="D53" s="140">
        <v>468.03199999999998</v>
      </c>
      <c r="E53" s="140">
        <v>466.017</v>
      </c>
      <c r="F53" s="140">
        <v>280</v>
      </c>
      <c r="G53" s="140">
        <v>290</v>
      </c>
      <c r="H53" s="140">
        <v>10</v>
      </c>
      <c r="I53" s="140">
        <v>10</v>
      </c>
      <c r="J53" s="140">
        <v>0</v>
      </c>
      <c r="K53" s="140">
        <v>0</v>
      </c>
    </row>
    <row r="54" spans="1:11" ht="15" hidden="1" customHeight="1" outlineLevel="3" x14ac:dyDescent="0.2">
      <c r="A54" s="131" t="s">
        <v>41</v>
      </c>
      <c r="B54" s="138">
        <v>1299.02</v>
      </c>
      <c r="C54" s="138">
        <v>1254.9549999999999</v>
      </c>
      <c r="D54" s="138">
        <v>1233.4970000000001</v>
      </c>
      <c r="E54" s="138">
        <v>1218.269</v>
      </c>
      <c r="F54" s="138">
        <v>1224.3209999999999</v>
      </c>
      <c r="G54" s="138">
        <v>1189.8689999999999</v>
      </c>
      <c r="H54" s="138">
        <v>113.095</v>
      </c>
      <c r="I54" s="138">
        <v>108.627</v>
      </c>
      <c r="J54" s="138">
        <v>100.57599999999999</v>
      </c>
      <c r="K54" s="138">
        <v>87.840999999999994</v>
      </c>
    </row>
    <row r="55" spans="1:11" ht="15" hidden="1" customHeight="1" outlineLevel="2" x14ac:dyDescent="0.2">
      <c r="A55" s="128" t="s">
        <v>340</v>
      </c>
      <c r="B55" s="140">
        <v>0</v>
      </c>
      <c r="C55" s="140">
        <v>0</v>
      </c>
      <c r="D55" s="140">
        <v>0</v>
      </c>
      <c r="E55" s="140">
        <v>0</v>
      </c>
      <c r="F55" s="140">
        <v>0</v>
      </c>
      <c r="G55" s="140">
        <v>0</v>
      </c>
      <c r="H55" s="140">
        <v>57.551000000000002</v>
      </c>
      <c r="I55" s="140">
        <v>61.095999999999997</v>
      </c>
      <c r="J55" s="140">
        <v>49.231999999999999</v>
      </c>
      <c r="K55" s="140">
        <v>41.280999999999999</v>
      </c>
    </row>
    <row r="56" spans="1:11" ht="15" hidden="1" customHeight="1" outlineLevel="2" x14ac:dyDescent="0.2">
      <c r="A56" s="125" t="s">
        <v>42</v>
      </c>
      <c r="B56" s="138">
        <v>445.887</v>
      </c>
      <c r="C56" s="141"/>
      <c r="D56" s="141"/>
      <c r="E56" s="141"/>
      <c r="F56" s="141"/>
      <c r="G56" s="138">
        <v>33.847000000000001</v>
      </c>
      <c r="H56" s="138">
        <v>52.122999999999998</v>
      </c>
      <c r="I56" s="138">
        <v>129.30000000000001</v>
      </c>
      <c r="J56" s="138">
        <v>188.714</v>
      </c>
      <c r="K56" s="138">
        <v>182.65899999999999</v>
      </c>
    </row>
    <row r="57" spans="1:11" ht="15" hidden="1" customHeight="1" outlineLevel="2" x14ac:dyDescent="0.2">
      <c r="A57" s="135" t="s">
        <v>43</v>
      </c>
      <c r="B57" s="137">
        <v>135.803</v>
      </c>
      <c r="C57" s="137">
        <v>136.648</v>
      </c>
      <c r="D57" s="137">
        <v>125.01</v>
      </c>
      <c r="E57" s="137">
        <v>147.4</v>
      </c>
      <c r="F57" s="137">
        <v>149.72499999999999</v>
      </c>
      <c r="G57" s="137">
        <v>140.548</v>
      </c>
      <c r="H57" s="137">
        <v>93.805000000000007</v>
      </c>
      <c r="I57" s="137">
        <v>84.64</v>
      </c>
      <c r="J57" s="137">
        <v>81.376999999999995</v>
      </c>
      <c r="K57" s="137">
        <v>82.935000000000002</v>
      </c>
    </row>
    <row r="58" spans="1:11" ht="15" hidden="1" customHeight="1" outlineLevel="3" x14ac:dyDescent="0.2">
      <c r="A58" s="131" t="s">
        <v>44</v>
      </c>
      <c r="B58" s="138">
        <v>135.803</v>
      </c>
      <c r="C58" s="138">
        <v>136.648</v>
      </c>
      <c r="D58" s="138">
        <v>125.01</v>
      </c>
      <c r="E58" s="138">
        <v>147.4</v>
      </c>
      <c r="F58" s="138">
        <v>149.72499999999999</v>
      </c>
      <c r="G58" s="138">
        <v>140.548</v>
      </c>
      <c r="H58" s="138">
        <v>93.805000000000007</v>
      </c>
      <c r="I58" s="138">
        <v>84.64</v>
      </c>
      <c r="J58" s="138">
        <v>81.376999999999995</v>
      </c>
      <c r="K58" s="138">
        <v>82.935000000000002</v>
      </c>
    </row>
    <row r="59" spans="1:11" ht="15" hidden="1" customHeight="1" outlineLevel="2" x14ac:dyDescent="0.2">
      <c r="A59" s="128" t="s">
        <v>45</v>
      </c>
      <c r="B59" s="140">
        <v>3044.192</v>
      </c>
      <c r="C59" s="140">
        <v>2522.3209999999999</v>
      </c>
      <c r="D59" s="140">
        <v>2483.2170000000001</v>
      </c>
      <c r="E59" s="140">
        <v>2467.9589999999998</v>
      </c>
      <c r="F59" s="140">
        <v>2240.1129999999998</v>
      </c>
      <c r="G59" s="140">
        <v>2268.8510000000001</v>
      </c>
      <c r="H59" s="140">
        <v>743.07399999999996</v>
      </c>
      <c r="I59" s="140">
        <v>791.61400000000003</v>
      </c>
      <c r="J59" s="140">
        <v>796.42499999999995</v>
      </c>
      <c r="K59" s="140">
        <v>744.94200000000001</v>
      </c>
    </row>
    <row r="60" spans="1:11" ht="15" hidden="1" customHeight="1" outlineLevel="1" x14ac:dyDescent="0.2">
      <c r="A60" s="129" t="s">
        <v>46</v>
      </c>
      <c r="B60" s="143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1:11" ht="15" hidden="1" customHeight="1" outlineLevel="2" x14ac:dyDescent="0.2">
      <c r="A61" s="135" t="s">
        <v>341</v>
      </c>
      <c r="B61" s="137">
        <v>0</v>
      </c>
      <c r="C61" s="137">
        <v>0</v>
      </c>
      <c r="D61" s="137">
        <v>0</v>
      </c>
      <c r="E61" s="137">
        <v>0</v>
      </c>
      <c r="F61" s="137">
        <v>218.24799999999999</v>
      </c>
      <c r="G61" s="137">
        <v>0</v>
      </c>
      <c r="H61" s="137">
        <v>0</v>
      </c>
      <c r="I61" s="137">
        <v>0</v>
      </c>
      <c r="J61" s="137">
        <v>0</v>
      </c>
      <c r="K61" s="137">
        <v>0</v>
      </c>
    </row>
    <row r="62" spans="1:11" ht="15" hidden="1" customHeight="1" outlineLevel="3" x14ac:dyDescent="0.2">
      <c r="A62" s="131" t="s">
        <v>342</v>
      </c>
      <c r="B62" s="138">
        <v>0</v>
      </c>
      <c r="C62" s="138">
        <v>0</v>
      </c>
      <c r="D62" s="138">
        <v>0</v>
      </c>
      <c r="E62" s="138">
        <v>0</v>
      </c>
      <c r="F62" s="138">
        <v>218.24799999999999</v>
      </c>
      <c r="G62" s="138">
        <v>0</v>
      </c>
      <c r="H62" s="138">
        <v>0</v>
      </c>
      <c r="I62" s="138">
        <v>0</v>
      </c>
      <c r="J62" s="138">
        <v>0</v>
      </c>
      <c r="K62" s="138">
        <v>0</v>
      </c>
    </row>
    <row r="63" spans="1:11" ht="15" hidden="1" customHeight="1" outlineLevel="2" x14ac:dyDescent="0.2">
      <c r="A63" s="135" t="s">
        <v>47</v>
      </c>
      <c r="B63" s="137">
        <v>443.45499999999998</v>
      </c>
      <c r="C63" s="137">
        <v>318.06200000000001</v>
      </c>
      <c r="D63" s="137">
        <v>292.00299999999999</v>
      </c>
      <c r="E63" s="137">
        <v>330.166</v>
      </c>
      <c r="F63" s="137">
        <v>288.69299999999998</v>
      </c>
      <c r="G63" s="137">
        <v>571.74199999999996</v>
      </c>
      <c r="H63" s="137">
        <v>571.05899999999997</v>
      </c>
      <c r="I63" s="137">
        <v>613.53</v>
      </c>
      <c r="J63" s="137">
        <v>603.20699999999999</v>
      </c>
      <c r="K63" s="137">
        <v>588.53899999999999</v>
      </c>
    </row>
    <row r="64" spans="1:11" ht="15" hidden="1" customHeight="1" outlineLevel="3" x14ac:dyDescent="0.2">
      <c r="A64" s="131" t="s">
        <v>48</v>
      </c>
      <c r="B64" s="138">
        <v>1.0840000000000001</v>
      </c>
      <c r="C64" s="138">
        <v>1.0720000000000001</v>
      </c>
      <c r="D64" s="138">
        <v>1.0629999999999999</v>
      </c>
      <c r="E64" s="138">
        <v>1.054</v>
      </c>
      <c r="F64" s="138">
        <v>0.98599999999999999</v>
      </c>
      <c r="G64" s="138">
        <v>0.97699999999999998</v>
      </c>
      <c r="H64" s="138">
        <v>0.96699999999999997</v>
      </c>
      <c r="I64" s="138">
        <v>0.95399999999999996</v>
      </c>
      <c r="J64" s="138">
        <v>0.94699999999999995</v>
      </c>
      <c r="K64" s="138">
        <v>0.93100000000000005</v>
      </c>
    </row>
    <row r="65" spans="1:11" ht="15" hidden="1" customHeight="1" outlineLevel="3" x14ac:dyDescent="0.2">
      <c r="A65" s="127" t="s">
        <v>49</v>
      </c>
      <c r="B65" s="140">
        <v>956.10699999999997</v>
      </c>
      <c r="C65" s="140">
        <v>913.44200000000001</v>
      </c>
      <c r="D65" s="140">
        <v>887.48500000000001</v>
      </c>
      <c r="E65" s="140">
        <v>862.75800000000004</v>
      </c>
      <c r="F65" s="140">
        <v>878.14800000000002</v>
      </c>
      <c r="G65" s="140">
        <v>855.98900000000003</v>
      </c>
      <c r="H65" s="140">
        <v>828.67600000000004</v>
      </c>
      <c r="I65" s="140">
        <v>799.86199999999997</v>
      </c>
      <c r="J65" s="140">
        <v>774.13699999999994</v>
      </c>
      <c r="K65" s="140">
        <v>710.24199999999996</v>
      </c>
    </row>
    <row r="66" spans="1:11" ht="15" hidden="1" customHeight="1" outlineLevel="3" x14ac:dyDescent="0.2">
      <c r="A66" s="131" t="s">
        <v>50</v>
      </c>
      <c r="B66" s="138">
        <v>1317.828</v>
      </c>
      <c r="C66" s="138">
        <v>1216.239</v>
      </c>
      <c r="D66" s="138">
        <v>1170.078</v>
      </c>
      <c r="E66" s="138">
        <v>1169.1500000000001</v>
      </c>
      <c r="F66" s="138">
        <v>1110.087</v>
      </c>
      <c r="G66" s="138">
        <v>1408.3330000000001</v>
      </c>
      <c r="H66" s="138">
        <v>1384.4939999999999</v>
      </c>
      <c r="I66" s="138">
        <v>1345.6659999999999</v>
      </c>
      <c r="J66" s="138">
        <v>1238.0119999999999</v>
      </c>
      <c r="K66" s="138">
        <v>1140.788</v>
      </c>
    </row>
    <row r="67" spans="1:11" ht="15" hidden="1" customHeight="1" outlineLevel="3" x14ac:dyDescent="0.2">
      <c r="A67" s="127" t="s">
        <v>51</v>
      </c>
      <c r="B67" s="145">
        <v>-1.611</v>
      </c>
      <c r="C67" s="145">
        <v>-0.69399999999999995</v>
      </c>
      <c r="D67" s="145">
        <v>-0.98199999999999998</v>
      </c>
      <c r="E67" s="145">
        <v>-0.28699999999999998</v>
      </c>
      <c r="F67" s="145">
        <v>-3.7850000000000001</v>
      </c>
      <c r="G67" s="145">
        <v>-0.435</v>
      </c>
      <c r="H67" s="145">
        <v>-0.93799999999999994</v>
      </c>
      <c r="I67" s="145">
        <v>-8.7999999999999995E-2</v>
      </c>
      <c r="J67" s="142"/>
      <c r="K67" s="142"/>
    </row>
    <row r="68" spans="1:11" ht="15" hidden="1" customHeight="1" outlineLevel="3" x14ac:dyDescent="0.2">
      <c r="A68" s="131" t="s">
        <v>343</v>
      </c>
      <c r="B68" s="146">
        <v>-1829.953</v>
      </c>
      <c r="C68" s="146">
        <v>-1811.9970000000001</v>
      </c>
      <c r="D68" s="146">
        <v>-1765.6410000000001</v>
      </c>
      <c r="E68" s="146">
        <v>-1702.509</v>
      </c>
      <c r="F68" s="146">
        <v>-1696.7429999999999</v>
      </c>
      <c r="G68" s="146">
        <v>-1693.1220000000001</v>
      </c>
      <c r="H68" s="146">
        <v>-1642.14</v>
      </c>
      <c r="I68" s="146">
        <v>-1532.864</v>
      </c>
      <c r="J68" s="146">
        <v>-1409.8889999999999</v>
      </c>
      <c r="K68" s="146">
        <v>-1263.422</v>
      </c>
    </row>
    <row r="69" spans="1:11" ht="15" hidden="1" customHeight="1" outlineLevel="2" x14ac:dyDescent="0.2">
      <c r="A69" s="128" t="s">
        <v>52</v>
      </c>
      <c r="B69" s="140">
        <v>443.45499999999998</v>
      </c>
      <c r="C69" s="140">
        <v>318.06200000000001</v>
      </c>
      <c r="D69" s="140">
        <v>292.00299999999999</v>
      </c>
      <c r="E69" s="140">
        <v>330.166</v>
      </c>
      <c r="F69" s="140">
        <v>506.94099999999997</v>
      </c>
      <c r="G69" s="140">
        <v>571.74199999999996</v>
      </c>
      <c r="H69" s="140">
        <v>571.05899999999997</v>
      </c>
      <c r="I69" s="140">
        <v>613.53</v>
      </c>
      <c r="J69" s="140">
        <v>603.20699999999999</v>
      </c>
      <c r="K69" s="140">
        <v>588.53899999999999</v>
      </c>
    </row>
    <row r="70" spans="1:11" ht="15" hidden="1" customHeight="1" outlineLevel="2" x14ac:dyDescent="0.2">
      <c r="A70" s="125" t="s">
        <v>53</v>
      </c>
      <c r="B70" s="138">
        <v>443.45499999999998</v>
      </c>
      <c r="C70" s="138">
        <v>318.06200000000001</v>
      </c>
      <c r="D70" s="138">
        <v>292.00299999999999</v>
      </c>
      <c r="E70" s="138">
        <v>330.166</v>
      </c>
      <c r="F70" s="138">
        <v>506.94099999999997</v>
      </c>
      <c r="G70" s="138">
        <v>571.74199999999996</v>
      </c>
      <c r="H70" s="138">
        <v>571.05899999999997</v>
      </c>
      <c r="I70" s="138">
        <v>613.53</v>
      </c>
      <c r="J70" s="138">
        <v>603.20699999999999</v>
      </c>
      <c r="K70" s="138">
        <v>588.53899999999999</v>
      </c>
    </row>
    <row r="71" spans="1:11" ht="15" hidden="1" customHeight="1" outlineLevel="1" x14ac:dyDescent="0.2">
      <c r="A71" s="133" t="s">
        <v>54</v>
      </c>
      <c r="B71" s="140">
        <v>3487.6469999999999</v>
      </c>
      <c r="C71" s="140">
        <v>2840.3829999999998</v>
      </c>
      <c r="D71" s="140">
        <v>2775.22</v>
      </c>
      <c r="E71" s="140">
        <v>2798.125</v>
      </c>
      <c r="F71" s="140">
        <v>2747.0540000000001</v>
      </c>
      <c r="G71" s="140">
        <v>2840.5929999999998</v>
      </c>
      <c r="H71" s="140">
        <v>1314.133</v>
      </c>
      <c r="I71" s="140">
        <v>1405.144</v>
      </c>
      <c r="J71" s="140">
        <v>1399.6320000000001</v>
      </c>
      <c r="K71" s="140">
        <v>1333.481</v>
      </c>
    </row>
    <row r="72" spans="1:11" ht="15" customHeight="1" collapsed="1" x14ac:dyDescent="0.2">
      <c r="A72" s="123" t="s">
        <v>55</v>
      </c>
      <c r="B72" s="143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1:11" ht="15" hidden="1" customHeight="1" outlineLevel="1" x14ac:dyDescent="0.2">
      <c r="A73" s="133" t="s">
        <v>56</v>
      </c>
      <c r="B73" s="140">
        <v>8.6389099999999992</v>
      </c>
      <c r="C73" s="140">
        <v>6.2793400000000004</v>
      </c>
      <c r="D73" s="140">
        <v>5.7061299999999999</v>
      </c>
      <c r="E73" s="140">
        <v>6.3218100000000002</v>
      </c>
      <c r="F73" s="140">
        <v>6.3283899999999997</v>
      </c>
      <c r="G73" s="140">
        <v>12.77101</v>
      </c>
      <c r="H73" s="140">
        <v>12.73831</v>
      </c>
      <c r="I73" s="140">
        <v>13.37313</v>
      </c>
      <c r="J73" s="140">
        <v>12.647869999999999</v>
      </c>
      <c r="K73" s="140">
        <v>11.99574</v>
      </c>
    </row>
    <row r="74" spans="1:11" ht="15" hidden="1" customHeight="1" outlineLevel="1" x14ac:dyDescent="0.2">
      <c r="A74" s="130" t="s">
        <v>57</v>
      </c>
      <c r="B74" s="138">
        <v>3.7338290000000001</v>
      </c>
      <c r="C74" s="138">
        <v>1.3096190000000001</v>
      </c>
      <c r="D74" s="138">
        <v>0.79101299999999997</v>
      </c>
      <c r="E74" s="138">
        <v>1.5023979999999999</v>
      </c>
      <c r="F74" s="138">
        <v>0.77891200000000005</v>
      </c>
      <c r="G74" s="138">
        <v>3.0051100000000002</v>
      </c>
      <c r="H74" s="138">
        <v>12.153677999999999</v>
      </c>
      <c r="I74" s="138">
        <v>12.848584000000001</v>
      </c>
      <c r="J74" s="138">
        <v>12.164479999999999</v>
      </c>
      <c r="K74" s="138">
        <v>11.547898999999999</v>
      </c>
    </row>
    <row r="75" spans="1:11" ht="15" customHeight="1" collapsed="1" x14ac:dyDescent="0.2">
      <c r="A75" s="122" t="s">
        <v>58</v>
      </c>
      <c r="B75" s="142"/>
      <c r="C75" s="142"/>
      <c r="D75" s="142"/>
      <c r="E75" s="142"/>
      <c r="F75" s="142"/>
      <c r="G75" s="142"/>
      <c r="H75" s="142"/>
      <c r="I75" s="142"/>
      <c r="J75" s="142"/>
      <c r="K75" s="142"/>
    </row>
    <row r="76" spans="1:11" ht="15" customHeight="1" x14ac:dyDescent="0.2">
      <c r="A76" s="132" t="s">
        <v>59</v>
      </c>
      <c r="B76" s="146">
        <v>-378.10700000000003</v>
      </c>
      <c r="C76" s="146">
        <v>-359.87299999999999</v>
      </c>
      <c r="D76" s="146">
        <v>-310.91000000000003</v>
      </c>
      <c r="E76" s="146">
        <v>-230.684</v>
      </c>
      <c r="F76" s="146">
        <v>-244.708</v>
      </c>
      <c r="G76" s="146">
        <v>-370.072</v>
      </c>
      <c r="H76" s="146">
        <v>-221.27</v>
      </c>
      <c r="I76" s="146">
        <v>-189.31800000000001</v>
      </c>
      <c r="J76" s="146">
        <v>-155.09899999999999</v>
      </c>
      <c r="K76" s="146">
        <v>-124.83</v>
      </c>
    </row>
    <row r="77" spans="1:11" ht="15" customHeight="1" x14ac:dyDescent="0.2">
      <c r="A77" s="122" t="s">
        <v>60</v>
      </c>
      <c r="B77" s="140">
        <v>2351.6750000000002</v>
      </c>
      <c r="C77" s="140">
        <v>2177.9690000000001</v>
      </c>
      <c r="D77" s="140">
        <v>2132.6309999999999</v>
      </c>
      <c r="E77" s="140">
        <v>2146.27</v>
      </c>
      <c r="F77" s="140">
        <v>2143.7809999999999</v>
      </c>
      <c r="G77" s="140">
        <v>2179.692</v>
      </c>
      <c r="H77" s="140">
        <v>694.154</v>
      </c>
      <c r="I77" s="140">
        <v>732.15700000000004</v>
      </c>
      <c r="J77" s="140">
        <v>703.78300000000002</v>
      </c>
      <c r="K77" s="140">
        <v>676.38</v>
      </c>
    </row>
    <row r="78" spans="1:11" ht="15" customHeight="1" x14ac:dyDescent="0.2">
      <c r="A78" s="132" t="s">
        <v>61</v>
      </c>
      <c r="B78" s="138">
        <v>1908.22</v>
      </c>
      <c r="C78" s="138">
        <v>1859.9069999999999</v>
      </c>
      <c r="D78" s="138">
        <v>1840.6279999999999</v>
      </c>
      <c r="E78" s="138">
        <v>1816.104</v>
      </c>
      <c r="F78" s="138">
        <v>1636.84</v>
      </c>
      <c r="G78" s="138">
        <v>1607.95</v>
      </c>
      <c r="H78" s="138">
        <v>123.095</v>
      </c>
      <c r="I78" s="138">
        <v>118.627</v>
      </c>
      <c r="J78" s="138">
        <v>100.57599999999999</v>
      </c>
      <c r="K78" s="138">
        <v>87.840999999999994</v>
      </c>
    </row>
    <row r="79" spans="1:11" ht="15" customHeight="1" x14ac:dyDescent="0.2">
      <c r="A79" s="122" t="s">
        <v>62</v>
      </c>
      <c r="B79" s="140">
        <v>1824.0440000000001</v>
      </c>
      <c r="C79" s="140">
        <v>1803.617</v>
      </c>
      <c r="D79" s="140">
        <v>1725.8510000000001</v>
      </c>
      <c r="E79" s="140">
        <v>1626.4770000000001</v>
      </c>
      <c r="F79" s="140">
        <v>1482.7550000000001</v>
      </c>
      <c r="G79" s="140">
        <v>1549.5340000000001</v>
      </c>
      <c r="H79" s="140">
        <v>96.516999999999996</v>
      </c>
      <c r="I79" s="140">
        <v>112.619</v>
      </c>
      <c r="J79" s="140">
        <v>46.737000000000002</v>
      </c>
      <c r="K79" s="140">
        <v>43.987000000000002</v>
      </c>
    </row>
    <row r="80" spans="1:11" ht="15" customHeight="1" x14ac:dyDescent="0.2">
      <c r="A80" s="123" t="s">
        <v>63</v>
      </c>
      <c r="B80" s="143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1:11" ht="15" hidden="1" customHeight="1" outlineLevel="1" x14ac:dyDescent="0.2">
      <c r="A81" s="133" t="s">
        <v>64</v>
      </c>
      <c r="B81" s="140">
        <v>7.1207880000000001</v>
      </c>
      <c r="C81" s="140">
        <v>6.7783119999999997</v>
      </c>
      <c r="D81" s="140">
        <v>5.9943020000000002</v>
      </c>
      <c r="E81" s="140">
        <v>5.759347</v>
      </c>
      <c r="F81" s="140">
        <v>8.2166549999999994</v>
      </c>
      <c r="G81" s="140">
        <v>7.2068630000000002</v>
      </c>
      <c r="H81" s="140">
        <v>7.3227830000000003</v>
      </c>
      <c r="I81" s="140">
        <v>7.2798829999999999</v>
      </c>
      <c r="J81" s="140">
        <v>6.5696149999999998</v>
      </c>
      <c r="K81" s="140">
        <v>6.9157760000000001</v>
      </c>
    </row>
    <row r="82" spans="1:11" ht="15" hidden="1" customHeight="1" outlineLevel="1" x14ac:dyDescent="0.2">
      <c r="A82" s="130" t="s">
        <v>65</v>
      </c>
      <c r="B82" s="138">
        <v>14.839791</v>
      </c>
      <c r="C82" s="138">
        <v>15.376467</v>
      </c>
      <c r="D82" s="138">
        <v>16.689094000000001</v>
      </c>
      <c r="E82" s="138">
        <v>17.814997999999999</v>
      </c>
      <c r="F82" s="138">
        <v>22.888683</v>
      </c>
      <c r="G82" s="138">
        <v>15.232590999999999</v>
      </c>
      <c r="H82" s="138">
        <v>14.986038000000001</v>
      </c>
      <c r="I82" s="138">
        <v>14.743936</v>
      </c>
      <c r="J82" s="138">
        <v>14.898522</v>
      </c>
      <c r="K82" s="138">
        <v>17.413792999999998</v>
      </c>
    </row>
    <row r="83" spans="1:11" ht="15" hidden="1" customHeight="1" outlineLevel="1" x14ac:dyDescent="0.2">
      <c r="A83" s="133" t="s">
        <v>66</v>
      </c>
      <c r="B83" s="140">
        <v>7.283379</v>
      </c>
      <c r="C83" s="140">
        <v>7.7654779999999999</v>
      </c>
      <c r="D83" s="140">
        <v>7.3232879999999998</v>
      </c>
      <c r="E83" s="140">
        <v>7.879829</v>
      </c>
      <c r="F83" s="140">
        <v>11.480442</v>
      </c>
      <c r="G83" s="140">
        <v>9.2559249999999995</v>
      </c>
      <c r="H83" s="140">
        <v>9.0122339999999994</v>
      </c>
      <c r="I83" s="140">
        <v>8.6609259999999999</v>
      </c>
      <c r="J83" s="140">
        <v>8.509487</v>
      </c>
      <c r="K83" s="140">
        <v>10.800637999999999</v>
      </c>
    </row>
    <row r="84" spans="1:11" ht="15" customHeight="1" collapsed="1" x14ac:dyDescent="0.2">
      <c r="A84" s="123" t="s">
        <v>67</v>
      </c>
      <c r="B84" s="143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1:11" ht="15" hidden="1" customHeight="1" outlineLevel="1" x14ac:dyDescent="0.2">
      <c r="A85" s="133" t="s">
        <v>68</v>
      </c>
      <c r="B85" s="140">
        <v>22.475000000000001</v>
      </c>
      <c r="C85" s="140">
        <v>19.344000000000001</v>
      </c>
      <c r="D85" s="140">
        <v>18.399000000000001</v>
      </c>
      <c r="E85" s="140">
        <v>17.341999999999999</v>
      </c>
      <c r="F85" s="140">
        <v>16.105</v>
      </c>
      <c r="G85" s="140">
        <v>14.613</v>
      </c>
      <c r="H85" s="140">
        <v>15.000999999999999</v>
      </c>
      <c r="I85" s="140">
        <v>10.162000000000001</v>
      </c>
      <c r="J85" s="140">
        <v>13.26</v>
      </c>
      <c r="K85" s="140">
        <v>12.382999999999999</v>
      </c>
    </row>
    <row r="86" spans="1:11" collapsed="1" x14ac:dyDescent="0.2">
      <c r="A86" s="132" t="s">
        <v>69</v>
      </c>
      <c r="B86" s="141"/>
      <c r="C86" s="141"/>
      <c r="D86" s="141"/>
      <c r="E86" s="141"/>
      <c r="F86" s="141"/>
      <c r="G86" s="141"/>
      <c r="H86" s="141"/>
      <c r="I86" s="141"/>
      <c r="J86" s="141"/>
      <c r="K86" s="141"/>
    </row>
    <row r="87" spans="1:11" x14ac:dyDescent="0.2">
      <c r="A87" s="134" t="s">
        <v>70</v>
      </c>
      <c r="B87" s="137">
        <v>2205.6469999999999</v>
      </c>
      <c r="C87" s="137">
        <v>2079.1950000000002</v>
      </c>
      <c r="D87" s="137">
        <v>2021.047</v>
      </c>
      <c r="E87" s="137">
        <v>2004.749</v>
      </c>
      <c r="F87" s="137">
        <v>2040.1880000000001</v>
      </c>
      <c r="G87" s="137">
        <v>2030.4639999999999</v>
      </c>
      <c r="H87" s="137">
        <v>938.37400000000002</v>
      </c>
      <c r="I87" s="137">
        <v>1025.184</v>
      </c>
      <c r="J87" s="137">
        <v>1021.205</v>
      </c>
      <c r="K87" s="137">
        <v>1014.313</v>
      </c>
    </row>
    <row r="88" spans="1:11" hidden="1" outlineLevel="1" x14ac:dyDescent="0.2">
      <c r="A88" s="130" t="s">
        <v>71</v>
      </c>
      <c r="B88" s="138">
        <v>161.11600000000001</v>
      </c>
      <c r="C88" s="138">
        <v>138.459</v>
      </c>
      <c r="D88" s="138">
        <v>142.798</v>
      </c>
      <c r="E88" s="138">
        <v>135.191</v>
      </c>
      <c r="F88" s="138">
        <v>135.80099999999999</v>
      </c>
      <c r="G88" s="138">
        <v>122.25</v>
      </c>
      <c r="H88" s="138">
        <v>93.792000000000002</v>
      </c>
      <c r="I88" s="138">
        <v>92.879000000000005</v>
      </c>
      <c r="J88" s="138">
        <v>87.906999999999996</v>
      </c>
      <c r="K88" s="138">
        <v>81.89</v>
      </c>
    </row>
    <row r="89" spans="1:11" hidden="1" outlineLevel="1" x14ac:dyDescent="0.2">
      <c r="A89" s="133" t="s">
        <v>72</v>
      </c>
      <c r="B89" s="140">
        <v>158.26900000000001</v>
      </c>
      <c r="C89" s="140">
        <v>146.828</v>
      </c>
      <c r="D89" s="140">
        <v>129.08699999999999</v>
      </c>
      <c r="E89" s="140">
        <v>134.04400000000001</v>
      </c>
      <c r="F89" s="140">
        <v>128.70699999999999</v>
      </c>
      <c r="G89" s="140">
        <v>124.383</v>
      </c>
      <c r="H89" s="140">
        <v>91.808000000000007</v>
      </c>
      <c r="I89" s="140">
        <v>93.837999999999994</v>
      </c>
      <c r="J89" s="140">
        <v>88.418000000000006</v>
      </c>
      <c r="K89" s="140">
        <v>83.835999999999999</v>
      </c>
    </row>
    <row r="90" spans="1:11" hidden="1" outlineLevel="1" x14ac:dyDescent="0.2">
      <c r="A90" s="130" t="s">
        <v>73</v>
      </c>
      <c r="B90" s="138">
        <v>153.58799999999999</v>
      </c>
      <c r="C90" s="138">
        <v>144.453</v>
      </c>
      <c r="D90" s="138">
        <v>138.126</v>
      </c>
      <c r="E90" s="138">
        <v>131.86099999999999</v>
      </c>
      <c r="F90" s="138">
        <v>126.925</v>
      </c>
      <c r="G90" s="138">
        <v>125.42700000000001</v>
      </c>
      <c r="H90" s="138">
        <v>88.828999999999994</v>
      </c>
      <c r="I90" s="138">
        <v>91.363</v>
      </c>
      <c r="J90" s="138">
        <v>89.087000000000003</v>
      </c>
      <c r="K90" s="138">
        <v>83.796999999999997</v>
      </c>
    </row>
    <row r="91" spans="1:11" hidden="1" outlineLevel="1" x14ac:dyDescent="0.2">
      <c r="A91" s="133" t="s">
        <v>74</v>
      </c>
      <c r="B91" s="140">
        <v>162.434</v>
      </c>
      <c r="C91" s="140">
        <v>142.44399999999999</v>
      </c>
      <c r="D91" s="140">
        <v>136.83099999999999</v>
      </c>
      <c r="E91" s="140">
        <v>131.286</v>
      </c>
      <c r="F91" s="140">
        <v>127.012</v>
      </c>
      <c r="G91" s="140">
        <v>121.855</v>
      </c>
      <c r="H91" s="140">
        <v>86.924999999999997</v>
      </c>
      <c r="I91" s="140">
        <v>88.394000000000005</v>
      </c>
      <c r="J91" s="140">
        <v>86.742000000000004</v>
      </c>
      <c r="K91" s="140">
        <v>84.001999999999995</v>
      </c>
    </row>
    <row r="92" spans="1:11" hidden="1" outlineLevel="1" x14ac:dyDescent="0.2">
      <c r="A92" s="130" t="s">
        <v>75</v>
      </c>
      <c r="B92" s="138">
        <v>146.85400000000001</v>
      </c>
      <c r="C92" s="138">
        <v>149.91900000000001</v>
      </c>
      <c r="D92" s="138">
        <v>134.63200000000001</v>
      </c>
      <c r="E92" s="138">
        <v>129.08799999999999</v>
      </c>
      <c r="F92" s="138">
        <v>126.66</v>
      </c>
      <c r="G92" s="138">
        <v>120.77200000000001</v>
      </c>
      <c r="H92" s="138">
        <v>81.929000000000002</v>
      </c>
      <c r="I92" s="138">
        <v>86.516000000000005</v>
      </c>
      <c r="J92" s="138">
        <v>83.313999999999993</v>
      </c>
      <c r="K92" s="138">
        <v>81.762</v>
      </c>
    </row>
    <row r="93" spans="1:11" hidden="1" outlineLevel="1" x14ac:dyDescent="0.2">
      <c r="A93" s="133" t="s">
        <v>76</v>
      </c>
      <c r="B93" s="140">
        <v>1423.386</v>
      </c>
      <c r="C93" s="140">
        <v>1357.0920000000001</v>
      </c>
      <c r="D93" s="140">
        <v>1339.5730000000001</v>
      </c>
      <c r="E93" s="140">
        <v>1343.279</v>
      </c>
      <c r="F93" s="140">
        <v>1395.0830000000001</v>
      </c>
      <c r="G93" s="140">
        <v>1415.777</v>
      </c>
      <c r="H93" s="140">
        <v>495.09100000000001</v>
      </c>
      <c r="I93" s="140">
        <v>572.19399999999996</v>
      </c>
      <c r="J93" s="140">
        <v>585.73699999999997</v>
      </c>
      <c r="K93" s="140">
        <v>599.02599999999995</v>
      </c>
    </row>
    <row r="94" spans="1:11" collapsed="1" x14ac:dyDescent="0.2">
      <c r="A94" s="136" t="s">
        <v>77</v>
      </c>
    </row>
  </sheetData>
  <pageMargins left="0.7" right="0.7" top="0.75" bottom="0.75" header="0.3" footer="0.3"/>
  <pageSetup scale="52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8511-F338-1640-AFAA-77565313589C}">
  <sheetPr>
    <tabColor theme="4" tint="0.79998168889431442"/>
  </sheetPr>
  <dimension ref="A1:N65"/>
  <sheetViews>
    <sheetView showGridLines="0" view="pageBreakPreview" zoomScaleNormal="100" zoomScaleSheetLayoutView="100" workbookViewId="0"/>
  </sheetViews>
  <sheetFormatPr baseColWidth="10" defaultColWidth="9.1640625" defaultRowHeight="16" outlineLevelRow="3" x14ac:dyDescent="0.2"/>
  <cols>
    <col min="1" max="1" width="53.1640625" style="118" customWidth="1"/>
    <col min="2" max="12" width="8" style="118" customWidth="1"/>
    <col min="13" max="14" width="9.1640625" style="118"/>
  </cols>
  <sheetData>
    <row r="1" spans="1:12" x14ac:dyDescent="0.2">
      <c r="A1" s="4" t="s">
        <v>310</v>
      </c>
    </row>
    <row r="2" spans="1:12" x14ac:dyDescent="0.2">
      <c r="A2" s="119" t="s">
        <v>311</v>
      </c>
    </row>
    <row r="3" spans="1:12" x14ac:dyDescent="0.2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</row>
    <row r="5" spans="1:12" x14ac:dyDescent="0.2">
      <c r="A5" s="121" t="s">
        <v>312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 x14ac:dyDescent="0.2">
      <c r="A6" s="121" t="s">
        <v>313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12" x14ac:dyDescent="0.2">
      <c r="A7" s="121" t="s">
        <v>314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</row>
    <row r="8" spans="1:12" x14ac:dyDescent="0.2">
      <c r="A8" s="121"/>
      <c r="B8" s="121" t="s">
        <v>315</v>
      </c>
      <c r="C8" s="121" t="s">
        <v>316</v>
      </c>
      <c r="D8" s="121" t="s">
        <v>317</v>
      </c>
      <c r="E8" s="121" t="s">
        <v>318</v>
      </c>
      <c r="F8" s="121" t="s">
        <v>319</v>
      </c>
      <c r="G8" s="121" t="s">
        <v>320</v>
      </c>
      <c r="H8" s="121" t="s">
        <v>321</v>
      </c>
      <c r="I8" s="121" t="s">
        <v>322</v>
      </c>
      <c r="J8" s="121" t="s">
        <v>323</v>
      </c>
      <c r="K8" s="121" t="s">
        <v>324</v>
      </c>
      <c r="L8" s="121" t="s">
        <v>325</v>
      </c>
    </row>
    <row r="9" spans="1:12" x14ac:dyDescent="0.2">
      <c r="A9" s="121"/>
      <c r="B9" s="121" t="s">
        <v>326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</row>
    <row r="10" spans="1:12" x14ac:dyDescent="0.2">
      <c r="A10" s="132" t="s">
        <v>115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</row>
    <row r="11" spans="1:12" x14ac:dyDescent="0.2">
      <c r="A11" s="134" t="s">
        <v>116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</row>
    <row r="12" spans="1:12" hidden="1" outlineLevel="1" x14ac:dyDescent="0.2">
      <c r="A12" s="130" t="s">
        <v>117</v>
      </c>
      <c r="B12" s="147">
        <v>160.80600000000001</v>
      </c>
      <c r="C12" s="147">
        <v>156.78299999999999</v>
      </c>
      <c r="D12" s="147">
        <v>101.351</v>
      </c>
      <c r="E12" s="147">
        <v>43.122999999999998</v>
      </c>
      <c r="F12" s="147">
        <v>72.373000000000005</v>
      </c>
      <c r="G12" s="148">
        <v>-253.36500000000001</v>
      </c>
      <c r="H12" s="147">
        <v>127.29300000000001</v>
      </c>
      <c r="I12" s="147">
        <v>99.034999999999997</v>
      </c>
      <c r="J12" s="147">
        <v>157.392</v>
      </c>
      <c r="K12" s="147">
        <v>139.494</v>
      </c>
      <c r="L12" s="147">
        <v>116.523</v>
      </c>
    </row>
    <row r="13" spans="1:12" hidden="1" outlineLevel="1" x14ac:dyDescent="0.2">
      <c r="A13" s="124" t="s">
        <v>118</v>
      </c>
      <c r="B13" s="149">
        <v>106.396</v>
      </c>
      <c r="C13" s="149">
        <v>101.05</v>
      </c>
      <c r="D13" s="149">
        <v>93.536000000000001</v>
      </c>
      <c r="E13" s="149">
        <v>90.78</v>
      </c>
      <c r="F13" s="149">
        <v>88.554000000000002</v>
      </c>
      <c r="G13" s="149">
        <v>90.814999999999998</v>
      </c>
      <c r="H13" s="149">
        <v>87.233000000000004</v>
      </c>
      <c r="I13" s="149">
        <v>95.975999999999999</v>
      </c>
      <c r="J13" s="149">
        <v>92.728999999999999</v>
      </c>
      <c r="K13" s="149">
        <v>88.01</v>
      </c>
      <c r="L13" s="149">
        <v>85.563000000000002</v>
      </c>
    </row>
    <row r="14" spans="1:12" hidden="1" outlineLevel="2" x14ac:dyDescent="0.2">
      <c r="A14" s="125" t="s">
        <v>119</v>
      </c>
      <c r="B14" s="150"/>
      <c r="C14" s="147">
        <v>101.05</v>
      </c>
      <c r="D14" s="147">
        <v>93.536000000000001</v>
      </c>
      <c r="E14" s="147">
        <v>90.78</v>
      </c>
      <c r="F14" s="147">
        <v>88.554000000000002</v>
      </c>
      <c r="G14" s="147">
        <v>90.814999999999998</v>
      </c>
      <c r="H14" s="147">
        <v>87.233000000000004</v>
      </c>
      <c r="I14" s="147">
        <v>93.3</v>
      </c>
      <c r="J14" s="147">
        <v>89.6</v>
      </c>
      <c r="K14" s="147">
        <v>88.01</v>
      </c>
      <c r="L14" s="147">
        <v>85.563000000000002</v>
      </c>
    </row>
    <row r="15" spans="1:12" hidden="1" outlineLevel="2" x14ac:dyDescent="0.2">
      <c r="A15" s="128" t="s">
        <v>120</v>
      </c>
      <c r="B15" s="151"/>
      <c r="C15" s="151"/>
      <c r="D15" s="151"/>
      <c r="E15" s="151"/>
      <c r="F15" s="151"/>
      <c r="G15" s="151"/>
      <c r="H15" s="151"/>
      <c r="I15" s="152">
        <v>2.6760000000000002</v>
      </c>
      <c r="J15" s="152">
        <v>3.129</v>
      </c>
      <c r="K15" s="151"/>
      <c r="L15" s="151"/>
    </row>
    <row r="16" spans="1:12" hidden="1" outlineLevel="1" x14ac:dyDescent="0.2">
      <c r="A16" s="129" t="s">
        <v>121</v>
      </c>
      <c r="B16" s="153">
        <v>-4.5679999999999996</v>
      </c>
      <c r="C16" s="153">
        <v>-6.0620000000000003</v>
      </c>
      <c r="D16" s="153">
        <v>-15.715</v>
      </c>
      <c r="E16" s="153">
        <v>-18.646000000000001</v>
      </c>
      <c r="F16" s="153">
        <v>-20.849</v>
      </c>
      <c r="G16" s="153">
        <v>-67.227999999999994</v>
      </c>
      <c r="H16" s="153">
        <v>-2.1970000000000001</v>
      </c>
      <c r="I16" s="153">
        <v>-5.51</v>
      </c>
      <c r="J16" s="153">
        <v>-25.18</v>
      </c>
      <c r="K16" s="153">
        <v>-1.0049999999999999</v>
      </c>
      <c r="L16" s="153">
        <v>1.1839999999999999</v>
      </c>
    </row>
    <row r="17" spans="1:12" hidden="1" outlineLevel="2" x14ac:dyDescent="0.2">
      <c r="A17" s="128" t="s">
        <v>122</v>
      </c>
      <c r="B17" s="154">
        <v>-4.5679999999999996</v>
      </c>
      <c r="C17" s="154">
        <v>-6.0620000000000003</v>
      </c>
      <c r="D17" s="154">
        <v>-15.715</v>
      </c>
      <c r="E17" s="154">
        <v>-18.646000000000001</v>
      </c>
      <c r="F17" s="154">
        <v>-20.849</v>
      </c>
      <c r="G17" s="154">
        <v>-67.227999999999994</v>
      </c>
      <c r="H17" s="154">
        <v>-2.1970000000000001</v>
      </c>
      <c r="I17" s="154">
        <v>-5.51</v>
      </c>
      <c r="J17" s="154">
        <v>-25.18</v>
      </c>
      <c r="K17" s="154">
        <v>-1.0049999999999999</v>
      </c>
      <c r="L17" s="152">
        <v>1.1839999999999999</v>
      </c>
    </row>
    <row r="18" spans="1:12" hidden="1" outlineLevel="1" x14ac:dyDescent="0.2">
      <c r="A18" s="130" t="s">
        <v>123</v>
      </c>
      <c r="B18" s="147">
        <v>51.616999999999997</v>
      </c>
      <c r="C18" s="147">
        <v>36.625</v>
      </c>
      <c r="D18" s="147">
        <v>52.378999999999998</v>
      </c>
      <c r="E18" s="147">
        <v>57.353000000000002</v>
      </c>
      <c r="F18" s="147">
        <v>42.024999999999999</v>
      </c>
      <c r="G18" s="147">
        <v>230.01599999999999</v>
      </c>
      <c r="H18" s="148">
        <v>-2.7370000000000001</v>
      </c>
      <c r="I18" s="147">
        <v>41.152999999999999</v>
      </c>
      <c r="J18" s="147">
        <v>27.042999999999999</v>
      </c>
      <c r="K18" s="147">
        <v>25.04</v>
      </c>
      <c r="L18" s="147">
        <v>28.870999999999999</v>
      </c>
    </row>
    <row r="19" spans="1:12" hidden="1" outlineLevel="1" x14ac:dyDescent="0.2">
      <c r="A19" s="133" t="s">
        <v>124</v>
      </c>
      <c r="B19" s="152">
        <v>314.25099999999998</v>
      </c>
      <c r="C19" s="152">
        <v>288.39600000000002</v>
      </c>
      <c r="D19" s="152">
        <v>231.55099999999999</v>
      </c>
      <c r="E19" s="152">
        <v>172.61</v>
      </c>
      <c r="F19" s="152">
        <v>182.10300000000001</v>
      </c>
      <c r="G19" s="152">
        <v>0.23799999999999999</v>
      </c>
      <c r="H19" s="152">
        <v>209.59200000000001</v>
      </c>
      <c r="I19" s="152">
        <v>230.654</v>
      </c>
      <c r="J19" s="152">
        <v>251.98400000000001</v>
      </c>
      <c r="K19" s="152">
        <v>251.53899999999999</v>
      </c>
      <c r="L19" s="152">
        <v>232.14099999999999</v>
      </c>
    </row>
    <row r="20" spans="1:12" hidden="1" outlineLevel="1" x14ac:dyDescent="0.2">
      <c r="A20" s="129" t="s">
        <v>125</v>
      </c>
      <c r="B20" s="153">
        <v>6.1239999999999997</v>
      </c>
      <c r="C20" s="153">
        <v>-20.071000000000002</v>
      </c>
      <c r="D20" s="153">
        <v>-13.15</v>
      </c>
      <c r="E20" s="153">
        <v>-10.683999999999999</v>
      </c>
      <c r="F20" s="153">
        <v>30.902999999999999</v>
      </c>
      <c r="G20" s="153">
        <v>2.67</v>
      </c>
      <c r="H20" s="153">
        <v>9.1690000000000005</v>
      </c>
      <c r="I20" s="153">
        <v>60.661000000000001</v>
      </c>
      <c r="J20" s="153">
        <v>-13.188000000000001</v>
      </c>
      <c r="K20" s="153">
        <v>50.981000000000002</v>
      </c>
      <c r="L20" s="153">
        <v>3.282</v>
      </c>
    </row>
    <row r="21" spans="1:12" hidden="1" outlineLevel="2" x14ac:dyDescent="0.2">
      <c r="A21" s="128" t="s">
        <v>126</v>
      </c>
      <c r="B21" s="154">
        <v>-12.49</v>
      </c>
      <c r="C21" s="154">
        <v>-1.7190000000000001</v>
      </c>
      <c r="D21" s="154">
        <v>-9.8000000000000004E-2</v>
      </c>
      <c r="E21" s="154">
        <v>-12.266</v>
      </c>
      <c r="F21" s="154">
        <v>-24.815999999999999</v>
      </c>
      <c r="G21" s="152">
        <v>15.148</v>
      </c>
      <c r="H21" s="152">
        <v>3.7770000000000001</v>
      </c>
      <c r="I21" s="152">
        <v>3.68</v>
      </c>
      <c r="J21" s="154">
        <v>-7.1879999999999997</v>
      </c>
      <c r="K21" s="152">
        <v>28.43</v>
      </c>
      <c r="L21" s="154">
        <v>-9.32</v>
      </c>
    </row>
    <row r="22" spans="1:12" hidden="1" outlineLevel="2" x14ac:dyDescent="0.2">
      <c r="A22" s="125" t="s">
        <v>8</v>
      </c>
      <c r="B22" s="147">
        <v>6.3920000000000003</v>
      </c>
      <c r="C22" s="148">
        <v>-6.883</v>
      </c>
      <c r="D22" s="148">
        <v>-2.0920000000000001</v>
      </c>
      <c r="E22" s="148">
        <v>-12.725</v>
      </c>
      <c r="F22" s="148">
        <v>-3.4780000000000002</v>
      </c>
      <c r="G22" s="147">
        <v>7.9210000000000003</v>
      </c>
      <c r="H22" s="148">
        <v>-5.766</v>
      </c>
      <c r="I22" s="147">
        <v>3.6669999999999998</v>
      </c>
      <c r="J22" s="148">
        <v>-7.6340000000000003</v>
      </c>
      <c r="K22" s="148">
        <v>-0.91600000000000004</v>
      </c>
      <c r="L22" s="148">
        <v>-0.755</v>
      </c>
    </row>
    <row r="23" spans="1:12" hidden="1" outlineLevel="2" x14ac:dyDescent="0.2">
      <c r="A23" s="128" t="s">
        <v>33</v>
      </c>
      <c r="B23" s="154">
        <v>-8.9090000000000007</v>
      </c>
      <c r="C23" s="154">
        <v>-1.827</v>
      </c>
      <c r="D23" s="152">
        <v>3.9710000000000001</v>
      </c>
      <c r="E23" s="152">
        <v>17.585999999999999</v>
      </c>
      <c r="F23" s="154">
        <v>-3.6779999999999999</v>
      </c>
      <c r="G23" s="154">
        <v>-2.0049999999999999</v>
      </c>
      <c r="H23" s="152">
        <v>2.3260000000000001</v>
      </c>
      <c r="I23" s="152">
        <v>5.601</v>
      </c>
      <c r="J23" s="152">
        <v>3.7709999999999999</v>
      </c>
      <c r="K23" s="152">
        <v>0.752</v>
      </c>
      <c r="L23" s="154">
        <v>-12.930999999999999</v>
      </c>
    </row>
    <row r="24" spans="1:12" hidden="1" outlineLevel="2" x14ac:dyDescent="0.2">
      <c r="A24" s="125" t="s">
        <v>127</v>
      </c>
      <c r="B24" s="147">
        <v>35.158999999999999</v>
      </c>
      <c r="C24" s="147">
        <v>21.152000000000001</v>
      </c>
      <c r="D24" s="147">
        <v>37.423999999999999</v>
      </c>
      <c r="E24" s="148">
        <v>-9.9390000000000001</v>
      </c>
      <c r="F24" s="147">
        <v>50.103000000000002</v>
      </c>
      <c r="G24" s="148">
        <v>-8.3089999999999993</v>
      </c>
      <c r="H24" s="147">
        <v>15.577999999999999</v>
      </c>
      <c r="I24" s="147">
        <v>18.315999999999999</v>
      </c>
      <c r="J24" s="147">
        <v>29.439</v>
      </c>
      <c r="K24" s="147">
        <v>35.994999999999997</v>
      </c>
      <c r="L24" s="147">
        <v>37.186</v>
      </c>
    </row>
    <row r="25" spans="1:12" hidden="1" outlineLevel="2" x14ac:dyDescent="0.2">
      <c r="A25" s="128" t="s">
        <v>128</v>
      </c>
      <c r="B25" s="154">
        <v>-14.028</v>
      </c>
      <c r="C25" s="154">
        <v>-30.794</v>
      </c>
      <c r="D25" s="154">
        <v>-52.354999999999997</v>
      </c>
      <c r="E25" s="152">
        <v>6.66</v>
      </c>
      <c r="F25" s="152">
        <v>12.772</v>
      </c>
      <c r="G25" s="154">
        <v>-10.085000000000001</v>
      </c>
      <c r="H25" s="154">
        <v>-6.7460000000000004</v>
      </c>
      <c r="I25" s="152">
        <v>29.396999999999998</v>
      </c>
      <c r="J25" s="154">
        <v>-31.576000000000001</v>
      </c>
      <c r="K25" s="154">
        <v>-13.28</v>
      </c>
      <c r="L25" s="154">
        <v>-10.898</v>
      </c>
    </row>
    <row r="26" spans="1:12" hidden="1" outlineLevel="1" x14ac:dyDescent="0.2">
      <c r="A26" s="130" t="s">
        <v>129</v>
      </c>
      <c r="B26" s="147">
        <v>320.375</v>
      </c>
      <c r="C26" s="147">
        <v>268.32499999999999</v>
      </c>
      <c r="D26" s="147">
        <v>218.40100000000001</v>
      </c>
      <c r="E26" s="147">
        <v>161.92599999999999</v>
      </c>
      <c r="F26" s="147">
        <v>213.006</v>
      </c>
      <c r="G26" s="147">
        <v>2.9079999999999999</v>
      </c>
      <c r="H26" s="147">
        <v>218.761</v>
      </c>
      <c r="I26" s="147">
        <v>291.315</v>
      </c>
      <c r="J26" s="147">
        <v>238.79599999999999</v>
      </c>
      <c r="K26" s="147">
        <v>302.52</v>
      </c>
      <c r="L26" s="147">
        <v>235.423</v>
      </c>
    </row>
    <row r="27" spans="1:12" collapsed="1" x14ac:dyDescent="0.2">
      <c r="A27" s="134" t="s">
        <v>130</v>
      </c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</row>
    <row r="28" spans="1:12" hidden="1" outlineLevel="1" x14ac:dyDescent="0.2">
      <c r="A28" s="129" t="s">
        <v>131</v>
      </c>
      <c r="B28" s="153">
        <v>-162.02199999999999</v>
      </c>
      <c r="C28" s="153">
        <v>-161.41800000000001</v>
      </c>
      <c r="D28" s="153">
        <v>-153.22300000000001</v>
      </c>
      <c r="E28" s="153">
        <v>-113.14400000000001</v>
      </c>
      <c r="F28" s="153">
        <v>-67.549000000000007</v>
      </c>
      <c r="G28" s="153">
        <v>-50.914000000000001</v>
      </c>
      <c r="H28" s="153">
        <v>-75.864999999999995</v>
      </c>
      <c r="I28" s="153">
        <v>-105.929</v>
      </c>
      <c r="J28" s="153">
        <v>-122.43300000000001</v>
      </c>
      <c r="K28" s="153">
        <v>-117.461</v>
      </c>
      <c r="L28" s="153">
        <v>-155.70099999999999</v>
      </c>
    </row>
    <row r="29" spans="1:12" hidden="1" outlineLevel="2" x14ac:dyDescent="0.2">
      <c r="A29" s="128" t="s">
        <v>132</v>
      </c>
      <c r="B29" s="154">
        <v>-160.9</v>
      </c>
      <c r="C29" s="154">
        <v>-160.364</v>
      </c>
      <c r="D29" s="154">
        <v>-151.565</v>
      </c>
      <c r="E29" s="154">
        <v>-112.464</v>
      </c>
      <c r="F29" s="154">
        <v>-66.942999999999998</v>
      </c>
      <c r="G29" s="154">
        <v>-50.329000000000001</v>
      </c>
      <c r="H29" s="154">
        <v>-73.765000000000001</v>
      </c>
      <c r="I29" s="154">
        <v>-102.90900000000001</v>
      </c>
      <c r="J29" s="154">
        <v>-120.779</v>
      </c>
      <c r="K29" s="154">
        <v>-115.821</v>
      </c>
      <c r="L29" s="154">
        <v>-153.941</v>
      </c>
    </row>
    <row r="30" spans="1:12" hidden="1" outlineLevel="2" x14ac:dyDescent="0.2">
      <c r="A30" s="125" t="s">
        <v>344</v>
      </c>
      <c r="B30" s="148">
        <v>-1.1220000000000001</v>
      </c>
      <c r="C30" s="148">
        <v>-1.054</v>
      </c>
      <c r="D30" s="148">
        <v>-1.6579999999999999</v>
      </c>
      <c r="E30" s="148">
        <v>-0.68</v>
      </c>
      <c r="F30" s="148">
        <v>-0.60599999999999998</v>
      </c>
      <c r="G30" s="148">
        <v>-0.58499999999999996</v>
      </c>
      <c r="H30" s="148">
        <v>-2.1</v>
      </c>
      <c r="I30" s="148">
        <v>-3.02</v>
      </c>
      <c r="J30" s="148">
        <v>-1.6539999999999999</v>
      </c>
      <c r="K30" s="148">
        <v>-1.64</v>
      </c>
      <c r="L30" s="148">
        <v>-1.76</v>
      </c>
    </row>
    <row r="31" spans="1:12" hidden="1" outlineLevel="1" x14ac:dyDescent="0.2">
      <c r="A31" s="133" t="s">
        <v>133</v>
      </c>
      <c r="B31" s="152">
        <v>0</v>
      </c>
      <c r="C31" s="152">
        <v>0</v>
      </c>
      <c r="D31" s="152">
        <v>0</v>
      </c>
      <c r="E31" s="152">
        <v>0</v>
      </c>
      <c r="F31" s="152">
        <v>0</v>
      </c>
      <c r="G31" s="152">
        <v>0</v>
      </c>
      <c r="H31" s="154">
        <v>-261.69499999999999</v>
      </c>
      <c r="I31" s="151"/>
      <c r="J31" s="151"/>
      <c r="K31" s="151"/>
      <c r="L31" s="151"/>
    </row>
    <row r="32" spans="1:12" hidden="1" outlineLevel="1" x14ac:dyDescent="0.2">
      <c r="A32" s="129" t="s">
        <v>134</v>
      </c>
      <c r="B32" s="153">
        <v>0</v>
      </c>
      <c r="C32" s="153">
        <v>0</v>
      </c>
      <c r="D32" s="153">
        <v>0</v>
      </c>
      <c r="E32" s="153">
        <v>0</v>
      </c>
      <c r="F32" s="153">
        <v>0</v>
      </c>
      <c r="G32" s="153">
        <v>0</v>
      </c>
      <c r="H32" s="153">
        <v>-3</v>
      </c>
      <c r="I32" s="153">
        <v>-25</v>
      </c>
      <c r="J32" s="153">
        <v>-18</v>
      </c>
      <c r="K32" s="153">
        <v>-42</v>
      </c>
      <c r="L32" s="153">
        <v>0</v>
      </c>
    </row>
    <row r="33" spans="1:12" hidden="1" outlineLevel="2" x14ac:dyDescent="0.2">
      <c r="A33" s="128" t="s">
        <v>135</v>
      </c>
      <c r="B33" s="152">
        <v>0</v>
      </c>
      <c r="C33" s="152">
        <v>0</v>
      </c>
      <c r="D33" s="152">
        <v>0</v>
      </c>
      <c r="E33" s="152">
        <v>0</v>
      </c>
      <c r="F33" s="152">
        <v>0</v>
      </c>
      <c r="G33" s="152">
        <v>0</v>
      </c>
      <c r="H33" s="152">
        <v>3</v>
      </c>
      <c r="I33" s="152">
        <v>25</v>
      </c>
      <c r="J33" s="152">
        <v>18</v>
      </c>
      <c r="K33" s="152">
        <v>42</v>
      </c>
      <c r="L33" s="151"/>
    </row>
    <row r="34" spans="1:12" hidden="1" outlineLevel="1" x14ac:dyDescent="0.2">
      <c r="A34" s="129" t="s">
        <v>123</v>
      </c>
      <c r="B34" s="153">
        <v>0</v>
      </c>
      <c r="C34" s="153">
        <v>0.32100000000000001</v>
      </c>
      <c r="D34" s="153">
        <v>-0.27400000000000002</v>
      </c>
      <c r="E34" s="153">
        <v>0.32900000000000001</v>
      </c>
      <c r="F34" s="153">
        <v>-1.0609999999999999</v>
      </c>
      <c r="G34" s="153">
        <v>0</v>
      </c>
      <c r="H34" s="153">
        <v>-22.5</v>
      </c>
      <c r="I34" s="153">
        <v>0.54</v>
      </c>
      <c r="J34" s="153">
        <v>0</v>
      </c>
      <c r="K34" s="153">
        <v>0</v>
      </c>
      <c r="L34" s="153">
        <v>0</v>
      </c>
    </row>
    <row r="35" spans="1:12" hidden="1" outlineLevel="2" x14ac:dyDescent="0.2">
      <c r="A35" s="128" t="s">
        <v>136</v>
      </c>
      <c r="B35" s="152">
        <v>0</v>
      </c>
      <c r="C35" s="152">
        <v>0</v>
      </c>
      <c r="D35" s="154">
        <v>-0.27400000000000002</v>
      </c>
      <c r="E35" s="152">
        <v>0</v>
      </c>
      <c r="F35" s="154">
        <v>-1.0609999999999999</v>
      </c>
      <c r="G35" s="152">
        <v>0</v>
      </c>
      <c r="H35" s="154">
        <v>-22.5</v>
      </c>
      <c r="I35" s="152">
        <v>0</v>
      </c>
      <c r="J35" s="152">
        <v>0</v>
      </c>
      <c r="K35" s="152">
        <v>0</v>
      </c>
      <c r="L35" s="152">
        <v>0</v>
      </c>
    </row>
    <row r="36" spans="1:12" hidden="1" outlineLevel="2" x14ac:dyDescent="0.2">
      <c r="A36" s="125" t="s">
        <v>137</v>
      </c>
      <c r="B36" s="147">
        <v>0</v>
      </c>
      <c r="C36" s="147">
        <v>0.32100000000000001</v>
      </c>
      <c r="D36" s="147">
        <v>0</v>
      </c>
      <c r="E36" s="147">
        <v>0.32900000000000001</v>
      </c>
      <c r="F36" s="147">
        <v>0</v>
      </c>
      <c r="G36" s="147">
        <v>0</v>
      </c>
      <c r="H36" s="147">
        <v>0</v>
      </c>
      <c r="I36" s="147">
        <v>0.54</v>
      </c>
      <c r="J36" s="150"/>
      <c r="K36" s="150"/>
      <c r="L36" s="150"/>
    </row>
    <row r="37" spans="1:12" hidden="1" outlineLevel="1" x14ac:dyDescent="0.2">
      <c r="A37" s="133" t="s">
        <v>138</v>
      </c>
      <c r="B37" s="154">
        <v>-162.02199999999999</v>
      </c>
      <c r="C37" s="154">
        <v>-161.09700000000001</v>
      </c>
      <c r="D37" s="154">
        <v>-153.49700000000001</v>
      </c>
      <c r="E37" s="154">
        <v>-112.815</v>
      </c>
      <c r="F37" s="154">
        <v>-68.61</v>
      </c>
      <c r="G37" s="154">
        <v>-50.914000000000001</v>
      </c>
      <c r="H37" s="154">
        <v>-363.06</v>
      </c>
      <c r="I37" s="154">
        <v>-130.38900000000001</v>
      </c>
      <c r="J37" s="154">
        <v>-140.43299999999999</v>
      </c>
      <c r="K37" s="154">
        <v>-159.46100000000001</v>
      </c>
      <c r="L37" s="154">
        <v>-155.70099999999999</v>
      </c>
    </row>
    <row r="38" spans="1:12" collapsed="1" x14ac:dyDescent="0.2">
      <c r="A38" s="123" t="s">
        <v>139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</row>
    <row r="39" spans="1:12" hidden="1" outlineLevel="1" x14ac:dyDescent="0.2">
      <c r="A39" s="124" t="s">
        <v>345</v>
      </c>
      <c r="B39" s="149">
        <v>-52.646999999999998</v>
      </c>
      <c r="C39" s="149">
        <v>-53.040999999999997</v>
      </c>
      <c r="D39" s="149">
        <v>-53.207000000000001</v>
      </c>
      <c r="E39" s="149">
        <v>-42.271999999999998</v>
      </c>
      <c r="F39" s="149">
        <v>-18.998000000000001</v>
      </c>
      <c r="G39" s="149">
        <v>-15.791</v>
      </c>
      <c r="H39" s="149">
        <v>-60.722000000000001</v>
      </c>
      <c r="I39" s="149">
        <v>-56.250999999999998</v>
      </c>
      <c r="J39" s="149">
        <v>-49.889000000000003</v>
      </c>
      <c r="K39" s="149">
        <v>-42.371000000000002</v>
      </c>
      <c r="L39" s="149">
        <v>-35.969000000000001</v>
      </c>
    </row>
    <row r="40" spans="1:12" hidden="1" outlineLevel="2" x14ac:dyDescent="0.2">
      <c r="A40" s="125" t="s">
        <v>346</v>
      </c>
      <c r="B40" s="148">
        <v>-52.646999999999998</v>
      </c>
      <c r="C40" s="148">
        <v>-53.040999999999997</v>
      </c>
      <c r="D40" s="148">
        <v>-53.207000000000001</v>
      </c>
      <c r="E40" s="148">
        <v>-42.271999999999998</v>
      </c>
      <c r="F40" s="148">
        <v>-0.33700000000000002</v>
      </c>
      <c r="G40" s="148">
        <v>-15.791</v>
      </c>
      <c r="H40" s="148">
        <v>-60.722000000000001</v>
      </c>
      <c r="I40" s="148">
        <v>-56.250999999999998</v>
      </c>
      <c r="J40" s="148">
        <v>-49.889000000000003</v>
      </c>
      <c r="K40" s="148">
        <v>-42.371000000000002</v>
      </c>
      <c r="L40" s="148">
        <v>-35.969000000000001</v>
      </c>
    </row>
    <row r="41" spans="1:12" hidden="1" outlineLevel="2" x14ac:dyDescent="0.2">
      <c r="A41" s="128" t="s">
        <v>332</v>
      </c>
      <c r="B41" s="152">
        <v>0</v>
      </c>
      <c r="C41" s="152">
        <v>0</v>
      </c>
      <c r="D41" s="152">
        <v>0</v>
      </c>
      <c r="E41" s="152">
        <v>0</v>
      </c>
      <c r="F41" s="154">
        <v>-18.661000000000001</v>
      </c>
      <c r="G41" s="151"/>
      <c r="H41" s="152">
        <v>0</v>
      </c>
      <c r="I41" s="152">
        <v>0</v>
      </c>
      <c r="J41" s="152">
        <v>0</v>
      </c>
      <c r="K41" s="152">
        <v>0</v>
      </c>
      <c r="L41" s="152">
        <v>0</v>
      </c>
    </row>
    <row r="42" spans="1:12" hidden="1" outlineLevel="1" x14ac:dyDescent="0.2">
      <c r="A42" s="129" t="s">
        <v>140</v>
      </c>
      <c r="B42" s="153">
        <v>-106.402</v>
      </c>
      <c r="C42" s="153">
        <v>-5.7530000000000001</v>
      </c>
      <c r="D42" s="153">
        <v>-46.085000000000001</v>
      </c>
      <c r="E42" s="153">
        <v>-63.048000000000002</v>
      </c>
      <c r="F42" s="153">
        <v>185.99600000000001</v>
      </c>
      <c r="G42" s="153">
        <v>186.733</v>
      </c>
      <c r="H42" s="153">
        <v>-43.258000000000003</v>
      </c>
      <c r="I42" s="153">
        <v>-100.7</v>
      </c>
      <c r="J42" s="153">
        <v>-113.93899999999999</v>
      </c>
      <c r="K42" s="153">
        <v>-118.089</v>
      </c>
      <c r="L42" s="153">
        <v>-81.373999999999995</v>
      </c>
    </row>
    <row r="43" spans="1:12" hidden="1" outlineLevel="2" x14ac:dyDescent="0.2">
      <c r="A43" s="128" t="s">
        <v>141</v>
      </c>
      <c r="B43" s="154">
        <v>-143.48500000000001</v>
      </c>
      <c r="C43" s="154">
        <v>-18.228000000000002</v>
      </c>
      <c r="D43" s="154">
        <v>-46.085000000000001</v>
      </c>
      <c r="E43" s="154">
        <v>-63.131999999999998</v>
      </c>
      <c r="F43" s="154">
        <v>-5.766</v>
      </c>
      <c r="G43" s="154">
        <v>-3.621</v>
      </c>
      <c r="H43" s="154">
        <v>-50.981999999999999</v>
      </c>
      <c r="I43" s="154">
        <v>-109.276</v>
      </c>
      <c r="J43" s="154">
        <v>-122.97499999999999</v>
      </c>
      <c r="K43" s="154">
        <v>-146.46700000000001</v>
      </c>
      <c r="L43" s="154">
        <v>-109.371</v>
      </c>
    </row>
    <row r="44" spans="1:12" hidden="1" outlineLevel="2" x14ac:dyDescent="0.2">
      <c r="A44" s="126" t="s">
        <v>142</v>
      </c>
      <c r="B44" s="153">
        <v>37.082999999999998</v>
      </c>
      <c r="C44" s="153">
        <v>12.475</v>
      </c>
      <c r="D44" s="153">
        <v>0</v>
      </c>
      <c r="E44" s="153">
        <v>8.4000000000000005E-2</v>
      </c>
      <c r="F44" s="153">
        <v>191.762</v>
      </c>
      <c r="G44" s="153">
        <v>190.35400000000001</v>
      </c>
      <c r="H44" s="153">
        <v>7.7240000000000002</v>
      </c>
      <c r="I44" s="153">
        <v>8.5760000000000005</v>
      </c>
      <c r="J44" s="153">
        <v>9.0359999999999996</v>
      </c>
      <c r="K44" s="153">
        <v>28.378</v>
      </c>
      <c r="L44" s="153">
        <v>27.997</v>
      </c>
    </row>
    <row r="45" spans="1:12" hidden="1" outlineLevel="3" x14ac:dyDescent="0.2">
      <c r="A45" s="127" t="s">
        <v>347</v>
      </c>
      <c r="B45" s="152">
        <v>0</v>
      </c>
      <c r="C45" s="152">
        <v>0</v>
      </c>
      <c r="D45" s="152">
        <v>0</v>
      </c>
      <c r="E45" s="152">
        <v>0</v>
      </c>
      <c r="F45" s="152">
        <v>166.976</v>
      </c>
      <c r="G45" s="152">
        <v>189.74299999999999</v>
      </c>
      <c r="H45" s="152">
        <v>0</v>
      </c>
      <c r="I45" s="152">
        <v>0</v>
      </c>
      <c r="J45" s="152">
        <v>0</v>
      </c>
      <c r="K45" s="152">
        <v>0</v>
      </c>
      <c r="L45" s="152">
        <v>0</v>
      </c>
    </row>
    <row r="46" spans="1:12" hidden="1" outlineLevel="3" x14ac:dyDescent="0.2">
      <c r="A46" s="131" t="s">
        <v>143</v>
      </c>
      <c r="B46" s="147">
        <v>37.082999999999998</v>
      </c>
      <c r="C46" s="147">
        <v>12.475</v>
      </c>
      <c r="D46" s="147">
        <v>0</v>
      </c>
      <c r="E46" s="147">
        <v>8.4000000000000005E-2</v>
      </c>
      <c r="F46" s="147">
        <v>24.786000000000001</v>
      </c>
      <c r="G46" s="147">
        <v>0.61099999999999999</v>
      </c>
      <c r="H46" s="147">
        <v>7.7240000000000002</v>
      </c>
      <c r="I46" s="147">
        <v>8.5760000000000005</v>
      </c>
      <c r="J46" s="147">
        <v>9.0359999999999996</v>
      </c>
      <c r="K46" s="147">
        <v>28.378</v>
      </c>
      <c r="L46" s="147">
        <v>27.997</v>
      </c>
    </row>
    <row r="47" spans="1:12" hidden="1" outlineLevel="1" x14ac:dyDescent="0.2">
      <c r="A47" s="124" t="s">
        <v>348</v>
      </c>
      <c r="B47" s="149">
        <v>138.697</v>
      </c>
      <c r="C47" s="149">
        <v>-20</v>
      </c>
      <c r="D47" s="149">
        <v>0</v>
      </c>
      <c r="E47" s="149">
        <v>0</v>
      </c>
      <c r="F47" s="149">
        <v>195</v>
      </c>
      <c r="G47" s="149">
        <v>-10</v>
      </c>
      <c r="H47" s="149">
        <v>280</v>
      </c>
      <c r="I47" s="149">
        <v>16.66</v>
      </c>
      <c r="J47" s="149">
        <v>17.736999999999998</v>
      </c>
      <c r="K47" s="149">
        <v>13.525</v>
      </c>
      <c r="L47" s="149">
        <v>11.148</v>
      </c>
    </row>
    <row r="48" spans="1:12" hidden="1" outlineLevel="2" x14ac:dyDescent="0.2">
      <c r="A48" s="126" t="s">
        <v>349</v>
      </c>
      <c r="B48" s="153">
        <v>138.697</v>
      </c>
      <c r="C48" s="153">
        <v>-20</v>
      </c>
      <c r="D48" s="153">
        <v>0</v>
      </c>
      <c r="E48" s="153">
        <v>0</v>
      </c>
      <c r="F48" s="153">
        <v>-150</v>
      </c>
      <c r="G48" s="153">
        <v>-10</v>
      </c>
      <c r="H48" s="153">
        <v>280</v>
      </c>
      <c r="I48" s="153">
        <v>16.66</v>
      </c>
      <c r="J48" s="153">
        <v>17.736999999999998</v>
      </c>
      <c r="K48" s="153">
        <v>13.525</v>
      </c>
      <c r="L48" s="153">
        <v>11.148</v>
      </c>
    </row>
    <row r="49" spans="1:12" hidden="1" outlineLevel="3" x14ac:dyDescent="0.2">
      <c r="A49" s="127" t="s">
        <v>350</v>
      </c>
      <c r="B49" s="152">
        <v>558.49699999999996</v>
      </c>
      <c r="C49" s="152">
        <v>0</v>
      </c>
      <c r="D49" s="152">
        <v>15</v>
      </c>
      <c r="E49" s="152">
        <v>130</v>
      </c>
      <c r="F49" s="152">
        <v>0</v>
      </c>
      <c r="G49" s="152">
        <v>90</v>
      </c>
      <c r="H49" s="152">
        <v>335</v>
      </c>
      <c r="I49" s="152">
        <v>91.787999999999997</v>
      </c>
      <c r="J49" s="152">
        <v>97.128</v>
      </c>
      <c r="K49" s="152">
        <v>52.246000000000002</v>
      </c>
      <c r="L49" s="152">
        <v>14.266</v>
      </c>
    </row>
    <row r="50" spans="1:12" hidden="1" outlineLevel="3" x14ac:dyDescent="0.2">
      <c r="A50" s="131" t="s">
        <v>351</v>
      </c>
      <c r="B50" s="148">
        <v>-419.8</v>
      </c>
      <c r="C50" s="148">
        <v>-20</v>
      </c>
      <c r="D50" s="148">
        <v>-15</v>
      </c>
      <c r="E50" s="148">
        <v>-130</v>
      </c>
      <c r="F50" s="148">
        <v>-150</v>
      </c>
      <c r="G50" s="148">
        <v>-100</v>
      </c>
      <c r="H50" s="148">
        <v>-55</v>
      </c>
      <c r="I50" s="148">
        <v>-75.128</v>
      </c>
      <c r="J50" s="148">
        <v>-79.391000000000005</v>
      </c>
      <c r="K50" s="148">
        <v>-38.720999999999997</v>
      </c>
      <c r="L50" s="148">
        <v>-3.1179999999999999</v>
      </c>
    </row>
    <row r="51" spans="1:12" hidden="1" outlineLevel="2" x14ac:dyDescent="0.2">
      <c r="A51" s="128" t="s">
        <v>352</v>
      </c>
      <c r="B51" s="151"/>
      <c r="C51" s="151"/>
      <c r="D51" s="152">
        <v>0</v>
      </c>
      <c r="E51" s="152">
        <v>0</v>
      </c>
      <c r="F51" s="152">
        <v>345</v>
      </c>
      <c r="G51" s="151"/>
      <c r="H51" s="151"/>
      <c r="I51" s="151"/>
      <c r="J51" s="151"/>
      <c r="K51" s="151"/>
      <c r="L51" s="152">
        <v>0</v>
      </c>
    </row>
    <row r="52" spans="1:12" hidden="1" outlineLevel="1" x14ac:dyDescent="0.2">
      <c r="A52" s="129" t="s">
        <v>123</v>
      </c>
      <c r="B52" s="153">
        <v>0</v>
      </c>
      <c r="C52" s="153">
        <v>0</v>
      </c>
      <c r="D52" s="153">
        <v>-24.242999999999999</v>
      </c>
      <c r="E52" s="153">
        <v>-18.315999999999999</v>
      </c>
      <c r="F52" s="153">
        <v>-470.82499999999999</v>
      </c>
      <c r="G52" s="153">
        <v>-17.25</v>
      </c>
      <c r="H52" s="153">
        <v>0</v>
      </c>
      <c r="I52" s="153">
        <v>0</v>
      </c>
      <c r="J52" s="153">
        <v>0</v>
      </c>
      <c r="K52" s="153">
        <v>13.861000000000001</v>
      </c>
      <c r="L52" s="153">
        <v>12.308999999999999</v>
      </c>
    </row>
    <row r="53" spans="1:12" hidden="1" outlineLevel="2" x14ac:dyDescent="0.2">
      <c r="A53" s="128" t="s">
        <v>136</v>
      </c>
      <c r="B53" s="152">
        <v>0</v>
      </c>
      <c r="C53" s="152">
        <v>0</v>
      </c>
      <c r="D53" s="154">
        <v>-24.242999999999999</v>
      </c>
      <c r="E53" s="154">
        <v>-18.315999999999999</v>
      </c>
      <c r="F53" s="154">
        <v>-470.82499999999999</v>
      </c>
      <c r="G53" s="154">
        <v>-17.25</v>
      </c>
      <c r="H53" s="152">
        <v>0</v>
      </c>
      <c r="I53" s="152">
        <v>0</v>
      </c>
      <c r="J53" s="152">
        <v>0</v>
      </c>
      <c r="K53" s="152">
        <v>0</v>
      </c>
      <c r="L53" s="152">
        <v>0</v>
      </c>
    </row>
    <row r="54" spans="1:12" hidden="1" outlineLevel="2" x14ac:dyDescent="0.2">
      <c r="A54" s="125" t="s">
        <v>137</v>
      </c>
      <c r="B54" s="147">
        <v>0</v>
      </c>
      <c r="C54" s="147">
        <v>0</v>
      </c>
      <c r="D54" s="147">
        <v>0</v>
      </c>
      <c r="E54" s="147">
        <v>0</v>
      </c>
      <c r="F54" s="147">
        <v>0</v>
      </c>
      <c r="G54" s="147">
        <v>0</v>
      </c>
      <c r="H54" s="147">
        <v>0</v>
      </c>
      <c r="I54" s="147">
        <v>0</v>
      </c>
      <c r="J54" s="147">
        <v>0</v>
      </c>
      <c r="K54" s="147">
        <v>13.861000000000001</v>
      </c>
      <c r="L54" s="147">
        <v>12.308999999999999</v>
      </c>
    </row>
    <row r="55" spans="1:12" hidden="1" outlineLevel="1" x14ac:dyDescent="0.2">
      <c r="A55" s="133" t="s">
        <v>144</v>
      </c>
      <c r="B55" s="154">
        <v>-20.352</v>
      </c>
      <c r="C55" s="154">
        <v>-78.793999999999997</v>
      </c>
      <c r="D55" s="154">
        <v>-123.535</v>
      </c>
      <c r="E55" s="154">
        <v>-123.636</v>
      </c>
      <c r="F55" s="154">
        <v>-108.827</v>
      </c>
      <c r="G55" s="152">
        <v>143.69200000000001</v>
      </c>
      <c r="H55" s="152">
        <v>176.02</v>
      </c>
      <c r="I55" s="154">
        <v>-140.291</v>
      </c>
      <c r="J55" s="154">
        <v>-146.09100000000001</v>
      </c>
      <c r="K55" s="154">
        <v>-133.07400000000001</v>
      </c>
      <c r="L55" s="154">
        <v>-93.885999999999996</v>
      </c>
    </row>
    <row r="56" spans="1:12" collapsed="1" x14ac:dyDescent="0.2">
      <c r="A56" s="123" t="s">
        <v>145</v>
      </c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</row>
    <row r="57" spans="1:12" hidden="1" outlineLevel="1" x14ac:dyDescent="0.2">
      <c r="A57" s="133" t="s">
        <v>146</v>
      </c>
      <c r="B57" s="154">
        <v>-0.23799999999999999</v>
      </c>
      <c r="C57" s="154">
        <v>-0.54800000000000004</v>
      </c>
      <c r="D57" s="152">
        <v>0.14399999999999999</v>
      </c>
      <c r="E57" s="154">
        <v>-0.32500000000000001</v>
      </c>
      <c r="F57" s="154">
        <v>-2.7E-2</v>
      </c>
      <c r="G57" s="154">
        <v>-1.7000000000000001E-2</v>
      </c>
      <c r="H57" s="152">
        <v>0.11700000000000001</v>
      </c>
      <c r="I57" s="154">
        <v>-6.5000000000000002E-2</v>
      </c>
      <c r="J57" s="154">
        <v>-0.10299999999999999</v>
      </c>
      <c r="K57" s="151"/>
      <c r="L57" s="151"/>
    </row>
    <row r="58" spans="1:12" hidden="1" outlineLevel="1" x14ac:dyDescent="0.2">
      <c r="A58" s="130" t="s">
        <v>147</v>
      </c>
      <c r="B58" s="147">
        <v>137.76300000000001</v>
      </c>
      <c r="C58" s="147">
        <v>27.885999999999999</v>
      </c>
      <c r="D58" s="148">
        <v>-58.487000000000002</v>
      </c>
      <c r="E58" s="148">
        <v>-74.849999999999994</v>
      </c>
      <c r="F58" s="147">
        <v>35.542000000000002</v>
      </c>
      <c r="G58" s="147">
        <v>95.668999999999997</v>
      </c>
      <c r="H58" s="147">
        <v>31.838000000000001</v>
      </c>
      <c r="I58" s="147">
        <v>20.57</v>
      </c>
      <c r="J58" s="148">
        <v>-47.831000000000003</v>
      </c>
      <c r="K58" s="147">
        <v>9.9849999999999994</v>
      </c>
      <c r="L58" s="148">
        <v>-14.164</v>
      </c>
    </row>
    <row r="59" spans="1:12" hidden="1" outlineLevel="1" x14ac:dyDescent="0.2">
      <c r="A59" s="124" t="s">
        <v>148</v>
      </c>
      <c r="B59" s="149">
        <v>159.47499999999999</v>
      </c>
      <c r="C59" s="149">
        <v>107.961</v>
      </c>
      <c r="D59" s="149">
        <v>66.835999999999999</v>
      </c>
      <c r="E59" s="149">
        <v>49.462000000000003</v>
      </c>
      <c r="F59" s="149">
        <v>146.06299999999999</v>
      </c>
      <c r="G59" s="149">
        <v>-47.420999999999999</v>
      </c>
      <c r="H59" s="149">
        <v>144.99600000000001</v>
      </c>
      <c r="I59" s="149">
        <v>188.40600000000001</v>
      </c>
      <c r="J59" s="149">
        <v>118.017</v>
      </c>
      <c r="K59" s="149">
        <v>186.69900000000001</v>
      </c>
      <c r="L59" s="149">
        <v>81.481999999999999</v>
      </c>
    </row>
    <row r="60" spans="1:12" hidden="1" outlineLevel="2" x14ac:dyDescent="0.2">
      <c r="A60" s="125" t="s">
        <v>149</v>
      </c>
      <c r="B60" s="147">
        <v>3.2802989999999999</v>
      </c>
      <c r="C60" s="147">
        <v>2.2044549999999998</v>
      </c>
      <c r="D60" s="147">
        <v>1.3626100000000001</v>
      </c>
      <c r="E60" s="147">
        <v>0.98111599999999999</v>
      </c>
      <c r="F60" s="147">
        <v>3.0109870000000001</v>
      </c>
      <c r="G60" s="148">
        <v>-1.0809679999999999</v>
      </c>
      <c r="H60" s="147">
        <v>3.255045</v>
      </c>
      <c r="I60" s="147">
        <v>4.0767280000000001</v>
      </c>
      <c r="J60" s="147">
        <v>2.4509259999999999</v>
      </c>
      <c r="K60" s="147">
        <v>3.7814749999999999</v>
      </c>
      <c r="L60" s="147">
        <v>1.6101570000000001</v>
      </c>
    </row>
    <row r="61" spans="1:12" hidden="1" outlineLevel="2" x14ac:dyDescent="0.2">
      <c r="A61" s="128" t="s">
        <v>150</v>
      </c>
      <c r="B61" s="152">
        <v>6.0034749999999999</v>
      </c>
      <c r="C61" s="152">
        <v>4.6468280000000002</v>
      </c>
      <c r="D61" s="152">
        <v>3.9656859999999998</v>
      </c>
      <c r="E61" s="152">
        <v>3.0328170000000001</v>
      </c>
      <c r="F61" s="152">
        <v>7.5920009999999998</v>
      </c>
      <c r="G61" s="154">
        <v>-2.9231159999999998</v>
      </c>
      <c r="H61" s="152">
        <v>8.3763389999999998</v>
      </c>
      <c r="I61" s="152">
        <v>9.3696350000000006</v>
      </c>
      <c r="J61" s="152">
        <v>4.9704449999999998</v>
      </c>
      <c r="K61" s="152">
        <v>6.3629059999999997</v>
      </c>
      <c r="L61" s="152">
        <v>3.4383029999999999</v>
      </c>
    </row>
    <row r="62" spans="1:12" collapsed="1" x14ac:dyDescent="0.2">
      <c r="A62" s="132" t="s">
        <v>58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</row>
    <row r="63" spans="1:12" x14ac:dyDescent="0.2">
      <c r="A63" s="122" t="s">
        <v>151</v>
      </c>
      <c r="B63" s="152">
        <v>11.337</v>
      </c>
      <c r="C63" s="152">
        <v>12.891</v>
      </c>
      <c r="D63" s="152">
        <v>9.7639999999999993</v>
      </c>
      <c r="E63" s="152">
        <v>7.2329999999999997</v>
      </c>
      <c r="F63" s="152">
        <v>9.5860000000000003</v>
      </c>
      <c r="G63" s="152">
        <v>13.045</v>
      </c>
      <c r="H63" s="152">
        <v>1.6459999999999999</v>
      </c>
      <c r="I63" s="152">
        <v>8.1560000000000006</v>
      </c>
      <c r="J63" s="152">
        <v>7.1280000000000001</v>
      </c>
      <c r="K63" s="152">
        <v>6.0380000000000003</v>
      </c>
      <c r="L63" s="152">
        <v>6.0570000000000004</v>
      </c>
    </row>
    <row r="64" spans="1:12" x14ac:dyDescent="0.2">
      <c r="A64" s="132" t="s">
        <v>152</v>
      </c>
      <c r="B64" s="147">
        <v>10.816000000000001</v>
      </c>
      <c r="C64" s="147">
        <v>19.119</v>
      </c>
      <c r="D64" s="147">
        <v>14.473000000000001</v>
      </c>
      <c r="E64" s="147">
        <v>14.688000000000001</v>
      </c>
      <c r="F64" s="147">
        <v>13.031000000000001</v>
      </c>
      <c r="G64" s="147">
        <v>2.968</v>
      </c>
      <c r="H64" s="147">
        <v>20.777999999999999</v>
      </c>
      <c r="I64" s="147">
        <v>10.148999999999999</v>
      </c>
      <c r="J64" s="147">
        <v>31.582000000000001</v>
      </c>
      <c r="K64" s="147">
        <v>17.931999999999999</v>
      </c>
      <c r="L64" s="147">
        <v>30.41</v>
      </c>
    </row>
    <row r="65" spans="1:1" x14ac:dyDescent="0.2">
      <c r="A65" s="136" t="s">
        <v>77</v>
      </c>
    </row>
  </sheetData>
  <pageMargins left="0.7" right="0.7" top="0.75" bottom="0.75" header="0.3" footer="0.3"/>
  <pageSetup scale="56" orientation="portrait" horizontalDpi="0" verticalDpi="0"/>
  <colBreaks count="1" manualBreakCount="1">
    <brk id="13" max="50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784E-4932-324E-87A4-1518233D9BE4}">
  <sheetPr>
    <tabColor theme="4" tint="0.79998168889431442"/>
  </sheetPr>
  <dimension ref="A1:AE56"/>
  <sheetViews>
    <sheetView showGridLines="0" view="pageBreakPreview" zoomScaleNormal="100" zoomScaleSheetLayoutView="100" workbookViewId="0"/>
  </sheetViews>
  <sheetFormatPr baseColWidth="10" defaultColWidth="9.1640625" defaultRowHeight="15" customHeight="1" outlineLevelRow="3" x14ac:dyDescent="0.2"/>
  <cols>
    <col min="1" max="1" width="94" style="1" bestFit="1" customWidth="1"/>
    <col min="2" max="31" width="9.1640625" style="1"/>
  </cols>
  <sheetData>
    <row r="1" spans="1:31" ht="16" x14ac:dyDescent="0.2">
      <c r="A1" s="4" t="s">
        <v>312</v>
      </c>
    </row>
    <row r="2" spans="1:31" ht="16" x14ac:dyDescent="0.2">
      <c r="A2" s="1" t="s">
        <v>313</v>
      </c>
    </row>
    <row r="3" spans="1:31" ht="16" customHeight="1" x14ac:dyDescent="0.2"/>
    <row r="4" spans="1:31" ht="16" x14ac:dyDescent="0.2">
      <c r="A4" s="4" t="s">
        <v>153</v>
      </c>
    </row>
    <row r="5" spans="1:31" ht="16" x14ac:dyDescent="0.2">
      <c r="A5" s="116"/>
      <c r="B5" s="157" t="s">
        <v>154</v>
      </c>
      <c r="C5" s="158"/>
      <c r="D5" s="157" t="s">
        <v>155</v>
      </c>
      <c r="E5" s="158"/>
      <c r="F5" s="157" t="s">
        <v>353</v>
      </c>
      <c r="G5" s="158"/>
      <c r="H5" s="157" t="s">
        <v>354</v>
      </c>
      <c r="I5" s="158"/>
      <c r="J5" s="157" t="s">
        <v>355</v>
      </c>
      <c r="K5" s="158"/>
      <c r="L5" s="157" t="s">
        <v>356</v>
      </c>
      <c r="M5" s="158"/>
      <c r="N5" s="157" t="s">
        <v>357</v>
      </c>
      <c r="O5" s="158"/>
      <c r="P5" s="157" t="s">
        <v>358</v>
      </c>
      <c r="Q5" s="158"/>
      <c r="R5" s="157" t="s">
        <v>359</v>
      </c>
      <c r="S5" s="158"/>
      <c r="T5" s="157" t="s">
        <v>360</v>
      </c>
      <c r="U5" s="158"/>
      <c r="V5" s="157" t="s">
        <v>361</v>
      </c>
      <c r="W5" s="158"/>
      <c r="X5" s="157" t="s">
        <v>362</v>
      </c>
      <c r="Y5" s="158"/>
      <c r="Z5" s="157" t="s">
        <v>363</v>
      </c>
      <c r="AA5" s="158"/>
      <c r="AB5" s="157" t="s">
        <v>364</v>
      </c>
      <c r="AC5" s="158"/>
      <c r="AD5" s="157" t="s">
        <v>365</v>
      </c>
      <c r="AE5" s="158"/>
    </row>
    <row r="6" spans="1:31" ht="15" customHeight="1" x14ac:dyDescent="0.2">
      <c r="A6" s="159"/>
      <c r="B6" s="160" t="s">
        <v>156</v>
      </c>
      <c r="C6" s="160" t="s">
        <v>157</v>
      </c>
      <c r="D6" s="160" t="s">
        <v>156</v>
      </c>
      <c r="E6" s="160" t="s">
        <v>157</v>
      </c>
      <c r="F6" s="160" t="s">
        <v>156</v>
      </c>
      <c r="G6" s="160" t="s">
        <v>157</v>
      </c>
      <c r="H6" s="160" t="s">
        <v>156</v>
      </c>
      <c r="I6" s="160" t="s">
        <v>157</v>
      </c>
      <c r="J6" s="160" t="s">
        <v>156</v>
      </c>
      <c r="K6" s="160" t="s">
        <v>157</v>
      </c>
      <c r="L6" s="160" t="s">
        <v>156</v>
      </c>
      <c r="M6" s="160" t="s">
        <v>157</v>
      </c>
      <c r="N6" s="160" t="s">
        <v>156</v>
      </c>
      <c r="O6" s="160" t="s">
        <v>157</v>
      </c>
      <c r="P6" s="160" t="s">
        <v>156</v>
      </c>
      <c r="Q6" s="160" t="s">
        <v>157</v>
      </c>
      <c r="R6" s="160" t="s">
        <v>156</v>
      </c>
      <c r="S6" s="160" t="s">
        <v>157</v>
      </c>
      <c r="T6" s="160" t="s">
        <v>156</v>
      </c>
      <c r="U6" s="160" t="s">
        <v>157</v>
      </c>
      <c r="V6" s="160" t="s">
        <v>156</v>
      </c>
      <c r="W6" s="160" t="s">
        <v>157</v>
      </c>
      <c r="X6" s="160" t="s">
        <v>156</v>
      </c>
      <c r="Y6" s="160" t="s">
        <v>157</v>
      </c>
      <c r="Z6" s="160" t="s">
        <v>156</v>
      </c>
      <c r="AA6" s="160" t="s">
        <v>157</v>
      </c>
      <c r="AB6" s="160" t="s">
        <v>156</v>
      </c>
      <c r="AC6" s="160" t="s">
        <v>157</v>
      </c>
      <c r="AD6" s="160" t="s">
        <v>156</v>
      </c>
      <c r="AE6" s="160" t="s">
        <v>157</v>
      </c>
    </row>
    <row r="7" spans="1:31" ht="15" customHeight="1" x14ac:dyDescent="0.2">
      <c r="A7" s="134" t="s">
        <v>366</v>
      </c>
      <c r="B7" s="149">
        <v>49.8</v>
      </c>
      <c r="C7" s="149">
        <v>2845</v>
      </c>
      <c r="D7" s="149">
        <v>49.8</v>
      </c>
      <c r="E7" s="149">
        <v>2845</v>
      </c>
      <c r="F7" s="149">
        <v>49.8</v>
      </c>
      <c r="G7" s="149">
        <v>2722.1</v>
      </c>
      <c r="H7" s="149">
        <v>49.8</v>
      </c>
      <c r="I7" s="149">
        <v>3171.3</v>
      </c>
      <c r="J7" s="149">
        <v>49.5</v>
      </c>
      <c r="K7" s="149">
        <v>2519.1</v>
      </c>
      <c r="L7" s="149">
        <v>51.3</v>
      </c>
      <c r="M7" s="149">
        <v>2435.1999999999998</v>
      </c>
      <c r="N7" s="149">
        <v>50.9</v>
      </c>
      <c r="O7" s="149">
        <v>2086.6999999999998</v>
      </c>
      <c r="P7" s="149">
        <v>50.9</v>
      </c>
      <c r="Q7" s="149">
        <v>1925.7</v>
      </c>
      <c r="R7" s="149">
        <v>51</v>
      </c>
      <c r="S7" s="149">
        <v>1882.4</v>
      </c>
      <c r="T7" s="149">
        <v>50.7</v>
      </c>
      <c r="U7" s="149">
        <v>1740.4</v>
      </c>
      <c r="V7" s="149">
        <v>50.9</v>
      </c>
      <c r="W7" s="149">
        <v>1454.5</v>
      </c>
      <c r="X7" s="149">
        <v>51.3</v>
      </c>
      <c r="Y7" s="149">
        <v>1812.4</v>
      </c>
      <c r="Z7" s="149">
        <v>51.5</v>
      </c>
      <c r="AA7" s="149">
        <v>1774.9</v>
      </c>
      <c r="AB7" s="149">
        <v>51.2</v>
      </c>
      <c r="AC7" s="149">
        <v>1655.5</v>
      </c>
      <c r="AD7" s="149">
        <v>51.7</v>
      </c>
      <c r="AE7" s="149">
        <v>1507.7</v>
      </c>
    </row>
    <row r="8" spans="1:31" ht="15" hidden="1" customHeight="1" outlineLevel="1" x14ac:dyDescent="0.2">
      <c r="A8" s="161" t="s">
        <v>158</v>
      </c>
      <c r="B8" s="162">
        <v>49.8</v>
      </c>
      <c r="C8" s="162">
        <v>2845</v>
      </c>
      <c r="D8" s="162">
        <v>49.8</v>
      </c>
      <c r="E8" s="162">
        <v>2845</v>
      </c>
      <c r="F8" s="162">
        <v>49.8</v>
      </c>
      <c r="G8" s="162">
        <v>2722.1</v>
      </c>
      <c r="H8" s="162">
        <v>49.8</v>
      </c>
      <c r="I8" s="162">
        <v>3171.3</v>
      </c>
      <c r="J8" s="162">
        <v>49.5</v>
      </c>
      <c r="K8" s="162">
        <v>2519.1</v>
      </c>
      <c r="L8" s="162">
        <v>51.3</v>
      </c>
      <c r="M8" s="162">
        <v>2435.1999999999998</v>
      </c>
      <c r="N8" s="162">
        <v>50.9</v>
      </c>
      <c r="O8" s="162">
        <v>2086.6999999999998</v>
      </c>
      <c r="P8" s="162">
        <v>50.9</v>
      </c>
      <c r="Q8" s="162">
        <v>1925.7</v>
      </c>
      <c r="R8" s="162">
        <v>51</v>
      </c>
      <c r="S8" s="162">
        <v>1882.4</v>
      </c>
      <c r="T8" s="162">
        <v>50.7</v>
      </c>
      <c r="U8" s="162">
        <v>1740.4</v>
      </c>
      <c r="V8" s="162">
        <v>50.9</v>
      </c>
      <c r="W8" s="162">
        <v>1454.5</v>
      </c>
      <c r="X8" s="162">
        <v>51.3</v>
      </c>
      <c r="Y8" s="162">
        <v>1812.4</v>
      </c>
      <c r="Z8" s="162">
        <v>51.5</v>
      </c>
      <c r="AA8" s="162">
        <v>1774.9</v>
      </c>
      <c r="AB8" s="162">
        <v>51.2</v>
      </c>
      <c r="AC8" s="162">
        <v>1655.5</v>
      </c>
      <c r="AD8" s="162">
        <v>51.7</v>
      </c>
      <c r="AE8" s="162">
        <v>1507.7</v>
      </c>
    </row>
    <row r="9" spans="1:31" ht="16" collapsed="1" x14ac:dyDescent="0.2">
      <c r="A9" s="134" t="s">
        <v>160</v>
      </c>
      <c r="B9" s="149">
        <v>3.3</v>
      </c>
      <c r="C9" s="149">
        <v>187</v>
      </c>
      <c r="D9" s="149">
        <v>3.3</v>
      </c>
      <c r="E9" s="149">
        <v>187</v>
      </c>
      <c r="F9" s="149">
        <v>3.3</v>
      </c>
      <c r="G9" s="149">
        <v>178.2</v>
      </c>
      <c r="H9" s="149">
        <v>3.4</v>
      </c>
      <c r="I9" s="149">
        <v>214.2</v>
      </c>
      <c r="J9" s="149">
        <v>3.4</v>
      </c>
      <c r="K9" s="149">
        <v>172.4</v>
      </c>
      <c r="L9" s="149">
        <v>3.3</v>
      </c>
      <c r="M9" s="149">
        <v>155.6</v>
      </c>
      <c r="N9" s="149">
        <v>3.2</v>
      </c>
      <c r="O9" s="149">
        <v>129.19999999999999</v>
      </c>
      <c r="P9" s="149">
        <v>3.1</v>
      </c>
      <c r="Q9" s="149">
        <v>118.6</v>
      </c>
      <c r="R9" s="149">
        <v>3.2</v>
      </c>
      <c r="S9" s="149">
        <v>117.8</v>
      </c>
      <c r="T9" s="149">
        <v>2.9</v>
      </c>
      <c r="U9" s="149">
        <v>99.2</v>
      </c>
      <c r="V9" s="149">
        <v>2.8</v>
      </c>
      <c r="W9" s="149">
        <v>80.900000000000006</v>
      </c>
      <c r="X9" s="149">
        <v>2.8</v>
      </c>
      <c r="Y9" s="149">
        <v>100.7</v>
      </c>
      <c r="Z9" s="149">
        <v>2.8</v>
      </c>
      <c r="AA9" s="149">
        <v>96.1</v>
      </c>
      <c r="AB9" s="149">
        <v>2.5</v>
      </c>
      <c r="AC9" s="149">
        <v>81.3</v>
      </c>
      <c r="AD9" s="149">
        <v>2.4</v>
      </c>
      <c r="AE9" s="149">
        <v>71.2</v>
      </c>
    </row>
    <row r="10" spans="1:31" ht="15" hidden="1" customHeight="1" outlineLevel="1" x14ac:dyDescent="0.2">
      <c r="A10" s="161" t="s">
        <v>161</v>
      </c>
      <c r="B10" s="163" t="s">
        <v>159</v>
      </c>
      <c r="C10" s="163" t="s">
        <v>159</v>
      </c>
      <c r="D10" s="163" t="s">
        <v>159</v>
      </c>
      <c r="E10" s="163" t="s">
        <v>159</v>
      </c>
      <c r="F10" s="163" t="s">
        <v>159</v>
      </c>
      <c r="G10" s="163" t="s">
        <v>159</v>
      </c>
      <c r="H10" s="163" t="s">
        <v>159</v>
      </c>
      <c r="I10" s="163" t="s">
        <v>159</v>
      </c>
      <c r="J10" s="163" t="s">
        <v>159</v>
      </c>
      <c r="K10" s="163" t="s">
        <v>159</v>
      </c>
      <c r="L10" s="163" t="s">
        <v>159</v>
      </c>
      <c r="M10" s="163" t="s">
        <v>159</v>
      </c>
      <c r="N10" s="163" t="s">
        <v>159</v>
      </c>
      <c r="O10" s="163" t="s">
        <v>159</v>
      </c>
      <c r="P10" s="163" t="s">
        <v>159</v>
      </c>
      <c r="Q10" s="163" t="s">
        <v>159</v>
      </c>
      <c r="R10" s="163" t="s">
        <v>159</v>
      </c>
      <c r="S10" s="163" t="s">
        <v>159</v>
      </c>
      <c r="T10" s="163" t="s">
        <v>159</v>
      </c>
      <c r="U10" s="163" t="s">
        <v>159</v>
      </c>
      <c r="V10" s="163" t="s">
        <v>159</v>
      </c>
      <c r="W10" s="163" t="s">
        <v>159</v>
      </c>
      <c r="X10" s="163" t="s">
        <v>159</v>
      </c>
      <c r="Y10" s="163" t="s">
        <v>159</v>
      </c>
      <c r="Z10" s="163" t="s">
        <v>159</v>
      </c>
      <c r="AA10" s="163" t="s">
        <v>159</v>
      </c>
      <c r="AB10" s="163" t="s">
        <v>159</v>
      </c>
      <c r="AC10" s="163" t="s">
        <v>159</v>
      </c>
      <c r="AD10" s="163" t="s">
        <v>159</v>
      </c>
      <c r="AE10" s="163" t="s">
        <v>159</v>
      </c>
    </row>
    <row r="11" spans="1:31" ht="15" hidden="1" customHeight="1" outlineLevel="1" x14ac:dyDescent="0.2">
      <c r="A11" s="164" t="s">
        <v>162</v>
      </c>
      <c r="B11" s="165" t="s">
        <v>159</v>
      </c>
      <c r="C11" s="165" t="s">
        <v>159</v>
      </c>
      <c r="D11" s="165" t="s">
        <v>159</v>
      </c>
      <c r="E11" s="165" t="s">
        <v>159</v>
      </c>
      <c r="F11" s="165" t="s">
        <v>159</v>
      </c>
      <c r="G11" s="165" t="s">
        <v>159</v>
      </c>
      <c r="H11" s="165" t="s">
        <v>159</v>
      </c>
      <c r="I11" s="165" t="s">
        <v>159</v>
      </c>
      <c r="J11" s="165" t="s">
        <v>159</v>
      </c>
      <c r="K11" s="165" t="s">
        <v>159</v>
      </c>
      <c r="L11" s="165" t="s">
        <v>159</v>
      </c>
      <c r="M11" s="165" t="s">
        <v>159</v>
      </c>
      <c r="N11" s="165" t="s">
        <v>159</v>
      </c>
      <c r="O11" s="165" t="s">
        <v>159</v>
      </c>
      <c r="P11" s="165" t="s">
        <v>159</v>
      </c>
      <c r="Q11" s="165" t="s">
        <v>159</v>
      </c>
      <c r="R11" s="165" t="s">
        <v>159</v>
      </c>
      <c r="S11" s="165" t="s">
        <v>159</v>
      </c>
      <c r="T11" s="165" t="s">
        <v>159</v>
      </c>
      <c r="U11" s="165" t="s">
        <v>159</v>
      </c>
      <c r="V11" s="165" t="s">
        <v>159</v>
      </c>
      <c r="W11" s="165" t="s">
        <v>159</v>
      </c>
      <c r="X11" s="165" t="s">
        <v>159</v>
      </c>
      <c r="Y11" s="165" t="s">
        <v>159</v>
      </c>
      <c r="Z11" s="165" t="s">
        <v>159</v>
      </c>
      <c r="AA11" s="165" t="s">
        <v>159</v>
      </c>
      <c r="AB11" s="165" t="s">
        <v>159</v>
      </c>
      <c r="AC11" s="165" t="s">
        <v>159</v>
      </c>
      <c r="AD11" s="165" t="s">
        <v>159</v>
      </c>
      <c r="AE11" s="165" t="s">
        <v>159</v>
      </c>
    </row>
    <row r="12" spans="1:31" ht="15" hidden="1" customHeight="1" outlineLevel="1" x14ac:dyDescent="0.2">
      <c r="A12" s="129" t="s">
        <v>163</v>
      </c>
      <c r="B12" s="153">
        <v>3.3</v>
      </c>
      <c r="C12" s="153">
        <v>187</v>
      </c>
      <c r="D12" s="153">
        <v>3.3</v>
      </c>
      <c r="E12" s="153">
        <v>187</v>
      </c>
      <c r="F12" s="153">
        <v>3.3</v>
      </c>
      <c r="G12" s="153">
        <v>178.2</v>
      </c>
      <c r="H12" s="153">
        <v>3.4</v>
      </c>
      <c r="I12" s="153">
        <v>214.2</v>
      </c>
      <c r="J12" s="153">
        <v>3.4</v>
      </c>
      <c r="K12" s="153">
        <v>172.4</v>
      </c>
      <c r="L12" s="153">
        <v>3.3</v>
      </c>
      <c r="M12" s="153">
        <v>155.6</v>
      </c>
      <c r="N12" s="153">
        <v>3.2</v>
      </c>
      <c r="O12" s="153">
        <v>129.19999999999999</v>
      </c>
      <c r="P12" s="153">
        <v>3.1</v>
      </c>
      <c r="Q12" s="153">
        <v>118.6</v>
      </c>
      <c r="R12" s="153">
        <v>3.2</v>
      </c>
      <c r="S12" s="153">
        <v>117.8</v>
      </c>
      <c r="T12" s="153">
        <v>2.9</v>
      </c>
      <c r="U12" s="153">
        <v>99.2</v>
      </c>
      <c r="V12" s="153">
        <v>2.8</v>
      </c>
      <c r="W12" s="153">
        <v>80.900000000000006</v>
      </c>
      <c r="X12" s="153">
        <v>2.8</v>
      </c>
      <c r="Y12" s="153">
        <v>100.7</v>
      </c>
      <c r="Z12" s="153">
        <v>2.8</v>
      </c>
      <c r="AA12" s="153">
        <v>96.1</v>
      </c>
      <c r="AB12" s="153">
        <v>2.5</v>
      </c>
      <c r="AC12" s="153">
        <v>81.3</v>
      </c>
      <c r="AD12" s="153">
        <v>2.4</v>
      </c>
      <c r="AE12" s="153">
        <v>71.2</v>
      </c>
    </row>
    <row r="13" spans="1:31" ht="15" hidden="1" customHeight="1" outlineLevel="2" x14ac:dyDescent="0.2">
      <c r="A13" s="135" t="s">
        <v>164</v>
      </c>
      <c r="B13" s="149">
        <v>0.1</v>
      </c>
      <c r="C13" s="149">
        <v>7.5</v>
      </c>
      <c r="D13" s="149">
        <v>0.1</v>
      </c>
      <c r="E13" s="149">
        <v>7.5</v>
      </c>
      <c r="F13" s="149">
        <v>0.1</v>
      </c>
      <c r="G13" s="149">
        <v>6.4</v>
      </c>
      <c r="H13" s="149">
        <v>0.2</v>
      </c>
      <c r="I13" s="149">
        <v>11.4</v>
      </c>
      <c r="J13" s="149">
        <v>0.1</v>
      </c>
      <c r="K13" s="149">
        <v>6.6</v>
      </c>
      <c r="L13" s="149">
        <v>0</v>
      </c>
      <c r="M13" s="149">
        <v>1.9</v>
      </c>
      <c r="N13" s="155" t="s">
        <v>159</v>
      </c>
      <c r="O13" s="155" t="s">
        <v>159</v>
      </c>
      <c r="P13" s="155" t="s">
        <v>159</v>
      </c>
      <c r="Q13" s="155" t="s">
        <v>159</v>
      </c>
      <c r="R13" s="155" t="s">
        <v>159</v>
      </c>
      <c r="S13" s="155" t="s">
        <v>159</v>
      </c>
      <c r="T13" s="155" t="s">
        <v>159</v>
      </c>
      <c r="U13" s="155" t="s">
        <v>159</v>
      </c>
      <c r="V13" s="155" t="s">
        <v>159</v>
      </c>
      <c r="W13" s="155" t="s">
        <v>159</v>
      </c>
      <c r="X13" s="155" t="s">
        <v>159</v>
      </c>
      <c r="Y13" s="155" t="s">
        <v>159</v>
      </c>
      <c r="Z13" s="155" t="s">
        <v>159</v>
      </c>
      <c r="AA13" s="155" t="s">
        <v>159</v>
      </c>
      <c r="AB13" s="155" t="s">
        <v>159</v>
      </c>
      <c r="AC13" s="155" t="s">
        <v>159</v>
      </c>
      <c r="AD13" s="155" t="s">
        <v>159</v>
      </c>
      <c r="AE13" s="155" t="s">
        <v>159</v>
      </c>
    </row>
    <row r="14" spans="1:31" ht="15" hidden="1" customHeight="1" outlineLevel="3" x14ac:dyDescent="0.2">
      <c r="A14" s="166" t="s">
        <v>367</v>
      </c>
      <c r="B14" s="162">
        <v>0.1</v>
      </c>
      <c r="C14" s="162">
        <v>7.5</v>
      </c>
      <c r="D14" s="162">
        <v>0.1</v>
      </c>
      <c r="E14" s="162">
        <v>7.5</v>
      </c>
      <c r="F14" s="162">
        <v>0.1</v>
      </c>
      <c r="G14" s="162">
        <v>6.4</v>
      </c>
      <c r="H14" s="162">
        <v>0.2</v>
      </c>
      <c r="I14" s="162">
        <v>11.4</v>
      </c>
      <c r="J14" s="162">
        <v>0.1</v>
      </c>
      <c r="K14" s="162">
        <v>6.6</v>
      </c>
      <c r="L14" s="162">
        <v>0</v>
      </c>
      <c r="M14" s="162">
        <v>1.9</v>
      </c>
      <c r="N14" s="163" t="s">
        <v>159</v>
      </c>
      <c r="O14" s="163" t="s">
        <v>159</v>
      </c>
      <c r="P14" s="163" t="s">
        <v>159</v>
      </c>
      <c r="Q14" s="163" t="s">
        <v>159</v>
      </c>
      <c r="R14" s="163" t="s">
        <v>159</v>
      </c>
      <c r="S14" s="163" t="s">
        <v>159</v>
      </c>
      <c r="T14" s="163" t="s">
        <v>159</v>
      </c>
      <c r="U14" s="163" t="s">
        <v>159</v>
      </c>
      <c r="V14" s="163" t="s">
        <v>159</v>
      </c>
      <c r="W14" s="163" t="s">
        <v>159</v>
      </c>
      <c r="X14" s="163" t="s">
        <v>159</v>
      </c>
      <c r="Y14" s="163" t="s">
        <v>159</v>
      </c>
      <c r="Z14" s="163" t="s">
        <v>159</v>
      </c>
      <c r="AA14" s="163" t="s">
        <v>159</v>
      </c>
      <c r="AB14" s="163" t="s">
        <v>159</v>
      </c>
      <c r="AC14" s="163" t="s">
        <v>159</v>
      </c>
      <c r="AD14" s="163" t="s">
        <v>159</v>
      </c>
      <c r="AE14" s="163" t="s">
        <v>159</v>
      </c>
    </row>
    <row r="15" spans="1:31" ht="15" hidden="1" customHeight="1" outlineLevel="2" x14ac:dyDescent="0.2">
      <c r="A15" s="135" t="s">
        <v>165</v>
      </c>
      <c r="B15" s="149">
        <v>3.1</v>
      </c>
      <c r="C15" s="149">
        <v>179.5</v>
      </c>
      <c r="D15" s="149">
        <v>3.1</v>
      </c>
      <c r="E15" s="149">
        <v>179.5</v>
      </c>
      <c r="F15" s="149">
        <v>3.1</v>
      </c>
      <c r="G15" s="149">
        <v>171.8</v>
      </c>
      <c r="H15" s="149">
        <v>3.2</v>
      </c>
      <c r="I15" s="149">
        <v>202.8</v>
      </c>
      <c r="J15" s="149">
        <v>3.3</v>
      </c>
      <c r="K15" s="149">
        <v>165.8</v>
      </c>
      <c r="L15" s="149">
        <v>3.2</v>
      </c>
      <c r="M15" s="149">
        <v>153.69999999999999</v>
      </c>
      <c r="N15" s="149">
        <v>3.2</v>
      </c>
      <c r="O15" s="149">
        <v>129.19999999999999</v>
      </c>
      <c r="P15" s="149">
        <v>3.1</v>
      </c>
      <c r="Q15" s="149">
        <v>118.6</v>
      </c>
      <c r="R15" s="149">
        <v>3.2</v>
      </c>
      <c r="S15" s="149">
        <v>117.8</v>
      </c>
      <c r="T15" s="149">
        <v>2.9</v>
      </c>
      <c r="U15" s="149">
        <v>99.2</v>
      </c>
      <c r="V15" s="149">
        <v>2.8</v>
      </c>
      <c r="W15" s="149">
        <v>80.900000000000006</v>
      </c>
      <c r="X15" s="149">
        <v>2.8</v>
      </c>
      <c r="Y15" s="149">
        <v>100.7</v>
      </c>
      <c r="Z15" s="149">
        <v>2.8</v>
      </c>
      <c r="AA15" s="149">
        <v>96.1</v>
      </c>
      <c r="AB15" s="149">
        <v>2.5</v>
      </c>
      <c r="AC15" s="149">
        <v>81.3</v>
      </c>
      <c r="AD15" s="149">
        <v>2.4</v>
      </c>
      <c r="AE15" s="149">
        <v>71.2</v>
      </c>
    </row>
    <row r="16" spans="1:31" ht="15" hidden="1" customHeight="1" outlineLevel="3" x14ac:dyDescent="0.2">
      <c r="A16" s="166" t="s">
        <v>367</v>
      </c>
      <c r="B16" s="162">
        <v>3.1</v>
      </c>
      <c r="C16" s="162">
        <v>179.5</v>
      </c>
      <c r="D16" s="162">
        <v>3.1</v>
      </c>
      <c r="E16" s="162">
        <v>179.5</v>
      </c>
      <c r="F16" s="162">
        <v>3.1</v>
      </c>
      <c r="G16" s="162">
        <v>171.8</v>
      </c>
      <c r="H16" s="162">
        <v>3.2</v>
      </c>
      <c r="I16" s="162">
        <v>202.8</v>
      </c>
      <c r="J16" s="162">
        <v>3.3</v>
      </c>
      <c r="K16" s="162">
        <v>165.8</v>
      </c>
      <c r="L16" s="162">
        <v>3.2</v>
      </c>
      <c r="M16" s="162">
        <v>153.69999999999999</v>
      </c>
      <c r="N16" s="162">
        <v>3.2</v>
      </c>
      <c r="O16" s="162">
        <v>129.19999999999999</v>
      </c>
      <c r="P16" s="162">
        <v>3.1</v>
      </c>
      <c r="Q16" s="162">
        <v>118.6</v>
      </c>
      <c r="R16" s="162">
        <v>3.2</v>
      </c>
      <c r="S16" s="162">
        <v>117.8</v>
      </c>
      <c r="T16" s="162">
        <v>2.9</v>
      </c>
      <c r="U16" s="162">
        <v>99.2</v>
      </c>
      <c r="V16" s="162">
        <v>2.8</v>
      </c>
      <c r="W16" s="162">
        <v>80.900000000000006</v>
      </c>
      <c r="X16" s="162">
        <v>2.8</v>
      </c>
      <c r="Y16" s="162">
        <v>100.7</v>
      </c>
      <c r="Z16" s="162">
        <v>2.8</v>
      </c>
      <c r="AA16" s="162">
        <v>96.1</v>
      </c>
      <c r="AB16" s="162">
        <v>2.5</v>
      </c>
      <c r="AC16" s="162">
        <v>81.3</v>
      </c>
      <c r="AD16" s="162">
        <v>2.4</v>
      </c>
      <c r="AE16" s="162">
        <v>71.2</v>
      </c>
    </row>
    <row r="17" spans="1:31" ht="15" customHeight="1" collapsed="1" x14ac:dyDescent="0.2">
      <c r="A17" s="167" t="s">
        <v>153</v>
      </c>
      <c r="B17" s="168">
        <v>53.1</v>
      </c>
      <c r="C17" s="165" t="s">
        <v>368</v>
      </c>
      <c r="D17" s="168">
        <v>53.1</v>
      </c>
      <c r="E17" s="165" t="s">
        <v>368</v>
      </c>
      <c r="F17" s="168">
        <v>53.1</v>
      </c>
      <c r="G17" s="165" t="s">
        <v>369</v>
      </c>
      <c r="H17" s="168">
        <v>53.1</v>
      </c>
      <c r="I17" s="165" t="s">
        <v>370</v>
      </c>
      <c r="J17" s="168">
        <v>52.9</v>
      </c>
      <c r="K17" s="165" t="s">
        <v>371</v>
      </c>
      <c r="L17" s="168">
        <v>54.6</v>
      </c>
      <c r="M17" s="165" t="s">
        <v>372</v>
      </c>
      <c r="N17" s="168">
        <v>54.1</v>
      </c>
      <c r="O17" s="165" t="s">
        <v>373</v>
      </c>
      <c r="P17" s="168">
        <v>54</v>
      </c>
      <c r="Q17" s="165" t="s">
        <v>374</v>
      </c>
      <c r="R17" s="168">
        <v>54.2</v>
      </c>
      <c r="S17" s="165" t="s">
        <v>375</v>
      </c>
      <c r="T17" s="168">
        <v>53.5</v>
      </c>
      <c r="U17" s="165" t="s">
        <v>376</v>
      </c>
      <c r="V17" s="168">
        <v>53.7</v>
      </c>
      <c r="W17" s="165" t="s">
        <v>377</v>
      </c>
      <c r="X17" s="168">
        <v>54.1</v>
      </c>
      <c r="Y17" s="165" t="s">
        <v>378</v>
      </c>
      <c r="Z17" s="168">
        <v>54.2</v>
      </c>
      <c r="AA17" s="165" t="s">
        <v>379</v>
      </c>
      <c r="AB17" s="168">
        <v>53.7</v>
      </c>
      <c r="AC17" s="165" t="s">
        <v>380</v>
      </c>
      <c r="AD17" s="168">
        <v>54.1</v>
      </c>
      <c r="AE17" s="165" t="s">
        <v>381</v>
      </c>
    </row>
    <row r="18" spans="1:31" ht="15" customHeight="1" x14ac:dyDescent="0.2">
      <c r="A18" s="136" t="s">
        <v>382</v>
      </c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</row>
    <row r="19" spans="1:31" ht="15" customHeight="1" x14ac:dyDescent="0.2"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</row>
    <row r="20" spans="1:31" ht="16" x14ac:dyDescent="0.2">
      <c r="A20" s="4" t="s">
        <v>166</v>
      </c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</row>
    <row r="21" spans="1:31" ht="16" x14ac:dyDescent="0.2">
      <c r="A21" s="116"/>
      <c r="B21" s="165" t="s">
        <v>167</v>
      </c>
      <c r="C21" s="165" t="s">
        <v>168</v>
      </c>
      <c r="D21" s="165" t="s">
        <v>383</v>
      </c>
      <c r="E21" s="165" t="s">
        <v>384</v>
      </c>
      <c r="F21" s="165" t="s">
        <v>385</v>
      </c>
      <c r="G21" s="165" t="s">
        <v>386</v>
      </c>
      <c r="H21" s="165" t="s">
        <v>387</v>
      </c>
      <c r="I21" s="165" t="s">
        <v>388</v>
      </c>
      <c r="J21" s="165" t="s">
        <v>389</v>
      </c>
      <c r="K21" s="165" t="s">
        <v>390</v>
      </c>
      <c r="L21" s="165" t="s">
        <v>391</v>
      </c>
      <c r="M21" s="165" t="s">
        <v>392</v>
      </c>
      <c r="N21" s="165" t="s">
        <v>393</v>
      </c>
      <c r="O21" s="165" t="s">
        <v>394</v>
      </c>
      <c r="P21" s="165" t="s">
        <v>395</v>
      </c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</row>
    <row r="22" spans="1:31" ht="16" x14ac:dyDescent="0.2">
      <c r="A22" s="159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</row>
    <row r="23" spans="1:31" ht="16" x14ac:dyDescent="0.2">
      <c r="A23" s="134" t="s">
        <v>169</v>
      </c>
      <c r="B23" s="149">
        <v>68.7</v>
      </c>
      <c r="C23" s="149">
        <v>68.7</v>
      </c>
      <c r="D23" s="149">
        <v>68.7</v>
      </c>
      <c r="E23" s="149">
        <v>68.599999999999994</v>
      </c>
      <c r="F23" s="155" t="s">
        <v>159</v>
      </c>
      <c r="G23" s="155" t="s">
        <v>159</v>
      </c>
      <c r="H23" s="155" t="s">
        <v>159</v>
      </c>
      <c r="I23" s="155" t="s">
        <v>159</v>
      </c>
      <c r="J23" s="155" t="s">
        <v>159</v>
      </c>
      <c r="K23" s="155" t="s">
        <v>159</v>
      </c>
      <c r="L23" s="155" t="s">
        <v>159</v>
      </c>
      <c r="M23" s="155" t="s">
        <v>159</v>
      </c>
      <c r="N23" s="155" t="s">
        <v>159</v>
      </c>
      <c r="O23" s="155" t="s">
        <v>159</v>
      </c>
      <c r="P23" s="155" t="s">
        <v>159</v>
      </c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</row>
    <row r="24" spans="1:31" ht="16" hidden="1" outlineLevel="1" x14ac:dyDescent="0.2">
      <c r="A24" s="161" t="s">
        <v>177</v>
      </c>
      <c r="B24" s="162">
        <v>68.7</v>
      </c>
      <c r="C24" s="162">
        <v>68.7</v>
      </c>
      <c r="D24" s="162">
        <v>68.7</v>
      </c>
      <c r="E24" s="162">
        <v>68.599999999999994</v>
      </c>
      <c r="F24" s="163" t="s">
        <v>159</v>
      </c>
      <c r="G24" s="163" t="s">
        <v>159</v>
      </c>
      <c r="H24" s="163" t="s">
        <v>159</v>
      </c>
      <c r="I24" s="163" t="s">
        <v>159</v>
      </c>
      <c r="J24" s="163" t="s">
        <v>159</v>
      </c>
      <c r="K24" s="163" t="s">
        <v>159</v>
      </c>
      <c r="L24" s="163" t="s">
        <v>159</v>
      </c>
      <c r="M24" s="163" t="s">
        <v>159</v>
      </c>
      <c r="N24" s="163" t="s">
        <v>159</v>
      </c>
      <c r="O24" s="163" t="s">
        <v>159</v>
      </c>
      <c r="P24" s="163" t="s">
        <v>159</v>
      </c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</row>
    <row r="25" spans="1:31" ht="16" collapsed="1" x14ac:dyDescent="0.2">
      <c r="A25" s="134" t="s">
        <v>170</v>
      </c>
      <c r="B25" s="149">
        <v>629.20000000000005</v>
      </c>
      <c r="C25" s="149">
        <v>629.20000000000005</v>
      </c>
      <c r="D25" s="149">
        <v>629.20000000000005</v>
      </c>
      <c r="E25" s="149">
        <v>628.20000000000005</v>
      </c>
      <c r="F25" s="149">
        <v>627.29999999999995</v>
      </c>
      <c r="G25" s="149">
        <v>452.1</v>
      </c>
      <c r="H25" s="149">
        <v>471.6</v>
      </c>
      <c r="I25" s="149">
        <v>471.1</v>
      </c>
      <c r="J25" s="149">
        <v>470.6</v>
      </c>
      <c r="K25" s="149">
        <v>470</v>
      </c>
      <c r="L25" s="149">
        <v>469.5</v>
      </c>
      <c r="M25" s="149">
        <v>469</v>
      </c>
      <c r="N25" s="149">
        <v>468.5</v>
      </c>
      <c r="O25" s="149">
        <v>468</v>
      </c>
      <c r="P25" s="149">
        <v>467.5</v>
      </c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</row>
    <row r="26" spans="1:31" ht="16" hidden="1" outlineLevel="1" x14ac:dyDescent="0.2">
      <c r="A26" s="129" t="s">
        <v>171</v>
      </c>
      <c r="B26" s="153">
        <v>0</v>
      </c>
      <c r="C26" s="153">
        <v>0</v>
      </c>
      <c r="D26" s="153">
        <v>0</v>
      </c>
      <c r="E26" s="153">
        <v>0</v>
      </c>
      <c r="F26" s="153">
        <v>0</v>
      </c>
      <c r="G26" s="153">
        <v>110</v>
      </c>
      <c r="H26" s="153">
        <v>130</v>
      </c>
      <c r="I26" s="153">
        <v>130</v>
      </c>
      <c r="J26" s="153">
        <v>130</v>
      </c>
      <c r="K26" s="153">
        <v>130</v>
      </c>
      <c r="L26" s="153">
        <v>130</v>
      </c>
      <c r="M26" s="153">
        <v>130</v>
      </c>
      <c r="N26" s="153">
        <v>130</v>
      </c>
      <c r="O26" s="153">
        <v>130</v>
      </c>
      <c r="P26" s="153">
        <v>130</v>
      </c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</row>
    <row r="27" spans="1:31" ht="16" hidden="1" outlineLevel="2" x14ac:dyDescent="0.2">
      <c r="A27" s="170" t="s">
        <v>172</v>
      </c>
      <c r="B27" s="168">
        <v>0</v>
      </c>
      <c r="C27" s="168">
        <v>0</v>
      </c>
      <c r="D27" s="168">
        <v>0</v>
      </c>
      <c r="E27" s="168">
        <v>0</v>
      </c>
      <c r="F27" s="168">
        <v>0</v>
      </c>
      <c r="G27" s="168">
        <v>110</v>
      </c>
      <c r="H27" s="168">
        <v>130</v>
      </c>
      <c r="I27" s="168">
        <v>130</v>
      </c>
      <c r="J27" s="168">
        <v>130</v>
      </c>
      <c r="K27" s="168">
        <v>130</v>
      </c>
      <c r="L27" s="168">
        <v>130</v>
      </c>
      <c r="M27" s="168">
        <v>130</v>
      </c>
      <c r="N27" s="168">
        <v>130</v>
      </c>
      <c r="O27" s="168">
        <v>130</v>
      </c>
      <c r="P27" s="168">
        <v>130</v>
      </c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</row>
    <row r="28" spans="1:31" ht="15" hidden="1" customHeight="1" outlineLevel="1" x14ac:dyDescent="0.2">
      <c r="A28" s="161" t="s">
        <v>173</v>
      </c>
      <c r="B28" s="163" t="s">
        <v>159</v>
      </c>
      <c r="C28" s="163" t="s">
        <v>159</v>
      </c>
      <c r="D28" s="163" t="s">
        <v>159</v>
      </c>
      <c r="E28" s="163" t="s">
        <v>159</v>
      </c>
      <c r="F28" s="163" t="s">
        <v>159</v>
      </c>
      <c r="G28" s="163" t="s">
        <v>159</v>
      </c>
      <c r="H28" s="163" t="s">
        <v>159</v>
      </c>
      <c r="I28" s="163" t="s">
        <v>159</v>
      </c>
      <c r="J28" s="163" t="s">
        <v>159</v>
      </c>
      <c r="K28" s="163" t="s">
        <v>159</v>
      </c>
      <c r="L28" s="163" t="s">
        <v>159</v>
      </c>
      <c r="M28" s="163" t="s">
        <v>159</v>
      </c>
      <c r="N28" s="163" t="s">
        <v>159</v>
      </c>
      <c r="O28" s="163" t="s">
        <v>159</v>
      </c>
      <c r="P28" s="163" t="s">
        <v>159</v>
      </c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</row>
    <row r="29" spans="1:31" ht="16" hidden="1" outlineLevel="1" x14ac:dyDescent="0.2">
      <c r="A29" s="124" t="s">
        <v>174</v>
      </c>
      <c r="B29" s="149">
        <v>644</v>
      </c>
      <c r="C29" s="149">
        <v>644</v>
      </c>
      <c r="D29" s="149">
        <v>644</v>
      </c>
      <c r="E29" s="149">
        <v>644</v>
      </c>
      <c r="F29" s="149">
        <v>644</v>
      </c>
      <c r="G29" s="149">
        <v>345</v>
      </c>
      <c r="H29" s="149">
        <v>345</v>
      </c>
      <c r="I29" s="149">
        <v>345</v>
      </c>
      <c r="J29" s="149">
        <v>345</v>
      </c>
      <c r="K29" s="149">
        <v>345</v>
      </c>
      <c r="L29" s="149">
        <v>345</v>
      </c>
      <c r="M29" s="149">
        <v>345</v>
      </c>
      <c r="N29" s="149">
        <v>345</v>
      </c>
      <c r="O29" s="149">
        <v>345</v>
      </c>
      <c r="P29" s="149">
        <v>345</v>
      </c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</row>
    <row r="30" spans="1:31" ht="15" hidden="1" customHeight="1" outlineLevel="2" x14ac:dyDescent="0.2">
      <c r="A30" s="171" t="s">
        <v>396</v>
      </c>
      <c r="B30" s="162">
        <v>644</v>
      </c>
      <c r="C30" s="162">
        <v>644</v>
      </c>
      <c r="D30" s="162">
        <v>644</v>
      </c>
      <c r="E30" s="162">
        <v>644</v>
      </c>
      <c r="F30" s="162">
        <v>644</v>
      </c>
      <c r="G30" s="162">
        <v>345</v>
      </c>
      <c r="H30" s="162">
        <v>345</v>
      </c>
      <c r="I30" s="162">
        <v>345</v>
      </c>
      <c r="J30" s="162">
        <v>345</v>
      </c>
      <c r="K30" s="162">
        <v>345</v>
      </c>
      <c r="L30" s="162">
        <v>345</v>
      </c>
      <c r="M30" s="162">
        <v>345</v>
      </c>
      <c r="N30" s="162">
        <v>345</v>
      </c>
      <c r="O30" s="162">
        <v>345</v>
      </c>
      <c r="P30" s="162">
        <v>345</v>
      </c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</row>
    <row r="31" spans="1:31" ht="15" hidden="1" customHeight="1" outlineLevel="1" x14ac:dyDescent="0.2">
      <c r="A31" s="124" t="s">
        <v>175</v>
      </c>
      <c r="B31" s="149">
        <v>-14.8</v>
      </c>
      <c r="C31" s="149">
        <v>-14.8</v>
      </c>
      <c r="D31" s="149">
        <v>-14.8</v>
      </c>
      <c r="E31" s="149">
        <v>-15.8</v>
      </c>
      <c r="F31" s="149">
        <v>-16.7</v>
      </c>
      <c r="G31" s="149">
        <v>-2.9</v>
      </c>
      <c r="H31" s="149">
        <v>-3.4</v>
      </c>
      <c r="I31" s="149">
        <v>-3.9</v>
      </c>
      <c r="J31" s="149">
        <v>-4.4000000000000004</v>
      </c>
      <c r="K31" s="149">
        <v>-5</v>
      </c>
      <c r="L31" s="149">
        <v>-5.5</v>
      </c>
      <c r="M31" s="149">
        <v>-6</v>
      </c>
      <c r="N31" s="149">
        <v>-6.5</v>
      </c>
      <c r="O31" s="149">
        <v>-7</v>
      </c>
      <c r="P31" s="149">
        <v>-7.5</v>
      </c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</row>
    <row r="32" spans="1:31" ht="15" hidden="1" customHeight="1" outlineLevel="2" x14ac:dyDescent="0.2">
      <c r="A32" s="171" t="s">
        <v>397</v>
      </c>
      <c r="B32" s="148">
        <v>-14.8</v>
      </c>
      <c r="C32" s="148">
        <v>-14.8</v>
      </c>
      <c r="D32" s="148">
        <v>-14.8</v>
      </c>
      <c r="E32" s="148">
        <v>-15.8</v>
      </c>
      <c r="F32" s="148">
        <v>-16.7</v>
      </c>
      <c r="G32" s="148">
        <v>-2.9</v>
      </c>
      <c r="H32" s="148">
        <v>-3.4</v>
      </c>
      <c r="I32" s="148">
        <v>-3.9</v>
      </c>
      <c r="J32" s="148">
        <v>-4.4000000000000004</v>
      </c>
      <c r="K32" s="148">
        <v>-5</v>
      </c>
      <c r="L32" s="148">
        <v>-5.5</v>
      </c>
      <c r="M32" s="148">
        <v>-6</v>
      </c>
      <c r="N32" s="148">
        <v>-6.5</v>
      </c>
      <c r="O32" s="148">
        <v>-7</v>
      </c>
      <c r="P32" s="148">
        <v>-7.5</v>
      </c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</row>
    <row r="33" spans="1:31" ht="15" customHeight="1" collapsed="1" x14ac:dyDescent="0.2">
      <c r="A33" s="134" t="s">
        <v>176</v>
      </c>
      <c r="B33" s="149">
        <v>560.4</v>
      </c>
      <c r="C33" s="149">
        <v>560.4</v>
      </c>
      <c r="D33" s="149">
        <v>560.4</v>
      </c>
      <c r="E33" s="149">
        <v>559.6</v>
      </c>
      <c r="F33" s="149">
        <v>627.29999999999995</v>
      </c>
      <c r="G33" s="149">
        <v>452.1</v>
      </c>
      <c r="H33" s="149">
        <v>471.6</v>
      </c>
      <c r="I33" s="149">
        <v>471.1</v>
      </c>
      <c r="J33" s="149">
        <v>470.6</v>
      </c>
      <c r="K33" s="149">
        <v>470</v>
      </c>
      <c r="L33" s="149">
        <v>469.5</v>
      </c>
      <c r="M33" s="149">
        <v>469</v>
      </c>
      <c r="N33" s="149">
        <v>468.5</v>
      </c>
      <c r="O33" s="149">
        <v>468</v>
      </c>
      <c r="P33" s="149">
        <v>467.5</v>
      </c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69"/>
      <c r="AE33" s="169"/>
    </row>
    <row r="34" spans="1:31" ht="15" hidden="1" customHeight="1" outlineLevel="1" x14ac:dyDescent="0.2">
      <c r="A34" s="161" t="s">
        <v>170</v>
      </c>
      <c r="B34" s="162">
        <v>629.20000000000005</v>
      </c>
      <c r="C34" s="162">
        <v>629.20000000000005</v>
      </c>
      <c r="D34" s="162">
        <v>629.20000000000005</v>
      </c>
      <c r="E34" s="162">
        <v>628.20000000000005</v>
      </c>
      <c r="F34" s="162">
        <v>627.29999999999995</v>
      </c>
      <c r="G34" s="162">
        <v>452.1</v>
      </c>
      <c r="H34" s="162">
        <v>471.6</v>
      </c>
      <c r="I34" s="162">
        <v>471.1</v>
      </c>
      <c r="J34" s="162">
        <v>470.6</v>
      </c>
      <c r="K34" s="162">
        <v>470</v>
      </c>
      <c r="L34" s="162">
        <v>469.5</v>
      </c>
      <c r="M34" s="162">
        <v>469</v>
      </c>
      <c r="N34" s="162">
        <v>468.5</v>
      </c>
      <c r="O34" s="162">
        <v>468</v>
      </c>
      <c r="P34" s="162">
        <v>467.5</v>
      </c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</row>
    <row r="35" spans="1:31" ht="16" hidden="1" outlineLevel="1" x14ac:dyDescent="0.2">
      <c r="A35" s="164" t="s">
        <v>177</v>
      </c>
      <c r="B35" s="154">
        <v>-68.7</v>
      </c>
      <c r="C35" s="154">
        <v>-68.7</v>
      </c>
      <c r="D35" s="154">
        <v>-68.7</v>
      </c>
      <c r="E35" s="154">
        <v>-68.599999999999994</v>
      </c>
      <c r="F35" s="165" t="s">
        <v>159</v>
      </c>
      <c r="G35" s="165" t="s">
        <v>159</v>
      </c>
      <c r="H35" s="165" t="s">
        <v>159</v>
      </c>
      <c r="I35" s="165" t="s">
        <v>159</v>
      </c>
      <c r="J35" s="165" t="s">
        <v>159</v>
      </c>
      <c r="K35" s="165" t="s">
        <v>159</v>
      </c>
      <c r="L35" s="165" t="s">
        <v>159</v>
      </c>
      <c r="M35" s="165" t="s">
        <v>159</v>
      </c>
      <c r="N35" s="165" t="s">
        <v>159</v>
      </c>
      <c r="O35" s="165" t="s">
        <v>159</v>
      </c>
      <c r="P35" s="165" t="s">
        <v>159</v>
      </c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</row>
    <row r="36" spans="1:31" ht="15" customHeight="1" collapsed="1" x14ac:dyDescent="0.2">
      <c r="A36" s="160" t="s">
        <v>61</v>
      </c>
      <c r="B36" s="163" t="s">
        <v>398</v>
      </c>
      <c r="C36" s="163" t="s">
        <v>398</v>
      </c>
      <c r="D36" s="163" t="s">
        <v>398</v>
      </c>
      <c r="E36" s="163" t="s">
        <v>399</v>
      </c>
      <c r="F36" s="163" t="s">
        <v>400</v>
      </c>
      <c r="G36" s="163" t="s">
        <v>401</v>
      </c>
      <c r="H36" s="163" t="s">
        <v>402</v>
      </c>
      <c r="I36" s="163" t="s">
        <v>403</v>
      </c>
      <c r="J36" s="163" t="s">
        <v>404</v>
      </c>
      <c r="K36" s="163" t="s">
        <v>405</v>
      </c>
      <c r="L36" s="163" t="s">
        <v>406</v>
      </c>
      <c r="M36" s="163" t="s">
        <v>407</v>
      </c>
      <c r="N36" s="163" t="s">
        <v>408</v>
      </c>
      <c r="O36" s="163" t="s">
        <v>409</v>
      </c>
      <c r="P36" s="163" t="s">
        <v>410</v>
      </c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</row>
    <row r="37" spans="1:31" ht="15" customHeight="1" x14ac:dyDescent="0.2">
      <c r="A37" s="136" t="s">
        <v>178</v>
      </c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</row>
    <row r="38" spans="1:31" ht="16" x14ac:dyDescent="0.2"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  <c r="AB38" s="169"/>
      <c r="AC38" s="169"/>
      <c r="AD38" s="169"/>
      <c r="AE38" s="169"/>
    </row>
    <row r="39" spans="1:31" ht="16" x14ac:dyDescent="0.2">
      <c r="A39" s="4" t="s">
        <v>179</v>
      </c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  <c r="AA39" s="169"/>
      <c r="AB39" s="169"/>
      <c r="AC39" s="169"/>
      <c r="AD39" s="169"/>
      <c r="AE39" s="169"/>
    </row>
    <row r="40" spans="1:31" ht="16" x14ac:dyDescent="0.2">
      <c r="A40" s="116"/>
      <c r="B40" s="165" t="s">
        <v>154</v>
      </c>
      <c r="C40" s="165" t="s">
        <v>155</v>
      </c>
      <c r="D40" s="165" t="s">
        <v>353</v>
      </c>
      <c r="E40" s="165" t="s">
        <v>354</v>
      </c>
      <c r="F40" s="165" t="s">
        <v>355</v>
      </c>
      <c r="G40" s="165" t="s">
        <v>356</v>
      </c>
      <c r="H40" s="165" t="s">
        <v>357</v>
      </c>
      <c r="I40" s="165" t="s">
        <v>358</v>
      </c>
      <c r="J40" s="165" t="s">
        <v>359</v>
      </c>
      <c r="K40" s="165" t="s">
        <v>360</v>
      </c>
      <c r="L40" s="165" t="s">
        <v>361</v>
      </c>
      <c r="M40" s="165" t="s">
        <v>362</v>
      </c>
      <c r="N40" s="165" t="s">
        <v>363</v>
      </c>
      <c r="O40" s="165" t="s">
        <v>364</v>
      </c>
      <c r="P40" s="165" t="s">
        <v>365</v>
      </c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</row>
    <row r="41" spans="1:31" ht="16" x14ac:dyDescent="0.2">
      <c r="A41" s="160" t="s">
        <v>180</v>
      </c>
      <c r="B41" s="162">
        <v>3032</v>
      </c>
      <c r="C41" s="162">
        <v>3032</v>
      </c>
      <c r="D41" s="162">
        <v>2900.3</v>
      </c>
      <c r="E41" s="162">
        <v>3385.5</v>
      </c>
      <c r="F41" s="162">
        <v>2691.5</v>
      </c>
      <c r="G41" s="162">
        <v>2590.8000000000002</v>
      </c>
      <c r="H41" s="162">
        <v>2216</v>
      </c>
      <c r="I41" s="162">
        <v>2044.2</v>
      </c>
      <c r="J41" s="162">
        <v>2000.2</v>
      </c>
      <c r="K41" s="162">
        <v>1839.6</v>
      </c>
      <c r="L41" s="162">
        <v>1535.4</v>
      </c>
      <c r="M41" s="162">
        <v>1913.1</v>
      </c>
      <c r="N41" s="162">
        <v>1871</v>
      </c>
      <c r="O41" s="162">
        <v>1736.7</v>
      </c>
      <c r="P41" s="162">
        <v>1578.9</v>
      </c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</row>
    <row r="42" spans="1:31" ht="16" x14ac:dyDescent="0.2">
      <c r="A42" s="172" t="s">
        <v>181</v>
      </c>
      <c r="B42" s="168">
        <v>629.20000000000005</v>
      </c>
      <c r="C42" s="168">
        <v>629.20000000000005</v>
      </c>
      <c r="D42" s="168">
        <v>629.20000000000005</v>
      </c>
      <c r="E42" s="168">
        <v>628.20000000000005</v>
      </c>
      <c r="F42" s="168">
        <v>627.29999999999995</v>
      </c>
      <c r="G42" s="168">
        <v>452.1</v>
      </c>
      <c r="H42" s="168">
        <v>471.6</v>
      </c>
      <c r="I42" s="168">
        <v>471.1</v>
      </c>
      <c r="J42" s="168">
        <v>470.6</v>
      </c>
      <c r="K42" s="168">
        <v>470</v>
      </c>
      <c r="L42" s="168">
        <v>469.5</v>
      </c>
      <c r="M42" s="168">
        <v>469</v>
      </c>
      <c r="N42" s="168">
        <v>468.5</v>
      </c>
      <c r="O42" s="168">
        <v>468</v>
      </c>
      <c r="P42" s="168">
        <v>467.5</v>
      </c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</row>
    <row r="43" spans="1:31" ht="16" x14ac:dyDescent="0.2">
      <c r="A43" s="173" t="s">
        <v>182</v>
      </c>
      <c r="B43" s="163" t="s">
        <v>159</v>
      </c>
      <c r="C43" s="163" t="s">
        <v>159</v>
      </c>
      <c r="D43" s="163" t="s">
        <v>159</v>
      </c>
      <c r="E43" s="163" t="s">
        <v>159</v>
      </c>
      <c r="F43" s="163" t="s">
        <v>159</v>
      </c>
      <c r="G43" s="163" t="s">
        <v>159</v>
      </c>
      <c r="H43" s="163" t="s">
        <v>159</v>
      </c>
      <c r="I43" s="163" t="s">
        <v>159</v>
      </c>
      <c r="J43" s="163" t="s">
        <v>159</v>
      </c>
      <c r="K43" s="163" t="s">
        <v>159</v>
      </c>
      <c r="L43" s="163" t="s">
        <v>159</v>
      </c>
      <c r="M43" s="163" t="s">
        <v>159</v>
      </c>
      <c r="N43" s="163" t="s">
        <v>159</v>
      </c>
      <c r="O43" s="163" t="s">
        <v>159</v>
      </c>
      <c r="P43" s="163" t="s">
        <v>159</v>
      </c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</row>
    <row r="44" spans="1:31" ht="16" x14ac:dyDescent="0.2">
      <c r="A44" s="172" t="s">
        <v>183</v>
      </c>
      <c r="B44" s="165" t="s">
        <v>159</v>
      </c>
      <c r="C44" s="165" t="s">
        <v>159</v>
      </c>
      <c r="D44" s="165" t="s">
        <v>159</v>
      </c>
      <c r="E44" s="165" t="s">
        <v>159</v>
      </c>
      <c r="F44" s="165" t="s">
        <v>159</v>
      </c>
      <c r="G44" s="165" t="s">
        <v>159</v>
      </c>
      <c r="H44" s="165" t="s">
        <v>159</v>
      </c>
      <c r="I44" s="165" t="s">
        <v>159</v>
      </c>
      <c r="J44" s="165" t="s">
        <v>159</v>
      </c>
      <c r="K44" s="165" t="s">
        <v>159</v>
      </c>
      <c r="L44" s="165" t="s">
        <v>159</v>
      </c>
      <c r="M44" s="165" t="s">
        <v>159</v>
      </c>
      <c r="N44" s="165" t="s">
        <v>159</v>
      </c>
      <c r="O44" s="165" t="s">
        <v>159</v>
      </c>
      <c r="P44" s="165" t="s">
        <v>159</v>
      </c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</row>
    <row r="45" spans="1:31" ht="16" x14ac:dyDescent="0.2">
      <c r="A45" s="173" t="s">
        <v>184</v>
      </c>
      <c r="B45" s="162">
        <v>0</v>
      </c>
      <c r="C45" s="162">
        <v>0</v>
      </c>
      <c r="D45" s="162">
        <v>0</v>
      </c>
      <c r="E45" s="162">
        <v>0</v>
      </c>
      <c r="F45" s="162">
        <v>0</v>
      </c>
      <c r="G45" s="162">
        <v>0</v>
      </c>
      <c r="H45" s="162">
        <v>0</v>
      </c>
      <c r="I45" s="162">
        <v>0</v>
      </c>
      <c r="J45" s="162">
        <v>0</v>
      </c>
      <c r="K45" s="162">
        <v>0</v>
      </c>
      <c r="L45" s="162">
        <v>0</v>
      </c>
      <c r="M45" s="162">
        <v>0</v>
      </c>
      <c r="N45" s="162">
        <v>0</v>
      </c>
      <c r="O45" s="162">
        <v>0</v>
      </c>
      <c r="P45" s="162">
        <v>0</v>
      </c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</row>
    <row r="46" spans="1:31" ht="16" x14ac:dyDescent="0.2">
      <c r="A46" s="172" t="s">
        <v>185</v>
      </c>
      <c r="B46" s="154">
        <v>-190</v>
      </c>
      <c r="C46" s="154">
        <v>-190</v>
      </c>
      <c r="D46" s="154">
        <v>-190</v>
      </c>
      <c r="E46" s="154">
        <v>-148.80000000000001</v>
      </c>
      <c r="F46" s="154">
        <v>-135.4</v>
      </c>
      <c r="G46" s="154">
        <v>-84.2</v>
      </c>
      <c r="H46" s="154">
        <v>-52.2</v>
      </c>
      <c r="I46" s="154">
        <v>-40.700000000000003</v>
      </c>
      <c r="J46" s="154">
        <v>-60.2</v>
      </c>
      <c r="K46" s="154">
        <v>-56.3</v>
      </c>
      <c r="L46" s="154">
        <v>-64</v>
      </c>
      <c r="M46" s="154">
        <v>-91.6</v>
      </c>
      <c r="N46" s="154">
        <v>-116.2</v>
      </c>
      <c r="O46" s="154">
        <v>-114.8</v>
      </c>
      <c r="P46" s="154">
        <v>-133.19999999999999</v>
      </c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</row>
    <row r="47" spans="1:31" ht="16" x14ac:dyDescent="0.2">
      <c r="A47" s="173" t="s">
        <v>186</v>
      </c>
      <c r="B47" s="163" t="s">
        <v>159</v>
      </c>
      <c r="C47" s="163" t="s">
        <v>159</v>
      </c>
      <c r="D47" s="163" t="s">
        <v>159</v>
      </c>
      <c r="E47" s="163" t="s">
        <v>159</v>
      </c>
      <c r="F47" s="163" t="s">
        <v>159</v>
      </c>
      <c r="G47" s="163" t="s">
        <v>159</v>
      </c>
      <c r="H47" s="163" t="s">
        <v>159</v>
      </c>
      <c r="I47" s="163" t="s">
        <v>159</v>
      </c>
      <c r="J47" s="163" t="s">
        <v>159</v>
      </c>
      <c r="K47" s="163" t="s">
        <v>159</v>
      </c>
      <c r="L47" s="163" t="s">
        <v>159</v>
      </c>
      <c r="M47" s="163" t="s">
        <v>159</v>
      </c>
      <c r="N47" s="163" t="s">
        <v>159</v>
      </c>
      <c r="O47" s="163" t="s">
        <v>159</v>
      </c>
      <c r="P47" s="163" t="s">
        <v>159</v>
      </c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</row>
    <row r="48" spans="1:31" ht="16" x14ac:dyDescent="0.2">
      <c r="A48" s="172" t="s">
        <v>187</v>
      </c>
      <c r="B48" s="165" t="s">
        <v>159</v>
      </c>
      <c r="C48" s="165" t="s">
        <v>159</v>
      </c>
      <c r="D48" s="165" t="s">
        <v>159</v>
      </c>
      <c r="E48" s="165" t="s">
        <v>159</v>
      </c>
      <c r="F48" s="165" t="s">
        <v>159</v>
      </c>
      <c r="G48" s="165" t="s">
        <v>159</v>
      </c>
      <c r="H48" s="165" t="s">
        <v>159</v>
      </c>
      <c r="I48" s="165" t="s">
        <v>159</v>
      </c>
      <c r="J48" s="165" t="s">
        <v>159</v>
      </c>
      <c r="K48" s="165" t="s">
        <v>159</v>
      </c>
      <c r="L48" s="165" t="s">
        <v>159</v>
      </c>
      <c r="M48" s="165" t="s">
        <v>159</v>
      </c>
      <c r="N48" s="165" t="s">
        <v>159</v>
      </c>
      <c r="O48" s="165" t="s">
        <v>159</v>
      </c>
      <c r="P48" s="165" t="s">
        <v>159</v>
      </c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</row>
    <row r="49" spans="1:31" ht="16" x14ac:dyDescent="0.2">
      <c r="A49" s="173" t="s">
        <v>188</v>
      </c>
      <c r="B49" s="163" t="s">
        <v>159</v>
      </c>
      <c r="C49" s="163" t="s">
        <v>159</v>
      </c>
      <c r="D49" s="163" t="s">
        <v>159</v>
      </c>
      <c r="E49" s="163" t="s">
        <v>159</v>
      </c>
      <c r="F49" s="163" t="s">
        <v>159</v>
      </c>
      <c r="G49" s="163" t="s">
        <v>159</v>
      </c>
      <c r="H49" s="163" t="s">
        <v>159</v>
      </c>
      <c r="I49" s="163" t="s">
        <v>159</v>
      </c>
      <c r="J49" s="163" t="s">
        <v>159</v>
      </c>
      <c r="K49" s="163" t="s">
        <v>159</v>
      </c>
      <c r="L49" s="163" t="s">
        <v>159</v>
      </c>
      <c r="M49" s="163" t="s">
        <v>159</v>
      </c>
      <c r="N49" s="163" t="s">
        <v>159</v>
      </c>
      <c r="O49" s="163" t="s">
        <v>159</v>
      </c>
      <c r="P49" s="163" t="s">
        <v>159</v>
      </c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</row>
    <row r="50" spans="1:31" ht="16" x14ac:dyDescent="0.2">
      <c r="A50" s="172" t="s">
        <v>189</v>
      </c>
      <c r="B50" s="168">
        <v>0</v>
      </c>
      <c r="C50" s="168">
        <v>0</v>
      </c>
      <c r="D50" s="168">
        <v>0</v>
      </c>
      <c r="E50" s="168">
        <v>0</v>
      </c>
      <c r="F50" s="168">
        <v>0</v>
      </c>
      <c r="G50" s="168">
        <v>0</v>
      </c>
      <c r="H50" s="168">
        <v>0</v>
      </c>
      <c r="I50" s="168">
        <v>0</v>
      </c>
      <c r="J50" s="168">
        <v>0</v>
      </c>
      <c r="K50" s="168">
        <v>0</v>
      </c>
      <c r="L50" s="168">
        <v>0</v>
      </c>
      <c r="M50" s="168">
        <v>0</v>
      </c>
      <c r="N50" s="168">
        <v>0</v>
      </c>
      <c r="O50" s="168">
        <v>0</v>
      </c>
      <c r="P50" s="168">
        <v>0</v>
      </c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</row>
    <row r="51" spans="1:31" ht="16" x14ac:dyDescent="0.2">
      <c r="A51" s="173" t="s">
        <v>190</v>
      </c>
      <c r="B51" s="162">
        <v>0</v>
      </c>
      <c r="C51" s="162">
        <v>0</v>
      </c>
      <c r="D51" s="162">
        <v>0</v>
      </c>
      <c r="E51" s="162">
        <v>0</v>
      </c>
      <c r="F51" s="162">
        <v>0</v>
      </c>
      <c r="G51" s="162">
        <v>0</v>
      </c>
      <c r="H51" s="162">
        <v>0</v>
      </c>
      <c r="I51" s="162">
        <v>0</v>
      </c>
      <c r="J51" s="162">
        <v>0</v>
      </c>
      <c r="K51" s="162">
        <v>0</v>
      </c>
      <c r="L51" s="162">
        <v>0</v>
      </c>
      <c r="M51" s="162">
        <v>0</v>
      </c>
      <c r="N51" s="162">
        <v>0</v>
      </c>
      <c r="O51" s="162">
        <v>0</v>
      </c>
      <c r="P51" s="162">
        <v>0</v>
      </c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</row>
    <row r="52" spans="1:31" ht="16" x14ac:dyDescent="0.2">
      <c r="A52" s="172" t="s">
        <v>191</v>
      </c>
      <c r="B52" s="165" t="s">
        <v>159</v>
      </c>
      <c r="C52" s="165" t="s">
        <v>159</v>
      </c>
      <c r="D52" s="165" t="s">
        <v>159</v>
      </c>
      <c r="E52" s="165" t="s">
        <v>159</v>
      </c>
      <c r="F52" s="165" t="s">
        <v>159</v>
      </c>
      <c r="G52" s="165" t="s">
        <v>159</v>
      </c>
      <c r="H52" s="165" t="s">
        <v>159</v>
      </c>
      <c r="I52" s="165" t="s">
        <v>159</v>
      </c>
      <c r="J52" s="165" t="s">
        <v>159</v>
      </c>
      <c r="K52" s="165" t="s">
        <v>159</v>
      </c>
      <c r="L52" s="165" t="s">
        <v>159</v>
      </c>
      <c r="M52" s="165" t="s">
        <v>159</v>
      </c>
      <c r="N52" s="165" t="s">
        <v>159</v>
      </c>
      <c r="O52" s="165" t="s">
        <v>159</v>
      </c>
      <c r="P52" s="165" t="s">
        <v>159</v>
      </c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</row>
    <row r="53" spans="1:31" ht="16" x14ac:dyDescent="0.2">
      <c r="A53" s="160" t="s">
        <v>179</v>
      </c>
      <c r="B53" s="163" t="s">
        <v>411</v>
      </c>
      <c r="C53" s="163" t="s">
        <v>411</v>
      </c>
      <c r="D53" s="163" t="s">
        <v>412</v>
      </c>
      <c r="E53" s="163" t="s">
        <v>413</v>
      </c>
      <c r="F53" s="163" t="s">
        <v>414</v>
      </c>
      <c r="G53" s="163" t="s">
        <v>415</v>
      </c>
      <c r="H53" s="163" t="s">
        <v>416</v>
      </c>
      <c r="I53" s="163" t="s">
        <v>417</v>
      </c>
      <c r="J53" s="163" t="s">
        <v>418</v>
      </c>
      <c r="K53" s="163" t="s">
        <v>419</v>
      </c>
      <c r="L53" s="163" t="s">
        <v>420</v>
      </c>
      <c r="M53" s="163" t="s">
        <v>421</v>
      </c>
      <c r="N53" s="163" t="s">
        <v>422</v>
      </c>
      <c r="O53" s="163" t="s">
        <v>423</v>
      </c>
      <c r="P53" s="163" t="s">
        <v>424</v>
      </c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  <c r="AE53" s="169"/>
    </row>
    <row r="54" spans="1:31" ht="16" x14ac:dyDescent="0.2">
      <c r="A54" s="136" t="s">
        <v>192</v>
      </c>
    </row>
    <row r="55" spans="1:31" ht="16" x14ac:dyDescent="0.2"/>
    <row r="56" spans="1:31" ht="16" x14ac:dyDescent="0.2"/>
  </sheetData>
  <mergeCells count="15">
    <mergeCell ref="V5:W5"/>
    <mergeCell ref="X5:Y5"/>
    <mergeCell ref="Z5:AA5"/>
    <mergeCell ref="AB5:AC5"/>
    <mergeCell ref="AD5:AE5"/>
    <mergeCell ref="L5:M5"/>
    <mergeCell ref="N5:O5"/>
    <mergeCell ref="P5:Q5"/>
    <mergeCell ref="R5:S5"/>
    <mergeCell ref="T5:U5"/>
    <mergeCell ref="B5:C5"/>
    <mergeCell ref="D5:E5"/>
    <mergeCell ref="F5:G5"/>
    <mergeCell ref="H5:I5"/>
    <mergeCell ref="J5:K5"/>
  </mergeCells>
  <pageMargins left="0.7" right="0.7" top="0.75" bottom="0.75" header="0.3" footer="0.3"/>
  <pageSetup scale="23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CAKE-US LBO</vt:lpstr>
      <vt:lpstr>Historicals &gt;&gt;</vt:lpstr>
      <vt:lpstr>Income Statement</vt:lpstr>
      <vt:lpstr>Price History</vt:lpstr>
      <vt:lpstr>Balance Sheet</vt:lpstr>
      <vt:lpstr>Cash Flow Statement</vt:lpstr>
      <vt:lpstr>Capital Structure</vt:lpstr>
      <vt:lpstr>'Balance Sheet'!Print_Area</vt:lpstr>
      <vt:lpstr>'CAKE-US LBO'!Print_Area</vt:lpstr>
      <vt:lpstr>'Capital Structure'!Print_Area</vt:lpstr>
      <vt:lpstr>'Cash Flow Statement'!Print_Area</vt:lpstr>
      <vt:lpstr>'Income Statement'!Print_Area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rag-bench</dc:creator>
  <cp:lastModifiedBy>rag-bench</cp:lastModifiedBy>
  <dcterms:created xsi:type="dcterms:W3CDTF">2026-02-05T03:52:05Z</dcterms:created>
  <dcterms:modified xsi:type="dcterms:W3CDTF">2026-02-16T23:38:37Z</dcterms:modified>
</cp:coreProperties>
</file>